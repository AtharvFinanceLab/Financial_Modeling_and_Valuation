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Projects\"/>
    </mc:Choice>
  </mc:AlternateContent>
  <bookViews>
    <workbookView xWindow="0" yWindow="0" windowWidth="20490" windowHeight="7620"/>
  </bookViews>
  <sheets>
    <sheet name="M&amp;A Model" sheetId="1" r:id="rId1"/>
  </sheets>
  <externalReferences>
    <externalReference r:id="rId2"/>
  </externalReferences>
  <definedNames>
    <definedName name="COD">'M&amp;A Model'!$E$14</definedName>
    <definedName name="Enterprice_Value">'[1]LBO Modelling'!$O$11</definedName>
    <definedName name="Pre_Tax_Synergies">'M&amp;A Model'!$E$22</definedName>
    <definedName name="Target_Permium">'M&amp;A Model'!$E$18</definedName>
    <definedName name="Tax_Rate">'M&amp;A Model'!$E$13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" i="1" l="1"/>
  <c r="E38" i="1"/>
  <c r="J31" i="1"/>
  <c r="J30" i="1"/>
  <c r="J29" i="1"/>
  <c r="E29" i="1"/>
  <c r="E30" i="1" s="1"/>
  <c r="E33" i="1" l="1"/>
  <c r="J32" i="1" s="1"/>
  <c r="J34" i="1" s="1"/>
  <c r="E32" i="1"/>
  <c r="E39" i="1" s="1"/>
  <c r="E40" i="1" s="1"/>
  <c r="E31" i="1"/>
  <c r="E45" i="1" l="1"/>
  <c r="E46" i="1" s="1"/>
  <c r="E34" i="1"/>
</calcChain>
</file>

<file path=xl/sharedStrings.xml><?xml version="1.0" encoding="utf-8"?>
<sst xmlns="http://schemas.openxmlformats.org/spreadsheetml/2006/main" count="43" uniqueCount="39">
  <si>
    <t>Key Assumptionas</t>
  </si>
  <si>
    <t>Financial Inputs</t>
  </si>
  <si>
    <t xml:space="preserve">Acquirer </t>
  </si>
  <si>
    <t>Share Outstanding (millions)</t>
  </si>
  <si>
    <t>Curret Share Price $</t>
  </si>
  <si>
    <t xml:space="preserve">Tax Rate </t>
  </si>
  <si>
    <t>Cost of Debt</t>
  </si>
  <si>
    <t>Net Income (millions)</t>
  </si>
  <si>
    <t>Target Company</t>
  </si>
  <si>
    <t>Transaction Assumptions</t>
  </si>
  <si>
    <t>Targer Premium (%)</t>
  </si>
  <si>
    <t>Cash Consideration %</t>
  </si>
  <si>
    <t>Stock Consideration %</t>
  </si>
  <si>
    <t>Debt  Consideration %</t>
  </si>
  <si>
    <t>Pre-Tax Synergies ($ millions)</t>
  </si>
  <si>
    <t>Transaction Fees ($ millions)</t>
  </si>
  <si>
    <t>M&amp;A Model</t>
  </si>
  <si>
    <t>A Purchases Price &amp; Financing</t>
  </si>
  <si>
    <t>Purchases Price per Share ($)</t>
  </si>
  <si>
    <t>Cash Required ($ millions)</t>
  </si>
  <si>
    <t>Totol Equity Value ($ Millions)</t>
  </si>
  <si>
    <t>Stock Required ($ millios)</t>
  </si>
  <si>
    <t>Debt Required ($ millions)</t>
  </si>
  <si>
    <t>Total Consideration (Check)</t>
  </si>
  <si>
    <t>Acquire Net Income</t>
  </si>
  <si>
    <t>Target net Income</t>
  </si>
  <si>
    <t>Synergies (After-Tax)</t>
  </si>
  <si>
    <t>New Interest Expenses (After-Tax)</t>
  </si>
  <si>
    <t>Perfoma Net Income</t>
  </si>
  <si>
    <t>Acquire Share Outstandings</t>
  </si>
  <si>
    <t>New Shares Issued</t>
  </si>
  <si>
    <t>Prefoma Share Outstandings</t>
  </si>
  <si>
    <t>Acquire EPS (Standalone)</t>
  </si>
  <si>
    <t>C Proforma Shares Outstanding</t>
  </si>
  <si>
    <t>B Proforma Net Income</t>
  </si>
  <si>
    <t xml:space="preserve">Proforma EPS </t>
  </si>
  <si>
    <t>Accretion / (Dilution) %</t>
  </si>
  <si>
    <t>Transaction &amp; Proforma Calculation</t>
  </si>
  <si>
    <t>Accretion / Diluation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</si>
</sst>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$\ 0.00"/>
    <numFmt numFmtId="166" formatCode="0.00;\(0.00\)"/>
    <numFmt numFmtId="167" formatCode="#,##0.00;\(#,##0.00\)"/>
  </numFmts>
  <fonts count="12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4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4"/>
      <color theme="0"/>
      <name val="Arial"/>
      <family val="2"/>
    </font>
    <font>
      <b/>
      <sz val="14"/>
      <color rgb="FF002060"/>
      <name val="Arial"/>
      <family val="2"/>
    </font>
    <font>
      <sz val="11"/>
      <color rgb="FF0070C0"/>
      <name val="Arial"/>
      <family val="2"/>
    </font>
    <font>
      <sz val="14"/>
      <color theme="1"/>
      <name val="Arial"/>
      <family val="2"/>
    </font>
    <font>
      <b/>
      <sz val="12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ck">
        <color theme="0"/>
      </right>
      <top style="hair">
        <color auto="1"/>
      </top>
      <bottom style="hair">
        <color auto="1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 style="thin">
        <color auto="1"/>
      </top>
      <bottom style="medium">
        <color auto="1"/>
      </bottom>
      <diagonal/>
    </border>
    <border>
      <left/>
      <right/>
      <top style="thick">
        <color theme="0"/>
      </top>
      <bottom/>
      <diagonal/>
    </border>
    <border>
      <left/>
      <right/>
      <top/>
      <bottom style="hair">
        <color auto="1"/>
      </bottom>
      <diagonal/>
    </border>
    <border>
      <left/>
      <right style="thick">
        <color theme="0"/>
      </right>
      <top/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ck">
        <color theme="0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rgb="FF002060"/>
      </bottom>
      <diagonal/>
    </border>
    <border>
      <left/>
      <right/>
      <top style="hair">
        <color auto="1"/>
      </top>
      <bottom style="thin">
        <color rgb="FF00206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4" fillId="0" borderId="3" xfId="0" applyFont="1" applyFill="1" applyBorder="1"/>
    <xf numFmtId="0" fontId="3" fillId="0" borderId="3" xfId="0" applyFont="1" applyFill="1" applyBorder="1"/>
    <xf numFmtId="0" fontId="5" fillId="0" borderId="0" xfId="0" applyFont="1"/>
    <xf numFmtId="0" fontId="6" fillId="0" borderId="0" xfId="0" applyFont="1"/>
    <xf numFmtId="0" fontId="8" fillId="0" borderId="1" xfId="0" applyFont="1" applyBorder="1" applyAlignment="1"/>
    <xf numFmtId="0" fontId="5" fillId="0" borderId="3" xfId="0" applyFont="1" applyFill="1" applyBorder="1"/>
    <xf numFmtId="0" fontId="10" fillId="0" borderId="0" xfId="0" applyFont="1"/>
    <xf numFmtId="164" fontId="6" fillId="0" borderId="0" xfId="0" applyNumberFormat="1" applyFont="1" applyAlignment="1">
      <alignment horizontal="right"/>
    </xf>
    <xf numFmtId="166" fontId="6" fillId="0" borderId="0" xfId="0" applyNumberFormat="1" applyFont="1"/>
    <xf numFmtId="0" fontId="11" fillId="4" borderId="5" xfId="0" applyFont="1" applyFill="1" applyBorder="1"/>
    <xf numFmtId="0" fontId="5" fillId="4" borderId="4" xfId="0" applyFont="1" applyFill="1" applyBorder="1"/>
    <xf numFmtId="10" fontId="5" fillId="4" borderId="4" xfId="1" applyNumberFormat="1" applyFont="1" applyFill="1" applyBorder="1"/>
    <xf numFmtId="166" fontId="5" fillId="4" borderId="4" xfId="0" applyNumberFormat="1" applyFont="1" applyFill="1" applyBorder="1"/>
    <xf numFmtId="0" fontId="6" fillId="0" borderId="6" xfId="0" applyFont="1" applyBorder="1"/>
    <xf numFmtId="0" fontId="9" fillId="0" borderId="6" xfId="0" applyFont="1" applyBorder="1"/>
    <xf numFmtId="10" fontId="9" fillId="0" borderId="6" xfId="0" applyNumberFormat="1" applyFont="1" applyBorder="1"/>
    <xf numFmtId="0" fontId="6" fillId="0" borderId="7" xfId="0" applyFont="1" applyBorder="1"/>
    <xf numFmtId="0" fontId="6" fillId="0" borderId="8" xfId="0" applyFont="1" applyBorder="1"/>
    <xf numFmtId="0" fontId="5" fillId="4" borderId="9" xfId="0" applyFont="1" applyFill="1" applyBorder="1"/>
    <xf numFmtId="0" fontId="6" fillId="0" borderId="10" xfId="0" applyFont="1" applyBorder="1"/>
    <xf numFmtId="166" fontId="6" fillId="0" borderId="6" xfId="0" applyNumberFormat="1" applyFont="1" applyBorder="1"/>
    <xf numFmtId="0" fontId="6" fillId="0" borderId="11" xfId="0" applyFont="1" applyBorder="1"/>
    <xf numFmtId="0" fontId="6" fillId="0" borderId="12" xfId="0" applyFont="1" applyBorder="1"/>
    <xf numFmtId="164" fontId="6" fillId="0" borderId="11" xfId="0" applyNumberFormat="1" applyFont="1" applyBorder="1" applyAlignment="1">
      <alignment horizontal="right"/>
    </xf>
    <xf numFmtId="0" fontId="6" fillId="0" borderId="13" xfId="0" applyFont="1" applyBorder="1"/>
    <xf numFmtId="0" fontId="6" fillId="0" borderId="14" xfId="0" applyFont="1" applyBorder="1"/>
    <xf numFmtId="166" fontId="6" fillId="0" borderId="13" xfId="0" applyNumberFormat="1" applyFont="1" applyBorder="1"/>
    <xf numFmtId="164" fontId="6" fillId="0" borderId="13" xfId="0" applyNumberFormat="1" applyFont="1" applyBorder="1" applyAlignment="1">
      <alignment horizontal="right"/>
    </xf>
    <xf numFmtId="164" fontId="9" fillId="0" borderId="11" xfId="0" applyNumberFormat="1" applyFont="1" applyBorder="1" applyAlignment="1">
      <alignment horizontal="right"/>
    </xf>
    <xf numFmtId="0" fontId="5" fillId="0" borderId="15" xfId="0" applyFont="1" applyFill="1" applyBorder="1"/>
    <xf numFmtId="0" fontId="6" fillId="0" borderId="15" xfId="0" applyFont="1" applyBorder="1"/>
    <xf numFmtId="10" fontId="9" fillId="0" borderId="11" xfId="0" applyNumberFormat="1" applyFont="1" applyBorder="1"/>
    <xf numFmtId="0" fontId="8" fillId="2" borderId="2" xfId="0" applyFont="1" applyFill="1" applyBorder="1" applyAlignment="1">
      <alignment horizontal="center"/>
    </xf>
    <xf numFmtId="0" fontId="6" fillId="0" borderId="16" xfId="0" applyFont="1" applyBorder="1"/>
    <xf numFmtId="0" fontId="6" fillId="0" borderId="1" xfId="0" applyFont="1" applyBorder="1"/>
    <xf numFmtId="0" fontId="6" fillId="0" borderId="17" xfId="0" applyFont="1" applyBorder="1"/>
    <xf numFmtId="0" fontId="7" fillId="3" borderId="0" xfId="2" applyFont="1" applyFill="1" applyBorder="1" applyAlignment="1">
      <alignment horizontal="center" vertical="center"/>
    </xf>
    <xf numFmtId="167" fontId="6" fillId="0" borderId="6" xfId="0" applyNumberFormat="1" applyFont="1" applyBorder="1"/>
    <xf numFmtId="167" fontId="6" fillId="0" borderId="0" xfId="0" applyNumberFormat="1" applyFont="1"/>
    <xf numFmtId="167" fontId="5" fillId="4" borderId="4" xfId="0" applyNumberFormat="1" applyFont="1" applyFill="1" applyBorder="1"/>
  </cellXfs>
  <cellStyles count="3">
    <cellStyle name="Normal" xfId="0" builtinId="0"/>
    <cellStyle name="Percent" xfId="1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BO Modelling"/>
      <sheetName val="Sheet1"/>
    </sheetNames>
    <sheetDataSet>
      <sheetData sheetId="0">
        <row r="11">
          <cell r="O11">
            <v>12470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2:J49"/>
  <sheetViews>
    <sheetView showGridLines="0" tabSelected="1" topLeftCell="A10" zoomScale="85" zoomScaleNormal="85" workbookViewId="0">
      <selection activeCell="G18" sqref="G18"/>
    </sheetView>
  </sheetViews>
  <sheetFormatPr defaultRowHeight="14.25"/>
  <cols>
    <col min="1" max="1" width="1.85546875" style="4" customWidth="1"/>
    <col min="2" max="3" width="9.140625" style="4"/>
    <col min="4" max="4" width="18.7109375" style="4" customWidth="1"/>
    <col min="5" max="5" width="14.42578125" style="4" customWidth="1"/>
    <col min="6" max="6" width="4.28515625" style="4" customWidth="1"/>
    <col min="7" max="7" width="13" style="4" customWidth="1"/>
    <col min="8" max="8" width="9.140625" style="4"/>
    <col min="9" max="9" width="22.140625" style="4" customWidth="1"/>
    <col min="10" max="10" width="9.7109375" style="4" bestFit="1" customWidth="1"/>
    <col min="11" max="16384" width="9.140625" style="4"/>
  </cols>
  <sheetData>
    <row r="2" spans="1:10" ht="36" customHeight="1">
      <c r="B2" s="37" t="s">
        <v>16</v>
      </c>
      <c r="C2" s="37"/>
      <c r="D2" s="37"/>
      <c r="E2" s="37"/>
      <c r="F2" s="37"/>
      <c r="G2" s="37"/>
      <c r="H2" s="37"/>
      <c r="I2" s="37"/>
      <c r="J2" s="37"/>
    </row>
    <row r="4" spans="1:10" ht="18.75" thickBot="1">
      <c r="B4" s="33" t="s">
        <v>0</v>
      </c>
      <c r="C4" s="33"/>
      <c r="D4" s="33"/>
      <c r="E4" s="33"/>
      <c r="F4" s="33"/>
      <c r="G4" s="33"/>
      <c r="H4" s="33"/>
      <c r="I4" s="33"/>
      <c r="J4" s="33"/>
    </row>
    <row r="6" spans="1:10" ht="18">
      <c r="B6" s="5" t="s">
        <v>1</v>
      </c>
      <c r="C6" s="5"/>
      <c r="D6" s="5"/>
      <c r="E6" s="5"/>
      <c r="F6" s="5"/>
      <c r="G6" s="5"/>
      <c r="H6" s="5"/>
      <c r="I6" s="5"/>
      <c r="J6" s="5"/>
    </row>
    <row r="7" spans="1:10" ht="11.25" customHeight="1"/>
    <row r="8" spans="1:10" ht="17.25" customHeight="1">
      <c r="B8" s="6" t="s">
        <v>2</v>
      </c>
      <c r="C8" s="6"/>
      <c r="D8" s="6"/>
      <c r="E8" s="6"/>
      <c r="G8" s="6" t="s">
        <v>8</v>
      </c>
      <c r="H8" s="6"/>
      <c r="I8" s="6"/>
      <c r="J8" s="6"/>
    </row>
    <row r="9" spans="1:10" ht="3.75" customHeight="1">
      <c r="B9" s="30"/>
      <c r="C9" s="31"/>
      <c r="D9" s="31"/>
      <c r="E9" s="31"/>
      <c r="G9" s="31"/>
      <c r="H9" s="31"/>
      <c r="I9" s="31"/>
      <c r="J9" s="31"/>
    </row>
    <row r="10" spans="1:10">
      <c r="B10" s="22" t="s">
        <v>4</v>
      </c>
      <c r="C10" s="22"/>
      <c r="D10" s="23"/>
      <c r="E10" s="29">
        <v>40</v>
      </c>
      <c r="G10" s="22" t="s">
        <v>4</v>
      </c>
      <c r="H10" s="22"/>
      <c r="I10" s="23"/>
      <c r="J10" s="29">
        <v>20</v>
      </c>
    </row>
    <row r="11" spans="1:10">
      <c r="B11" s="14" t="s">
        <v>3</v>
      </c>
      <c r="C11" s="14"/>
      <c r="D11" s="17"/>
      <c r="E11" s="15">
        <v>100</v>
      </c>
      <c r="G11" s="14" t="s">
        <v>3</v>
      </c>
      <c r="H11" s="14"/>
      <c r="I11" s="17"/>
      <c r="J11" s="15">
        <v>40</v>
      </c>
    </row>
    <row r="12" spans="1:10">
      <c r="B12" s="14" t="s">
        <v>7</v>
      </c>
      <c r="C12" s="14"/>
      <c r="D12" s="17"/>
      <c r="E12" s="15">
        <v>500</v>
      </c>
      <c r="G12" s="14" t="s">
        <v>7</v>
      </c>
      <c r="H12" s="14"/>
      <c r="I12" s="17"/>
      <c r="J12" s="15">
        <v>100</v>
      </c>
    </row>
    <row r="13" spans="1:10">
      <c r="B13" s="14" t="s">
        <v>5</v>
      </c>
      <c r="C13" s="14"/>
      <c r="D13" s="17"/>
      <c r="E13" s="16">
        <v>0.25</v>
      </c>
      <c r="G13" s="14" t="s">
        <v>5</v>
      </c>
      <c r="H13" s="14"/>
      <c r="I13" s="17"/>
      <c r="J13" s="16">
        <v>0.25</v>
      </c>
    </row>
    <row r="14" spans="1:10">
      <c r="B14" s="14" t="s">
        <v>6</v>
      </c>
      <c r="C14" s="14"/>
      <c r="D14" s="17"/>
      <c r="E14" s="16">
        <v>0.05</v>
      </c>
      <c r="I14" s="18"/>
    </row>
    <row r="15" spans="1:10">
      <c r="D15" s="18"/>
    </row>
    <row r="16" spans="1:10" s="7" customFormat="1" ht="18">
      <c r="A16" s="4"/>
      <c r="B16" s="1" t="s">
        <v>9</v>
      </c>
      <c r="C16" s="2"/>
      <c r="D16" s="2"/>
      <c r="E16" s="2"/>
    </row>
    <row r="17" spans="2:10" ht="3" customHeight="1"/>
    <row r="18" spans="2:10">
      <c r="B18" s="22" t="s">
        <v>10</v>
      </c>
      <c r="C18" s="22"/>
      <c r="D18" s="23"/>
      <c r="E18" s="32">
        <v>0.3</v>
      </c>
    </row>
    <row r="19" spans="2:10">
      <c r="B19" s="14" t="s">
        <v>11</v>
      </c>
      <c r="C19" s="14"/>
      <c r="D19" s="17"/>
      <c r="E19" s="16">
        <v>0.2</v>
      </c>
    </row>
    <row r="20" spans="2:10">
      <c r="B20" s="14" t="s">
        <v>12</v>
      </c>
      <c r="C20" s="14"/>
      <c r="D20" s="17"/>
      <c r="E20" s="16">
        <v>0.5</v>
      </c>
    </row>
    <row r="21" spans="2:10">
      <c r="B21" s="14" t="s">
        <v>13</v>
      </c>
      <c r="C21" s="14"/>
      <c r="D21" s="17"/>
      <c r="E21" s="16">
        <v>0.3</v>
      </c>
    </row>
    <row r="22" spans="2:10">
      <c r="B22" s="14" t="s">
        <v>14</v>
      </c>
      <c r="C22" s="14"/>
      <c r="D22" s="17"/>
      <c r="E22" s="15">
        <v>50</v>
      </c>
    </row>
    <row r="23" spans="2:10">
      <c r="B23" s="14" t="s">
        <v>15</v>
      </c>
      <c r="C23" s="14"/>
      <c r="D23" s="17"/>
      <c r="E23" s="15">
        <v>5</v>
      </c>
    </row>
    <row r="24" spans="2:10">
      <c r="D24" s="35"/>
      <c r="E24" s="36"/>
    </row>
    <row r="25" spans="2:10" ht="18.75" thickBot="1">
      <c r="B25" s="33" t="s">
        <v>37</v>
      </c>
      <c r="C25" s="33"/>
      <c r="D25" s="33"/>
      <c r="E25" s="33"/>
      <c r="F25" s="33"/>
      <c r="G25" s="33"/>
      <c r="H25" s="33"/>
      <c r="I25" s="33"/>
      <c r="J25" s="33"/>
    </row>
    <row r="27" spans="2:10" ht="18">
      <c r="B27" s="1" t="s">
        <v>17</v>
      </c>
      <c r="C27" s="2"/>
      <c r="D27" s="2"/>
      <c r="E27" s="2"/>
      <c r="G27" s="1" t="s">
        <v>34</v>
      </c>
      <c r="H27" s="2"/>
      <c r="I27" s="2"/>
      <c r="J27" s="2"/>
    </row>
    <row r="28" spans="2:10" ht="5.25" customHeight="1"/>
    <row r="29" spans="2:10">
      <c r="B29" s="22" t="s">
        <v>18</v>
      </c>
      <c r="C29" s="22"/>
      <c r="D29" s="23"/>
      <c r="E29" s="24">
        <f>J10*(1+Target_Permium)</f>
        <v>26</v>
      </c>
      <c r="G29" s="4" t="s">
        <v>24</v>
      </c>
      <c r="I29" s="18"/>
      <c r="J29" s="9">
        <f>E12</f>
        <v>500</v>
      </c>
    </row>
    <row r="30" spans="2:10">
      <c r="B30" s="14" t="s">
        <v>20</v>
      </c>
      <c r="C30" s="14"/>
      <c r="D30" s="17"/>
      <c r="E30" s="38">
        <f>J11*E29</f>
        <v>1040</v>
      </c>
      <c r="G30" s="14" t="s">
        <v>25</v>
      </c>
      <c r="H30" s="14"/>
      <c r="I30" s="17"/>
      <c r="J30" s="21">
        <f>J12</f>
        <v>100</v>
      </c>
    </row>
    <row r="31" spans="2:10">
      <c r="B31" s="14" t="s">
        <v>19</v>
      </c>
      <c r="C31" s="14"/>
      <c r="D31" s="17"/>
      <c r="E31" s="38">
        <f>E30*E19</f>
        <v>208</v>
      </c>
      <c r="G31" s="14" t="s">
        <v>26</v>
      </c>
      <c r="H31" s="14"/>
      <c r="I31" s="17"/>
      <c r="J31" s="21">
        <f>Pre_Tax_Synergies*(1-Tax_Rate)</f>
        <v>37.5</v>
      </c>
    </row>
    <row r="32" spans="2:10">
      <c r="B32" s="14" t="s">
        <v>21</v>
      </c>
      <c r="C32" s="14"/>
      <c r="D32" s="17"/>
      <c r="E32" s="38">
        <f>E30*E20</f>
        <v>520</v>
      </c>
      <c r="G32" s="14" t="s">
        <v>27</v>
      </c>
      <c r="H32" s="14"/>
      <c r="I32" s="17"/>
      <c r="J32" s="21">
        <f>-E33*COD*(1-Tax_Rate)</f>
        <v>-11.700000000000001</v>
      </c>
    </row>
    <row r="33" spans="1:10">
      <c r="B33" s="4" t="s">
        <v>22</v>
      </c>
      <c r="D33" s="18"/>
      <c r="E33" s="39">
        <f>E30*E21</f>
        <v>312</v>
      </c>
      <c r="I33" s="18"/>
    </row>
    <row r="34" spans="1:10" ht="17.25" customHeight="1" thickBot="1">
      <c r="B34" s="11" t="s">
        <v>23</v>
      </c>
      <c r="C34" s="11"/>
      <c r="D34" s="19"/>
      <c r="E34" s="40">
        <f>SUM(E31:E33)</f>
        <v>1040</v>
      </c>
      <c r="G34" s="11" t="s">
        <v>28</v>
      </c>
      <c r="H34" s="11"/>
      <c r="I34" s="19"/>
      <c r="J34" s="13">
        <f>SUM(J29:J32)-E23</f>
        <v>620.79999999999995</v>
      </c>
    </row>
    <row r="35" spans="1:10" ht="15" customHeight="1">
      <c r="D35" s="18"/>
      <c r="I35" s="18"/>
    </row>
    <row r="36" spans="1:10" ht="22.5" customHeight="1">
      <c r="B36" s="1" t="s">
        <v>33</v>
      </c>
      <c r="C36" s="2"/>
      <c r="D36" s="2"/>
      <c r="E36" s="2"/>
    </row>
    <row r="37" spans="1:10" ht="5.25" customHeight="1"/>
    <row r="38" spans="1:10" ht="15.75" customHeight="1">
      <c r="B38" s="4" t="s">
        <v>29</v>
      </c>
      <c r="D38" s="18"/>
      <c r="E38" s="9">
        <f>E11</f>
        <v>100</v>
      </c>
    </row>
    <row r="39" spans="1:10">
      <c r="B39" s="25" t="s">
        <v>30</v>
      </c>
      <c r="C39" s="25"/>
      <c r="D39" s="26"/>
      <c r="E39" s="27">
        <f>E32/E10</f>
        <v>13</v>
      </c>
    </row>
    <row r="40" spans="1:10" ht="15.75" thickBot="1">
      <c r="B40" s="11" t="s">
        <v>31</v>
      </c>
      <c r="C40" s="11"/>
      <c r="D40" s="19"/>
      <c r="E40" s="13">
        <f>SUM(E38:E39)</f>
        <v>113</v>
      </c>
    </row>
    <row r="41" spans="1:10" ht="15">
      <c r="A41" s="3"/>
      <c r="D41" s="34"/>
    </row>
    <row r="42" spans="1:10" ht="18.75" thickBot="1">
      <c r="B42" s="33" t="s">
        <v>38</v>
      </c>
      <c r="C42" s="33"/>
      <c r="D42" s="33"/>
      <c r="E42" s="33"/>
      <c r="F42" s="33"/>
      <c r="G42" s="33"/>
      <c r="H42" s="33"/>
      <c r="I42" s="33"/>
      <c r="J42" s="33"/>
    </row>
    <row r="44" spans="1:10">
      <c r="B44" s="4" t="s">
        <v>32</v>
      </c>
      <c r="D44" s="18"/>
      <c r="E44" s="8">
        <f>E12/E11</f>
        <v>5</v>
      </c>
    </row>
    <row r="45" spans="1:10">
      <c r="B45" s="25" t="s">
        <v>35</v>
      </c>
      <c r="C45" s="25"/>
      <c r="D45" s="26"/>
      <c r="E45" s="28">
        <f>J34/E40</f>
        <v>5.4938053097345128</v>
      </c>
    </row>
    <row r="46" spans="1:10" ht="16.5" thickBot="1">
      <c r="B46" s="10" t="s">
        <v>36</v>
      </c>
      <c r="C46" s="11"/>
      <c r="D46" s="19"/>
      <c r="E46" s="12">
        <f>E45/E44-1</f>
        <v>9.8761061946902595E-2</v>
      </c>
    </row>
    <row r="47" spans="1:10">
      <c r="D47" s="18"/>
    </row>
    <row r="48" spans="1:10" ht="15" thickBot="1"/>
    <row r="49" spans="5:5" ht="15" thickTop="1">
      <c r="E49" s="20"/>
    </row>
  </sheetData>
  <mergeCells count="4">
    <mergeCell ref="B25:J25"/>
    <mergeCell ref="B4:J4"/>
    <mergeCell ref="B2:J2"/>
    <mergeCell ref="B42:J4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scale="9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M&amp;A Model</vt:lpstr>
      <vt:lpstr>COD</vt:lpstr>
      <vt:lpstr>Pre_Tax_Synergies</vt:lpstr>
      <vt:lpstr>Target_Permium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</dc:creator>
  <cp:lastModifiedBy>Atharv</cp:lastModifiedBy>
  <cp:lastPrinted>2026-02-25T23:46:14Z</cp:lastPrinted>
  <dcterms:created xsi:type="dcterms:W3CDTF">2026-02-24T06:03:23Z</dcterms:created>
  <dcterms:modified xsi:type="dcterms:W3CDTF">2026-03-30T08:51:40Z</dcterms:modified>
</cp:coreProperties>
</file>