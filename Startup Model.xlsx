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me\Downloads\Projects\Finance Projects\"/>
    </mc:Choice>
  </mc:AlternateContent>
  <bookViews>
    <workbookView xWindow="0" yWindow="0" windowWidth="20490" windowHeight="7620"/>
  </bookViews>
  <sheets>
    <sheet name="Startup Model" sheetId="1" r:id="rId1"/>
  </sheets>
  <definedNames>
    <definedName name="Average_price_per_unit">'Startup Model'!$D$9</definedName>
    <definedName name="Change_WC">'Startup Model'!$D$18</definedName>
    <definedName name="Churn_rate">'Startup Model'!$D$12</definedName>
    <definedName name="COGS">'Startup Model'!$D$13</definedName>
    <definedName name="Custemer_Growth_rate">'Startup Model'!$D$11</definedName>
    <definedName name="Deperication">'Startup Model'!$D$17</definedName>
    <definedName name="Discount_rate">'Startup Model'!$D$7</definedName>
    <definedName name="Fixed_Ex">'Startup Model'!$D$14</definedName>
    <definedName name="Initial_Capex">'Startup Model'!$D$16</definedName>
    <definedName name="Tax_rate">'Startup Model'!$D$19</definedName>
    <definedName name="Terminal_growth_rate">'Startup Model'!$D$8</definedName>
    <definedName name="Variable_Ex">'Startup Model'!$D$15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1" i="1" l="1"/>
  <c r="D52" i="1" s="1"/>
  <c r="D54" i="1" s="1"/>
  <c r="D56" i="1" s="1"/>
  <c r="E46" i="1"/>
  <c r="E55" i="1" s="1"/>
  <c r="F38" i="1"/>
  <c r="F49" i="1" s="1"/>
  <c r="G38" i="1"/>
  <c r="G49" i="1" s="1"/>
  <c r="H38" i="1"/>
  <c r="H49" i="1" s="1"/>
  <c r="I38" i="1"/>
  <c r="I49" i="1" s="1"/>
  <c r="E38" i="1"/>
  <c r="E49" i="1" s="1"/>
  <c r="F46" i="1" l="1"/>
  <c r="G46" i="1" l="1"/>
  <c r="F55" i="1"/>
  <c r="H46" i="1" l="1"/>
  <c r="G55" i="1"/>
  <c r="I46" i="1" l="1"/>
  <c r="I55" i="1" s="1"/>
  <c r="H55" i="1"/>
  <c r="E31" i="1" l="1"/>
  <c r="F31" i="1" s="1"/>
  <c r="G31" i="1" s="1"/>
  <c r="H31" i="1" s="1"/>
  <c r="I31" i="1" s="1"/>
  <c r="F27" i="1"/>
  <c r="G27" i="1"/>
  <c r="H27" i="1"/>
  <c r="I27" i="1"/>
  <c r="E27" i="1"/>
  <c r="E24" i="1"/>
  <c r="E26" i="1" s="1"/>
  <c r="F24" i="1" s="1"/>
  <c r="E22" i="1"/>
  <c r="F22" i="1" s="1"/>
  <c r="G22" i="1" s="1"/>
  <c r="H22" i="1" s="1"/>
  <c r="I22" i="1" s="1"/>
  <c r="E33" i="1" l="1"/>
  <c r="E50" i="1" s="1"/>
  <c r="F25" i="1"/>
  <c r="F26" i="1"/>
  <c r="E25" i="1"/>
  <c r="G24" i="1" l="1"/>
  <c r="G25" i="1" s="1"/>
  <c r="F33" i="1"/>
  <c r="F50" i="1" s="1"/>
  <c r="E36" i="1"/>
  <c r="E28" i="1"/>
  <c r="E29" i="1" s="1"/>
  <c r="E34" i="1"/>
  <c r="E35" i="1" s="1"/>
  <c r="E37" i="1" s="1"/>
  <c r="E39" i="1" s="1"/>
  <c r="E41" i="1" s="1"/>
  <c r="G26" i="1" l="1"/>
  <c r="G33" i="1" s="1"/>
  <c r="G50" i="1" s="1"/>
  <c r="E42" i="1"/>
  <c r="E43" i="1" s="1"/>
  <c r="E48" i="1" s="1"/>
  <c r="E52" i="1" s="1"/>
  <c r="E54" i="1" s="1"/>
  <c r="E56" i="1" s="1"/>
  <c r="H24" i="1"/>
  <c r="H25" i="1" s="1"/>
  <c r="F36" i="1"/>
  <c r="F28" i="1"/>
  <c r="F29" i="1" s="1"/>
  <c r="F34" i="1"/>
  <c r="F35" i="1" s="1"/>
  <c r="F37" i="1" s="1"/>
  <c r="F39" i="1" s="1"/>
  <c r="F41" i="1" s="1"/>
  <c r="H26" i="1" l="1"/>
  <c r="H33" i="1" s="1"/>
  <c r="H50" i="1" s="1"/>
  <c r="F42" i="1"/>
  <c r="F43" i="1" s="1"/>
  <c r="F48" i="1" s="1"/>
  <c r="F52" i="1" s="1"/>
  <c r="F54" i="1" s="1"/>
  <c r="F56" i="1" s="1"/>
  <c r="I24" i="1"/>
  <c r="I25" i="1" s="1"/>
  <c r="G36" i="1"/>
  <c r="G28" i="1"/>
  <c r="G29" i="1" s="1"/>
  <c r="G34" i="1"/>
  <c r="G35" i="1" s="1"/>
  <c r="G37" i="1" s="1"/>
  <c r="G39" i="1" s="1"/>
  <c r="G41" i="1" s="1"/>
  <c r="I26" i="1" l="1"/>
  <c r="I33" i="1" s="1"/>
  <c r="I50" i="1" s="1"/>
  <c r="H36" i="1"/>
  <c r="H28" i="1"/>
  <c r="H29" i="1" s="1"/>
  <c r="H34" i="1"/>
  <c r="H35" i="1" s="1"/>
  <c r="H37" i="1" s="1"/>
  <c r="H39" i="1" s="1"/>
  <c r="H41" i="1" s="1"/>
  <c r="I28" i="1"/>
  <c r="I29" i="1" s="1"/>
  <c r="G42" i="1"/>
  <c r="G43" i="1" s="1"/>
  <c r="G48" i="1" s="1"/>
  <c r="G52" i="1" s="1"/>
  <c r="G54" i="1" s="1"/>
  <c r="G56" i="1" s="1"/>
  <c r="I34" i="1" l="1"/>
  <c r="I35" i="1" s="1"/>
  <c r="I36" i="1"/>
  <c r="H42" i="1"/>
  <c r="H43" i="1" s="1"/>
  <c r="H48" i="1" s="1"/>
  <c r="H52" i="1" s="1"/>
  <c r="H54" i="1" s="1"/>
  <c r="H56" i="1" s="1"/>
  <c r="I37" i="1" l="1"/>
  <c r="I39" i="1" s="1"/>
  <c r="I41" i="1" s="1"/>
  <c r="I48" i="1" l="1"/>
  <c r="I52" i="1" s="1"/>
  <c r="I53" i="1" s="1"/>
  <c r="I54" i="1" s="1"/>
  <c r="I56" i="1" s="1"/>
  <c r="D58" i="1" s="1"/>
  <c r="D59" i="1" s="1"/>
  <c r="I42" i="1"/>
  <c r="I43" i="1" s="1"/>
</calcChain>
</file>

<file path=xl/sharedStrings.xml><?xml version="1.0" encoding="utf-8"?>
<sst xmlns="http://schemas.openxmlformats.org/spreadsheetml/2006/main" count="62" uniqueCount="57">
  <si>
    <t>Startup Model</t>
  </si>
  <si>
    <t>Key Assumptions</t>
  </si>
  <si>
    <t>Forecast Horizon</t>
  </si>
  <si>
    <t>Number of Years to Forecast</t>
  </si>
  <si>
    <t>Discount Rate</t>
  </si>
  <si>
    <t>Cost of Capital / Required Rate of Return</t>
  </si>
  <si>
    <t>Terminal Growth Rate</t>
  </si>
  <si>
    <t>Perpetual growth rate for Terminal Value</t>
  </si>
  <si>
    <t xml:space="preserve">Pricing </t>
  </si>
  <si>
    <t>Average Price per Unit/Subscription</t>
  </si>
  <si>
    <t>Customer Acquisition</t>
  </si>
  <si>
    <t>Initial Custmer Base (Year 0)</t>
  </si>
  <si>
    <t>Monthly Custmer Growth Rate</t>
  </si>
  <si>
    <t>Customer Churn Rate</t>
  </si>
  <si>
    <t>Cost of Goods Sold (COGS)</t>
  </si>
  <si>
    <t>COGS as a % of Revenue</t>
  </si>
  <si>
    <t>#</t>
  </si>
  <si>
    <t>Operatio Expenses (OpsEX)</t>
  </si>
  <si>
    <t>Fixed OpEx (e.g., Rent, Salaries) - Monthly</t>
  </si>
  <si>
    <t>Variable OpEx (e.g., Marketing) as a % of Revenue</t>
  </si>
  <si>
    <t>Capital Expenditure (CapEx)</t>
  </si>
  <si>
    <t>Initial CapEx (Year 0)</t>
  </si>
  <si>
    <t>Annual Deperciation Rate</t>
  </si>
  <si>
    <t xml:space="preserve">Working Capital </t>
  </si>
  <si>
    <t>Change in Working Capital as a % of Revenue</t>
  </si>
  <si>
    <t>Tax Rate</t>
  </si>
  <si>
    <t>Corporate Tax Rate</t>
  </si>
  <si>
    <t>KEY METRICS &amp; FINANCIALS</t>
  </si>
  <si>
    <t>Active Customer (Start of the year 0)</t>
  </si>
  <si>
    <t xml:space="preserve">New Customer (Monthly Avg) </t>
  </si>
  <si>
    <t>Total Customer (End of the Year)</t>
  </si>
  <si>
    <t>Customer Life Time Value (CTV)</t>
  </si>
  <si>
    <t>Customer Acquistion Cost (CAC)</t>
  </si>
  <si>
    <t>LTC: CAC Ratio</t>
  </si>
  <si>
    <t>Year</t>
  </si>
  <si>
    <t>Reveune</t>
  </si>
  <si>
    <t>COGS</t>
  </si>
  <si>
    <t>Gorss Profit</t>
  </si>
  <si>
    <t>Operating Expenses</t>
  </si>
  <si>
    <t>EBITDA</t>
  </si>
  <si>
    <t>Depreciation &amp; Amortization (D&amp;A)</t>
  </si>
  <si>
    <t>EBIT</t>
  </si>
  <si>
    <t>Interest</t>
  </si>
  <si>
    <t>EBT</t>
  </si>
  <si>
    <t>Taxes</t>
  </si>
  <si>
    <t>Net Income</t>
  </si>
  <si>
    <t>Free Cash Flow</t>
  </si>
  <si>
    <t>Add: Depreciation &amp; Amortization (D&amp;A)</t>
  </si>
  <si>
    <t>Change in NWC</t>
  </si>
  <si>
    <t>CapEx</t>
  </si>
  <si>
    <t>Free Cash Flow to Firm (FCFF)</t>
  </si>
  <si>
    <t>Terminal Value</t>
  </si>
  <si>
    <t>Total Cash Flow</t>
  </si>
  <si>
    <t>Discount Factor</t>
  </si>
  <si>
    <t>Present Value of FCFF</t>
  </si>
  <si>
    <t>Value of the Firm</t>
  </si>
  <si>
    <t>EV/Revenue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</si>
</sst>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Year&quot;\ 0"/>
    <numFmt numFmtId="165" formatCode="0.00&quot;x&quot;"/>
    <numFmt numFmtId="166" formatCode="#,##0.00;\(#,##0.00\)"/>
    <numFmt numFmtId="167" formatCode="#,##0;\(#,##0\)"/>
  </numFmts>
  <fonts count="6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rgb="FF002060"/>
      <name val="Calibri"/>
      <family val="2"/>
    </font>
    <font>
      <b/>
      <sz val="16"/>
      <color theme="0"/>
      <name val="Calibri"/>
      <family val="2"/>
    </font>
    <font>
      <b/>
      <sz val="14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6795556505021"/>
        <bgColor indexed="64"/>
      </patternFill>
    </fill>
  </fills>
  <borders count="9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hair">
        <color rgb="FF002060"/>
      </top>
      <bottom style="hair">
        <color rgb="FF002060"/>
      </bottom>
      <diagonal/>
    </border>
    <border>
      <left/>
      <right/>
      <top style="hair">
        <color rgb="FF002060"/>
      </top>
      <bottom/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002060"/>
      </top>
      <bottom style="thin">
        <color rgb="FF00206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2" fontId="0" fillId="0" borderId="1" xfId="0" applyNumberFormat="1" applyBorder="1"/>
    <xf numFmtId="10" fontId="0" fillId="0" borderId="1" xfId="1" applyNumberFormat="1" applyFont="1" applyBorder="1"/>
    <xf numFmtId="2" fontId="0" fillId="0" borderId="1" xfId="0" applyNumberFormat="1" applyBorder="1" applyAlignment="1">
      <alignment horizontal="right"/>
    </xf>
    <xf numFmtId="10" fontId="0" fillId="0" borderId="1" xfId="0" applyNumberFormat="1" applyBorder="1"/>
    <xf numFmtId="3" fontId="0" fillId="0" borderId="1" xfId="0" applyNumberFormat="1" applyBorder="1"/>
    <xf numFmtId="1" fontId="0" fillId="0" borderId="0" xfId="0" applyNumberFormat="1"/>
    <xf numFmtId="167" fontId="0" fillId="0" borderId="0" xfId="0" applyNumberFormat="1" applyFont="1"/>
    <xf numFmtId="0" fontId="2" fillId="0" borderId="2" xfId="0" applyFont="1" applyBorder="1"/>
    <xf numFmtId="165" fontId="2" fillId="0" borderId="2" xfId="0" applyNumberFormat="1" applyFont="1" applyBorder="1"/>
    <xf numFmtId="0" fontId="0" fillId="3" borderId="0" xfId="0" applyFill="1"/>
    <xf numFmtId="167" fontId="0" fillId="0" borderId="0" xfId="0" applyNumberFormat="1" applyFont="1" applyBorder="1"/>
    <xf numFmtId="166" fontId="0" fillId="0" borderId="0" xfId="0" applyNumberFormat="1" applyFont="1" applyBorder="1"/>
    <xf numFmtId="0" fontId="4" fillId="2" borderId="0" xfId="0" applyFont="1" applyFill="1" applyAlignment="1">
      <alignment horizontal="center"/>
    </xf>
    <xf numFmtId="0" fontId="0" fillId="0" borderId="0" xfId="0" applyFill="1"/>
    <xf numFmtId="0" fontId="2" fillId="4" borderId="3" xfId="0" applyFont="1" applyFill="1" applyBorder="1"/>
    <xf numFmtId="164" fontId="2" fillId="4" borderId="3" xfId="0" applyNumberFormat="1" applyFont="1" applyFill="1" applyBorder="1"/>
    <xf numFmtId="0" fontId="2" fillId="0" borderId="4" xfId="0" applyFont="1" applyBorder="1"/>
    <xf numFmtId="167" fontId="2" fillId="0" borderId="4" xfId="0" applyNumberFormat="1" applyFont="1" applyBorder="1"/>
    <xf numFmtId="0" fontId="0" fillId="0" borderId="4" xfId="0" applyBorder="1"/>
    <xf numFmtId="167" fontId="0" fillId="0" borderId="4" xfId="0" applyNumberFormat="1" applyFont="1" applyBorder="1"/>
    <xf numFmtId="0" fontId="2" fillId="0" borderId="0" xfId="0" applyFont="1" applyBorder="1"/>
    <xf numFmtId="0" fontId="0" fillId="0" borderId="0" xfId="0" applyBorder="1"/>
    <xf numFmtId="0" fontId="0" fillId="0" borderId="5" xfId="0" applyBorder="1"/>
    <xf numFmtId="167" fontId="0" fillId="0" borderId="5" xfId="0" applyNumberFormat="1" applyFont="1" applyBorder="1"/>
    <xf numFmtId="167" fontId="2" fillId="0" borderId="0" xfId="0" applyNumberFormat="1" applyFont="1" applyBorder="1"/>
    <xf numFmtId="0" fontId="2" fillId="0" borderId="6" xfId="0" applyFont="1" applyBorder="1"/>
    <xf numFmtId="167" fontId="2" fillId="0" borderId="6" xfId="0" applyNumberFormat="1" applyFont="1" applyBorder="1"/>
    <xf numFmtId="0" fontId="5" fillId="2" borderId="7" xfId="0" applyFont="1" applyFill="1" applyBorder="1" applyAlignment="1">
      <alignment horizontal="center"/>
    </xf>
    <xf numFmtId="0" fontId="5" fillId="0" borderId="0" xfId="0" applyFont="1" applyFill="1" applyAlignment="1"/>
    <xf numFmtId="0" fontId="2" fillId="0" borderId="8" xfId="0" applyFont="1" applyBorder="1"/>
    <xf numFmtId="167" fontId="2" fillId="0" borderId="8" xfId="0" applyNumberFormat="1" applyFont="1" applyBorder="1"/>
    <xf numFmtId="166" fontId="2" fillId="0" borderId="8" xfId="0" applyNumberFormat="1" applyFont="1" applyBorder="1"/>
    <xf numFmtId="0" fontId="3" fillId="0" borderId="6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2:J62"/>
  <sheetViews>
    <sheetView showGridLines="0" tabSelected="1" topLeftCell="A44" workbookViewId="0">
      <selection activeCell="C66" sqref="C66"/>
    </sheetView>
  </sheetViews>
  <sheetFormatPr defaultRowHeight="15" outlineLevelRow="1" x14ac:dyDescent="0.25"/>
  <cols>
    <col min="1" max="1" width="1.85546875" customWidth="1"/>
    <col min="2" max="2" width="26.140625" bestFit="1" customWidth="1"/>
    <col min="3" max="3" width="44.5703125" customWidth="1"/>
    <col min="4" max="4" width="8.42578125" bestFit="1" customWidth="1"/>
    <col min="5" max="6" width="9.5703125" customWidth="1"/>
    <col min="7" max="8" width="8" customWidth="1"/>
    <col min="9" max="9" width="9.140625" customWidth="1"/>
  </cols>
  <sheetData>
    <row r="2" spans="1:9" ht="21" x14ac:dyDescent="0.35">
      <c r="B2" s="16" t="s">
        <v>0</v>
      </c>
      <c r="C2" s="16"/>
      <c r="D2" s="16"/>
      <c r="E2" s="16"/>
      <c r="F2" s="16"/>
      <c r="G2" s="16"/>
      <c r="H2" s="16"/>
      <c r="I2" s="16"/>
    </row>
    <row r="4" spans="1:9" ht="19.5" thickBot="1" x14ac:dyDescent="0.35">
      <c r="A4" t="s">
        <v>16</v>
      </c>
      <c r="B4" s="36" t="s">
        <v>1</v>
      </c>
      <c r="C4" s="36"/>
      <c r="D4" s="36"/>
    </row>
    <row r="5" spans="1:9" outlineLevel="1" x14ac:dyDescent="0.25"/>
    <row r="6" spans="1:9" outlineLevel="1" x14ac:dyDescent="0.25">
      <c r="B6" s="2" t="s">
        <v>2</v>
      </c>
      <c r="C6" s="3" t="s">
        <v>3</v>
      </c>
      <c r="D6" s="4">
        <v>5</v>
      </c>
    </row>
    <row r="7" spans="1:9" outlineLevel="1" x14ac:dyDescent="0.25">
      <c r="B7" s="2" t="s">
        <v>4</v>
      </c>
      <c r="C7" s="3" t="s">
        <v>5</v>
      </c>
      <c r="D7" s="5">
        <v>0.1</v>
      </c>
    </row>
    <row r="8" spans="1:9" outlineLevel="1" x14ac:dyDescent="0.25">
      <c r="B8" s="2" t="s">
        <v>6</v>
      </c>
      <c r="C8" s="3" t="s">
        <v>7</v>
      </c>
      <c r="D8" s="5">
        <v>0.03</v>
      </c>
    </row>
    <row r="9" spans="1:9" outlineLevel="1" x14ac:dyDescent="0.25">
      <c r="B9" s="2" t="s">
        <v>8</v>
      </c>
      <c r="C9" s="3" t="s">
        <v>9</v>
      </c>
      <c r="D9" s="6">
        <v>50</v>
      </c>
    </row>
    <row r="10" spans="1:9" outlineLevel="1" x14ac:dyDescent="0.25">
      <c r="B10" s="2" t="s">
        <v>10</v>
      </c>
      <c r="C10" s="3" t="s">
        <v>11</v>
      </c>
      <c r="D10" s="4">
        <v>100</v>
      </c>
    </row>
    <row r="11" spans="1:9" outlineLevel="1" x14ac:dyDescent="0.25">
      <c r="B11" s="2"/>
      <c r="C11" s="3" t="s">
        <v>12</v>
      </c>
      <c r="D11" s="5">
        <v>0.05</v>
      </c>
    </row>
    <row r="12" spans="1:9" outlineLevel="1" x14ac:dyDescent="0.25">
      <c r="B12" s="2"/>
      <c r="C12" s="3" t="s">
        <v>13</v>
      </c>
      <c r="D12" s="7">
        <v>0.01</v>
      </c>
    </row>
    <row r="13" spans="1:9" outlineLevel="1" x14ac:dyDescent="0.25">
      <c r="B13" s="2" t="s">
        <v>14</v>
      </c>
      <c r="C13" s="3" t="s">
        <v>15</v>
      </c>
      <c r="D13" s="7">
        <v>0.45</v>
      </c>
    </row>
    <row r="14" spans="1:9" outlineLevel="1" x14ac:dyDescent="0.25">
      <c r="B14" s="2" t="s">
        <v>17</v>
      </c>
      <c r="C14" s="3" t="s">
        <v>18</v>
      </c>
      <c r="D14" s="8">
        <v>12000</v>
      </c>
    </row>
    <row r="15" spans="1:9" outlineLevel="1" x14ac:dyDescent="0.25">
      <c r="B15" s="2"/>
      <c r="C15" s="3" t="s">
        <v>19</v>
      </c>
      <c r="D15" s="7">
        <v>0.2</v>
      </c>
    </row>
    <row r="16" spans="1:9" outlineLevel="1" x14ac:dyDescent="0.25">
      <c r="B16" s="2" t="s">
        <v>20</v>
      </c>
      <c r="C16" s="3" t="s">
        <v>21</v>
      </c>
      <c r="D16" s="8">
        <v>50000</v>
      </c>
    </row>
    <row r="17" spans="1:10" outlineLevel="1" x14ac:dyDescent="0.25">
      <c r="B17" s="2"/>
      <c r="C17" s="3" t="s">
        <v>22</v>
      </c>
      <c r="D17" s="7">
        <v>0.2</v>
      </c>
    </row>
    <row r="18" spans="1:10" outlineLevel="1" x14ac:dyDescent="0.25">
      <c r="B18" s="2" t="s">
        <v>23</v>
      </c>
      <c r="C18" s="3" t="s">
        <v>24</v>
      </c>
      <c r="D18" s="7">
        <v>0.02</v>
      </c>
    </row>
    <row r="19" spans="1:10" outlineLevel="1" x14ac:dyDescent="0.25">
      <c r="B19" s="2" t="s">
        <v>25</v>
      </c>
      <c r="C19" s="3" t="s">
        <v>26</v>
      </c>
      <c r="D19" s="7">
        <v>0.25</v>
      </c>
    </row>
    <row r="21" spans="1:10" ht="18.75" customHeight="1" x14ac:dyDescent="0.3">
      <c r="A21" s="17" t="s">
        <v>16</v>
      </c>
      <c r="C21" s="31" t="s">
        <v>27</v>
      </c>
      <c r="D21" s="31"/>
      <c r="E21" s="31"/>
      <c r="F21" s="31"/>
      <c r="G21" s="31"/>
      <c r="H21" s="31"/>
      <c r="I21" s="31"/>
      <c r="J21" s="32"/>
    </row>
    <row r="22" spans="1:10" outlineLevel="1" x14ac:dyDescent="0.25">
      <c r="B22" s="13"/>
      <c r="C22" s="18" t="s">
        <v>34</v>
      </c>
      <c r="D22" s="19">
        <v>0</v>
      </c>
      <c r="E22" s="19">
        <f>D22+1</f>
        <v>1</v>
      </c>
      <c r="F22" s="19">
        <f t="shared" ref="F22:I22" si="0">E22+1</f>
        <v>2</v>
      </c>
      <c r="G22" s="19">
        <f t="shared" si="0"/>
        <v>3</v>
      </c>
      <c r="H22" s="19">
        <f t="shared" si="0"/>
        <v>4</v>
      </c>
      <c r="I22" s="19">
        <f t="shared" si="0"/>
        <v>5</v>
      </c>
    </row>
    <row r="23" spans="1:10" ht="4.5" customHeight="1" outlineLevel="1" x14ac:dyDescent="0.25">
      <c r="B23" s="13"/>
    </row>
    <row r="24" spans="1:10" outlineLevel="1" x14ac:dyDescent="0.25">
      <c r="B24" s="13"/>
      <c r="C24" t="s">
        <v>28</v>
      </c>
      <c r="E24" s="9">
        <f>D10</f>
        <v>100</v>
      </c>
      <c r="F24" s="9">
        <f>E26</f>
        <v>160.10322185676819</v>
      </c>
      <c r="G24" s="9">
        <f t="shared" ref="G24:I24" si="1">F26</f>
        <v>256.33041648917532</v>
      </c>
      <c r="H24" s="9">
        <f t="shared" si="1"/>
        <v>410.39325539804224</v>
      </c>
      <c r="I24" s="9">
        <f t="shared" si="1"/>
        <v>657.05282417514081</v>
      </c>
      <c r="J24" s="9"/>
    </row>
    <row r="25" spans="1:10" outlineLevel="1" x14ac:dyDescent="0.25">
      <c r="B25" s="13"/>
      <c r="C25" t="s">
        <v>29</v>
      </c>
      <c r="E25">
        <f>E24*(Custemer_Growth_rate-Churn_rate)</f>
        <v>4</v>
      </c>
      <c r="F25" s="9">
        <f>F24*(Custemer_Growth_rate-Churn_rate)</f>
        <v>6.4041288742707279</v>
      </c>
      <c r="G25" s="9">
        <f>G24*(Custemer_Growth_rate-Churn_rate)</f>
        <v>10.253216659567013</v>
      </c>
      <c r="H25" s="9">
        <f>H24*(Custemer_Growth_rate-Churn_rate)</f>
        <v>16.415730215921691</v>
      </c>
      <c r="I25" s="9">
        <f>I24*(Custemer_Growth_rate-Churn_rate)</f>
        <v>26.282112967005634</v>
      </c>
      <c r="J25" s="9"/>
    </row>
    <row r="26" spans="1:10" outlineLevel="1" x14ac:dyDescent="0.25">
      <c r="B26" s="13"/>
      <c r="C26" t="s">
        <v>30</v>
      </c>
      <c r="E26" s="9">
        <f>E24*(1+Custemer_Growth_rate-Churn_rate)^12</f>
        <v>160.10322185676819</v>
      </c>
      <c r="F26" s="9">
        <f>F24*(1+Custemer_Growth_rate-Churn_rate)^12</f>
        <v>256.33041648917532</v>
      </c>
      <c r="G26" s="9">
        <f>G24*(1+Custemer_Growth_rate-Churn_rate)^12</f>
        <v>410.39325539804224</v>
      </c>
      <c r="H26" s="9">
        <f>H24*(1+Custemer_Growth_rate-Churn_rate)^12</f>
        <v>657.05282417514081</v>
      </c>
      <c r="I26" s="9">
        <f>I24*(1+Custemer_Growth_rate-Churn_rate)^12</f>
        <v>1051.9627408052866</v>
      </c>
      <c r="J26" s="9"/>
    </row>
    <row r="27" spans="1:10" outlineLevel="1" x14ac:dyDescent="0.25">
      <c r="B27" s="13"/>
      <c r="C27" t="s">
        <v>31</v>
      </c>
      <c r="E27">
        <f>IFERROR((Average_price_per_unit*(1-COGS))/Churn_rate,0)</f>
        <v>2750.0000000000005</v>
      </c>
      <c r="F27">
        <f>IFERROR((Average_price_per_unit*(1-COGS))/Churn_rate,0)</f>
        <v>2750.0000000000005</v>
      </c>
      <c r="G27">
        <f>IFERROR((Average_price_per_unit*(1-COGS))/Churn_rate,0)</f>
        <v>2750.0000000000005</v>
      </c>
      <c r="H27">
        <f>IFERROR((Average_price_per_unit*(1-COGS))/Churn_rate,0)</f>
        <v>2750.0000000000005</v>
      </c>
      <c r="I27">
        <f>IFERROR((Average_price_per_unit*(1-COGS))/Churn_rate,0)</f>
        <v>2750.0000000000005</v>
      </c>
    </row>
    <row r="28" spans="1:10" outlineLevel="1" x14ac:dyDescent="0.25">
      <c r="B28" s="13"/>
      <c r="C28" t="s">
        <v>32</v>
      </c>
      <c r="E28" s="9">
        <f>(E33*Variable_Ex)/(E26-E24)</f>
        <v>319.65651805816941</v>
      </c>
      <c r="F28" s="9">
        <f>(F33*Variable_Ex)/(F26-F24)</f>
        <v>319.65651805816947</v>
      </c>
      <c r="G28" s="9">
        <f>(G33*Variable_Ex)/(G26-G24)</f>
        <v>319.65651805816947</v>
      </c>
      <c r="H28" s="9">
        <f>(H33*Variable_Ex)/(H26-H24)</f>
        <v>319.65651805816952</v>
      </c>
      <c r="I28" s="9">
        <f>(I33*Variable_Ex)/(I26-I24)</f>
        <v>319.65651805816952</v>
      </c>
    </row>
    <row r="29" spans="1:10" ht="15.75" outlineLevel="1" thickBot="1" x14ac:dyDescent="0.3">
      <c r="B29" s="13"/>
      <c r="C29" s="11" t="s">
        <v>33</v>
      </c>
      <c r="D29" s="11"/>
      <c r="E29" s="12">
        <f>E27/E28</f>
        <v>8.6029842804568428</v>
      </c>
      <c r="F29" s="12">
        <f t="shared" ref="F29:I29" si="2">F27/F28</f>
        <v>8.602984280456841</v>
      </c>
      <c r="G29" s="12">
        <f t="shared" si="2"/>
        <v>8.602984280456841</v>
      </c>
      <c r="H29" s="12">
        <f t="shared" si="2"/>
        <v>8.6029842804568393</v>
      </c>
      <c r="I29" s="12">
        <f t="shared" si="2"/>
        <v>8.6029842804568393</v>
      </c>
    </row>
    <row r="30" spans="1:10" outlineLevel="1" x14ac:dyDescent="0.25">
      <c r="B30" s="13"/>
    </row>
    <row r="31" spans="1:10" outlineLevel="1" x14ac:dyDescent="0.25">
      <c r="B31" s="13"/>
      <c r="C31" s="18" t="s">
        <v>34</v>
      </c>
      <c r="D31" s="19">
        <v>0</v>
      </c>
      <c r="E31" s="19">
        <f>D31+1</f>
        <v>1</v>
      </c>
      <c r="F31" s="19">
        <f t="shared" ref="F31:I31" si="3">E31+1</f>
        <v>2</v>
      </c>
      <c r="G31" s="19">
        <f t="shared" si="3"/>
        <v>3</v>
      </c>
      <c r="H31" s="19">
        <f t="shared" si="3"/>
        <v>4</v>
      </c>
      <c r="I31" s="19">
        <f t="shared" si="3"/>
        <v>5</v>
      </c>
    </row>
    <row r="32" spans="1:10" ht="3.75" customHeight="1" outlineLevel="1" x14ac:dyDescent="0.25">
      <c r="B32" s="13"/>
    </row>
    <row r="33" spans="1:9" outlineLevel="1" x14ac:dyDescent="0.25">
      <c r="B33" s="13"/>
      <c r="C33" t="s">
        <v>35</v>
      </c>
      <c r="E33" s="10">
        <f>E26*Average_price_per_unit*12</f>
        <v>96061.933114060899</v>
      </c>
      <c r="F33" s="10">
        <f>F26*Average_price_per_unit*12</f>
        <v>153798.24989350518</v>
      </c>
      <c r="G33" s="10">
        <f>G26*Average_price_per_unit*12</f>
        <v>246235.95323882534</v>
      </c>
      <c r="H33" s="10">
        <f>H26*Average_price_per_unit*12</f>
        <v>394231.69450508454</v>
      </c>
      <c r="I33" s="10">
        <f>I26*Average_price_per_unit*12</f>
        <v>631177.64448317199</v>
      </c>
    </row>
    <row r="34" spans="1:9" outlineLevel="1" x14ac:dyDescent="0.25">
      <c r="B34" s="13"/>
      <c r="C34" t="s">
        <v>36</v>
      </c>
      <c r="E34" s="10">
        <f>E33*COGS</f>
        <v>43227.869901327409</v>
      </c>
      <c r="F34" s="10">
        <f>F33*COGS</f>
        <v>69209.212452077336</v>
      </c>
      <c r="G34" s="10">
        <f>G33*COGS</f>
        <v>110806.17895747141</v>
      </c>
      <c r="H34" s="10">
        <f>H33*COGS</f>
        <v>177404.26252728805</v>
      </c>
      <c r="I34" s="10">
        <f>I33*COGS</f>
        <v>284029.94001742738</v>
      </c>
    </row>
    <row r="35" spans="1:9" outlineLevel="1" x14ac:dyDescent="0.25">
      <c r="B35" s="13"/>
      <c r="C35" s="20" t="s">
        <v>37</v>
      </c>
      <c r="D35" s="20"/>
      <c r="E35" s="21">
        <f>E33-E34</f>
        <v>52834.06321273349</v>
      </c>
      <c r="F35" s="21">
        <f t="shared" ref="F35:I35" si="4">F33-F34</f>
        <v>84589.037441427849</v>
      </c>
      <c r="G35" s="21">
        <f t="shared" si="4"/>
        <v>135429.77428135392</v>
      </c>
      <c r="H35" s="21">
        <f t="shared" si="4"/>
        <v>216827.43197779648</v>
      </c>
      <c r="I35" s="21">
        <f t="shared" si="4"/>
        <v>347147.70446574461</v>
      </c>
    </row>
    <row r="36" spans="1:9" outlineLevel="1" x14ac:dyDescent="0.25">
      <c r="B36" s="13"/>
      <c r="C36" t="s">
        <v>38</v>
      </c>
      <c r="E36" s="10">
        <f>Fixed_Ex*12+(E33*Variable_Ex)</f>
        <v>163212.38662281219</v>
      </c>
      <c r="F36" s="10">
        <f>Fixed_Ex*12+(F33*Variable_Ex)</f>
        <v>174759.64997870103</v>
      </c>
      <c r="G36" s="10">
        <f>Fixed_Ex*12+(G33*Variable_Ex)</f>
        <v>193247.19064776506</v>
      </c>
      <c r="H36" s="10">
        <f>Fixed_Ex*12+(H33*Variable_Ex)</f>
        <v>222846.33890101692</v>
      </c>
      <c r="I36" s="10">
        <f>Fixed_Ex*12+(I33*Variable_Ex)</f>
        <v>270235.52889663441</v>
      </c>
    </row>
    <row r="37" spans="1:9" outlineLevel="1" x14ac:dyDescent="0.25">
      <c r="B37" s="13"/>
      <c r="C37" s="20" t="s">
        <v>39</v>
      </c>
      <c r="D37" s="20"/>
      <c r="E37" s="21">
        <f>E35-E36</f>
        <v>-110378.32341007871</v>
      </c>
      <c r="F37" s="21">
        <f t="shared" ref="F37:I37" si="5">F35-F36</f>
        <v>-90170.612537273177</v>
      </c>
      <c r="G37" s="21">
        <f t="shared" si="5"/>
        <v>-57817.41636641114</v>
      </c>
      <c r="H37" s="21">
        <f t="shared" si="5"/>
        <v>-6018.9069232204347</v>
      </c>
      <c r="I37" s="21">
        <f t="shared" si="5"/>
        <v>76912.175569110201</v>
      </c>
    </row>
    <row r="38" spans="1:9" outlineLevel="1" x14ac:dyDescent="0.25">
      <c r="B38" s="13"/>
      <c r="C38" s="22" t="s">
        <v>40</v>
      </c>
      <c r="D38" s="22"/>
      <c r="E38" s="23">
        <f>Initial_Capex*Deperication</f>
        <v>10000</v>
      </c>
      <c r="F38" s="23">
        <f>Initial_Capex*Deperication</f>
        <v>10000</v>
      </c>
      <c r="G38" s="23">
        <f>Initial_Capex*Deperication</f>
        <v>10000</v>
      </c>
      <c r="H38" s="23">
        <f>Initial_Capex*Deperication</f>
        <v>10000</v>
      </c>
      <c r="I38" s="23">
        <f>Initial_Capex*Deperication</f>
        <v>10000</v>
      </c>
    </row>
    <row r="39" spans="1:9" outlineLevel="1" x14ac:dyDescent="0.25">
      <c r="B39" s="13"/>
      <c r="C39" s="24" t="s">
        <v>41</v>
      </c>
      <c r="D39" s="25"/>
      <c r="E39" s="28">
        <f>E37-E38</f>
        <v>-120378.32341007871</v>
      </c>
      <c r="F39" s="28">
        <f t="shared" ref="F39:I39" si="6">F37-F38</f>
        <v>-100170.61253727318</v>
      </c>
      <c r="G39" s="28">
        <f t="shared" si="6"/>
        <v>-67817.41636641114</v>
      </c>
      <c r="H39" s="28">
        <f t="shared" si="6"/>
        <v>-16018.906923220435</v>
      </c>
      <c r="I39" s="28">
        <f t="shared" si="6"/>
        <v>66912.175569110201</v>
      </c>
    </row>
    <row r="40" spans="1:9" outlineLevel="1" x14ac:dyDescent="0.25">
      <c r="B40" s="13"/>
      <c r="C40" s="26" t="s">
        <v>42</v>
      </c>
      <c r="D40" s="26"/>
      <c r="E40" s="27">
        <v>0</v>
      </c>
      <c r="F40" s="27">
        <v>0</v>
      </c>
      <c r="G40" s="27">
        <v>0</v>
      </c>
      <c r="H40" s="27">
        <v>0</v>
      </c>
      <c r="I40" s="27">
        <v>0</v>
      </c>
    </row>
    <row r="41" spans="1:9" outlineLevel="1" x14ac:dyDescent="0.25">
      <c r="B41" s="13"/>
      <c r="C41" s="20" t="s">
        <v>43</v>
      </c>
      <c r="D41" s="22"/>
      <c r="E41" s="21">
        <f>E39-E40</f>
        <v>-120378.32341007871</v>
      </c>
      <c r="F41" s="21">
        <f t="shared" ref="F41:I41" si="7">F39-F40</f>
        <v>-100170.61253727318</v>
      </c>
      <c r="G41" s="21">
        <f t="shared" si="7"/>
        <v>-67817.41636641114</v>
      </c>
      <c r="H41" s="21">
        <f t="shared" si="7"/>
        <v>-16018.906923220435</v>
      </c>
      <c r="I41" s="21">
        <f t="shared" si="7"/>
        <v>66912.175569110201</v>
      </c>
    </row>
    <row r="42" spans="1:9" outlineLevel="1" x14ac:dyDescent="0.25">
      <c r="B42" s="13"/>
      <c r="C42" t="s">
        <v>44</v>
      </c>
      <c r="E42" s="10">
        <f>IF(E41&gt;0,E41*Tax_rate,0)</f>
        <v>0</v>
      </c>
      <c r="F42" s="10">
        <f>IF(F41&gt;0,F41*Tax_rate,0)</f>
        <v>0</v>
      </c>
      <c r="G42" s="10">
        <f>IF(G41&gt;0,G41*Tax_rate,0)</f>
        <v>0</v>
      </c>
      <c r="H42" s="10">
        <f>IF(H41&gt;0,H41*Tax_rate,0)</f>
        <v>0</v>
      </c>
      <c r="I42" s="10">
        <f>IF(I41&gt;0,I41*Tax_rate,0)</f>
        <v>16728.04389227755</v>
      </c>
    </row>
    <row r="43" spans="1:9" ht="15.75" outlineLevel="1" thickBot="1" x14ac:dyDescent="0.3">
      <c r="B43" s="13"/>
      <c r="C43" s="29" t="s">
        <v>45</v>
      </c>
      <c r="D43" s="29"/>
      <c r="E43" s="30">
        <f>E41-E42</f>
        <v>-120378.32341007871</v>
      </c>
      <c r="F43" s="30">
        <f t="shared" ref="F43:I43" si="8">F41-F42</f>
        <v>-100170.61253727318</v>
      </c>
      <c r="G43" s="30">
        <f t="shared" si="8"/>
        <v>-67817.41636641114</v>
      </c>
      <c r="H43" s="30">
        <f t="shared" si="8"/>
        <v>-16018.906923220435</v>
      </c>
      <c r="I43" s="30">
        <f t="shared" si="8"/>
        <v>50184.131676832651</v>
      </c>
    </row>
    <row r="44" spans="1:9" x14ac:dyDescent="0.25">
      <c r="B44" s="13"/>
    </row>
    <row r="45" spans="1:9" ht="18.75" x14ac:dyDescent="0.3">
      <c r="A45" t="s">
        <v>16</v>
      </c>
      <c r="B45" s="13"/>
      <c r="C45" s="31" t="s">
        <v>46</v>
      </c>
      <c r="D45" s="31"/>
      <c r="E45" s="31"/>
      <c r="F45" s="31"/>
      <c r="G45" s="31"/>
      <c r="H45" s="31"/>
      <c r="I45" s="31"/>
    </row>
    <row r="46" spans="1:9" outlineLevel="1" x14ac:dyDescent="0.25">
      <c r="B46" s="13"/>
      <c r="C46" s="18" t="s">
        <v>34</v>
      </c>
      <c r="D46" s="19">
        <v>0</v>
      </c>
      <c r="E46" s="19">
        <f>D46+1</f>
        <v>1</v>
      </c>
      <c r="F46" s="19">
        <f t="shared" ref="F46" si="9">E46+1</f>
        <v>2</v>
      </c>
      <c r="G46" s="19">
        <f t="shared" ref="G46" si="10">F46+1</f>
        <v>3</v>
      </c>
      <c r="H46" s="19">
        <f t="shared" ref="H46" si="11">G46+1</f>
        <v>4</v>
      </c>
      <c r="I46" s="19">
        <f t="shared" ref="I46" si="12">H46+1</f>
        <v>5</v>
      </c>
    </row>
    <row r="47" spans="1:9" ht="6.75" customHeight="1" outlineLevel="1" x14ac:dyDescent="0.25">
      <c r="B47" s="13"/>
    </row>
    <row r="48" spans="1:9" ht="15" customHeight="1" outlineLevel="1" x14ac:dyDescent="0.25">
      <c r="B48" s="13"/>
      <c r="C48" t="s">
        <v>45</v>
      </c>
      <c r="D48" s="14"/>
      <c r="E48" s="14">
        <f>E43</f>
        <v>-120378.32341007871</v>
      </c>
      <c r="F48" s="14">
        <f>F43</f>
        <v>-100170.61253727318</v>
      </c>
      <c r="G48" s="14">
        <f>G43</f>
        <v>-67817.41636641114</v>
      </c>
      <c r="H48" s="14">
        <f>H43</f>
        <v>-16018.906923220435</v>
      </c>
      <c r="I48" s="14">
        <f>I41</f>
        <v>66912.175569110201</v>
      </c>
    </row>
    <row r="49" spans="2:9" outlineLevel="1" x14ac:dyDescent="0.25">
      <c r="B49" s="13"/>
      <c r="C49" t="s">
        <v>47</v>
      </c>
      <c r="D49" s="14"/>
      <c r="E49" s="14">
        <f>E38</f>
        <v>10000</v>
      </c>
      <c r="F49" s="14">
        <f>F38</f>
        <v>10000</v>
      </c>
      <c r="G49" s="14">
        <f>G38</f>
        <v>10000</v>
      </c>
      <c r="H49" s="14">
        <f>H38</f>
        <v>10000</v>
      </c>
      <c r="I49" s="14">
        <f>I38</f>
        <v>10000</v>
      </c>
    </row>
    <row r="50" spans="2:9" outlineLevel="1" x14ac:dyDescent="0.25">
      <c r="B50" s="13"/>
      <c r="C50" t="s">
        <v>48</v>
      </c>
      <c r="D50" s="14"/>
      <c r="E50" s="14">
        <f>(E33-D33)*Change_WC</f>
        <v>1921.238662281218</v>
      </c>
      <c r="F50" s="14">
        <f>(F33-E33)*Change_WC</f>
        <v>1154.7263355888858</v>
      </c>
      <c r="G50" s="14">
        <f>(G33-F33)*Change_WC</f>
        <v>1848.7540669064033</v>
      </c>
      <c r="H50" s="14">
        <f>(H33-G33)*Change_WC</f>
        <v>2959.9148253251838</v>
      </c>
      <c r="I50" s="14">
        <f>(I33-H33)*Change_WC</f>
        <v>4738.9189995617489</v>
      </c>
    </row>
    <row r="51" spans="2:9" outlineLevel="1" x14ac:dyDescent="0.25">
      <c r="B51" s="13"/>
      <c r="C51" t="s">
        <v>49</v>
      </c>
      <c r="D51" s="14">
        <f>Initial_Capex</f>
        <v>50000</v>
      </c>
      <c r="E51" s="14">
        <v>0</v>
      </c>
      <c r="F51" s="14">
        <v>0</v>
      </c>
      <c r="G51" s="14">
        <v>0</v>
      </c>
      <c r="H51" s="14">
        <v>0</v>
      </c>
      <c r="I51" s="14">
        <v>0</v>
      </c>
    </row>
    <row r="52" spans="2:9" outlineLevel="1" x14ac:dyDescent="0.25">
      <c r="B52" s="13"/>
      <c r="C52" s="20" t="s">
        <v>50</v>
      </c>
      <c r="D52" s="21">
        <f>D48+D49-D50-D51</f>
        <v>-50000</v>
      </c>
      <c r="E52" s="21">
        <f t="shared" ref="E52:I52" si="13">E48+E49-E50-E51</f>
        <v>-112299.56207235993</v>
      </c>
      <c r="F52" s="21">
        <f t="shared" si="13"/>
        <v>-91325.338872862063</v>
      </c>
      <c r="G52" s="21">
        <f t="shared" si="13"/>
        <v>-59666.170433317544</v>
      </c>
      <c r="H52" s="21">
        <f t="shared" si="13"/>
        <v>-8978.8217485456189</v>
      </c>
      <c r="I52" s="21">
        <f t="shared" si="13"/>
        <v>72173.256569548452</v>
      </c>
    </row>
    <row r="53" spans="2:9" outlineLevel="1" x14ac:dyDescent="0.25">
      <c r="B53" s="13"/>
      <c r="C53" t="s">
        <v>51</v>
      </c>
      <c r="D53" s="14"/>
      <c r="E53" s="14"/>
      <c r="F53" s="14"/>
      <c r="G53" s="14"/>
      <c r="H53" s="14"/>
      <c r="I53" s="14">
        <f>I52*(1+Terminal_growth_rate)/(Discount_rate-Terminal_growth_rate)</f>
        <v>1061977.9180947843</v>
      </c>
    </row>
    <row r="54" spans="2:9" outlineLevel="1" x14ac:dyDescent="0.25">
      <c r="B54" s="13"/>
      <c r="C54" s="20" t="s">
        <v>52</v>
      </c>
      <c r="D54" s="21">
        <f>D52+D53</f>
        <v>-50000</v>
      </c>
      <c r="E54" s="21">
        <f t="shared" ref="E54:I54" si="14">E52+E53</f>
        <v>-112299.56207235993</v>
      </c>
      <c r="F54" s="21">
        <f t="shared" si="14"/>
        <v>-91325.338872862063</v>
      </c>
      <c r="G54" s="21">
        <f t="shared" si="14"/>
        <v>-59666.170433317544</v>
      </c>
      <c r="H54" s="21">
        <f t="shared" si="14"/>
        <v>-8978.8217485456189</v>
      </c>
      <c r="I54" s="21">
        <f t="shared" si="14"/>
        <v>1134151.1746643328</v>
      </c>
    </row>
    <row r="55" spans="2:9" outlineLevel="1" x14ac:dyDescent="0.25">
      <c r="B55" s="13"/>
      <c r="C55" t="s">
        <v>53</v>
      </c>
      <c r="D55" s="14">
        <v>1</v>
      </c>
      <c r="E55" s="15">
        <f>1/(1+Discount_rate)^E46</f>
        <v>0.90909090909090906</v>
      </c>
      <c r="F55" s="15">
        <f>1/(1+Discount_rate)^F46</f>
        <v>0.82644628099173545</v>
      </c>
      <c r="G55" s="15">
        <f>1/(1+Discount_rate)^G46</f>
        <v>0.75131480090157754</v>
      </c>
      <c r="H55" s="15">
        <f>1/(1+Discount_rate)^H46</f>
        <v>0.68301345536507052</v>
      </c>
      <c r="I55" s="15">
        <f>1/(1+Discount_rate)^I46</f>
        <v>0.62092132305915493</v>
      </c>
    </row>
    <row r="56" spans="2:9" ht="15.75" outlineLevel="1" thickBot="1" x14ac:dyDescent="0.3">
      <c r="B56" s="13"/>
      <c r="C56" s="29" t="s">
        <v>54</v>
      </c>
      <c r="D56" s="30">
        <f>D54*D55</f>
        <v>-50000</v>
      </c>
      <c r="E56" s="30">
        <f t="shared" ref="E56:I56" si="15">E54*E55</f>
        <v>-102090.51097487265</v>
      </c>
      <c r="F56" s="30">
        <f t="shared" si="15"/>
        <v>-75475.486671786828</v>
      </c>
      <c r="G56" s="30">
        <f t="shared" si="15"/>
        <v>-44828.07695966756</v>
      </c>
      <c r="H56" s="30">
        <f t="shared" si="15"/>
        <v>-6132.6560675811879</v>
      </c>
      <c r="I56" s="30">
        <f t="shared" si="15"/>
        <v>704218.64792167221</v>
      </c>
    </row>
    <row r="57" spans="2:9" outlineLevel="1" x14ac:dyDescent="0.25">
      <c r="B57" s="13"/>
      <c r="C57" s="1"/>
      <c r="D57" s="14"/>
      <c r="E57" s="14"/>
      <c r="F57" s="14"/>
      <c r="G57" s="14"/>
      <c r="H57" s="14"/>
      <c r="I57" s="14"/>
    </row>
    <row r="58" spans="2:9" outlineLevel="1" x14ac:dyDescent="0.25">
      <c r="B58" s="13"/>
      <c r="C58" s="33" t="s">
        <v>55</v>
      </c>
      <c r="D58" s="34">
        <f>SUM(D56:I56)</f>
        <v>425691.91724776395</v>
      </c>
      <c r="E58" s="14"/>
      <c r="F58" s="14"/>
      <c r="G58" s="14"/>
      <c r="H58" s="14"/>
      <c r="I58" s="14"/>
    </row>
    <row r="59" spans="2:9" outlineLevel="1" x14ac:dyDescent="0.25">
      <c r="B59" s="13"/>
      <c r="C59" s="33" t="s">
        <v>56</v>
      </c>
      <c r="D59" s="35">
        <f>D58/E33</f>
        <v>4.4314319257172441</v>
      </c>
      <c r="E59" s="14"/>
      <c r="F59" s="14"/>
      <c r="G59" s="14"/>
      <c r="H59" s="14"/>
      <c r="I59" s="14"/>
    </row>
    <row r="60" spans="2:9" x14ac:dyDescent="0.25">
      <c r="D60" s="14"/>
      <c r="E60" s="14"/>
      <c r="F60" s="14"/>
      <c r="G60" s="14"/>
      <c r="H60" s="14"/>
      <c r="I60" s="14"/>
    </row>
    <row r="61" spans="2:9" x14ac:dyDescent="0.25">
      <c r="D61" s="14"/>
      <c r="E61" s="14"/>
      <c r="F61" s="14"/>
      <c r="G61" s="14"/>
      <c r="H61" s="14"/>
      <c r="I61" s="14"/>
    </row>
    <row r="62" spans="2:9" x14ac:dyDescent="0.25">
      <c r="D62" s="14"/>
      <c r="E62" s="14"/>
      <c r="F62" s="14"/>
      <c r="G62" s="14"/>
      <c r="H62" s="14"/>
      <c r="I62" s="14"/>
    </row>
  </sheetData>
  <mergeCells count="4">
    <mergeCell ref="C21:I21"/>
    <mergeCell ref="C45:I45"/>
    <mergeCell ref="B4:D4"/>
    <mergeCell ref="B2:I2"/>
  </mergeCells>
  <pageMargins left="0.7" right="0.7" top="0.75" bottom="0.75" header="0.3" footer="0.3"/>
  <pageSetup paperSize="9" orientation="portrait" horizontalDpi="360" verticalDpi="360" r:id="rId1"/>
  <ignoredErrors>
    <ignoredError sqref="E36:I36 E38:I38 E42:I42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12</vt:i4>
      </vt:variant>
    </vt:vector>
  </HeadingPairs>
  <TitlesOfParts>
    <vt:vector size="13" baseType="lpstr">
      <vt:lpstr>Startup Model</vt:lpstr>
      <vt:lpstr>Average_price_per_unit</vt:lpstr>
      <vt:lpstr>Change_WC</vt:lpstr>
      <vt:lpstr>Churn_rate</vt:lpstr>
      <vt:lpstr>COGS</vt:lpstr>
      <vt:lpstr>Custemer_Growth_rate</vt:lpstr>
      <vt:lpstr>Deperication</vt:lpstr>
      <vt:lpstr>Discount_rate</vt:lpstr>
      <vt:lpstr>Fixed_Ex</vt:lpstr>
      <vt:lpstr>Initial_Capex</vt:lpstr>
      <vt:lpstr>Tax_rate</vt:lpstr>
      <vt:lpstr>Terminal_growth_rate</vt:lpstr>
      <vt:lpstr>Variable_Ex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</dc:creator>
  <cp:lastModifiedBy>Atharv</cp:lastModifiedBy>
  <dcterms:created xsi:type="dcterms:W3CDTF">2026-03-16T01:41:41Z</dcterms:created>
  <dcterms:modified xsi:type="dcterms:W3CDTF">2026-03-30T08:44:36Z</dcterms:modified>
</cp:coreProperties>
</file>