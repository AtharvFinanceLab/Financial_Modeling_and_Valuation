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Projects\FP&amp;A\"/>
    </mc:Choice>
  </mc:AlternateContent>
  <bookViews>
    <workbookView xWindow="0" yWindow="0" windowWidth="20490" windowHeight="7620" activeTab="1"/>
  </bookViews>
  <sheets>
    <sheet name="Budgeting&gt;" sheetId="2" r:id="rId1"/>
    <sheet name="Annual_Budget_Model" sheetId="1" r:id="rId2"/>
    <sheet name="Budget_Reconciliation" sheetId="3" r:id="rId3"/>
    <sheet name="Rrecommended_Reconciliation" sheetId="5" r:id="rId4"/>
  </sheets>
  <definedNames>
    <definedName name="Gross_Margin">Annual_Budget_Model!$C$12</definedName>
    <definedName name="Inital_headcount">Annual_Budget_Model!$C$16</definedName>
    <definedName name="MRR">Annual_Budget_Model!$C$10</definedName>
    <definedName name="MRR_Growth_Rate">Annual_Budget_Model!$C$11</definedName>
    <definedName name="Office_Rent">Annual_Budget_Model!$C$19</definedName>
    <definedName name="Software_tools">Annual_Budget_Model!$C$20</definedName>
  </definedNames>
  <calcPr calcId="162913" iterate="1" iterateCount="1000" iterateDelta="0.0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6" i="5" l="1"/>
  <c r="E24" i="5"/>
  <c r="D24" i="5"/>
  <c r="D25" i="5"/>
  <c r="D26" i="5"/>
  <c r="D27" i="5"/>
  <c r="D28" i="5"/>
  <c r="D29" i="5"/>
  <c r="D23" i="5"/>
  <c r="E23" i="5" s="1"/>
  <c r="E27" i="5" s="1"/>
  <c r="C29" i="5"/>
  <c r="C24" i="5"/>
  <c r="C25" i="5"/>
  <c r="C26" i="5"/>
  <c r="C27" i="5"/>
  <c r="C28" i="5"/>
  <c r="C23" i="5"/>
  <c r="D9" i="5"/>
  <c r="D8" i="5"/>
  <c r="D7" i="5"/>
  <c r="C9" i="5"/>
  <c r="C8" i="5"/>
  <c r="C7" i="5"/>
  <c r="D20" i="3"/>
  <c r="D21" i="3"/>
  <c r="D22" i="3"/>
  <c r="D23" i="3"/>
  <c r="D24" i="3"/>
  <c r="D19" i="3"/>
  <c r="D9" i="3"/>
  <c r="D10" i="3"/>
  <c r="D11" i="3"/>
  <c r="D12" i="3"/>
  <c r="D13" i="3"/>
  <c r="D8" i="3"/>
  <c r="C39" i="1"/>
  <c r="O37" i="1"/>
  <c r="O38" i="1"/>
  <c r="D36" i="1"/>
  <c r="D37" i="1"/>
  <c r="E37" i="1"/>
  <c r="F37" i="1"/>
  <c r="G37" i="1"/>
  <c r="H37" i="1"/>
  <c r="I37" i="1"/>
  <c r="J37" i="1"/>
  <c r="K37" i="1"/>
  <c r="L37" i="1"/>
  <c r="M37" i="1"/>
  <c r="N37" i="1"/>
  <c r="D38" i="1"/>
  <c r="E38" i="1"/>
  <c r="F38" i="1"/>
  <c r="G38" i="1"/>
  <c r="H38" i="1"/>
  <c r="I38" i="1"/>
  <c r="J38" i="1"/>
  <c r="K38" i="1"/>
  <c r="L38" i="1"/>
  <c r="M38" i="1"/>
  <c r="N38" i="1"/>
  <c r="C38" i="1"/>
  <c r="C37" i="1"/>
  <c r="C36" i="1"/>
  <c r="E44" i="1"/>
  <c r="F44" i="1" s="1"/>
  <c r="D44" i="1"/>
  <c r="C44" i="1"/>
  <c r="C35" i="1"/>
  <c r="C34" i="1"/>
  <c r="C33" i="1"/>
  <c r="C27" i="1"/>
  <c r="D25" i="1"/>
  <c r="D34" i="1" s="1"/>
  <c r="C25" i="1"/>
  <c r="E25" i="5" l="1"/>
  <c r="E28" i="5" s="1"/>
  <c r="E29" i="5" s="1"/>
  <c r="G44" i="1"/>
  <c r="F36" i="1"/>
  <c r="E36" i="1"/>
  <c r="C29" i="1"/>
  <c r="E25" i="1"/>
  <c r="D27" i="1"/>
  <c r="D29" i="1" s="1"/>
  <c r="D35" i="1"/>
  <c r="D33" i="1"/>
  <c r="C10" i="5"/>
  <c r="E7" i="5"/>
  <c r="D10" i="5"/>
  <c r="E8" i="5"/>
  <c r="E9" i="5"/>
  <c r="H44" i="1" l="1"/>
  <c r="G36" i="1"/>
  <c r="D30" i="1"/>
  <c r="D39" i="1"/>
  <c r="C30" i="1"/>
  <c r="C41" i="1"/>
  <c r="C42" i="1" s="1"/>
  <c r="E35" i="1"/>
  <c r="E27" i="1"/>
  <c r="E29" i="1" s="1"/>
  <c r="E34" i="1"/>
  <c r="E33" i="1"/>
  <c r="E39" i="1" s="1"/>
  <c r="F25" i="1"/>
  <c r="I44" i="1" l="1"/>
  <c r="H36" i="1"/>
  <c r="E30" i="1"/>
  <c r="E41" i="1"/>
  <c r="E42" i="1" s="1"/>
  <c r="G25" i="1"/>
  <c r="F34" i="1"/>
  <c r="F33" i="1"/>
  <c r="F35" i="1"/>
  <c r="F27" i="1"/>
  <c r="F29" i="1" s="1"/>
  <c r="D41" i="1"/>
  <c r="D42" i="1" s="1"/>
  <c r="J44" i="1" l="1"/>
  <c r="I36" i="1"/>
  <c r="F30" i="1"/>
  <c r="F39" i="1"/>
  <c r="H25" i="1"/>
  <c r="G35" i="1"/>
  <c r="G27" i="1"/>
  <c r="G34" i="1"/>
  <c r="G33" i="1"/>
  <c r="G29" i="1"/>
  <c r="K44" i="1" l="1"/>
  <c r="J36" i="1"/>
  <c r="G30" i="1"/>
  <c r="G39" i="1"/>
  <c r="G41" i="1" s="1"/>
  <c r="G42" i="1" s="1"/>
  <c r="I25" i="1"/>
  <c r="H34" i="1"/>
  <c r="H33" i="1"/>
  <c r="H35" i="1"/>
  <c r="H27" i="1"/>
  <c r="H29" i="1" s="1"/>
  <c r="F41" i="1"/>
  <c r="F42" i="1" s="1"/>
  <c r="L44" i="1" l="1"/>
  <c r="K36" i="1"/>
  <c r="H30" i="1"/>
  <c r="H39" i="1"/>
  <c r="J25" i="1"/>
  <c r="I35" i="1"/>
  <c r="I27" i="1"/>
  <c r="I34" i="1"/>
  <c r="I33" i="1"/>
  <c r="I29" i="1"/>
  <c r="M44" i="1" l="1"/>
  <c r="L36" i="1"/>
  <c r="I30" i="1"/>
  <c r="I39" i="1"/>
  <c r="I41" i="1" s="1"/>
  <c r="I42" i="1" s="1"/>
  <c r="K25" i="1"/>
  <c r="J34" i="1"/>
  <c r="J33" i="1"/>
  <c r="J35" i="1"/>
  <c r="J27" i="1"/>
  <c r="J29" i="1" s="1"/>
  <c r="H41" i="1"/>
  <c r="H42" i="1" s="1"/>
  <c r="N44" i="1" l="1"/>
  <c r="M36" i="1"/>
  <c r="J30" i="1"/>
  <c r="J39" i="1"/>
  <c r="J41" i="1" s="1"/>
  <c r="J42" i="1" s="1"/>
  <c r="L25" i="1"/>
  <c r="K35" i="1"/>
  <c r="K27" i="1"/>
  <c r="K34" i="1"/>
  <c r="K33" i="1"/>
  <c r="K29" i="1"/>
  <c r="N36" i="1" l="1"/>
  <c r="O36" i="1" s="1"/>
  <c r="O44" i="1"/>
  <c r="K30" i="1"/>
  <c r="K41" i="1"/>
  <c r="K42" i="1" s="1"/>
  <c r="K39" i="1"/>
  <c r="M25" i="1"/>
  <c r="L34" i="1"/>
  <c r="L33" i="1"/>
  <c r="L35" i="1"/>
  <c r="L27" i="1"/>
  <c r="L29" i="1" s="1"/>
  <c r="L30" i="1" l="1"/>
  <c r="L39" i="1"/>
  <c r="L41" i="1" s="1"/>
  <c r="L42" i="1" s="1"/>
  <c r="N25" i="1"/>
  <c r="M35" i="1"/>
  <c r="M27" i="1"/>
  <c r="M29" i="1" s="1"/>
  <c r="M34" i="1"/>
  <c r="M33" i="1"/>
  <c r="M39" i="1" s="1"/>
  <c r="M30" i="1" l="1"/>
  <c r="M41" i="1"/>
  <c r="M42" i="1" s="1"/>
  <c r="N34" i="1"/>
  <c r="O34" i="1" s="1"/>
  <c r="N33" i="1"/>
  <c r="N35" i="1"/>
  <c r="O35" i="1" s="1"/>
  <c r="N27" i="1"/>
  <c r="O27" i="1" s="1"/>
  <c r="O25" i="1"/>
  <c r="N39" i="1" l="1"/>
  <c r="O39" i="1" s="1"/>
  <c r="O33" i="1"/>
  <c r="N29" i="1"/>
  <c r="N41" i="1" l="1"/>
  <c r="N42" i="1" s="1"/>
  <c r="N30" i="1"/>
  <c r="O29" i="1"/>
  <c r="O30" i="1" l="1"/>
  <c r="O41" i="1"/>
  <c r="O42" i="1" s="1"/>
</calcChain>
</file>

<file path=xl/sharedStrings.xml><?xml version="1.0" encoding="utf-8"?>
<sst xmlns="http://schemas.openxmlformats.org/spreadsheetml/2006/main" count="142" uniqueCount="116">
  <si>
    <t>Annual Budget</t>
  </si>
  <si>
    <t>Assumptions</t>
  </si>
  <si>
    <t>Assumption</t>
  </si>
  <si>
    <t>Value</t>
  </si>
  <si>
    <t>Note</t>
  </si>
  <si>
    <t>#</t>
  </si>
  <si>
    <t>USD</t>
  </si>
  <si>
    <t>MRR Growth Rate</t>
  </si>
  <si>
    <t>Gross Margin</t>
  </si>
  <si>
    <t>Sales &amp; Marketing  % of Revenue</t>
  </si>
  <si>
    <t>R&amp;D % of Revenue</t>
  </si>
  <si>
    <t>G&amp;A % of Revenue</t>
  </si>
  <si>
    <t>Initial Headcount</t>
  </si>
  <si>
    <t>Employees</t>
  </si>
  <si>
    <t>Monthly Headcount Addition</t>
  </si>
  <si>
    <t>Office rent (Annual)</t>
  </si>
  <si>
    <t>Software &amp; Tools (Annual)</t>
  </si>
  <si>
    <t>Employees/Month</t>
  </si>
  <si>
    <t>USD/Year</t>
  </si>
  <si>
    <t>Starting Monthly Recurring Revenue (MRR)</t>
  </si>
  <si>
    <t>Line Item</t>
  </si>
  <si>
    <t xml:space="preserve">Jan 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</si>
  <si>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</si>
  <si>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</si>
  <si>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</si>
  <si>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</si>
  <si>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</si>
  <si>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</si>
  <si>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</si>
  <si>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</si>
  <si>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</si>
  <si>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</si>
  <si>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</si>
  <si>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FY 2026 Total </t>
  </si>
  <si>
    <t>Revenue</t>
  </si>
  <si>
    <t>Cost of Goods Sold</t>
  </si>
  <si>
    <t>Gross Margin %</t>
  </si>
  <si>
    <t>Operating Expenses:</t>
  </si>
  <si>
    <t>Sales &amp; Marketing</t>
  </si>
  <si>
    <t>Research &amp; Development</t>
  </si>
  <si>
    <t>General &amp; Administrative</t>
  </si>
  <si>
    <t>Salaries</t>
  </si>
  <si>
    <t xml:space="preserve">Office Rent </t>
  </si>
  <si>
    <t>Software &amp; Tools</t>
  </si>
  <si>
    <t>Total Operating Expenses</t>
  </si>
  <si>
    <t>EBITDA</t>
  </si>
  <si>
    <t>EBITDA Margin %</t>
  </si>
  <si>
    <t>Headcount</t>
  </si>
  <si>
    <t>Average Salary per Employee</t>
  </si>
  <si>
    <t>Top-Down Budget (Leadership Target)</t>
  </si>
  <si>
    <t>FY 2027</t>
  </si>
  <si>
    <t>% of Revenue</t>
  </si>
  <si>
    <t>Notes</t>
  </si>
  <si>
    <t>Revenue Target</t>
  </si>
  <si>
    <t>Gross Profit Target</t>
  </si>
  <si>
    <t>S&amp;M Budget</t>
  </si>
  <si>
    <t>R&amp;D Budget</t>
  </si>
  <si>
    <t>G&amp;A Budget</t>
  </si>
  <si>
    <t>Total OpEx</t>
  </si>
  <si>
    <t>Target EBITDA</t>
  </si>
  <si>
    <t>CEO strategic goal</t>
  </si>
  <si>
    <t>75% Target margin</t>
  </si>
  <si>
    <t>35% of Revenue</t>
  </si>
  <si>
    <t>20% of Revenue</t>
  </si>
  <si>
    <t>10% of Revenue</t>
  </si>
  <si>
    <t>65% of Revenue</t>
  </si>
  <si>
    <t>10% Target margin</t>
  </si>
  <si>
    <t>Bottom-Up Budget (Department Submissions)</t>
  </si>
  <si>
    <t>Sales team forecast</t>
  </si>
  <si>
    <t>Same margin assumption</t>
  </si>
  <si>
    <t>Dept. head request</t>
  </si>
  <si>
    <t>Higher than target</t>
  </si>
  <si>
    <t>Nagative margin</t>
  </si>
  <si>
    <t>Budget Approach Comparison &amp; Reconciliation</t>
  </si>
  <si>
    <t>Metric</t>
  </si>
  <si>
    <t>Top Down</t>
  </si>
  <si>
    <t>Bottom-Up</t>
  </si>
  <si>
    <t>Variance</t>
  </si>
  <si>
    <t xml:space="preserve">EBITDA </t>
  </si>
  <si>
    <t>EBITDA  Margin</t>
  </si>
  <si>
    <t>Key Findings</t>
  </si>
  <si>
    <t>Recommened Reconciliation Approach</t>
  </si>
  <si>
    <t>Recommened</t>
  </si>
  <si>
    <t>Rationale</t>
  </si>
  <si>
    <t>Stretch goal: +10% above bottom-up</t>
  </si>
  <si>
    <t>Gross Profit</t>
  </si>
  <si>
    <t>Maintain 75% Margins</t>
  </si>
  <si>
    <t>R&amp;D (23%)</t>
  </si>
  <si>
    <t>Compromise between target</t>
  </si>
  <si>
    <t>G&amp;A (12%)</t>
  </si>
  <si>
    <t>Match gross profit exactly</t>
  </si>
  <si>
    <t xml:space="preserve">Line Item </t>
  </si>
  <si>
    <t>Top-down</t>
  </si>
  <si>
    <r>
      <rPr>
        <b/>
        <sz val="11"/>
        <color theme="1"/>
        <rFont val="Calibri"/>
        <family val="2"/>
        <scheme val="minor"/>
      </rPr>
      <t>1. Revenue gap:</t>
    </r>
    <r>
      <rPr>
        <sz val="11"/>
        <color theme="1"/>
        <rFont val="Calibri"/>
        <family val="2"/>
        <scheme val="minor"/>
      </rPr>
      <t xml:space="preserve"> Bottom-up forecast is $2.5M (~17%) blow top down target. Sales team may lack confidence or resources to hit CEO goal.</t>
    </r>
  </si>
  <si>
    <r>
      <rPr>
        <b/>
        <sz val="11"/>
        <color theme="1"/>
        <rFont val="Calibri"/>
        <family val="2"/>
        <scheme val="minor"/>
      </rPr>
      <t>2. OpEx Overspend Crisis:</t>
    </r>
    <r>
      <rPr>
        <sz val="11"/>
        <color theme="1"/>
        <rFont val="Calibri"/>
        <family val="2"/>
        <scheme val="minor"/>
      </rPr>
      <t xml:space="preserve"> Despite lower revenue, department requested $500K more in spending. OpEx ratio is 82% vs 65% TARGET.</t>
    </r>
  </si>
  <si>
    <r>
      <rPr>
        <b/>
        <sz val="11"/>
        <color theme="1"/>
        <rFont val="Calibri"/>
        <family val="2"/>
        <scheme val="minor"/>
      </rPr>
      <t xml:space="preserve">3. Profitability Crisis: </t>
    </r>
    <r>
      <rPr>
        <sz val="11"/>
        <color theme="1"/>
        <rFont val="Calibri"/>
        <family val="2"/>
        <scheme val="minor"/>
      </rPr>
      <t>Botto-up plan shows negative EBITDA of $875K vs target of +1.5M profit. $2.37M gap.</t>
    </r>
  </si>
  <si>
    <r>
      <rPr>
        <b/>
        <sz val="11"/>
        <color theme="1"/>
        <rFont val="Calibri"/>
        <family val="2"/>
        <scheme val="minor"/>
      </rPr>
      <t>4. Department Inefficiency:</t>
    </r>
    <r>
      <rPr>
        <sz val="11"/>
        <color theme="1"/>
        <rFont val="Calibri"/>
        <family val="2"/>
        <scheme val="minor"/>
      </rPr>
      <t xml:space="preserve"> Each Department exceeded their % allocation.</t>
    </r>
  </si>
  <si>
    <r>
      <t xml:space="preserve">5. Unrealistic Expectaions: </t>
    </r>
    <r>
      <rPr>
        <sz val="11"/>
        <color theme="1"/>
        <rFont val="Calibri"/>
        <family val="2"/>
        <scheme val="minor"/>
      </rPr>
      <t>Top-down target may be too aggressive without corresponding investment in sales capacity.</t>
    </r>
  </si>
  <si>
    <t>S&amp;M  (40%)</t>
  </si>
  <si>
    <t>Invest more to hit revenue target</t>
  </si>
  <si>
    <t xml:space="preserve">Tirm 22% from deptt request </t>
  </si>
  <si>
    <t>Breakeven year, invest for grwoth</t>
  </si>
  <si>
    <t>Implementation Steps &amp; Best Practices</t>
  </si>
  <si>
    <t xml:space="preserve">Bottom-Up Budget </t>
  </si>
  <si>
    <t>-</t>
  </si>
  <si>
    <t>Growth Tech Inc. - FY2026 Budget</t>
  </si>
  <si>
    <t>Create a complete FY2026 budget for a SaaS startup using the assumptions provided below</t>
  </si>
  <si>
    <t>Scenario: GrowthTech Inc. - FY2026 Budget</t>
  </si>
  <si>
    <r>
      <rPr>
        <b/>
        <sz val="11"/>
        <color theme="1"/>
        <rFont val="Calibri"/>
        <family val="2"/>
      </rPr>
      <t>1. Negotiate with Sales:</t>
    </r>
    <r>
      <rPr>
        <sz val="11"/>
        <color theme="1"/>
        <rFont val="Calibri"/>
        <family val="2"/>
      </rPr>
      <t xml:space="preserve"> Challenge them to commit to $13.75M with increased S&amp;M investment. Add 3-5 sales reps.</t>
    </r>
  </si>
  <si>
    <r>
      <rPr>
        <b/>
        <sz val="11"/>
        <color theme="1"/>
        <rFont val="Calibri"/>
        <family val="2"/>
      </rPr>
      <t xml:space="preserve">2. Cost reduction workshop: </t>
    </r>
    <r>
      <rPr>
        <sz val="11"/>
        <color theme="1"/>
        <rFont val="Calibri"/>
        <family val="2"/>
      </rPr>
      <t>Work with G&amp;A to find $475K in savings. Focus on subscriptions, travel, consultants.</t>
    </r>
  </si>
  <si>
    <r>
      <rPr>
        <b/>
        <sz val="11"/>
        <color theme="1"/>
        <rFont val="Calibri"/>
        <family val="2"/>
      </rPr>
      <t>3. R&amp;D Prioritization:</t>
    </r>
    <r>
      <rPr>
        <sz val="11"/>
        <color theme="1"/>
        <rFont val="Calibri"/>
        <family val="2"/>
      </rPr>
      <t xml:space="preserve"> Cut lower-priority projects. Defer $337K to to maintain product velocity within buget.</t>
    </r>
  </si>
  <si>
    <r>
      <rPr>
        <b/>
        <sz val="11"/>
        <color theme="1"/>
        <rFont val="Calibri"/>
        <family val="2"/>
      </rPr>
      <t>4. Quarterly Reviews:</t>
    </r>
    <r>
      <rPr>
        <sz val="11"/>
        <color theme="1"/>
        <rFont val="Calibri"/>
        <family val="2"/>
      </rPr>
      <t xml:space="preserve"> Implement rolling forecast. Adjust quarterly based on actual perforemance VS Plan.</t>
    </r>
  </si>
  <si>
    <r>
      <rPr>
        <b/>
        <sz val="11"/>
        <color theme="1"/>
        <rFont val="Calibri"/>
        <family val="2"/>
      </rPr>
      <t xml:space="preserve">5. Senario Planning: </t>
    </r>
    <r>
      <rPr>
        <sz val="11"/>
        <color theme="1"/>
        <rFont val="Calibri"/>
        <family val="2"/>
      </rPr>
      <t>Build upside/downside cases. If revenue hits $15M, reinvest savings. If misses, trigger cost controls.</t>
    </r>
  </si>
  <si>
    <r>
      <rPr>
        <b/>
        <sz val="11"/>
        <color theme="1"/>
        <rFont val="Calibri"/>
        <family val="2"/>
      </rPr>
      <t xml:space="preserve">6. Accountability: </t>
    </r>
    <r>
      <rPr>
        <sz val="11"/>
        <color theme="1"/>
        <rFont val="Calibri"/>
        <family val="2"/>
      </rPr>
      <t>Tie executive bonuses to achieving reconciled budget. Monthly variance reviews with department heads.</t>
    </r>
  </si>
  <si>
    <r>
      <rPr>
        <b/>
        <sz val="11"/>
        <color theme="1"/>
        <rFont val="Calibri"/>
        <family val="2"/>
      </rPr>
      <t>7. Communication:</t>
    </r>
    <r>
      <rPr>
        <sz val="11"/>
        <color theme="1"/>
        <rFont val="Calibri"/>
        <family val="2"/>
      </rPr>
      <t xml:space="preserve"> Present reconciled budget to board as 'Investment Year' - breakeven acceptable to capture growth.</t>
    </r>
  </si>
  <si>
    <r>
      <rPr>
        <b/>
        <sz val="11"/>
        <color theme="1"/>
        <rFont val="Calibri"/>
        <family val="2"/>
      </rPr>
      <t>8. Contingency:</t>
    </r>
    <r>
      <rPr>
        <sz val="11"/>
        <color theme="1"/>
        <rFont val="Calibri"/>
        <family val="2"/>
      </rPr>
      <t xml:space="preserve"> Build 5% reserve ($516) for unforeseen expenses. Release only with CFO approval.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</si>
</sst>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#,##0.00;\(#,##0.00\)"/>
    <numFmt numFmtId="165" formatCode="_(* #,##0.00_);_(* \(#,##0.00\);_(* &quot;-&quot;??_);_(@_)"/>
  </numFmts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0"/>
      <name val="Calibri"/>
      <family val="2"/>
    </font>
    <font>
      <b/>
      <sz val="12"/>
      <color theme="1"/>
      <name val="Calibri"/>
      <family val="2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0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F4E78"/>
      </patternFill>
    </fill>
  </fills>
  <borders count="29">
    <border>
      <left/>
      <right/>
      <top/>
      <bottom/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/>
      <right/>
      <top/>
      <bottom style="thin">
        <color rgb="FF002060"/>
      </bottom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 style="hair">
        <color rgb="FF002060"/>
      </top>
      <bottom/>
      <diagonal/>
    </border>
    <border>
      <left/>
      <right style="thick">
        <color theme="0"/>
      </right>
      <top style="hair">
        <color rgb="FF002060"/>
      </top>
      <bottom style="hair">
        <color rgb="FF002060"/>
      </bottom>
      <diagonal/>
    </border>
    <border>
      <left style="thick">
        <color theme="0"/>
      </left>
      <right style="thick">
        <color theme="0"/>
      </right>
      <top style="hair">
        <color rgb="FF002060"/>
      </top>
      <bottom style="hair">
        <color rgb="FF00206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hair">
        <color rgb="FF002060"/>
      </bottom>
      <diagonal/>
    </border>
    <border>
      <left style="thick">
        <color theme="0"/>
      </left>
      <right/>
      <top style="thick">
        <color theme="0"/>
      </top>
      <bottom style="hair">
        <color rgb="FF002060"/>
      </bottom>
      <diagonal/>
    </border>
    <border>
      <left/>
      <right/>
      <top style="thick">
        <color theme="0"/>
      </top>
      <bottom style="hair">
        <color rgb="FF002060"/>
      </bottom>
      <diagonal/>
    </border>
    <border>
      <left/>
      <right style="thick">
        <color theme="0"/>
      </right>
      <top style="thick">
        <color theme="0"/>
      </top>
      <bottom style="hair">
        <color rgb="FF002060"/>
      </bottom>
      <diagonal/>
    </border>
    <border>
      <left/>
      <right/>
      <top style="medium">
        <color rgb="FF002060"/>
      </top>
      <bottom style="thick">
        <color theme="0"/>
      </bottom>
      <diagonal/>
    </border>
    <border>
      <left/>
      <right/>
      <top style="hair">
        <color rgb="FF002060"/>
      </top>
      <bottom style="thin">
        <color rgb="FF002060"/>
      </bottom>
      <diagonal/>
    </border>
    <border>
      <left/>
      <right/>
      <top style="hair">
        <color rgb="FF002060"/>
      </top>
      <bottom/>
      <diagonal/>
    </border>
    <border>
      <left/>
      <right style="thick">
        <color theme="0"/>
      </right>
      <top style="thin">
        <color rgb="FF002060"/>
      </top>
      <bottom style="thin">
        <color rgb="FF002060"/>
      </bottom>
      <diagonal/>
    </border>
    <border>
      <left/>
      <right style="thick">
        <color theme="0"/>
      </right>
      <top style="dashed">
        <color auto="1"/>
      </top>
      <bottom style="dashed">
        <color auto="1"/>
      </bottom>
      <diagonal/>
    </border>
    <border>
      <left/>
      <right style="thick">
        <color theme="0"/>
      </right>
      <top style="thin">
        <color rgb="FF002060"/>
      </top>
      <bottom style="medium">
        <color rgb="FF002060"/>
      </bottom>
      <diagonal/>
    </border>
    <border>
      <left style="thick">
        <color theme="0"/>
      </left>
      <right style="thick">
        <color theme="0"/>
      </right>
      <top style="dashed">
        <color auto="1"/>
      </top>
      <bottom/>
      <diagonal/>
    </border>
    <border>
      <left style="thick">
        <color theme="0"/>
      </left>
      <right style="thick">
        <color theme="0"/>
      </right>
      <top style="dashed">
        <color auto="1"/>
      </top>
      <bottom style="dashed">
        <color auto="1"/>
      </bottom>
      <diagonal/>
    </border>
    <border>
      <left style="thick">
        <color theme="0"/>
      </left>
      <right style="thick">
        <color theme="0"/>
      </right>
      <top style="thin">
        <color rgb="FF002060"/>
      </top>
      <bottom style="medium">
        <color rgb="FF002060"/>
      </bottom>
      <diagonal/>
    </border>
    <border>
      <left/>
      <right style="thick">
        <color theme="0"/>
      </right>
      <top/>
      <bottom style="hair">
        <color rgb="FF002060"/>
      </bottom>
      <diagonal/>
    </border>
    <border>
      <left/>
      <right/>
      <top/>
      <bottom style="hair">
        <color rgb="FF002060"/>
      </bottom>
      <diagonal/>
    </border>
    <border>
      <left style="thick">
        <color theme="0"/>
      </left>
      <right style="thick">
        <color theme="0"/>
      </right>
      <top/>
      <bottom style="hair">
        <color rgb="FF002060"/>
      </bottom>
      <diagonal/>
    </border>
    <border>
      <left/>
      <right/>
      <top style="hair">
        <color rgb="FF002060"/>
      </top>
      <bottom style="hair">
        <color rgb="FF00206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4" fillId="3" borderId="0" xfId="0" applyFont="1" applyFill="1" applyAlignment="1">
      <alignment horizontal="right"/>
    </xf>
    <xf numFmtId="0" fontId="4" fillId="3" borderId="0" xfId="0" applyFont="1" applyFill="1" applyAlignment="1"/>
    <xf numFmtId="0" fontId="0" fillId="0" borderId="0" xfId="0" applyAlignment="1"/>
    <xf numFmtId="164" fontId="0" fillId="0" borderId="0" xfId="0" applyNumberFormat="1" applyAlignment="1">
      <alignment horizontal="center"/>
    </xf>
    <xf numFmtId="0" fontId="0" fillId="0" borderId="0" xfId="0" applyAlignment="1">
      <alignment vertical="top"/>
    </xf>
    <xf numFmtId="165" fontId="7" fillId="0" borderId="0" xfId="0" applyNumberFormat="1" applyFont="1" applyBorder="1" applyAlignment="1">
      <alignment horizontal="center"/>
    </xf>
    <xf numFmtId="10" fontId="7" fillId="0" borderId="0" xfId="0" applyNumberFormat="1" applyFont="1" applyBorder="1" applyAlignment="1">
      <alignment vertical="top"/>
    </xf>
    <xf numFmtId="0" fontId="0" fillId="0" borderId="0" xfId="0" applyAlignment="1">
      <alignment horizontal="right" vertical="top"/>
    </xf>
    <xf numFmtId="165" fontId="7" fillId="0" borderId="0" xfId="0" applyNumberFormat="1" applyFont="1" applyBorder="1" applyAlignment="1">
      <alignment horizontal="center" vertical="top"/>
    </xf>
    <xf numFmtId="0" fontId="0" fillId="0" borderId="5" xfId="0" applyBorder="1"/>
    <xf numFmtId="0" fontId="4" fillId="3" borderId="5" xfId="0" applyFont="1" applyFill="1" applyBorder="1" applyAlignment="1">
      <alignment horizontal="right"/>
    </xf>
    <xf numFmtId="0" fontId="0" fillId="0" borderId="5" xfId="0" applyBorder="1" applyAlignment="1">
      <alignment horizontal="center"/>
    </xf>
    <xf numFmtId="0" fontId="7" fillId="0" borderId="0" xfId="0" applyFont="1" applyBorder="1" applyAlignment="1">
      <alignment vertical="top"/>
    </xf>
    <xf numFmtId="0" fontId="8" fillId="0" borderId="0" xfId="0" applyFont="1"/>
    <xf numFmtId="0" fontId="9" fillId="3" borderId="0" xfId="0" applyFont="1" applyFill="1" applyAlignment="1"/>
    <xf numFmtId="0" fontId="9" fillId="3" borderId="0" xfId="0" applyFont="1" applyFill="1" applyAlignment="1">
      <alignment horizontal="right"/>
    </xf>
    <xf numFmtId="0" fontId="9" fillId="0" borderId="0" xfId="0" applyFont="1" applyFill="1" applyAlignment="1"/>
    <xf numFmtId="0" fontId="9" fillId="0" borderId="0" xfId="0" applyFont="1" applyFill="1" applyAlignment="1">
      <alignment horizontal="right"/>
    </xf>
    <xf numFmtId="0" fontId="8" fillId="0" borderId="0" xfId="0" applyFont="1" applyFill="1"/>
    <xf numFmtId="0" fontId="10" fillId="0" borderId="0" xfId="0" applyFont="1" applyBorder="1" applyAlignment="1"/>
    <xf numFmtId="0" fontId="11" fillId="0" borderId="0" xfId="0" applyFont="1"/>
    <xf numFmtId="43" fontId="8" fillId="0" borderId="0" xfId="0" applyNumberFormat="1" applyFont="1" applyBorder="1"/>
    <xf numFmtId="0" fontId="8" fillId="0" borderId="0" xfId="0" applyFont="1" applyBorder="1"/>
    <xf numFmtId="0" fontId="7" fillId="0" borderId="0" xfId="0" applyFont="1" applyBorder="1" applyAlignment="1">
      <alignment horizontal="left" vertical="top"/>
    </xf>
    <xf numFmtId="0" fontId="8" fillId="0" borderId="0" xfId="0" applyFont="1" applyBorder="1" applyAlignment="1">
      <alignment horizontal="left"/>
    </xf>
    <xf numFmtId="9" fontId="7" fillId="0" borderId="0" xfId="0" applyNumberFormat="1" applyFont="1" applyBorder="1" applyAlignment="1">
      <alignment horizontal="left" vertical="top"/>
    </xf>
    <xf numFmtId="0" fontId="8" fillId="0" borderId="5" xfId="0" applyFont="1" applyBorder="1"/>
    <xf numFmtId="0" fontId="8" fillId="0" borderId="5" xfId="0" applyFont="1" applyFill="1" applyBorder="1"/>
    <xf numFmtId="0" fontId="8" fillId="0" borderId="10" xfId="0" applyFont="1" applyBorder="1"/>
    <xf numFmtId="164" fontId="8" fillId="0" borderId="11" xfId="0" applyNumberFormat="1" applyFont="1" applyBorder="1"/>
    <xf numFmtId="10" fontId="8" fillId="0" borderId="11" xfId="1" applyNumberFormat="1" applyFont="1" applyBorder="1"/>
    <xf numFmtId="0" fontId="9" fillId="3" borderId="5" xfId="0" applyFont="1" applyFill="1" applyBorder="1" applyAlignment="1">
      <alignment horizontal="right"/>
    </xf>
    <xf numFmtId="0" fontId="9" fillId="0" borderId="5" xfId="0" applyFont="1" applyFill="1" applyBorder="1" applyAlignment="1">
      <alignment horizontal="right"/>
    </xf>
    <xf numFmtId="164" fontId="8" fillId="0" borderId="10" xfId="0" applyNumberFormat="1" applyFont="1" applyBorder="1"/>
    <xf numFmtId="0" fontId="8" fillId="0" borderId="13" xfId="0" applyFont="1" applyBorder="1"/>
    <xf numFmtId="164" fontId="8" fillId="0" borderId="14" xfId="0" applyNumberFormat="1" applyFont="1" applyBorder="1"/>
    <xf numFmtId="164" fontId="8" fillId="0" borderId="15" xfId="0" applyNumberFormat="1" applyFont="1" applyBorder="1"/>
    <xf numFmtId="0" fontId="8" fillId="0" borderId="16" xfId="0" applyFont="1" applyBorder="1"/>
    <xf numFmtId="0" fontId="8" fillId="0" borderId="17" xfId="0" applyFont="1" applyBorder="1"/>
    <xf numFmtId="0" fontId="8" fillId="0" borderId="7" xfId="0" applyFont="1" applyBorder="1"/>
    <xf numFmtId="165" fontId="7" fillId="0" borderId="11" xfId="0" applyNumberFormat="1" applyFont="1" applyBorder="1" applyAlignment="1">
      <alignment vertical="top"/>
    </xf>
    <xf numFmtId="165" fontId="7" fillId="0" borderId="10" xfId="0" applyNumberFormat="1" applyFont="1" applyBorder="1" applyAlignment="1">
      <alignment vertical="top"/>
    </xf>
    <xf numFmtId="0" fontId="9" fillId="3" borderId="5" xfId="0" applyFont="1" applyFill="1" applyBorder="1" applyAlignment="1">
      <alignment horizontal="center"/>
    </xf>
    <xf numFmtId="0" fontId="8" fillId="0" borderId="9" xfId="0" applyFont="1" applyBorder="1"/>
    <xf numFmtId="0" fontId="8" fillId="0" borderId="18" xfId="0" applyFont="1" applyBorder="1"/>
    <xf numFmtId="0" fontId="0" fillId="0" borderId="0" xfId="0" applyFont="1"/>
    <xf numFmtId="0" fontId="11" fillId="4" borderId="1" xfId="0" applyFont="1" applyFill="1" applyBorder="1"/>
    <xf numFmtId="0" fontId="11" fillId="4" borderId="1" xfId="0" applyFont="1" applyFill="1" applyBorder="1" applyAlignment="1">
      <alignment horizontal="right"/>
    </xf>
    <xf numFmtId="0" fontId="11" fillId="4" borderId="19" xfId="0" applyFont="1" applyFill="1" applyBorder="1" applyAlignment="1">
      <alignment horizontal="right"/>
    </xf>
    <xf numFmtId="4" fontId="8" fillId="0" borderId="0" xfId="0" applyNumberFormat="1" applyFont="1"/>
    <xf numFmtId="0" fontId="8" fillId="0" borderId="5" xfId="0" applyFont="1" applyBorder="1" applyAlignment="1">
      <alignment horizontal="right"/>
    </xf>
    <xf numFmtId="10" fontId="8" fillId="0" borderId="11" xfId="1" applyNumberFormat="1" applyFont="1" applyBorder="1" applyAlignment="1">
      <alignment horizontal="right"/>
    </xf>
    <xf numFmtId="0" fontId="8" fillId="0" borderId="10" xfId="0" applyFont="1" applyFill="1" applyBorder="1"/>
    <xf numFmtId="4" fontId="8" fillId="0" borderId="11" xfId="0" applyNumberFormat="1" applyFont="1" applyBorder="1" applyAlignment="1">
      <alignment horizontal="right"/>
    </xf>
    <xf numFmtId="0" fontId="8" fillId="0" borderId="10" xfId="0" applyFont="1" applyBorder="1" applyAlignment="1">
      <alignment horizontal="right"/>
    </xf>
    <xf numFmtId="0" fontId="8" fillId="0" borderId="10" xfId="0" applyFont="1" applyBorder="1" applyAlignment="1">
      <alignment horizontal="right" wrapText="1"/>
    </xf>
    <xf numFmtId="0" fontId="9" fillId="3" borderId="0" xfId="0" applyFont="1" applyFill="1"/>
    <xf numFmtId="0" fontId="8" fillId="0" borderId="20" xfId="0" applyFont="1" applyBorder="1"/>
    <xf numFmtId="4" fontId="8" fillId="0" borderId="23" xfId="0" applyNumberFormat="1" applyFont="1" applyBorder="1"/>
    <xf numFmtId="4" fontId="11" fillId="0" borderId="23" xfId="0" applyNumberFormat="1" applyFont="1" applyBorder="1"/>
    <xf numFmtId="4" fontId="8" fillId="0" borderId="2" xfId="0" applyNumberFormat="1" applyFont="1" applyBorder="1"/>
    <xf numFmtId="4" fontId="11" fillId="0" borderId="2" xfId="0" applyNumberFormat="1" applyFont="1" applyBorder="1"/>
    <xf numFmtId="4" fontId="8" fillId="0" borderId="22" xfId="0" applyNumberFormat="1" applyFont="1" applyBorder="1"/>
    <xf numFmtId="4" fontId="8" fillId="0" borderId="3" xfId="0" applyNumberFormat="1" applyFont="1" applyBorder="1"/>
    <xf numFmtId="0" fontId="11" fillId="4" borderId="21" xfId="0" applyFont="1" applyFill="1" applyBorder="1"/>
    <xf numFmtId="4" fontId="11" fillId="4" borderId="24" xfId="0" applyNumberFormat="1" applyFont="1" applyFill="1" applyBorder="1"/>
    <xf numFmtId="0" fontId="15" fillId="0" borderId="5" xfId="0" applyFont="1" applyBorder="1"/>
    <xf numFmtId="10" fontId="15" fillId="0" borderId="6" xfId="1" applyNumberFormat="1" applyFont="1" applyBorder="1"/>
    <xf numFmtId="10" fontId="15" fillId="0" borderId="0" xfId="1" applyNumberFormat="1" applyFont="1" applyBorder="1"/>
    <xf numFmtId="10" fontId="16" fillId="0" borderId="0" xfId="1" applyNumberFormat="1" applyFont="1" applyBorder="1"/>
    <xf numFmtId="4" fontId="8" fillId="0" borderId="0" xfId="0" applyNumberFormat="1" applyFont="1" applyBorder="1"/>
    <xf numFmtId="9" fontId="17" fillId="0" borderId="0" xfId="0" applyNumberFormat="1" applyFont="1" applyBorder="1"/>
    <xf numFmtId="4" fontId="11" fillId="0" borderId="0" xfId="0" applyNumberFormat="1" applyFont="1" applyBorder="1"/>
    <xf numFmtId="0" fontId="11" fillId="4" borderId="4" xfId="0" applyFont="1" applyFill="1" applyBorder="1"/>
    <xf numFmtId="0" fontId="11" fillId="0" borderId="0" xfId="0" applyFont="1" applyBorder="1"/>
    <xf numFmtId="0" fontId="15" fillId="0" borderId="0" xfId="0" applyFont="1"/>
    <xf numFmtId="10" fontId="15" fillId="0" borderId="0" xfId="1" applyNumberFormat="1" applyFont="1"/>
    <xf numFmtId="10" fontId="16" fillId="0" borderId="0" xfId="1" applyNumberFormat="1" applyFont="1"/>
    <xf numFmtId="0" fontId="8" fillId="0" borderId="23" xfId="0" applyFont="1" applyBorder="1"/>
    <xf numFmtId="0" fontId="0" fillId="0" borderId="0" xfId="0" applyNumberFormat="1" applyFont="1"/>
    <xf numFmtId="43" fontId="0" fillId="0" borderId="0" xfId="0" applyNumberFormat="1" applyFont="1"/>
    <xf numFmtId="4" fontId="0" fillId="0" borderId="0" xfId="0" applyNumberFormat="1" applyFont="1" applyAlignment="1">
      <alignment vertical="top"/>
    </xf>
    <xf numFmtId="165" fontId="7" fillId="0" borderId="12" xfId="0" applyNumberFormat="1" applyFont="1" applyBorder="1" applyAlignment="1">
      <alignment vertical="top"/>
    </xf>
    <xf numFmtId="165" fontId="7" fillId="0" borderId="15" xfId="0" applyNumberFormat="1" applyFont="1" applyBorder="1" applyAlignment="1">
      <alignment vertical="top"/>
    </xf>
    <xf numFmtId="10" fontId="8" fillId="0" borderId="10" xfId="1" applyNumberFormat="1" applyFont="1" applyBorder="1" applyAlignment="1">
      <alignment horizontal="right"/>
    </xf>
    <xf numFmtId="0" fontId="13" fillId="0" borderId="0" xfId="0" applyFont="1" applyBorder="1" applyAlignment="1">
      <alignment horizontal="left" vertical="top"/>
    </xf>
    <xf numFmtId="0" fontId="14" fillId="2" borderId="0" xfId="0" applyFont="1" applyFill="1" applyAlignment="1">
      <alignment horizont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top"/>
    </xf>
    <xf numFmtId="0" fontId="6" fillId="2" borderId="5" xfId="0" applyFont="1" applyFill="1" applyBorder="1" applyAlignment="1">
      <alignment horizontal="center" vertical="top"/>
    </xf>
    <xf numFmtId="0" fontId="12" fillId="5" borderId="0" xfId="0" applyFont="1" applyFill="1" applyBorder="1" applyAlignment="1">
      <alignment horizontal="center" vertical="center"/>
    </xf>
    <xf numFmtId="4" fontId="0" fillId="0" borderId="0" xfId="0" applyNumberFormat="1" applyAlignment="1">
      <alignment vertical="top"/>
    </xf>
    <xf numFmtId="4" fontId="0" fillId="0" borderId="0" xfId="0" applyNumberFormat="1" applyFont="1" applyAlignment="1">
      <alignment vertical="top"/>
    </xf>
    <xf numFmtId="0" fontId="10" fillId="4" borderId="4" xfId="0" applyFont="1" applyFill="1" applyBorder="1" applyAlignment="1">
      <alignment horizontal="left"/>
    </xf>
    <xf numFmtId="4" fontId="0" fillId="0" borderId="6" xfId="0" applyNumberFormat="1" applyBorder="1"/>
    <xf numFmtId="0" fontId="0" fillId="0" borderId="6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0" xfId="0" applyBorder="1"/>
    <xf numFmtId="0" fontId="0" fillId="0" borderId="10" xfId="0" applyBorder="1"/>
    <xf numFmtId="4" fontId="0" fillId="0" borderId="11" xfId="0" applyNumberFormat="1" applyBorder="1"/>
    <xf numFmtId="10" fontId="0" fillId="0" borderId="11" xfId="1" applyNumberFormat="1" applyFont="1" applyBorder="1"/>
    <xf numFmtId="0" fontId="0" fillId="0" borderId="10" xfId="0" applyBorder="1" applyAlignment="1">
      <alignment horizontal="right"/>
    </xf>
    <xf numFmtId="165" fontId="7" fillId="0" borderId="11" xfId="0" applyNumberFormat="1" applyFont="1" applyBorder="1" applyAlignment="1">
      <alignment horizontal="center" vertical="top"/>
    </xf>
    <xf numFmtId="165" fontId="7" fillId="0" borderId="10" xfId="0" applyNumberFormat="1" applyFont="1" applyBorder="1" applyAlignment="1">
      <alignment horizontal="center" vertical="top"/>
    </xf>
    <xf numFmtId="0" fontId="0" fillId="0" borderId="25" xfId="0" applyBorder="1"/>
    <xf numFmtId="4" fontId="0" fillId="0" borderId="26" xfId="0" applyNumberFormat="1" applyBorder="1"/>
    <xf numFmtId="0" fontId="0" fillId="0" borderId="27" xfId="0" applyBorder="1" applyAlignment="1">
      <alignment horizontal="right"/>
    </xf>
    <xf numFmtId="0" fontId="0" fillId="0" borderId="25" xfId="0" applyBorder="1" applyAlignment="1">
      <alignment horizontal="right"/>
    </xf>
    <xf numFmtId="4" fontId="0" fillId="0" borderId="28" xfId="0" applyNumberFormat="1" applyBorder="1"/>
    <xf numFmtId="165" fontId="7" fillId="0" borderId="28" xfId="0" applyNumberFormat="1" applyFont="1" applyBorder="1" applyAlignment="1">
      <alignment horizontal="center" vertical="top"/>
    </xf>
    <xf numFmtId="0" fontId="5" fillId="2" borderId="0" xfId="0" applyFont="1" applyFill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4" fontId="0" fillId="2" borderId="0" xfId="0" applyNumberFormat="1" applyFill="1" applyAlignment="1">
      <alignment vertical="top"/>
    </xf>
    <xf numFmtId="0" fontId="0" fillId="2" borderId="0" xfId="0" applyFill="1"/>
    <xf numFmtId="0" fontId="8" fillId="2" borderId="0" xfId="0" applyFont="1" applyFill="1"/>
    <xf numFmtId="0" fontId="8" fillId="0" borderId="3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3:Q46"/>
  <sheetViews>
    <sheetView showGridLines="0" tabSelected="1" topLeftCell="A14" zoomScaleNormal="100" workbookViewId="0">
      <selection activeCell="B34" sqref="B34"/>
    </sheetView>
  </sheetViews>
  <sheetFormatPr defaultRowHeight="15" x14ac:dyDescent="0.25"/>
  <cols>
    <col min="1" max="1" width="1.85546875" style="16" customWidth="1"/>
    <col min="2" max="2" width="40.28515625" style="16" bestFit="1" customWidth="1"/>
    <col min="3" max="3" width="11.7109375" style="16" bestFit="1" customWidth="1"/>
    <col min="4" max="14" width="10.7109375" style="16" bestFit="1" customWidth="1"/>
    <col min="15" max="15" width="14.5703125" style="16" bestFit="1" customWidth="1"/>
    <col min="16" max="16384" width="9.140625" style="16"/>
  </cols>
  <sheetData>
    <row r="3" spans="1:15" ht="21" x14ac:dyDescent="0.35">
      <c r="B3" s="89" t="s">
        <v>105</v>
      </c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</row>
    <row r="5" spans="1:15" x14ac:dyDescent="0.25">
      <c r="B5" s="88" t="s">
        <v>106</v>
      </c>
      <c r="C5" s="88"/>
      <c r="D5" s="88"/>
      <c r="E5" s="88"/>
      <c r="F5" s="88"/>
      <c r="G5" s="88"/>
      <c r="H5" s="88"/>
      <c r="I5" s="88"/>
      <c r="J5" s="88"/>
      <c r="K5" s="88"/>
      <c r="L5" s="88"/>
    </row>
    <row r="7" spans="1:15" ht="18.75" x14ac:dyDescent="0.3">
      <c r="A7" s="23" t="s">
        <v>5</v>
      </c>
      <c r="B7" s="114" t="s">
        <v>1</v>
      </c>
      <c r="C7" s="114"/>
      <c r="D7" s="115"/>
    </row>
    <row r="8" spans="1:15" ht="3.75" customHeight="1" x14ac:dyDescent="0.25">
      <c r="D8" s="29"/>
    </row>
    <row r="9" spans="1:15" x14ac:dyDescent="0.25">
      <c r="B9" s="49" t="s">
        <v>2</v>
      </c>
      <c r="C9" s="50" t="s">
        <v>3</v>
      </c>
      <c r="D9" s="51" t="s">
        <v>4</v>
      </c>
    </row>
    <row r="10" spans="1:15" ht="16.5" customHeight="1" x14ac:dyDescent="0.25">
      <c r="B10" s="25" t="s">
        <v>19</v>
      </c>
      <c r="C10" s="52">
        <v>300000</v>
      </c>
      <c r="D10" s="53" t="s">
        <v>6</v>
      </c>
    </row>
    <row r="11" spans="1:15" x14ac:dyDescent="0.25">
      <c r="B11" s="31" t="s">
        <v>7</v>
      </c>
      <c r="C11" s="33">
        <v>0.08</v>
      </c>
      <c r="D11" s="31"/>
    </row>
    <row r="12" spans="1:15" x14ac:dyDescent="0.25">
      <c r="B12" s="31" t="s">
        <v>8</v>
      </c>
      <c r="C12" s="54">
        <v>0.8</v>
      </c>
      <c r="D12" s="31"/>
    </row>
    <row r="13" spans="1:15" x14ac:dyDescent="0.25">
      <c r="B13" s="31" t="s">
        <v>9</v>
      </c>
      <c r="C13" s="54">
        <v>0.15</v>
      </c>
      <c r="D13" s="31"/>
    </row>
    <row r="14" spans="1:15" x14ac:dyDescent="0.25">
      <c r="B14" s="31" t="s">
        <v>10</v>
      </c>
      <c r="C14" s="54">
        <v>0.05</v>
      </c>
      <c r="D14" s="31"/>
    </row>
    <row r="15" spans="1:15" x14ac:dyDescent="0.25">
      <c r="B15" s="31" t="s">
        <v>11</v>
      </c>
      <c r="C15" s="54">
        <v>0.08</v>
      </c>
      <c r="D15" s="31"/>
    </row>
    <row r="16" spans="1:15" x14ac:dyDescent="0.25">
      <c r="B16" s="55" t="s">
        <v>12</v>
      </c>
      <c r="C16" s="56">
        <v>25</v>
      </c>
      <c r="D16" s="57" t="s">
        <v>13</v>
      </c>
    </row>
    <row r="17" spans="2:17" ht="30" x14ac:dyDescent="0.25">
      <c r="B17" s="55" t="s">
        <v>14</v>
      </c>
      <c r="C17" s="56">
        <v>2</v>
      </c>
      <c r="D17" s="58" t="s">
        <v>17</v>
      </c>
    </row>
    <row r="18" spans="2:17" x14ac:dyDescent="0.25">
      <c r="B18" s="55" t="s">
        <v>48</v>
      </c>
      <c r="C18" s="56">
        <v>60000</v>
      </c>
      <c r="D18" s="57" t="s">
        <v>18</v>
      </c>
    </row>
    <row r="19" spans="2:17" x14ac:dyDescent="0.25">
      <c r="B19" s="55" t="s">
        <v>15</v>
      </c>
      <c r="C19" s="56">
        <v>120000</v>
      </c>
      <c r="D19" s="57" t="s">
        <v>6</v>
      </c>
    </row>
    <row r="20" spans="2:17" x14ac:dyDescent="0.25">
      <c r="B20" s="55" t="s">
        <v>16</v>
      </c>
      <c r="C20" s="56">
        <v>60000</v>
      </c>
      <c r="D20" s="57" t="s">
        <v>6</v>
      </c>
    </row>
    <row r="21" spans="2:17" x14ac:dyDescent="0.25">
      <c r="B21" s="47"/>
      <c r="C21" s="47"/>
      <c r="D21" s="47"/>
    </row>
    <row r="22" spans="2:17" ht="18.75" x14ac:dyDescent="0.3">
      <c r="B22" s="113" t="s">
        <v>0</v>
      </c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</row>
    <row r="23" spans="2:17" ht="15.75" x14ac:dyDescent="0.25">
      <c r="B23" s="59" t="s">
        <v>20</v>
      </c>
      <c r="C23" s="18" t="s">
        <v>21</v>
      </c>
      <c r="D23" s="18" t="s">
        <v>22</v>
      </c>
      <c r="E23" s="18" t="s">
        <v>23</v>
      </c>
      <c r="F23" s="18" t="s">
        <v>24</v>
      </c>
      <c r="G23" s="18" t="s">
        <v>25</v>
      </c>
      <c r="H23" s="18" t="s">
        <v>26</v>
      </c>
      <c r="I23" s="18" t="s">
        <v>27</v>
      </c>
      <c r="J23" s="18" t="s">
        <v>28</v>
      </c>
      <c r="K23" s="18" t="s">
        <v>29</v>
      </c>
      <c r="L23" s="18" t="s">
        <v>30</v>
      </c>
      <c r="M23" s="18" t="s">
        <v>31</v>
      </c>
      <c r="N23" s="18" t="s">
        <v>32</v>
      </c>
      <c r="O23" s="18" t="s">
        <v>33</v>
      </c>
    </row>
    <row r="25" spans="2:17" x14ac:dyDescent="0.25">
      <c r="B25" s="60" t="s">
        <v>34</v>
      </c>
      <c r="C25" s="61">
        <f>C10</f>
        <v>300000</v>
      </c>
      <c r="D25" s="61">
        <f t="shared" ref="D25:N25" si="0">C25*(1+MRR_Growth_Rate)</f>
        <v>324000</v>
      </c>
      <c r="E25" s="61">
        <f t="shared" si="0"/>
        <v>349920</v>
      </c>
      <c r="F25" s="61">
        <f t="shared" si="0"/>
        <v>377913.60000000003</v>
      </c>
      <c r="G25" s="61">
        <f t="shared" si="0"/>
        <v>408146.68800000008</v>
      </c>
      <c r="H25" s="61">
        <f t="shared" si="0"/>
        <v>440798.42304000014</v>
      </c>
      <c r="I25" s="61">
        <f t="shared" si="0"/>
        <v>476062.29688320018</v>
      </c>
      <c r="J25" s="61">
        <f t="shared" si="0"/>
        <v>514147.28063385625</v>
      </c>
      <c r="K25" s="61">
        <f t="shared" si="0"/>
        <v>555279.06308456475</v>
      </c>
      <c r="L25" s="61">
        <f t="shared" si="0"/>
        <v>599701.38813133002</v>
      </c>
      <c r="M25" s="61">
        <f t="shared" si="0"/>
        <v>647677.49918183649</v>
      </c>
      <c r="N25" s="61">
        <f t="shared" si="0"/>
        <v>699491.69911638345</v>
      </c>
      <c r="O25" s="62">
        <f>SUM(C25:N25)</f>
        <v>5693137.9380711718</v>
      </c>
    </row>
    <row r="26" spans="2:17" x14ac:dyDescent="0.25">
      <c r="B26" s="29"/>
      <c r="C26" s="61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4"/>
    </row>
    <row r="27" spans="2:17" x14ac:dyDescent="0.25">
      <c r="B27" s="60" t="s">
        <v>35</v>
      </c>
      <c r="C27" s="61">
        <f t="shared" ref="C27:N27" si="1">C25*(1-Gross_Margin)</f>
        <v>59999.999999999985</v>
      </c>
      <c r="D27" s="61">
        <f t="shared" si="1"/>
        <v>64799.999999999985</v>
      </c>
      <c r="E27" s="61">
        <f t="shared" si="1"/>
        <v>69983.999999999985</v>
      </c>
      <c r="F27" s="61">
        <f t="shared" si="1"/>
        <v>75582.719999999987</v>
      </c>
      <c r="G27" s="61">
        <f t="shared" si="1"/>
        <v>81629.337599999999</v>
      </c>
      <c r="H27" s="61">
        <f t="shared" si="1"/>
        <v>88159.68460800001</v>
      </c>
      <c r="I27" s="61">
        <f t="shared" si="1"/>
        <v>95212.459376640021</v>
      </c>
      <c r="J27" s="61">
        <f t="shared" si="1"/>
        <v>102829.45612677123</v>
      </c>
      <c r="K27" s="61">
        <f t="shared" si="1"/>
        <v>111055.81261691292</v>
      </c>
      <c r="L27" s="61">
        <f t="shared" si="1"/>
        <v>119940.27762626598</v>
      </c>
      <c r="M27" s="61">
        <f t="shared" si="1"/>
        <v>129535.49983636726</v>
      </c>
      <c r="N27" s="61">
        <f t="shared" si="1"/>
        <v>139898.33982327665</v>
      </c>
      <c r="O27" s="62">
        <f>SUM(C27:N27)</f>
        <v>1138627.5876142341</v>
      </c>
    </row>
    <row r="28" spans="2:17" x14ac:dyDescent="0.25">
      <c r="B28" s="29"/>
      <c r="C28" s="65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4"/>
    </row>
    <row r="29" spans="2:17" ht="15.75" thickBot="1" x14ac:dyDescent="0.3">
      <c r="B29" s="67" t="s">
        <v>8</v>
      </c>
      <c r="C29" s="68">
        <f>C25-C27</f>
        <v>240000</v>
      </c>
      <c r="D29" s="68">
        <f t="shared" ref="D29:N29" si="2">D25-D27</f>
        <v>259200</v>
      </c>
      <c r="E29" s="68">
        <f t="shared" si="2"/>
        <v>279936</v>
      </c>
      <c r="F29" s="68">
        <f t="shared" si="2"/>
        <v>302330.88000000006</v>
      </c>
      <c r="G29" s="68">
        <f t="shared" si="2"/>
        <v>326517.35040000011</v>
      </c>
      <c r="H29" s="68">
        <f t="shared" si="2"/>
        <v>352638.73843200016</v>
      </c>
      <c r="I29" s="68">
        <f t="shared" si="2"/>
        <v>380849.83750656014</v>
      </c>
      <c r="J29" s="68">
        <f t="shared" si="2"/>
        <v>411317.82450708502</v>
      </c>
      <c r="K29" s="68">
        <f t="shared" si="2"/>
        <v>444223.25046765181</v>
      </c>
      <c r="L29" s="68">
        <f t="shared" si="2"/>
        <v>479761.11050506402</v>
      </c>
      <c r="M29" s="68">
        <f t="shared" si="2"/>
        <v>518141.99934546923</v>
      </c>
      <c r="N29" s="68">
        <f t="shared" si="2"/>
        <v>559593.35929310683</v>
      </c>
      <c r="O29" s="68">
        <f t="shared" ref="O29" si="3">SUM(C29:N29)</f>
        <v>4554510.3504569381</v>
      </c>
      <c r="P29" s="25"/>
      <c r="Q29" s="25"/>
    </row>
    <row r="30" spans="2:17" x14ac:dyDescent="0.25">
      <c r="B30" s="69" t="s">
        <v>36</v>
      </c>
      <c r="C30" s="70">
        <f>C29/C25</f>
        <v>0.8</v>
      </c>
      <c r="D30" s="71">
        <f t="shared" ref="D30:O30" si="4">D29/D25</f>
        <v>0.8</v>
      </c>
      <c r="E30" s="71">
        <f t="shared" si="4"/>
        <v>0.8</v>
      </c>
      <c r="F30" s="71">
        <f t="shared" si="4"/>
        <v>0.8</v>
      </c>
      <c r="G30" s="71">
        <f t="shared" si="4"/>
        <v>0.80000000000000016</v>
      </c>
      <c r="H30" s="71">
        <f t="shared" si="4"/>
        <v>0.80000000000000016</v>
      </c>
      <c r="I30" s="71">
        <f t="shared" si="4"/>
        <v>0.8</v>
      </c>
      <c r="J30" s="71">
        <f t="shared" si="4"/>
        <v>0.8</v>
      </c>
      <c r="K30" s="71">
        <f t="shared" si="4"/>
        <v>0.8</v>
      </c>
      <c r="L30" s="71">
        <f t="shared" si="4"/>
        <v>0.8</v>
      </c>
      <c r="M30" s="71">
        <f t="shared" si="4"/>
        <v>0.8</v>
      </c>
      <c r="N30" s="71">
        <f t="shared" si="4"/>
        <v>0.8</v>
      </c>
      <c r="O30" s="72">
        <f t="shared" si="4"/>
        <v>0.80000000000000016</v>
      </c>
      <c r="P30" s="25"/>
      <c r="Q30" s="25"/>
    </row>
    <row r="31" spans="2:17" x14ac:dyDescent="0.25"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4"/>
      <c r="O31" s="75"/>
      <c r="P31" s="25"/>
      <c r="Q31" s="25"/>
    </row>
    <row r="32" spans="2:17" x14ac:dyDescent="0.25">
      <c r="B32" s="23" t="s">
        <v>37</v>
      </c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5"/>
      <c r="P32" s="25"/>
      <c r="Q32" s="25"/>
    </row>
    <row r="33" spans="2:17" x14ac:dyDescent="0.25">
      <c r="B33" s="16" t="s">
        <v>38</v>
      </c>
      <c r="C33" s="73">
        <f>C25*$C$13</f>
        <v>45000</v>
      </c>
      <c r="D33" s="73">
        <f t="shared" ref="D33:N33" si="5">D25*$C$13</f>
        <v>48600</v>
      </c>
      <c r="E33" s="73">
        <f t="shared" si="5"/>
        <v>52488</v>
      </c>
      <c r="F33" s="73">
        <f t="shared" si="5"/>
        <v>56687.040000000001</v>
      </c>
      <c r="G33" s="73">
        <f t="shared" si="5"/>
        <v>61222.003200000006</v>
      </c>
      <c r="H33" s="73">
        <f t="shared" si="5"/>
        <v>66119.763456000015</v>
      </c>
      <c r="I33" s="73">
        <f t="shared" si="5"/>
        <v>71409.344532480027</v>
      </c>
      <c r="J33" s="73">
        <f t="shared" si="5"/>
        <v>77122.092095078435</v>
      </c>
      <c r="K33" s="73">
        <f t="shared" si="5"/>
        <v>83291.859462684704</v>
      </c>
      <c r="L33" s="73">
        <f t="shared" si="5"/>
        <v>89955.208219699503</v>
      </c>
      <c r="M33" s="73">
        <f t="shared" si="5"/>
        <v>97151.624877275477</v>
      </c>
      <c r="N33" s="73">
        <f t="shared" si="5"/>
        <v>104923.75486745751</v>
      </c>
      <c r="O33" s="75">
        <f t="shared" ref="O33:O39" si="6">SUM(C33:N33)</f>
        <v>853970.69071067567</v>
      </c>
      <c r="P33" s="25"/>
      <c r="Q33" s="25"/>
    </row>
    <row r="34" spans="2:17" x14ac:dyDescent="0.25">
      <c r="B34" s="16" t="s">
        <v>39</v>
      </c>
      <c r="C34" s="73">
        <f>C25*$C$14</f>
        <v>15000</v>
      </c>
      <c r="D34" s="73">
        <f t="shared" ref="D34:N34" si="7">D25*$C$14</f>
        <v>16200</v>
      </c>
      <c r="E34" s="73">
        <f t="shared" si="7"/>
        <v>17496</v>
      </c>
      <c r="F34" s="73">
        <f t="shared" si="7"/>
        <v>18895.680000000004</v>
      </c>
      <c r="G34" s="73">
        <f t="shared" si="7"/>
        <v>20407.334400000007</v>
      </c>
      <c r="H34" s="73">
        <f t="shared" si="7"/>
        <v>22039.92115200001</v>
      </c>
      <c r="I34" s="73">
        <f t="shared" si="7"/>
        <v>23803.114844160009</v>
      </c>
      <c r="J34" s="73">
        <f t="shared" si="7"/>
        <v>25707.364031692814</v>
      </c>
      <c r="K34" s="73">
        <f t="shared" si="7"/>
        <v>27763.953154228238</v>
      </c>
      <c r="L34" s="73">
        <f t="shared" si="7"/>
        <v>29985.069406566501</v>
      </c>
      <c r="M34" s="73">
        <f t="shared" si="7"/>
        <v>32383.874959091827</v>
      </c>
      <c r="N34" s="73">
        <f t="shared" si="7"/>
        <v>34974.584955819177</v>
      </c>
      <c r="O34" s="75">
        <f t="shared" si="6"/>
        <v>284656.89690355863</v>
      </c>
      <c r="P34" s="25"/>
      <c r="Q34" s="25"/>
    </row>
    <row r="35" spans="2:17" x14ac:dyDescent="0.25">
      <c r="B35" s="16" t="s">
        <v>40</v>
      </c>
      <c r="C35" s="73">
        <f>C25*$C$15</f>
        <v>24000</v>
      </c>
      <c r="D35" s="73">
        <f t="shared" ref="D35:N35" si="8">D25*$C$15</f>
        <v>25920</v>
      </c>
      <c r="E35" s="73">
        <f t="shared" si="8"/>
        <v>27993.600000000002</v>
      </c>
      <c r="F35" s="73">
        <f t="shared" si="8"/>
        <v>30233.088000000003</v>
      </c>
      <c r="G35" s="73">
        <f t="shared" si="8"/>
        <v>32651.735040000007</v>
      </c>
      <c r="H35" s="73">
        <f t="shared" si="8"/>
        <v>35263.87384320001</v>
      </c>
      <c r="I35" s="73">
        <f t="shared" si="8"/>
        <v>38084.983750656014</v>
      </c>
      <c r="J35" s="73">
        <f t="shared" si="8"/>
        <v>41131.782450708502</v>
      </c>
      <c r="K35" s="73">
        <f t="shared" si="8"/>
        <v>44422.325046765181</v>
      </c>
      <c r="L35" s="73">
        <f t="shared" si="8"/>
        <v>47976.111050506406</v>
      </c>
      <c r="M35" s="73">
        <f t="shared" si="8"/>
        <v>51814.199934546923</v>
      </c>
      <c r="N35" s="73">
        <f t="shared" si="8"/>
        <v>55959.335929310677</v>
      </c>
      <c r="O35" s="75">
        <f t="shared" si="6"/>
        <v>455451.03504569374</v>
      </c>
      <c r="P35" s="25"/>
      <c r="Q35" s="25"/>
    </row>
    <row r="36" spans="2:17" x14ac:dyDescent="0.25">
      <c r="B36" s="16" t="s">
        <v>41</v>
      </c>
      <c r="C36" s="73">
        <f>$C$18/12*C44</f>
        <v>125000</v>
      </c>
      <c r="D36" s="73">
        <f t="shared" ref="D36:N36" si="9">$C$18/12*D44</f>
        <v>135000</v>
      </c>
      <c r="E36" s="73">
        <f t="shared" si="9"/>
        <v>145000</v>
      </c>
      <c r="F36" s="73">
        <f t="shared" si="9"/>
        <v>155000</v>
      </c>
      <c r="G36" s="73">
        <f t="shared" si="9"/>
        <v>165000</v>
      </c>
      <c r="H36" s="73">
        <f t="shared" si="9"/>
        <v>175000</v>
      </c>
      <c r="I36" s="73">
        <f t="shared" si="9"/>
        <v>185000</v>
      </c>
      <c r="J36" s="73">
        <f t="shared" si="9"/>
        <v>195000</v>
      </c>
      <c r="K36" s="73">
        <f t="shared" si="9"/>
        <v>205000</v>
      </c>
      <c r="L36" s="73">
        <f t="shared" si="9"/>
        <v>215000</v>
      </c>
      <c r="M36" s="73">
        <f t="shared" si="9"/>
        <v>225000</v>
      </c>
      <c r="N36" s="73">
        <f t="shared" si="9"/>
        <v>235000</v>
      </c>
      <c r="O36" s="75">
        <f t="shared" si="6"/>
        <v>2160000</v>
      </c>
      <c r="P36" s="25"/>
      <c r="Q36" s="25"/>
    </row>
    <row r="37" spans="2:17" x14ac:dyDescent="0.25">
      <c r="B37" s="16" t="s">
        <v>42</v>
      </c>
      <c r="C37" s="73">
        <f t="shared" ref="C37:N37" si="10">Office_Rent/12</f>
        <v>10000</v>
      </c>
      <c r="D37" s="73">
        <f t="shared" si="10"/>
        <v>10000</v>
      </c>
      <c r="E37" s="73">
        <f t="shared" si="10"/>
        <v>10000</v>
      </c>
      <c r="F37" s="73">
        <f t="shared" si="10"/>
        <v>10000</v>
      </c>
      <c r="G37" s="73">
        <f t="shared" si="10"/>
        <v>10000</v>
      </c>
      <c r="H37" s="73">
        <f t="shared" si="10"/>
        <v>10000</v>
      </c>
      <c r="I37" s="73">
        <f t="shared" si="10"/>
        <v>10000</v>
      </c>
      <c r="J37" s="73">
        <f t="shared" si="10"/>
        <v>10000</v>
      </c>
      <c r="K37" s="73">
        <f t="shared" si="10"/>
        <v>10000</v>
      </c>
      <c r="L37" s="73">
        <f t="shared" si="10"/>
        <v>10000</v>
      </c>
      <c r="M37" s="73">
        <f t="shared" si="10"/>
        <v>10000</v>
      </c>
      <c r="N37" s="73">
        <f t="shared" si="10"/>
        <v>10000</v>
      </c>
      <c r="O37" s="75">
        <f t="shared" si="6"/>
        <v>120000</v>
      </c>
      <c r="P37" s="25"/>
      <c r="Q37" s="25"/>
    </row>
    <row r="38" spans="2:17" x14ac:dyDescent="0.25">
      <c r="B38" s="16" t="s">
        <v>43</v>
      </c>
      <c r="C38" s="73">
        <f t="shared" ref="C38:N38" si="11">Software_tools/12</f>
        <v>5000</v>
      </c>
      <c r="D38" s="73">
        <f t="shared" si="11"/>
        <v>5000</v>
      </c>
      <c r="E38" s="73">
        <f t="shared" si="11"/>
        <v>5000</v>
      </c>
      <c r="F38" s="73">
        <f t="shared" si="11"/>
        <v>5000</v>
      </c>
      <c r="G38" s="73">
        <f t="shared" si="11"/>
        <v>5000</v>
      </c>
      <c r="H38" s="73">
        <f t="shared" si="11"/>
        <v>5000</v>
      </c>
      <c r="I38" s="73">
        <f t="shared" si="11"/>
        <v>5000</v>
      </c>
      <c r="J38" s="73">
        <f t="shared" si="11"/>
        <v>5000</v>
      </c>
      <c r="K38" s="73">
        <f t="shared" si="11"/>
        <v>5000</v>
      </c>
      <c r="L38" s="73">
        <f t="shared" si="11"/>
        <v>5000</v>
      </c>
      <c r="M38" s="73">
        <f t="shared" si="11"/>
        <v>5000</v>
      </c>
      <c r="N38" s="73">
        <f t="shared" si="11"/>
        <v>5000</v>
      </c>
      <c r="O38" s="75">
        <f t="shared" si="6"/>
        <v>60000</v>
      </c>
      <c r="P38" s="25"/>
      <c r="Q38" s="25"/>
    </row>
    <row r="39" spans="2:17" ht="15.75" thickBot="1" x14ac:dyDescent="0.3">
      <c r="B39" s="76" t="s">
        <v>44</v>
      </c>
      <c r="C39" s="68">
        <f t="shared" ref="C39:N39" si="12">SUM(C33:C38)</f>
        <v>224000</v>
      </c>
      <c r="D39" s="68">
        <f t="shared" si="12"/>
        <v>240720</v>
      </c>
      <c r="E39" s="68">
        <f t="shared" si="12"/>
        <v>257977.60000000001</v>
      </c>
      <c r="F39" s="68">
        <f t="shared" si="12"/>
        <v>275815.80800000002</v>
      </c>
      <c r="G39" s="68">
        <f t="shared" si="12"/>
        <v>294281.07264000003</v>
      </c>
      <c r="H39" s="68">
        <f t="shared" si="12"/>
        <v>313423.55845120002</v>
      </c>
      <c r="I39" s="68">
        <f t="shared" si="12"/>
        <v>333297.44312729605</v>
      </c>
      <c r="J39" s="68">
        <f t="shared" si="12"/>
        <v>353961.23857747973</v>
      </c>
      <c r="K39" s="68">
        <f t="shared" si="12"/>
        <v>375478.13766367815</v>
      </c>
      <c r="L39" s="68">
        <f t="shared" si="12"/>
        <v>397916.38867677242</v>
      </c>
      <c r="M39" s="68">
        <f t="shared" si="12"/>
        <v>421349.69977091422</v>
      </c>
      <c r="N39" s="68">
        <f t="shared" si="12"/>
        <v>445857.67575258738</v>
      </c>
      <c r="O39" s="68">
        <f t="shared" si="6"/>
        <v>3934078.6226599282</v>
      </c>
      <c r="P39" s="25"/>
      <c r="Q39" s="25"/>
    </row>
    <row r="40" spans="2:17" x14ac:dyDescent="0.25"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77"/>
      <c r="P40" s="25"/>
      <c r="Q40" s="25"/>
    </row>
    <row r="41" spans="2:17" ht="15.75" thickBot="1" x14ac:dyDescent="0.3">
      <c r="B41" s="76" t="s">
        <v>45</v>
      </c>
      <c r="C41" s="68">
        <f t="shared" ref="C41:O41" si="13">C29-C39</f>
        <v>16000</v>
      </c>
      <c r="D41" s="68">
        <f t="shared" si="13"/>
        <v>18480</v>
      </c>
      <c r="E41" s="68">
        <f t="shared" si="13"/>
        <v>21958.399999999994</v>
      </c>
      <c r="F41" s="68">
        <f t="shared" si="13"/>
        <v>26515.072000000044</v>
      </c>
      <c r="G41" s="68">
        <f t="shared" si="13"/>
        <v>32236.277760000085</v>
      </c>
      <c r="H41" s="68">
        <f t="shared" si="13"/>
        <v>39215.179980800138</v>
      </c>
      <c r="I41" s="68">
        <f t="shared" si="13"/>
        <v>47552.394379264093</v>
      </c>
      <c r="J41" s="68">
        <f t="shared" si="13"/>
        <v>57356.585929605295</v>
      </c>
      <c r="K41" s="68">
        <f t="shared" si="13"/>
        <v>68745.112803973665</v>
      </c>
      <c r="L41" s="68">
        <f t="shared" si="13"/>
        <v>81844.7218282916</v>
      </c>
      <c r="M41" s="68">
        <f t="shared" si="13"/>
        <v>96792.299574555014</v>
      </c>
      <c r="N41" s="68">
        <f t="shared" si="13"/>
        <v>113735.68354051944</v>
      </c>
      <c r="O41" s="68">
        <f t="shared" si="13"/>
        <v>620431.72779700998</v>
      </c>
    </row>
    <row r="42" spans="2:17" x14ac:dyDescent="0.25">
      <c r="B42" s="78" t="s">
        <v>46</v>
      </c>
      <c r="C42" s="79">
        <f t="shared" ref="C42:N42" si="14">C41/C25</f>
        <v>5.3333333333333337E-2</v>
      </c>
      <c r="D42" s="79">
        <f t="shared" si="14"/>
        <v>5.7037037037037039E-2</v>
      </c>
      <c r="E42" s="79">
        <f t="shared" si="14"/>
        <v>6.2752629172382238E-2</v>
      </c>
      <c r="F42" s="79">
        <f t="shared" si="14"/>
        <v>7.0161730088570615E-2</v>
      </c>
      <c r="G42" s="79">
        <f t="shared" si="14"/>
        <v>7.8982088322128136E-2</v>
      </c>
      <c r="H42" s="79">
        <f t="shared" si="14"/>
        <v>8.896397521195662E-2</v>
      </c>
      <c r="I42" s="79">
        <f t="shared" si="14"/>
        <v>9.9886915411263641E-2</v>
      </c>
      <c r="J42" s="79">
        <f t="shared" si="14"/>
        <v>0.11155672331650644</v>
      </c>
      <c r="K42" s="79">
        <f t="shared" si="14"/>
        <v>0.12380281803188446</v>
      </c>
      <c r="L42" s="79">
        <f t="shared" si="14"/>
        <v>0.13647579186588146</v>
      </c>
      <c r="M42" s="79">
        <f t="shared" si="14"/>
        <v>0.14944520953225274</v>
      </c>
      <c r="N42" s="79">
        <f t="shared" si="14"/>
        <v>0.16259761721860802</v>
      </c>
      <c r="O42" s="80">
        <f>O41/O25</f>
        <v>0.10897886798913772</v>
      </c>
    </row>
    <row r="43" spans="2:17" x14ac:dyDescent="0.25">
      <c r="B43" s="29"/>
      <c r="O43" s="23"/>
    </row>
    <row r="44" spans="2:17" x14ac:dyDescent="0.25">
      <c r="B44" s="60" t="s">
        <v>47</v>
      </c>
      <c r="C44" s="81">
        <f>Inital_headcount</f>
        <v>25</v>
      </c>
      <c r="D44" s="81">
        <f>C44+$C$17</f>
        <v>27</v>
      </c>
      <c r="E44" s="81">
        <f t="shared" ref="E44:N44" si="15">D44+$C$17</f>
        <v>29</v>
      </c>
      <c r="F44" s="81">
        <f t="shared" si="15"/>
        <v>31</v>
      </c>
      <c r="G44" s="81">
        <f t="shared" si="15"/>
        <v>33</v>
      </c>
      <c r="H44" s="81">
        <f t="shared" si="15"/>
        <v>35</v>
      </c>
      <c r="I44" s="81">
        <f t="shared" si="15"/>
        <v>37</v>
      </c>
      <c r="J44" s="81">
        <f t="shared" si="15"/>
        <v>39</v>
      </c>
      <c r="K44" s="81">
        <f t="shared" si="15"/>
        <v>41</v>
      </c>
      <c r="L44" s="81">
        <f t="shared" si="15"/>
        <v>43</v>
      </c>
      <c r="M44" s="81">
        <f t="shared" si="15"/>
        <v>45</v>
      </c>
      <c r="N44" s="81">
        <f t="shared" si="15"/>
        <v>47</v>
      </c>
      <c r="O44" s="81">
        <f>N44</f>
        <v>47</v>
      </c>
    </row>
    <row r="45" spans="2:17" x14ac:dyDescent="0.25">
      <c r="B45" s="123"/>
      <c r="C45" s="123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</row>
    <row r="46" spans="2:17" x14ac:dyDescent="0.25"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</row>
  </sheetData>
  <mergeCells count="4">
    <mergeCell ref="B5:L5"/>
    <mergeCell ref="B7:D7"/>
    <mergeCell ref="B22:O22"/>
    <mergeCell ref="B3:O3"/>
  </mergeCells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B2:N26"/>
  <sheetViews>
    <sheetView showGridLines="0" topLeftCell="A12" zoomScaleNormal="100" workbookViewId="0">
      <selection activeCell="B26" sqref="B26:E26"/>
    </sheetView>
  </sheetViews>
  <sheetFormatPr defaultRowHeight="15" x14ac:dyDescent="0.25"/>
  <cols>
    <col min="1" max="1" width="1.85546875" customWidth="1"/>
    <col min="2" max="2" width="17.5703125" bestFit="1" customWidth="1"/>
    <col min="3" max="3" width="15.7109375" customWidth="1"/>
    <col min="4" max="4" width="14.42578125" bestFit="1" customWidth="1"/>
    <col min="5" max="5" width="23.5703125" bestFit="1" customWidth="1"/>
    <col min="11" max="11" width="17.5703125" bestFit="1" customWidth="1"/>
    <col min="12" max="12" width="14.85546875" bestFit="1" customWidth="1"/>
    <col min="13" max="13" width="7.140625" bestFit="1" customWidth="1"/>
    <col min="14" max="14" width="17.42578125" bestFit="1" customWidth="1"/>
  </cols>
  <sheetData>
    <row r="2" spans="2:14" ht="18.75" x14ac:dyDescent="0.25">
      <c r="B2" s="90" t="s">
        <v>107</v>
      </c>
      <c r="C2" s="91"/>
      <c r="D2" s="91"/>
      <c r="E2" s="92"/>
    </row>
    <row r="3" spans="2:14" x14ac:dyDescent="0.25">
      <c r="B3" s="1"/>
      <c r="C3" s="1"/>
      <c r="D3" s="1"/>
      <c r="E3" s="14"/>
    </row>
    <row r="4" spans="2:14" ht="18.75" x14ac:dyDescent="0.25">
      <c r="B4" s="90" t="s">
        <v>49</v>
      </c>
      <c r="C4" s="91"/>
      <c r="D4" s="91"/>
      <c r="E4" s="92"/>
    </row>
    <row r="5" spans="2:14" ht="15.75" x14ac:dyDescent="0.25">
      <c r="B5" s="4" t="s">
        <v>20</v>
      </c>
      <c r="C5" s="3" t="s">
        <v>50</v>
      </c>
      <c r="D5" s="3" t="s">
        <v>51</v>
      </c>
      <c r="E5" s="13" t="s">
        <v>52</v>
      </c>
    </row>
    <row r="6" spans="2:14" ht="3.75" customHeight="1" x14ac:dyDescent="0.25">
      <c r="E6" s="12"/>
    </row>
    <row r="7" spans="2:14" x14ac:dyDescent="0.25">
      <c r="B7" s="107" t="s">
        <v>53</v>
      </c>
      <c r="C7" s="108">
        <v>15000000</v>
      </c>
      <c r="D7" s="109" t="s">
        <v>104</v>
      </c>
      <c r="E7" s="110" t="s">
        <v>60</v>
      </c>
      <c r="K7" s="5"/>
      <c r="L7" s="6"/>
      <c r="M7" s="2"/>
      <c r="N7" s="2"/>
    </row>
    <row r="8" spans="2:14" x14ac:dyDescent="0.25">
      <c r="B8" s="101" t="s">
        <v>54</v>
      </c>
      <c r="C8" s="111">
        <v>11250000</v>
      </c>
      <c r="D8" s="103">
        <f>C8/$C$7</f>
        <v>0.75</v>
      </c>
      <c r="E8" s="104" t="s">
        <v>61</v>
      </c>
      <c r="K8" s="7"/>
      <c r="L8" s="8"/>
      <c r="M8" s="9"/>
      <c r="N8" s="10"/>
    </row>
    <row r="9" spans="2:14" x14ac:dyDescent="0.25">
      <c r="B9" s="101" t="s">
        <v>55</v>
      </c>
      <c r="C9" s="112">
        <v>5250000</v>
      </c>
      <c r="D9" s="103">
        <f t="shared" ref="D9:D13" si="0">C9/$C$7</f>
        <v>0.35</v>
      </c>
      <c r="E9" s="104" t="s">
        <v>62</v>
      </c>
      <c r="K9" s="7"/>
      <c r="L9" s="11"/>
      <c r="M9" s="9"/>
      <c r="N9" s="10"/>
    </row>
    <row r="10" spans="2:14" x14ac:dyDescent="0.25">
      <c r="B10" s="101" t="s">
        <v>56</v>
      </c>
      <c r="C10" s="112">
        <v>3000000</v>
      </c>
      <c r="D10" s="103">
        <f t="shared" si="0"/>
        <v>0.2</v>
      </c>
      <c r="E10" s="104" t="s">
        <v>63</v>
      </c>
      <c r="K10" s="7"/>
      <c r="L10" s="11"/>
      <c r="M10" s="9"/>
      <c r="N10" s="10"/>
    </row>
    <row r="11" spans="2:14" x14ac:dyDescent="0.25">
      <c r="B11" s="101" t="s">
        <v>57</v>
      </c>
      <c r="C11" s="112">
        <v>1500000</v>
      </c>
      <c r="D11" s="103">
        <f t="shared" si="0"/>
        <v>0.1</v>
      </c>
      <c r="E11" s="104" t="s">
        <v>64</v>
      </c>
      <c r="K11" s="7"/>
      <c r="L11" s="11"/>
      <c r="M11" s="9"/>
      <c r="N11" s="10"/>
    </row>
    <row r="12" spans="2:14" x14ac:dyDescent="0.25">
      <c r="B12" s="101" t="s">
        <v>58</v>
      </c>
      <c r="C12" s="112">
        <v>9750000</v>
      </c>
      <c r="D12" s="103">
        <f t="shared" si="0"/>
        <v>0.65</v>
      </c>
      <c r="E12" s="104" t="s">
        <v>65</v>
      </c>
      <c r="K12" s="7"/>
      <c r="L12" s="11"/>
      <c r="M12" s="9"/>
      <c r="N12" s="10"/>
    </row>
    <row r="13" spans="2:14" x14ac:dyDescent="0.25">
      <c r="B13" s="101" t="s">
        <v>59</v>
      </c>
      <c r="C13" s="112">
        <v>1500000</v>
      </c>
      <c r="D13" s="103">
        <f t="shared" si="0"/>
        <v>0.1</v>
      </c>
      <c r="E13" s="104" t="s">
        <v>66</v>
      </c>
      <c r="K13" s="7"/>
      <c r="L13" s="11"/>
      <c r="M13" s="9"/>
      <c r="N13" s="10"/>
    </row>
    <row r="14" spans="2:14" x14ac:dyDescent="0.25">
      <c r="B14" s="100"/>
      <c r="C14" s="100"/>
      <c r="D14" s="100"/>
      <c r="E14" s="12"/>
    </row>
    <row r="15" spans="2:14" ht="18.75" x14ac:dyDescent="0.25">
      <c r="B15" s="90" t="s">
        <v>67</v>
      </c>
      <c r="C15" s="91"/>
      <c r="D15" s="91"/>
      <c r="E15" s="92"/>
    </row>
    <row r="16" spans="2:14" ht="15.75" x14ac:dyDescent="0.25">
      <c r="B16" s="4" t="s">
        <v>20</v>
      </c>
      <c r="C16" s="3" t="s">
        <v>50</v>
      </c>
      <c r="D16" s="3" t="s">
        <v>51</v>
      </c>
      <c r="E16" s="13" t="s">
        <v>52</v>
      </c>
    </row>
    <row r="17" spans="2:7" ht="3" customHeight="1" x14ac:dyDescent="0.25">
      <c r="E17" s="12"/>
    </row>
    <row r="18" spans="2:7" x14ac:dyDescent="0.25">
      <c r="B18" s="12" t="s">
        <v>53</v>
      </c>
      <c r="C18" s="97">
        <v>12500000</v>
      </c>
      <c r="D18" s="98" t="s">
        <v>104</v>
      </c>
      <c r="E18" s="99" t="s">
        <v>68</v>
      </c>
      <c r="G18" s="7"/>
    </row>
    <row r="19" spans="2:7" x14ac:dyDescent="0.25">
      <c r="B19" s="101" t="s">
        <v>54</v>
      </c>
      <c r="C19" s="102">
        <v>9375000</v>
      </c>
      <c r="D19" s="103">
        <f>C19/$C$18</f>
        <v>0.75</v>
      </c>
      <c r="E19" s="104" t="s">
        <v>69</v>
      </c>
      <c r="G19" s="7"/>
    </row>
    <row r="20" spans="2:7" x14ac:dyDescent="0.25">
      <c r="B20" s="101" t="s">
        <v>55</v>
      </c>
      <c r="C20" s="105">
        <v>4625000</v>
      </c>
      <c r="D20" s="103">
        <f t="shared" ref="D20:D24" si="1">C20/$C$18</f>
        <v>0.37</v>
      </c>
      <c r="E20" s="104" t="s">
        <v>70</v>
      </c>
      <c r="G20" s="7"/>
    </row>
    <row r="21" spans="2:7" x14ac:dyDescent="0.25">
      <c r="B21" s="101" t="s">
        <v>56</v>
      </c>
      <c r="C21" s="105">
        <v>3500000</v>
      </c>
      <c r="D21" s="103">
        <f t="shared" si="1"/>
        <v>0.28000000000000003</v>
      </c>
      <c r="E21" s="104" t="s">
        <v>70</v>
      </c>
      <c r="G21" s="7"/>
    </row>
    <row r="22" spans="2:7" x14ac:dyDescent="0.25">
      <c r="B22" s="101" t="s">
        <v>57</v>
      </c>
      <c r="C22" s="105">
        <v>2125000</v>
      </c>
      <c r="D22" s="103">
        <f t="shared" si="1"/>
        <v>0.17</v>
      </c>
      <c r="E22" s="104" t="s">
        <v>70</v>
      </c>
      <c r="G22" s="7"/>
    </row>
    <row r="23" spans="2:7" x14ac:dyDescent="0.25">
      <c r="B23" s="101" t="s">
        <v>58</v>
      </c>
      <c r="C23" s="105">
        <v>10250000</v>
      </c>
      <c r="D23" s="103">
        <f t="shared" si="1"/>
        <v>0.82</v>
      </c>
      <c r="E23" s="104" t="s">
        <v>71</v>
      </c>
      <c r="G23" s="7"/>
    </row>
    <row r="24" spans="2:7" x14ac:dyDescent="0.25">
      <c r="B24" s="101" t="s">
        <v>59</v>
      </c>
      <c r="C24" s="106">
        <v>-875000</v>
      </c>
      <c r="D24" s="103">
        <f t="shared" si="1"/>
        <v>-7.0000000000000007E-2</v>
      </c>
      <c r="E24" s="104" t="s">
        <v>72</v>
      </c>
      <c r="G24" s="7"/>
    </row>
    <row r="25" spans="2:7" x14ac:dyDescent="0.25">
      <c r="B25" s="100"/>
      <c r="C25" s="100"/>
      <c r="D25" s="100"/>
      <c r="E25" s="12"/>
    </row>
    <row r="26" spans="2:7" x14ac:dyDescent="0.25">
      <c r="B26" s="121"/>
      <c r="C26" s="121"/>
      <c r="D26" s="121"/>
      <c r="E26" s="121"/>
    </row>
  </sheetData>
  <mergeCells count="3">
    <mergeCell ref="B2:E2"/>
    <mergeCell ref="B4:E4"/>
    <mergeCell ref="B15:E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2:L46"/>
  <sheetViews>
    <sheetView showGridLines="0" topLeftCell="A18" zoomScale="85" zoomScaleNormal="85" workbookViewId="0">
      <selection activeCell="B42" sqref="B42:F42"/>
    </sheetView>
  </sheetViews>
  <sheetFormatPr defaultRowHeight="15" x14ac:dyDescent="0.25"/>
  <cols>
    <col min="1" max="1" width="1.85546875" style="16" customWidth="1"/>
    <col min="2" max="2" width="24.85546875" style="16" customWidth="1"/>
    <col min="3" max="3" width="24.42578125" style="16" customWidth="1"/>
    <col min="4" max="4" width="24.5703125" style="16" customWidth="1"/>
    <col min="5" max="5" width="18.42578125" style="16" customWidth="1"/>
    <col min="6" max="6" width="40.42578125" style="16" customWidth="1"/>
    <col min="7" max="7" width="9.140625" style="16"/>
    <col min="8" max="8" width="11.28515625" style="16" bestFit="1" customWidth="1"/>
    <col min="9" max="9" width="11.140625" style="16" bestFit="1" customWidth="1"/>
    <col min="10" max="10" width="11.85546875" style="16" bestFit="1" customWidth="1"/>
    <col min="11" max="11" width="14.42578125" style="16" bestFit="1" customWidth="1"/>
    <col min="12" max="12" width="33.5703125" style="16" bestFit="1" customWidth="1"/>
    <col min="13" max="16384" width="9.140625" style="16"/>
  </cols>
  <sheetData>
    <row r="2" spans="1:12" ht="21" x14ac:dyDescent="0.25">
      <c r="B2" s="93" t="s">
        <v>73</v>
      </c>
      <c r="C2" s="93"/>
      <c r="D2" s="93"/>
      <c r="E2" s="93"/>
      <c r="F2" s="93"/>
    </row>
    <row r="4" spans="1:12" ht="18.75" x14ac:dyDescent="0.25">
      <c r="A4" s="29"/>
      <c r="B4" s="116" t="s">
        <v>103</v>
      </c>
      <c r="C4" s="90"/>
      <c r="D4" s="90"/>
      <c r="E4" s="117"/>
    </row>
    <row r="5" spans="1:12" ht="15.75" x14ac:dyDescent="0.25">
      <c r="A5" s="29"/>
      <c r="B5" s="17" t="s">
        <v>74</v>
      </c>
      <c r="C5" s="18" t="s">
        <v>75</v>
      </c>
      <c r="D5" s="18" t="s">
        <v>76</v>
      </c>
      <c r="E5" s="34" t="s">
        <v>77</v>
      </c>
    </row>
    <row r="6" spans="1:12" s="21" customFormat="1" ht="3" customHeight="1" thickBot="1" x14ac:dyDescent="0.3">
      <c r="A6" s="30"/>
      <c r="B6" s="19"/>
      <c r="C6" s="20"/>
      <c r="D6" s="20"/>
      <c r="E6" s="35"/>
    </row>
    <row r="7" spans="1:12" ht="15.75" thickTop="1" x14ac:dyDescent="0.25">
      <c r="A7" s="29"/>
      <c r="B7" s="37" t="s">
        <v>34</v>
      </c>
      <c r="C7" s="38">
        <f>Budget_Reconciliation!C7</f>
        <v>15000000</v>
      </c>
      <c r="D7" s="38">
        <f>Budget_Reconciliation!C18</f>
        <v>12500000</v>
      </c>
      <c r="E7" s="39">
        <f>D7-C7</f>
        <v>-2500000</v>
      </c>
    </row>
    <row r="8" spans="1:12" x14ac:dyDescent="0.25">
      <c r="B8" s="31" t="s">
        <v>58</v>
      </c>
      <c r="C8" s="32">
        <f>Budget_Reconciliation!C12</f>
        <v>9750000</v>
      </c>
      <c r="D8" s="32">
        <f>Budget_Reconciliation!C23</f>
        <v>10250000</v>
      </c>
      <c r="E8" s="36">
        <f t="shared" ref="E8:E9" si="0">D8-C8</f>
        <v>500000</v>
      </c>
    </row>
    <row r="9" spans="1:12" x14ac:dyDescent="0.25">
      <c r="B9" s="31" t="s">
        <v>78</v>
      </c>
      <c r="C9" s="32">
        <f>Budget_Reconciliation!C13</f>
        <v>1500000</v>
      </c>
      <c r="D9" s="32">
        <f>Budget_Reconciliation!C24</f>
        <v>-875000</v>
      </c>
      <c r="E9" s="36">
        <f t="shared" si="0"/>
        <v>-2375000</v>
      </c>
    </row>
    <row r="10" spans="1:12" x14ac:dyDescent="0.25">
      <c r="B10" s="31" t="s">
        <v>79</v>
      </c>
      <c r="C10" s="33">
        <f>C9/C7</f>
        <v>0.1</v>
      </c>
      <c r="D10" s="33">
        <f t="shared" ref="D10" si="1">D9/D7</f>
        <v>-7.0000000000000007E-2</v>
      </c>
      <c r="E10" s="87" t="s">
        <v>104</v>
      </c>
    </row>
    <row r="11" spans="1:12" x14ac:dyDescent="0.25">
      <c r="B11" s="25"/>
      <c r="C11" s="41"/>
      <c r="D11" s="41"/>
      <c r="E11" s="41"/>
      <c r="F11" s="42"/>
    </row>
    <row r="12" spans="1:12" ht="21.75" thickBot="1" x14ac:dyDescent="0.4">
      <c r="B12" s="96" t="s">
        <v>80</v>
      </c>
      <c r="C12" s="96"/>
      <c r="D12" s="96"/>
      <c r="E12" s="96"/>
      <c r="F12" s="96"/>
      <c r="G12" s="22"/>
      <c r="H12" s="22"/>
      <c r="I12" s="22"/>
      <c r="J12" s="22"/>
      <c r="K12" s="22"/>
      <c r="L12" s="22"/>
    </row>
    <row r="13" spans="1:12" ht="4.5" customHeight="1" thickBot="1" x14ac:dyDescent="0.3">
      <c r="B13" s="40"/>
      <c r="G13" s="25"/>
      <c r="H13" s="25"/>
    </row>
    <row r="14" spans="1:12" ht="15.75" thickTop="1" x14ac:dyDescent="0.25">
      <c r="B14" s="16" t="s">
        <v>93</v>
      </c>
    </row>
    <row r="15" spans="1:12" x14ac:dyDescent="0.25">
      <c r="B15" s="16" t="s">
        <v>94</v>
      </c>
    </row>
    <row r="16" spans="1:12" x14ac:dyDescent="0.25">
      <c r="B16" s="16" t="s">
        <v>95</v>
      </c>
    </row>
    <row r="17" spans="1:9" x14ac:dyDescent="0.25">
      <c r="B17" s="16" t="s">
        <v>96</v>
      </c>
    </row>
    <row r="18" spans="1:9" x14ac:dyDescent="0.25">
      <c r="B18" s="23" t="s">
        <v>97</v>
      </c>
    </row>
    <row r="19" spans="1:9" x14ac:dyDescent="0.25">
      <c r="A19" s="29"/>
      <c r="F19" s="29"/>
    </row>
    <row r="20" spans="1:9" ht="18.75" x14ac:dyDescent="0.25">
      <c r="A20" s="29" t="s">
        <v>5</v>
      </c>
      <c r="B20" s="90" t="s">
        <v>81</v>
      </c>
      <c r="C20" s="90"/>
      <c r="D20" s="90"/>
      <c r="E20" s="90"/>
      <c r="F20" s="117"/>
    </row>
    <row r="21" spans="1:9" ht="15.75" x14ac:dyDescent="0.25">
      <c r="A21" s="29"/>
      <c r="B21" s="17" t="s">
        <v>91</v>
      </c>
      <c r="C21" s="18" t="s">
        <v>92</v>
      </c>
      <c r="D21" s="18" t="s">
        <v>76</v>
      </c>
      <c r="E21" s="18" t="s">
        <v>82</v>
      </c>
      <c r="F21" s="45" t="s">
        <v>83</v>
      </c>
    </row>
    <row r="22" spans="1:9" ht="5.25" customHeight="1" thickBot="1" x14ac:dyDescent="0.3">
      <c r="A22" s="29"/>
      <c r="F22" s="29"/>
    </row>
    <row r="23" spans="1:9" ht="15.75" thickTop="1" x14ac:dyDescent="0.25">
      <c r="A23" s="29"/>
      <c r="B23" s="85" t="s">
        <v>34</v>
      </c>
      <c r="C23" s="85">
        <f>Budget_Reconciliation!C7</f>
        <v>15000000</v>
      </c>
      <c r="D23" s="85">
        <f>Budget_Reconciliation!C18</f>
        <v>12500000</v>
      </c>
      <c r="E23" s="85">
        <f>D23*1.1</f>
        <v>13750000.000000002</v>
      </c>
      <c r="F23" s="86" t="s">
        <v>84</v>
      </c>
    </row>
    <row r="24" spans="1:9" x14ac:dyDescent="0.25">
      <c r="A24" s="29"/>
      <c r="B24" s="44" t="s">
        <v>85</v>
      </c>
      <c r="C24" s="43">
        <f>Budget_Reconciliation!C8</f>
        <v>11250000</v>
      </c>
      <c r="D24" s="43">
        <f>Budget_Reconciliation!C19</f>
        <v>9375000</v>
      </c>
      <c r="E24" s="43">
        <f>E23*0.75</f>
        <v>10312500.000000002</v>
      </c>
      <c r="F24" s="44" t="s">
        <v>86</v>
      </c>
    </row>
    <row r="25" spans="1:9" x14ac:dyDescent="0.25">
      <c r="A25" s="29"/>
      <c r="B25" s="44" t="s">
        <v>98</v>
      </c>
      <c r="C25" s="43">
        <f>Budget_Reconciliation!C9</f>
        <v>5250000</v>
      </c>
      <c r="D25" s="43">
        <f>Budget_Reconciliation!C20</f>
        <v>4625000</v>
      </c>
      <c r="E25" s="43">
        <f>E23*40%</f>
        <v>5500000.0000000009</v>
      </c>
      <c r="F25" s="44" t="s">
        <v>99</v>
      </c>
    </row>
    <row r="26" spans="1:9" x14ac:dyDescent="0.25">
      <c r="A26" s="29"/>
      <c r="B26" s="44" t="s">
        <v>87</v>
      </c>
      <c r="C26" s="43">
        <f>Budget_Reconciliation!C10</f>
        <v>3000000</v>
      </c>
      <c r="D26" s="43">
        <f>Budget_Reconciliation!C21</f>
        <v>3500000</v>
      </c>
      <c r="E26" s="43">
        <f>E23*23%</f>
        <v>3162500.0000000005</v>
      </c>
      <c r="F26" s="44" t="s">
        <v>88</v>
      </c>
      <c r="H26" s="24"/>
      <c r="I26" s="26"/>
    </row>
    <row r="27" spans="1:9" x14ac:dyDescent="0.25">
      <c r="A27" s="29"/>
      <c r="B27" s="44" t="s">
        <v>89</v>
      </c>
      <c r="C27" s="43">
        <f>Budget_Reconciliation!C11</f>
        <v>1500000</v>
      </c>
      <c r="D27" s="43">
        <f>Budget_Reconciliation!C22</f>
        <v>2125000</v>
      </c>
      <c r="E27" s="43">
        <f>E23*12%</f>
        <v>1650000.0000000002</v>
      </c>
      <c r="F27" s="44" t="s">
        <v>100</v>
      </c>
      <c r="H27" s="24"/>
      <c r="I27" s="27"/>
    </row>
    <row r="28" spans="1:9" x14ac:dyDescent="0.25">
      <c r="A28" s="29"/>
      <c r="B28" s="44" t="s">
        <v>58</v>
      </c>
      <c r="C28" s="43">
        <f>Budget_Reconciliation!C12</f>
        <v>9750000</v>
      </c>
      <c r="D28" s="43">
        <f>Budget_Reconciliation!C23</f>
        <v>10250000</v>
      </c>
      <c r="E28" s="43">
        <f>SUM(E25:E27)</f>
        <v>10312500.000000002</v>
      </c>
      <c r="F28" s="44" t="s">
        <v>90</v>
      </c>
      <c r="H28" s="24"/>
      <c r="I28" s="27"/>
    </row>
    <row r="29" spans="1:9" x14ac:dyDescent="0.25">
      <c r="A29" s="29"/>
      <c r="B29" s="44" t="s">
        <v>45</v>
      </c>
      <c r="C29" s="43">
        <f>Budget_Reconciliation!C13</f>
        <v>1500000</v>
      </c>
      <c r="D29" s="43">
        <f>Budget_Reconciliation!C24</f>
        <v>-875000</v>
      </c>
      <c r="E29" s="43">
        <f>E24-E28</f>
        <v>0</v>
      </c>
      <c r="F29" s="44" t="s">
        <v>101</v>
      </c>
      <c r="H29" s="24"/>
      <c r="I29" s="27"/>
    </row>
    <row r="30" spans="1:9" x14ac:dyDescent="0.25">
      <c r="A30" s="29"/>
      <c r="B30" s="47"/>
      <c r="C30" s="25"/>
      <c r="D30" s="47"/>
      <c r="E30" s="47"/>
      <c r="F30" s="46"/>
      <c r="H30" s="24"/>
      <c r="I30" s="28"/>
    </row>
    <row r="31" spans="1:9" ht="18.75" x14ac:dyDescent="0.3">
      <c r="A31" s="29"/>
      <c r="B31" s="118" t="s">
        <v>102</v>
      </c>
      <c r="C31" s="118"/>
      <c r="D31" s="118"/>
      <c r="E31" s="118"/>
      <c r="F31" s="119"/>
      <c r="H31" s="24"/>
      <c r="I31" s="15"/>
    </row>
    <row r="32" spans="1:9" ht="7.5" customHeight="1" x14ac:dyDescent="0.25">
      <c r="A32" s="29"/>
      <c r="B32"/>
      <c r="C32"/>
      <c r="D32"/>
      <c r="E32"/>
      <c r="F32" s="12"/>
      <c r="H32" s="24"/>
      <c r="I32" s="27"/>
    </row>
    <row r="33" spans="1:6" x14ac:dyDescent="0.25">
      <c r="A33" s="29"/>
      <c r="B33" s="48" t="s">
        <v>108</v>
      </c>
      <c r="C33" s="48"/>
      <c r="D33" s="48"/>
      <c r="E33" s="48"/>
      <c r="F33" s="48"/>
    </row>
    <row r="34" spans="1:6" x14ac:dyDescent="0.25">
      <c r="B34" s="48" t="s">
        <v>109</v>
      </c>
      <c r="C34" s="48"/>
      <c r="D34" s="48"/>
      <c r="E34" s="48"/>
      <c r="F34" s="48"/>
    </row>
    <row r="35" spans="1:6" x14ac:dyDescent="0.25">
      <c r="B35" s="48" t="s">
        <v>110</v>
      </c>
      <c r="C35" s="48"/>
      <c r="D35" s="48"/>
      <c r="E35" s="48"/>
      <c r="F35" s="48"/>
    </row>
    <row r="36" spans="1:6" x14ac:dyDescent="0.25">
      <c r="B36" s="82" t="s">
        <v>111</v>
      </c>
      <c r="C36" s="48"/>
      <c r="D36" s="48"/>
      <c r="E36" s="48"/>
      <c r="F36" s="48"/>
    </row>
    <row r="37" spans="1:6" x14ac:dyDescent="0.25">
      <c r="B37" s="48" t="s">
        <v>112</v>
      </c>
      <c r="C37" s="48"/>
      <c r="D37" s="83"/>
      <c r="E37" s="48"/>
      <c r="F37" s="48"/>
    </row>
    <row r="38" spans="1:6" x14ac:dyDescent="0.25">
      <c r="B38" s="95" t="s">
        <v>113</v>
      </c>
      <c r="C38" s="95"/>
      <c r="D38" s="95"/>
      <c r="E38" s="95"/>
      <c r="F38" s="95"/>
    </row>
    <row r="39" spans="1:6" x14ac:dyDescent="0.25">
      <c r="B39" s="84" t="s">
        <v>114</v>
      </c>
      <c r="C39" s="84"/>
      <c r="D39" s="84"/>
      <c r="E39" s="84"/>
      <c r="F39" s="84"/>
    </row>
    <row r="40" spans="1:6" x14ac:dyDescent="0.25">
      <c r="B40" s="48" t="s">
        <v>115</v>
      </c>
      <c r="C40" s="48"/>
      <c r="D40" s="48"/>
      <c r="E40" s="48"/>
      <c r="F40" s="48"/>
    </row>
    <row r="41" spans="1:6" x14ac:dyDescent="0.25">
      <c r="B41" s="94"/>
      <c r="C41" s="94"/>
      <c r="D41" s="94"/>
      <c r="E41" s="94"/>
      <c r="F41" s="94"/>
    </row>
    <row r="42" spans="1:6" x14ac:dyDescent="0.25">
      <c r="B42" s="120"/>
      <c r="C42" s="120"/>
      <c r="D42" s="120"/>
      <c r="E42" s="120"/>
      <c r="F42" s="120"/>
    </row>
    <row r="43" spans="1:6" x14ac:dyDescent="0.25">
      <c r="B43" s="94"/>
      <c r="C43" s="94"/>
      <c r="D43" s="94"/>
      <c r="E43" s="94"/>
      <c r="F43" s="94"/>
    </row>
    <row r="44" spans="1:6" x14ac:dyDescent="0.25">
      <c r="B44" s="94"/>
      <c r="C44" s="94"/>
      <c r="D44" s="94"/>
      <c r="E44" s="94"/>
      <c r="F44" s="94"/>
    </row>
    <row r="45" spans="1:6" x14ac:dyDescent="0.25">
      <c r="B45" s="94"/>
      <c r="C45" s="94"/>
      <c r="D45" s="94"/>
      <c r="E45" s="94"/>
      <c r="F45" s="94"/>
    </row>
    <row r="46" spans="1:6" x14ac:dyDescent="0.25">
      <c r="B46" s="94"/>
      <c r="C46" s="94"/>
      <c r="D46" s="94"/>
      <c r="E46" s="94"/>
      <c r="F46" s="94"/>
    </row>
  </sheetData>
  <mergeCells count="12">
    <mergeCell ref="B2:F2"/>
    <mergeCell ref="B4:E4"/>
    <mergeCell ref="B20:F20"/>
    <mergeCell ref="B45:F45"/>
    <mergeCell ref="B46:F46"/>
    <mergeCell ref="B31:F31"/>
    <mergeCell ref="B38:F38"/>
    <mergeCell ref="B12:F12"/>
    <mergeCell ref="B41:F41"/>
    <mergeCell ref="B42:F42"/>
    <mergeCell ref="B43:F43"/>
    <mergeCell ref="B44:F44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Budgeting&gt;</vt:lpstr>
      <vt:lpstr>Annual_Budget_Model</vt:lpstr>
      <vt:lpstr>Budget_Reconciliation</vt:lpstr>
      <vt:lpstr>Rrecommended_Reconciliation</vt:lpstr>
      <vt:lpstr>Gross_Margin</vt:lpstr>
      <vt:lpstr>Inital_headcount</vt:lpstr>
      <vt:lpstr>MRR</vt:lpstr>
      <vt:lpstr>MRR_Growth_Rate</vt:lpstr>
      <vt:lpstr>Office_Rent</vt:lpstr>
      <vt:lpstr>Software_tools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</dc:creator>
  <cp:lastModifiedBy>Atharv</cp:lastModifiedBy>
  <dcterms:created xsi:type="dcterms:W3CDTF">2026-03-26T00:19:35Z</dcterms:created>
  <dcterms:modified xsi:type="dcterms:W3CDTF">2026-03-29T13:32:45Z</dcterms:modified>
</cp:coreProperties>
</file>