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inance Projects\"/>
    </mc:Choice>
  </mc:AlternateContent>
  <bookViews>
    <workbookView xWindow="0" yWindow="0" windowWidth="20490" windowHeight="7620" activeTab="1"/>
  </bookViews>
  <sheets>
    <sheet name="RE Model" sheetId="1" r:id="rId1"/>
    <sheet name="Loan Amortization Schedule" sheetId="2" r:id="rId2"/>
  </sheets>
  <definedNames>
    <definedName name="After_tax_discount_rate">'RE Model'!$K$23</definedName>
    <definedName name="capital_gain_rate">'RE Model'!$K$9</definedName>
    <definedName name="Closing_cost">'RE Model'!$E$17</definedName>
    <definedName name="Deperication_rate">'RE Model'!$E$16</definedName>
    <definedName name="Depericiable_basis">'RE Model'!$E$15</definedName>
    <definedName name="Down_Payment">'RE Model'!$E$14</definedName>
    <definedName name="Exit_cap_rate">'RE Model'!$E$22</definedName>
    <definedName name="Exit_selling_rate">'RE Model'!$E$23</definedName>
    <definedName name="Inflation_Rate">'RE Model'!$E$8</definedName>
    <definedName name="Loan_Amount">'RE Model'!$K$14</definedName>
    <definedName name="Loan_Fees">'RE Model'!$K$13</definedName>
    <definedName name="Loan_interest_rate">'RE Model'!$K$15</definedName>
    <definedName name="loan_term">'RE Model'!$K$16</definedName>
    <definedName name="Marginal_tax_rate">'RE Model'!$K$8</definedName>
    <definedName name="NPV_discount_rate">'RE Model'!$K$22</definedName>
    <definedName name="Pertax_discount_rate">'RE Model'!$K$22</definedName>
    <definedName name="_xlnm.Print_Area" localSheetId="0">'RE Model'!$B$2:$P$103</definedName>
    <definedName name="Purchases_Price">'RE Model'!$E$13</definedName>
    <definedName name="Vacancy_Rate">'RE Model'!$E$9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1" l="1"/>
  <c r="F49" i="1"/>
  <c r="G49" i="1" s="1"/>
  <c r="F35" i="1"/>
  <c r="F37" i="1" s="1"/>
  <c r="F39" i="1" s="1"/>
  <c r="F41" i="1" s="1"/>
  <c r="G29" i="1"/>
  <c r="H29" i="1" s="1"/>
  <c r="I29" i="1" s="1"/>
  <c r="J29" i="1" s="1"/>
  <c r="K29" i="1" s="1"/>
  <c r="L29" i="1" s="1"/>
  <c r="M29" i="1" s="1"/>
  <c r="N29" i="1" s="1"/>
  <c r="O29" i="1" s="1"/>
  <c r="P29" i="1" s="1"/>
  <c r="K16" i="1"/>
  <c r="E15" i="1"/>
  <c r="E14" i="1"/>
  <c r="K14" i="1" s="1"/>
  <c r="K13" i="1" s="1"/>
  <c r="E67" i="1" l="1"/>
  <c r="N87" i="1"/>
  <c r="L87" i="1"/>
  <c r="J87" i="1"/>
  <c r="H87" i="1"/>
  <c r="F87" i="1"/>
  <c r="O87" i="1"/>
  <c r="M87" i="1"/>
  <c r="K87" i="1"/>
  <c r="I87" i="1"/>
  <c r="G87" i="1"/>
  <c r="G86" i="1"/>
  <c r="I86" i="1"/>
  <c r="K86" i="1"/>
  <c r="M86" i="1"/>
  <c r="O86" i="1"/>
  <c r="F86" i="1"/>
  <c r="H86" i="1"/>
  <c r="J86" i="1"/>
  <c r="L86" i="1"/>
  <c r="N86" i="1"/>
  <c r="P86" i="1"/>
  <c r="D6" i="2"/>
  <c r="F48" i="1"/>
  <c r="F58" i="1" s="1"/>
  <c r="F60" i="1" s="1"/>
  <c r="F84" i="1" s="1"/>
  <c r="G54" i="1"/>
  <c r="H54" i="1" s="1"/>
  <c r="I54" i="1" s="1"/>
  <c r="J54" i="1" s="1"/>
  <c r="K54" i="1" s="1"/>
  <c r="L54" i="1" s="1"/>
  <c r="M54" i="1" s="1"/>
  <c r="N54" i="1" s="1"/>
  <c r="O54" i="1" s="1"/>
  <c r="P54" i="1" s="1"/>
  <c r="H49" i="1"/>
  <c r="G35" i="1"/>
  <c r="G37" i="1" s="1"/>
  <c r="E25" i="1"/>
  <c r="C6" i="2" s="1"/>
  <c r="E73" i="1" l="1"/>
  <c r="E95" i="1"/>
  <c r="E100" i="1" s="1"/>
  <c r="P87" i="1"/>
  <c r="C7" i="2"/>
  <c r="E6" i="2"/>
  <c r="F6" i="2" s="1"/>
  <c r="D7" i="2" s="1"/>
  <c r="D75" i="1"/>
  <c r="F68" i="1"/>
  <c r="H64" i="1"/>
  <c r="J64" i="1"/>
  <c r="L64" i="1"/>
  <c r="N64" i="1"/>
  <c r="P64" i="1"/>
  <c r="F64" i="1"/>
  <c r="F69" i="1" s="1" a="1"/>
  <c r="G64" i="1"/>
  <c r="I64" i="1"/>
  <c r="K64" i="1"/>
  <c r="M64" i="1"/>
  <c r="O64" i="1"/>
  <c r="I49" i="1"/>
  <c r="H35" i="1"/>
  <c r="I35" i="1" s="1"/>
  <c r="G39" i="1"/>
  <c r="G41" i="1" s="1"/>
  <c r="H37" i="1" l="1"/>
  <c r="G69" i="1"/>
  <c r="I69" i="1"/>
  <c r="K69" i="1"/>
  <c r="M69" i="1"/>
  <c r="O69" i="1"/>
  <c r="F69" i="1"/>
  <c r="H69" i="1"/>
  <c r="J69" i="1"/>
  <c r="L69" i="1"/>
  <c r="N69" i="1"/>
  <c r="P69" i="1"/>
  <c r="F73" i="1"/>
  <c r="F79" i="1"/>
  <c r="E7" i="2"/>
  <c r="F7" i="2" s="1"/>
  <c r="D8" i="2" s="1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G48" i="1"/>
  <c r="G58" i="1" s="1"/>
  <c r="G60" i="1" s="1"/>
  <c r="G84" i="1" s="1"/>
  <c r="J49" i="1"/>
  <c r="H39" i="1"/>
  <c r="H41" i="1" s="1"/>
  <c r="J35" i="1"/>
  <c r="I37" i="1"/>
  <c r="E8" i="2" l="1"/>
  <c r="F8" i="2" s="1"/>
  <c r="D9" i="2" s="1"/>
  <c r="E9" i="2" s="1"/>
  <c r="F9" i="2" s="1"/>
  <c r="D10" i="2" s="1"/>
  <c r="E10" i="2" s="1"/>
  <c r="F10" i="2" s="1"/>
  <c r="D11" i="2" s="1"/>
  <c r="E11" i="2" s="1"/>
  <c r="F11" i="2" s="1"/>
  <c r="F76" i="1"/>
  <c r="G68" i="1"/>
  <c r="G79" i="1"/>
  <c r="D12" i="2"/>
  <c r="E12" i="2" s="1"/>
  <c r="F12" i="2" s="1"/>
  <c r="H48" i="1"/>
  <c r="H58" i="1" s="1"/>
  <c r="H60" i="1" s="1"/>
  <c r="H84" i="1" s="1"/>
  <c r="K49" i="1"/>
  <c r="I39" i="1"/>
  <c r="I41" i="1" s="1"/>
  <c r="K35" i="1"/>
  <c r="J37" i="1"/>
  <c r="G73" i="1" l="1"/>
  <c r="G76" i="1" s="1"/>
  <c r="H79" i="1"/>
  <c r="H68" i="1"/>
  <c r="D13" i="2"/>
  <c r="E13" i="2" s="1"/>
  <c r="F13" i="2" s="1"/>
  <c r="I48" i="1"/>
  <c r="I58" i="1" s="1"/>
  <c r="I60" i="1" s="1"/>
  <c r="I84" i="1" s="1"/>
  <c r="L49" i="1"/>
  <c r="J39" i="1"/>
  <c r="J41" i="1" s="1"/>
  <c r="L35" i="1"/>
  <c r="K37" i="1"/>
  <c r="H73" i="1" l="1"/>
  <c r="H76" i="1" s="1"/>
  <c r="I68" i="1"/>
  <c r="I79" i="1"/>
  <c r="D14" i="2"/>
  <c r="E14" i="2" s="1"/>
  <c r="F14" i="2" s="1"/>
  <c r="J48" i="1"/>
  <c r="J58" i="1" s="1"/>
  <c r="J60" i="1" s="1"/>
  <c r="J84" i="1" s="1"/>
  <c r="M49" i="1"/>
  <c r="K39" i="1"/>
  <c r="K41" i="1" s="1"/>
  <c r="M35" i="1"/>
  <c r="L37" i="1"/>
  <c r="I73" i="1" l="1"/>
  <c r="I76" i="1" s="1"/>
  <c r="J79" i="1"/>
  <c r="J68" i="1"/>
  <c r="D15" i="2"/>
  <c r="E15" i="2" s="1"/>
  <c r="F15" i="2" s="1"/>
  <c r="K48" i="1"/>
  <c r="K58" i="1" s="1"/>
  <c r="K60" i="1" s="1"/>
  <c r="K84" i="1" s="1"/>
  <c r="N49" i="1"/>
  <c r="L39" i="1"/>
  <c r="L41" i="1" s="1"/>
  <c r="N35" i="1"/>
  <c r="M37" i="1"/>
  <c r="J73" i="1" l="1"/>
  <c r="J76" i="1" s="1"/>
  <c r="K68" i="1"/>
  <c r="K79" i="1"/>
  <c r="D16" i="2"/>
  <c r="E16" i="2" s="1"/>
  <c r="F16" i="2" s="1"/>
  <c r="L48" i="1"/>
  <c r="L58" i="1" s="1"/>
  <c r="L60" i="1" s="1"/>
  <c r="L84" i="1" s="1"/>
  <c r="O49" i="1"/>
  <c r="M39" i="1"/>
  <c r="M41" i="1" s="1"/>
  <c r="O35" i="1"/>
  <c r="N37" i="1"/>
  <c r="K73" i="1" l="1"/>
  <c r="K76" i="1" s="1"/>
  <c r="L79" i="1"/>
  <c r="L68" i="1"/>
  <c r="D17" i="2"/>
  <c r="M48" i="1"/>
  <c r="M58" i="1" s="1"/>
  <c r="M60" i="1" s="1"/>
  <c r="M84" i="1" s="1"/>
  <c r="P49" i="1"/>
  <c r="N39" i="1"/>
  <c r="N41" i="1" s="1"/>
  <c r="P35" i="1"/>
  <c r="O37" i="1"/>
  <c r="E17" i="2" l="1"/>
  <c r="F17" i="2" s="1"/>
  <c r="F85" i="1"/>
  <c r="F88" i="1" s="1"/>
  <c r="F90" i="1" s="1"/>
  <c r="F92" i="1" s="1"/>
  <c r="F100" i="1" s="1"/>
  <c r="L73" i="1"/>
  <c r="L76" i="1" s="1"/>
  <c r="M68" i="1"/>
  <c r="M79" i="1"/>
  <c r="D18" i="2"/>
  <c r="N48" i="1"/>
  <c r="N58" i="1" s="1"/>
  <c r="N60" i="1" s="1"/>
  <c r="N84" i="1" s="1"/>
  <c r="O39" i="1"/>
  <c r="O41" i="1" s="1"/>
  <c r="P37" i="1"/>
  <c r="E18" i="2" l="1"/>
  <c r="F18" i="2" s="1"/>
  <c r="D19" i="2" s="1"/>
  <c r="E19" i="2" s="1"/>
  <c r="F19" i="2" s="1"/>
  <c r="M73" i="1"/>
  <c r="M76" i="1" s="1"/>
  <c r="N79" i="1"/>
  <c r="N68" i="1"/>
  <c r="O48" i="1"/>
  <c r="O58" i="1" s="1"/>
  <c r="O60" i="1" s="1"/>
  <c r="O84" i="1" s="1"/>
  <c r="P39" i="1"/>
  <c r="P41" i="1" s="1"/>
  <c r="N73" i="1" l="1"/>
  <c r="N76" i="1" s="1"/>
  <c r="O68" i="1"/>
  <c r="O79" i="1"/>
  <c r="D20" i="2"/>
  <c r="E20" i="2" s="1"/>
  <c r="F20" i="2" s="1"/>
  <c r="P48" i="1"/>
  <c r="P58" i="1" s="1"/>
  <c r="P60" i="1" s="1"/>
  <c r="P84" i="1" s="1"/>
  <c r="O73" i="1" l="1"/>
  <c r="O76" i="1" s="1"/>
  <c r="D77" i="1" s="1"/>
  <c r="P79" i="1"/>
  <c r="D79" i="1" s="1"/>
  <c r="P70" i="1"/>
  <c r="P68" i="1"/>
  <c r="D21" i="2"/>
  <c r="E21" i="2" s="1"/>
  <c r="F21" i="2" s="1"/>
  <c r="P71" i="1" l="1"/>
  <c r="P97" i="1" s="1"/>
  <c r="P96" i="1"/>
  <c r="D22" i="2"/>
  <c r="E22" i="2" s="1"/>
  <c r="F22" i="2" s="1"/>
  <c r="P99" i="1" l="1"/>
  <c r="D23" i="2"/>
  <c r="E23" i="2" s="1"/>
  <c r="F23" i="2" s="1"/>
  <c r="D24" i="2" l="1"/>
  <c r="E24" i="2" s="1"/>
  <c r="F24" i="2" s="1"/>
  <c r="D25" i="2" l="1"/>
  <c r="E25" i="2" s="1"/>
  <c r="F25" i="2" s="1"/>
  <c r="D26" i="2" l="1"/>
  <c r="E26" i="2" s="1"/>
  <c r="F26" i="2" s="1"/>
  <c r="D27" i="2" l="1"/>
  <c r="E27" i="2" s="1"/>
  <c r="F27" i="2" s="1"/>
  <c r="D28" i="2" l="1"/>
  <c r="E28" i="2" s="1"/>
  <c r="F28" i="2" s="1"/>
  <c r="D29" i="2" l="1"/>
  <c r="E29" i="2" l="1"/>
  <c r="F29" i="2" s="1"/>
  <c r="G85" i="1"/>
  <c r="G88" i="1" s="1"/>
  <c r="G90" i="1" s="1"/>
  <c r="G92" i="1" s="1"/>
  <c r="G100" i="1" s="1"/>
  <c r="D30" i="2"/>
  <c r="E30" i="2" l="1"/>
  <c r="F30" i="2" s="1"/>
  <c r="D31" i="2" s="1"/>
  <c r="E31" i="2" s="1"/>
  <c r="F31" i="2" s="1"/>
  <c r="D32" i="2" l="1"/>
  <c r="E32" i="2" l="1"/>
  <c r="F32" i="2" s="1"/>
  <c r="D33" i="2" s="1"/>
  <c r="E33" i="2" s="1"/>
  <c r="F33" i="2" s="1"/>
  <c r="D34" i="2" l="1"/>
  <c r="E34" i="2" l="1"/>
  <c r="F34" i="2" s="1"/>
  <c r="D35" i="2" s="1"/>
  <c r="E35" i="2" s="1"/>
  <c r="F35" i="2" s="1"/>
  <c r="D36" i="2" l="1"/>
  <c r="E36" i="2" l="1"/>
  <c r="F36" i="2" s="1"/>
  <c r="D37" i="2" s="1"/>
  <c r="E37" i="2" s="1"/>
  <c r="F37" i="2" s="1"/>
  <c r="D38" i="2" l="1"/>
  <c r="E38" i="2" l="1"/>
  <c r="F38" i="2" s="1"/>
  <c r="D39" i="2" s="1"/>
  <c r="E39" i="2" s="1"/>
  <c r="F39" i="2" s="1"/>
  <c r="D40" i="2" l="1"/>
  <c r="E40" i="2" s="1"/>
  <c r="F40" i="2" s="1"/>
  <c r="D41" i="2" l="1"/>
  <c r="E41" i="2" l="1"/>
  <c r="F41" i="2" s="1"/>
  <c r="H85" i="1"/>
  <c r="H88" i="1" s="1"/>
  <c r="H90" i="1" s="1"/>
  <c r="H92" i="1" s="1"/>
  <c r="H100" i="1" s="1"/>
  <c r="D42" i="2"/>
  <c r="E42" i="2" l="1"/>
  <c r="F42" i="2" s="1"/>
  <c r="D43" i="2" s="1"/>
  <c r="E43" i="2" s="1"/>
  <c r="F43" i="2" s="1"/>
  <c r="D44" i="2" l="1"/>
  <c r="E44" i="2" l="1"/>
  <c r="F44" i="2" s="1"/>
  <c r="D45" i="2" s="1"/>
  <c r="E45" i="2" s="1"/>
  <c r="F45" i="2" s="1"/>
  <c r="D46" i="2" l="1"/>
  <c r="E46" i="2" l="1"/>
  <c r="F46" i="2" s="1"/>
  <c r="D47" i="2" s="1"/>
  <c r="E47" i="2" s="1"/>
  <c r="F47" i="2" s="1"/>
  <c r="D48" i="2" l="1"/>
  <c r="E48" i="2" l="1"/>
  <c r="F48" i="2" s="1"/>
  <c r="D49" i="2" s="1"/>
  <c r="E49" i="2" s="1"/>
  <c r="F49" i="2" s="1"/>
  <c r="D50" i="2" l="1"/>
  <c r="E50" i="2" l="1"/>
  <c r="F50" i="2" s="1"/>
  <c r="D51" i="2" s="1"/>
  <c r="E51" i="2" s="1"/>
  <c r="F51" i="2" s="1"/>
  <c r="D52" i="2" l="1"/>
  <c r="E52" i="2" s="1"/>
  <c r="F52" i="2" s="1"/>
  <c r="D53" i="2" l="1"/>
  <c r="E53" i="2" l="1"/>
  <c r="F53" i="2" s="1"/>
  <c r="I85" i="1"/>
  <c r="I88" i="1" s="1"/>
  <c r="I90" i="1" s="1"/>
  <c r="I92" i="1" s="1"/>
  <c r="I100" i="1" s="1"/>
  <c r="D54" i="2"/>
  <c r="E54" i="2" l="1"/>
  <c r="F54" i="2" s="1"/>
  <c r="D55" i="2" s="1"/>
  <c r="E55" i="2" s="1"/>
  <c r="F55" i="2" s="1"/>
  <c r="D56" i="2" l="1"/>
  <c r="E56" i="2" l="1"/>
  <c r="F56" i="2" s="1"/>
  <c r="D57" i="2" s="1"/>
  <c r="E57" i="2" s="1"/>
  <c r="F57" i="2" s="1"/>
  <c r="D58" i="2" l="1"/>
  <c r="E58" i="2" l="1"/>
  <c r="F58" i="2" s="1"/>
  <c r="D59" i="2" s="1"/>
  <c r="E59" i="2" s="1"/>
  <c r="F59" i="2" s="1"/>
  <c r="D60" i="2" l="1"/>
  <c r="E60" i="2" l="1"/>
  <c r="F60" i="2" s="1"/>
  <c r="D61" i="2" s="1"/>
  <c r="E61" i="2" s="1"/>
  <c r="F61" i="2" s="1"/>
  <c r="D62" i="2" l="1"/>
  <c r="E62" i="2" l="1"/>
  <c r="F62" i="2" s="1"/>
  <c r="D63" i="2" s="1"/>
  <c r="E63" i="2" s="1"/>
  <c r="F63" i="2" s="1"/>
  <c r="D64" i="2" l="1"/>
  <c r="E64" i="2" s="1"/>
  <c r="F64" i="2" s="1"/>
  <c r="D65" i="2" l="1"/>
  <c r="E65" i="2" l="1"/>
  <c r="F65" i="2" s="1"/>
  <c r="J85" i="1"/>
  <c r="J88" i="1" s="1"/>
  <c r="J90" i="1" s="1"/>
  <c r="J92" i="1" s="1"/>
  <c r="J100" i="1" s="1"/>
  <c r="D66" i="2"/>
  <c r="E66" i="2" l="1"/>
  <c r="F66" i="2" s="1"/>
  <c r="D67" i="2" s="1"/>
  <c r="E67" i="2" s="1"/>
  <c r="F67" i="2" s="1"/>
  <c r="D68" i="2" l="1"/>
  <c r="E68" i="2" l="1"/>
  <c r="F68" i="2" s="1"/>
  <c r="D69" i="2" s="1"/>
  <c r="E69" i="2" s="1"/>
  <c r="F69" i="2" s="1"/>
  <c r="D70" i="2" l="1"/>
  <c r="E70" i="2" l="1"/>
  <c r="F70" i="2" s="1"/>
  <c r="D71" i="2" s="1"/>
  <c r="E71" i="2" s="1"/>
  <c r="F71" i="2" s="1"/>
  <c r="D72" i="2" l="1"/>
  <c r="E72" i="2" l="1"/>
  <c r="F72" i="2" s="1"/>
  <c r="D73" i="2" s="1"/>
  <c r="E73" i="2" s="1"/>
  <c r="F73" i="2" s="1"/>
  <c r="D74" i="2" l="1"/>
  <c r="E74" i="2" l="1"/>
  <c r="F74" i="2" s="1"/>
  <c r="D75" i="2" s="1"/>
  <c r="E75" i="2" s="1"/>
  <c r="F75" i="2" s="1"/>
  <c r="D76" i="2" l="1"/>
  <c r="E76" i="2" s="1"/>
  <c r="F76" i="2" s="1"/>
  <c r="D77" i="2" l="1"/>
  <c r="E77" i="2" l="1"/>
  <c r="F77" i="2" s="1"/>
  <c r="K85" i="1"/>
  <c r="K88" i="1" s="1"/>
  <c r="K90" i="1" s="1"/>
  <c r="K92" i="1" s="1"/>
  <c r="K100" i="1" s="1"/>
  <c r="D78" i="2"/>
  <c r="E78" i="2" l="1"/>
  <c r="F78" i="2" s="1"/>
  <c r="D79" i="2" s="1"/>
  <c r="E79" i="2" s="1"/>
  <c r="F79" i="2" s="1"/>
  <c r="D80" i="2" l="1"/>
  <c r="E80" i="2" l="1"/>
  <c r="F80" i="2" s="1"/>
  <c r="D81" i="2" s="1"/>
  <c r="E81" i="2" s="1"/>
  <c r="F81" i="2" s="1"/>
  <c r="D82" i="2" l="1"/>
  <c r="E82" i="2" l="1"/>
  <c r="F82" i="2" s="1"/>
  <c r="D83" i="2" s="1"/>
  <c r="E83" i="2" s="1"/>
  <c r="F83" i="2" s="1"/>
  <c r="D84" i="2" l="1"/>
  <c r="E84" i="2" l="1"/>
  <c r="F84" i="2" s="1"/>
  <c r="D85" i="2" s="1"/>
  <c r="E85" i="2" s="1"/>
  <c r="F85" i="2" s="1"/>
  <c r="D86" i="2" l="1"/>
  <c r="E86" i="2" l="1"/>
  <c r="F86" i="2" s="1"/>
  <c r="D87" i="2" s="1"/>
  <c r="E87" i="2" s="1"/>
  <c r="F87" i="2" s="1"/>
  <c r="D88" i="2" l="1"/>
  <c r="E88" i="2" s="1"/>
  <c r="F88" i="2" s="1"/>
  <c r="D89" i="2" l="1"/>
  <c r="E89" i="2" l="1"/>
  <c r="F89" i="2" s="1"/>
  <c r="L85" i="1"/>
  <c r="L88" i="1" s="1"/>
  <c r="L90" i="1" s="1"/>
  <c r="L92" i="1" s="1"/>
  <c r="L100" i="1" s="1"/>
  <c r="D90" i="2"/>
  <c r="E90" i="2" l="1"/>
  <c r="F90" i="2" s="1"/>
  <c r="D91" i="2" s="1"/>
  <c r="E91" i="2" s="1"/>
  <c r="F91" i="2" s="1"/>
  <c r="D92" i="2" l="1"/>
  <c r="E92" i="2" s="1"/>
  <c r="F92" i="2" s="1"/>
  <c r="D93" i="2" l="1"/>
  <c r="E93" i="2" l="1"/>
  <c r="F93" i="2" s="1"/>
  <c r="D94" i="2" s="1"/>
  <c r="E94" i="2" s="1"/>
  <c r="F94" i="2" s="1"/>
  <c r="D95" i="2" l="1"/>
  <c r="E95" i="2" s="1"/>
  <c r="F95" i="2" s="1"/>
  <c r="D96" i="2" l="1"/>
  <c r="E96" i="2" s="1"/>
  <c r="F96" i="2" s="1"/>
  <c r="D97" i="2" l="1"/>
  <c r="E97" i="2" s="1"/>
  <c r="F97" i="2" s="1"/>
  <c r="D98" i="2" l="1"/>
  <c r="E98" i="2" s="1"/>
  <c r="F98" i="2" s="1"/>
  <c r="D99" i="2" l="1"/>
  <c r="E99" i="2" s="1"/>
  <c r="F99" i="2" s="1"/>
  <c r="D100" i="2" l="1"/>
  <c r="E100" i="2" s="1"/>
  <c r="F100" i="2" s="1"/>
  <c r="D101" i="2" l="1"/>
  <c r="E101" i="2" l="1"/>
  <c r="F101" i="2" s="1"/>
  <c r="M85" i="1"/>
  <c r="M88" i="1" s="1"/>
  <c r="M90" i="1" s="1"/>
  <c r="M92" i="1" s="1"/>
  <c r="M100" i="1" s="1"/>
  <c r="D102" i="2"/>
  <c r="E102" i="2" l="1"/>
  <c r="F102" i="2" s="1"/>
  <c r="D103" i="2" s="1"/>
  <c r="E103" i="2" s="1"/>
  <c r="F103" i="2" s="1"/>
  <c r="D104" i="2" l="1"/>
  <c r="E104" i="2" s="1"/>
  <c r="F104" i="2" s="1"/>
  <c r="D105" i="2" l="1"/>
  <c r="E105" i="2" s="1"/>
  <c r="F105" i="2" s="1"/>
  <c r="D106" i="2" l="1"/>
  <c r="E106" i="2" s="1"/>
  <c r="F106" i="2" s="1"/>
  <c r="D107" i="2" l="1"/>
  <c r="E107" i="2" s="1"/>
  <c r="F107" i="2" s="1"/>
  <c r="D108" i="2" l="1"/>
  <c r="E108" i="2" s="1"/>
  <c r="F108" i="2" s="1"/>
  <c r="D109" i="2" l="1"/>
  <c r="E109" i="2" s="1"/>
  <c r="F109" i="2" s="1"/>
  <c r="D110" i="2" l="1"/>
  <c r="E110" i="2" s="1"/>
  <c r="F110" i="2" s="1"/>
  <c r="D111" i="2" l="1"/>
  <c r="E111" i="2" s="1"/>
  <c r="F111" i="2" s="1"/>
  <c r="D112" i="2" l="1"/>
  <c r="E112" i="2" s="1"/>
  <c r="F112" i="2" s="1"/>
  <c r="D113" i="2" l="1"/>
  <c r="E113" i="2" l="1"/>
  <c r="F113" i="2" s="1"/>
  <c r="N85" i="1"/>
  <c r="N88" i="1" s="1"/>
  <c r="N90" i="1" s="1"/>
  <c r="N92" i="1" s="1"/>
  <c r="N100" i="1" s="1"/>
  <c r="D114" i="2"/>
  <c r="E114" i="2" l="1"/>
  <c r="F114" i="2" s="1"/>
  <c r="D115" i="2" s="1"/>
  <c r="E115" i="2" s="1"/>
  <c r="F115" i="2" s="1"/>
  <c r="D116" i="2" l="1"/>
  <c r="E116" i="2" s="1"/>
  <c r="F116" i="2" s="1"/>
  <c r="D117" i="2" l="1"/>
  <c r="E117" i="2" s="1"/>
  <c r="F117" i="2" s="1"/>
  <c r="D118" i="2" l="1"/>
  <c r="E118" i="2" s="1"/>
  <c r="F118" i="2" s="1"/>
  <c r="D119" i="2" l="1"/>
  <c r="E119" i="2" s="1"/>
  <c r="F119" i="2" s="1"/>
  <c r="D120" i="2" l="1"/>
  <c r="E120" i="2" s="1"/>
  <c r="F120" i="2" s="1"/>
  <c r="D121" i="2" l="1"/>
  <c r="E121" i="2" s="1"/>
  <c r="F121" i="2" s="1"/>
  <c r="D122" i="2" l="1"/>
  <c r="E122" i="2" s="1"/>
  <c r="F122" i="2" s="1"/>
  <c r="D123" i="2" l="1"/>
  <c r="E123" i="2" s="1"/>
  <c r="F123" i="2" s="1"/>
  <c r="D124" i="2" l="1"/>
  <c r="E124" i="2" s="1"/>
  <c r="F124" i="2" s="1"/>
  <c r="D125" i="2" l="1"/>
  <c r="E125" i="2" l="1"/>
  <c r="F125" i="2" s="1"/>
  <c r="O85" i="1"/>
  <c r="O88" i="1" s="1"/>
  <c r="O90" i="1" s="1"/>
  <c r="O92" i="1" s="1"/>
  <c r="O100" i="1" s="1"/>
  <c r="D126" i="2"/>
  <c r="E126" i="2" l="1"/>
  <c r="F126" i="2" s="1"/>
  <c r="D127" i="2" s="1"/>
  <c r="E127" i="2" s="1"/>
  <c r="F127" i="2" s="1"/>
  <c r="D128" i="2" l="1"/>
  <c r="E128" i="2" s="1"/>
  <c r="F128" i="2" s="1"/>
  <c r="D129" i="2" l="1"/>
  <c r="E129" i="2" s="1"/>
  <c r="F129" i="2" s="1"/>
  <c r="D130" i="2" l="1"/>
  <c r="E130" i="2" s="1"/>
  <c r="F130" i="2" s="1"/>
  <c r="D131" i="2" l="1"/>
  <c r="E131" i="2" s="1"/>
  <c r="F131" i="2" s="1"/>
  <c r="D132" i="2" l="1"/>
  <c r="E132" i="2" s="1"/>
  <c r="F132" i="2" s="1"/>
  <c r="P72" i="1" s="1"/>
  <c r="P73" i="1" l="1"/>
  <c r="P98" i="1"/>
  <c r="P76" i="1"/>
  <c r="D78" i="1"/>
  <c r="D76" i="1"/>
  <c r="D133" i="2"/>
  <c r="E133" i="2" s="1"/>
  <c r="F133" i="2" s="1"/>
  <c r="D134" i="2" l="1"/>
  <c r="E134" i="2" s="1"/>
  <c r="F134" i="2" s="1"/>
  <c r="D135" i="2" l="1"/>
  <c r="E135" i="2" s="1"/>
  <c r="F135" i="2" s="1"/>
  <c r="D136" i="2" l="1"/>
  <c r="E136" i="2" s="1"/>
  <c r="F136" i="2" s="1"/>
  <c r="D137" i="2" l="1"/>
  <c r="E137" i="2" l="1"/>
  <c r="F137" i="2" s="1"/>
  <c r="P85" i="1"/>
  <c r="P88" i="1" s="1"/>
  <c r="P90" i="1" s="1"/>
  <c r="P92" i="1" s="1"/>
  <c r="P100" i="1" s="1"/>
  <c r="D138" i="2"/>
  <c r="E138" i="2" s="1"/>
  <c r="F138" i="2" s="1"/>
  <c r="D103" i="1" l="1"/>
  <c r="D102" i="1"/>
  <c r="D139" i="2"/>
  <c r="E139" i="2" s="1"/>
  <c r="F139" i="2" s="1"/>
  <c r="D140" i="2" l="1"/>
  <c r="E140" i="2" s="1"/>
  <c r="F140" i="2" s="1"/>
  <c r="D141" i="2" l="1"/>
  <c r="E141" i="2" s="1"/>
  <c r="F141" i="2" s="1"/>
  <c r="D142" i="2" l="1"/>
  <c r="E142" i="2" s="1"/>
  <c r="F142" i="2" s="1"/>
  <c r="D143" i="2" l="1"/>
  <c r="E143" i="2" s="1"/>
  <c r="F143" i="2" s="1"/>
  <c r="D144" i="2" l="1"/>
  <c r="E144" i="2" s="1"/>
  <c r="F144" i="2" s="1"/>
  <c r="D145" i="2" l="1"/>
  <c r="E145" i="2" s="1"/>
  <c r="F145" i="2" s="1"/>
  <c r="D146" i="2" l="1"/>
  <c r="E146" i="2" s="1"/>
  <c r="F146" i="2" s="1"/>
  <c r="D147" i="2" l="1"/>
  <c r="E147" i="2" s="1"/>
  <c r="F147" i="2" s="1"/>
  <c r="D148" i="2" l="1"/>
  <c r="E148" i="2" s="1"/>
  <c r="F148" i="2" s="1"/>
  <c r="D149" i="2" l="1"/>
  <c r="E149" i="2" s="1"/>
  <c r="F149" i="2" s="1"/>
  <c r="D150" i="2" l="1"/>
  <c r="E150" i="2" s="1"/>
  <c r="F150" i="2" s="1"/>
  <c r="D151" i="2" l="1"/>
  <c r="E151" i="2" s="1"/>
  <c r="F151" i="2" s="1"/>
  <c r="D152" i="2" l="1"/>
  <c r="E152" i="2" s="1"/>
  <c r="F152" i="2" s="1"/>
  <c r="D153" i="2" l="1"/>
  <c r="E153" i="2" s="1"/>
  <c r="F153" i="2" s="1"/>
  <c r="D154" i="2" l="1"/>
  <c r="E154" i="2" s="1"/>
  <c r="F154" i="2" s="1"/>
  <c r="D155" i="2" l="1"/>
  <c r="E155" i="2" s="1"/>
  <c r="F155" i="2" s="1"/>
  <c r="D156" i="2" l="1"/>
  <c r="E156" i="2" s="1"/>
  <c r="F156" i="2" s="1"/>
  <c r="D157" i="2" l="1"/>
  <c r="E157" i="2" s="1"/>
  <c r="F157" i="2" s="1"/>
  <c r="D158" i="2" l="1"/>
  <c r="E158" i="2" s="1"/>
  <c r="F158" i="2" s="1"/>
  <c r="D159" i="2" l="1"/>
  <c r="E159" i="2" s="1"/>
  <c r="F159" i="2" s="1"/>
  <c r="D160" i="2" l="1"/>
  <c r="E160" i="2" s="1"/>
  <c r="F160" i="2" s="1"/>
  <c r="D161" i="2" l="1"/>
  <c r="E161" i="2" s="1"/>
  <c r="F161" i="2" s="1"/>
  <c r="D162" i="2" l="1"/>
  <c r="E162" i="2" s="1"/>
  <c r="F162" i="2" s="1"/>
  <c r="D163" i="2" l="1"/>
  <c r="E163" i="2" s="1"/>
  <c r="F163" i="2" s="1"/>
  <c r="D164" i="2" l="1"/>
  <c r="E164" i="2" s="1"/>
  <c r="F164" i="2" s="1"/>
  <c r="D165" i="2" l="1"/>
  <c r="E165" i="2" s="1"/>
  <c r="F165" i="2" s="1"/>
  <c r="D166" i="2" l="1"/>
  <c r="E166" i="2" s="1"/>
  <c r="F166" i="2" s="1"/>
  <c r="D167" i="2" l="1"/>
  <c r="E167" i="2" s="1"/>
  <c r="F167" i="2" s="1"/>
  <c r="D168" i="2" l="1"/>
  <c r="E168" i="2" s="1"/>
  <c r="F168" i="2" s="1"/>
  <c r="D169" i="2" l="1"/>
  <c r="E169" i="2" s="1"/>
  <c r="F169" i="2" s="1"/>
  <c r="D170" i="2" l="1"/>
  <c r="E170" i="2" s="1"/>
  <c r="F170" i="2" s="1"/>
  <c r="D171" i="2" l="1"/>
  <c r="E171" i="2" s="1"/>
  <c r="F171" i="2" s="1"/>
  <c r="D172" i="2" l="1"/>
  <c r="E172" i="2" s="1"/>
  <c r="F172" i="2" s="1"/>
  <c r="D173" i="2" l="1"/>
  <c r="E173" i="2" s="1"/>
  <c r="F173" i="2" s="1"/>
  <c r="D174" i="2" l="1"/>
  <c r="E174" i="2" s="1"/>
  <c r="F174" i="2" s="1"/>
  <c r="D175" i="2" l="1"/>
  <c r="E175" i="2" s="1"/>
  <c r="F175" i="2" s="1"/>
  <c r="D176" i="2" l="1"/>
  <c r="E176" i="2" s="1"/>
  <c r="F176" i="2" s="1"/>
  <c r="D177" i="2" l="1"/>
  <c r="E177" i="2" s="1"/>
  <c r="F177" i="2" s="1"/>
  <c r="D178" i="2" l="1"/>
  <c r="E178" i="2" s="1"/>
  <c r="F178" i="2" s="1"/>
  <c r="D179" i="2" l="1"/>
  <c r="E179" i="2" s="1"/>
  <c r="F179" i="2" s="1"/>
  <c r="D180" i="2" l="1"/>
  <c r="E180" i="2" s="1"/>
  <c r="F180" i="2" s="1"/>
  <c r="D181" i="2" l="1"/>
  <c r="E181" i="2" s="1"/>
  <c r="F181" i="2" s="1"/>
  <c r="D182" i="2" l="1"/>
  <c r="E182" i="2" s="1"/>
  <c r="F182" i="2" s="1"/>
  <c r="D183" i="2" l="1"/>
  <c r="E183" i="2" s="1"/>
  <c r="F183" i="2" s="1"/>
  <c r="D184" i="2" l="1"/>
  <c r="E184" i="2" s="1"/>
  <c r="F184" i="2" s="1"/>
  <c r="D185" i="2" l="1"/>
  <c r="E185" i="2" s="1"/>
  <c r="F185" i="2" s="1"/>
  <c r="D186" i="2" l="1"/>
  <c r="E186" i="2" s="1"/>
  <c r="F186" i="2" s="1"/>
  <c r="D187" i="2" l="1"/>
  <c r="E187" i="2" s="1"/>
  <c r="F187" i="2" s="1"/>
  <c r="D188" i="2" l="1"/>
  <c r="E188" i="2" s="1"/>
  <c r="F188" i="2" s="1"/>
  <c r="D189" i="2" l="1"/>
  <c r="E189" i="2" s="1"/>
  <c r="F189" i="2" s="1"/>
  <c r="D190" i="2" l="1"/>
  <c r="E190" i="2" s="1"/>
  <c r="F190" i="2" s="1"/>
  <c r="D191" i="2" l="1"/>
  <c r="E191" i="2" s="1"/>
  <c r="F191" i="2" s="1"/>
  <c r="D192" i="2" l="1"/>
  <c r="E192" i="2" s="1"/>
  <c r="F192" i="2" s="1"/>
  <c r="D193" i="2" l="1"/>
  <c r="E193" i="2" s="1"/>
  <c r="F193" i="2" s="1"/>
  <c r="D194" i="2" l="1"/>
  <c r="E194" i="2" s="1"/>
  <c r="F194" i="2" s="1"/>
  <c r="D195" i="2" l="1"/>
  <c r="E195" i="2" s="1"/>
  <c r="F195" i="2" s="1"/>
  <c r="D196" i="2" l="1"/>
  <c r="E196" i="2" s="1"/>
  <c r="F196" i="2" s="1"/>
  <c r="D197" i="2" l="1"/>
  <c r="E197" i="2" s="1"/>
  <c r="F197" i="2" s="1"/>
  <c r="D198" i="2" l="1"/>
  <c r="E198" i="2" s="1"/>
  <c r="F198" i="2" s="1"/>
  <c r="D199" i="2" l="1"/>
  <c r="E199" i="2" s="1"/>
  <c r="F199" i="2" s="1"/>
  <c r="D200" i="2" l="1"/>
  <c r="E200" i="2" s="1"/>
  <c r="F200" i="2" s="1"/>
  <c r="D201" i="2" l="1"/>
  <c r="E201" i="2" s="1"/>
  <c r="F201" i="2" s="1"/>
  <c r="D202" i="2" l="1"/>
  <c r="E202" i="2" s="1"/>
  <c r="F202" i="2" s="1"/>
  <c r="D203" i="2" l="1"/>
  <c r="E203" i="2" s="1"/>
  <c r="F203" i="2" s="1"/>
  <c r="D204" i="2" l="1"/>
  <c r="E204" i="2" s="1"/>
  <c r="F204" i="2" s="1"/>
  <c r="D205" i="2" l="1"/>
  <c r="E205" i="2" s="1"/>
  <c r="F205" i="2" s="1"/>
  <c r="D206" i="2" l="1"/>
  <c r="E206" i="2" s="1"/>
  <c r="F206" i="2" s="1"/>
  <c r="D207" i="2" l="1"/>
  <c r="E207" i="2" s="1"/>
  <c r="F207" i="2" s="1"/>
  <c r="D208" i="2" l="1"/>
  <c r="E208" i="2" s="1"/>
  <c r="F208" i="2" s="1"/>
  <c r="D209" i="2" l="1"/>
  <c r="E209" i="2" s="1"/>
  <c r="F209" i="2" s="1"/>
  <c r="D210" i="2" l="1"/>
  <c r="E210" i="2" s="1"/>
  <c r="F210" i="2" s="1"/>
  <c r="D211" i="2" l="1"/>
  <c r="E211" i="2" s="1"/>
  <c r="F211" i="2" s="1"/>
  <c r="D212" i="2" l="1"/>
  <c r="E212" i="2" s="1"/>
  <c r="F212" i="2" s="1"/>
  <c r="D213" i="2" l="1"/>
  <c r="E213" i="2" s="1"/>
  <c r="F213" i="2" s="1"/>
  <c r="D214" i="2" l="1"/>
  <c r="E214" i="2" s="1"/>
  <c r="F214" i="2" s="1"/>
  <c r="D215" i="2" l="1"/>
  <c r="E215" i="2" s="1"/>
  <c r="F215" i="2" s="1"/>
  <c r="D216" i="2" l="1"/>
  <c r="E216" i="2" s="1"/>
  <c r="F216" i="2" s="1"/>
  <c r="D217" i="2" l="1"/>
  <c r="E217" i="2" s="1"/>
  <c r="F217" i="2" s="1"/>
  <c r="D218" i="2" l="1"/>
  <c r="E218" i="2" s="1"/>
  <c r="F218" i="2" s="1"/>
  <c r="D219" i="2" l="1"/>
  <c r="E219" i="2" s="1"/>
  <c r="F219" i="2" s="1"/>
  <c r="D220" i="2" l="1"/>
  <c r="E220" i="2" s="1"/>
  <c r="F220" i="2" s="1"/>
  <c r="D221" i="2" l="1"/>
  <c r="E221" i="2" s="1"/>
  <c r="F221" i="2" s="1"/>
  <c r="D222" i="2" l="1"/>
  <c r="E222" i="2" s="1"/>
  <c r="F222" i="2" s="1"/>
  <c r="D223" i="2" l="1"/>
  <c r="E223" i="2" s="1"/>
  <c r="F223" i="2" s="1"/>
  <c r="D224" i="2" l="1"/>
  <c r="E224" i="2" s="1"/>
  <c r="F224" i="2" s="1"/>
  <c r="D225" i="2" l="1"/>
  <c r="E225" i="2" s="1"/>
  <c r="F225" i="2" s="1"/>
  <c r="D226" i="2" l="1"/>
  <c r="E226" i="2" s="1"/>
  <c r="F226" i="2" s="1"/>
  <c r="D227" i="2" l="1"/>
  <c r="E227" i="2" s="1"/>
  <c r="F227" i="2" s="1"/>
  <c r="D228" i="2" l="1"/>
  <c r="E228" i="2" s="1"/>
  <c r="F228" i="2" s="1"/>
  <c r="D229" i="2" l="1"/>
  <c r="E229" i="2" s="1"/>
  <c r="F229" i="2" s="1"/>
  <c r="D230" i="2" l="1"/>
  <c r="E230" i="2" s="1"/>
  <c r="F230" i="2" s="1"/>
  <c r="D231" i="2" l="1"/>
  <c r="E231" i="2" s="1"/>
  <c r="F231" i="2" s="1"/>
  <c r="D232" i="2" l="1"/>
  <c r="E232" i="2" s="1"/>
  <c r="F232" i="2" s="1"/>
  <c r="D233" i="2" l="1"/>
  <c r="E233" i="2" s="1"/>
  <c r="F233" i="2" s="1"/>
  <c r="D234" i="2" l="1"/>
  <c r="E234" i="2" s="1"/>
  <c r="F234" i="2" s="1"/>
  <c r="D235" i="2" l="1"/>
  <c r="E235" i="2" s="1"/>
  <c r="F235" i="2" s="1"/>
  <c r="D236" i="2" l="1"/>
  <c r="E236" i="2" s="1"/>
  <c r="F236" i="2" s="1"/>
  <c r="D237" i="2" l="1"/>
  <c r="E237" i="2" s="1"/>
  <c r="F237" i="2" s="1"/>
  <c r="D238" i="2" l="1"/>
  <c r="E238" i="2" s="1"/>
  <c r="F238" i="2" s="1"/>
  <c r="D239" i="2" l="1"/>
  <c r="E239" i="2" s="1"/>
  <c r="F239" i="2" s="1"/>
  <c r="D240" i="2" l="1"/>
  <c r="E240" i="2" s="1"/>
  <c r="F240" i="2" s="1"/>
  <c r="D241" i="2" l="1"/>
  <c r="E241" i="2" s="1"/>
  <c r="F241" i="2" s="1"/>
  <c r="D242" i="2" l="1"/>
  <c r="E242" i="2" s="1"/>
  <c r="F242" i="2" s="1"/>
  <c r="D243" i="2" l="1"/>
  <c r="E243" i="2" s="1"/>
  <c r="F243" i="2" s="1"/>
  <c r="D244" i="2" l="1"/>
  <c r="E244" i="2" s="1"/>
  <c r="F244" i="2" s="1"/>
  <c r="D245" i="2" l="1"/>
  <c r="E245" i="2" s="1"/>
  <c r="F245" i="2" s="1"/>
  <c r="D246" i="2" l="1"/>
  <c r="E246" i="2" s="1"/>
  <c r="F246" i="2" s="1"/>
  <c r="D247" i="2" l="1"/>
  <c r="E247" i="2" s="1"/>
  <c r="F247" i="2" s="1"/>
  <c r="D248" i="2" l="1"/>
  <c r="E248" i="2" s="1"/>
  <c r="F248" i="2" s="1"/>
  <c r="D249" i="2" l="1"/>
  <c r="E249" i="2" s="1"/>
  <c r="F249" i="2" s="1"/>
  <c r="D250" i="2" l="1"/>
  <c r="E250" i="2" s="1"/>
  <c r="F250" i="2" s="1"/>
  <c r="D251" i="2" l="1"/>
  <c r="E251" i="2" s="1"/>
  <c r="F251" i="2" s="1"/>
  <c r="D252" i="2" l="1"/>
  <c r="E252" i="2" s="1"/>
  <c r="F252" i="2" s="1"/>
  <c r="D253" i="2" l="1"/>
  <c r="E253" i="2" s="1"/>
  <c r="F253" i="2" s="1"/>
  <c r="D254" i="2" l="1"/>
  <c r="E254" i="2" s="1"/>
  <c r="F254" i="2" s="1"/>
  <c r="D255" i="2" l="1"/>
  <c r="E255" i="2" s="1"/>
  <c r="F255" i="2" s="1"/>
  <c r="D256" i="2" l="1"/>
  <c r="E256" i="2" s="1"/>
  <c r="F256" i="2" s="1"/>
  <c r="D257" i="2" l="1"/>
  <c r="E257" i="2" s="1"/>
  <c r="F257" i="2" s="1"/>
  <c r="D258" i="2" l="1"/>
  <c r="E258" i="2" s="1"/>
  <c r="F258" i="2" s="1"/>
  <c r="D259" i="2" l="1"/>
  <c r="E259" i="2" s="1"/>
  <c r="F259" i="2" s="1"/>
  <c r="D260" i="2" l="1"/>
  <c r="E260" i="2" s="1"/>
  <c r="F260" i="2" s="1"/>
  <c r="D261" i="2" l="1"/>
  <c r="E261" i="2" s="1"/>
  <c r="F261" i="2" s="1"/>
  <c r="D262" i="2" l="1"/>
  <c r="E262" i="2" s="1"/>
  <c r="F262" i="2" s="1"/>
  <c r="D263" i="2" l="1"/>
  <c r="E263" i="2" s="1"/>
  <c r="F263" i="2" s="1"/>
  <c r="D264" i="2" l="1"/>
  <c r="E264" i="2" s="1"/>
  <c r="F264" i="2" s="1"/>
  <c r="D265" i="2" l="1"/>
  <c r="E265" i="2" s="1"/>
  <c r="F265" i="2" s="1"/>
  <c r="D266" i="2" l="1"/>
  <c r="E266" i="2" s="1"/>
  <c r="F266" i="2" s="1"/>
  <c r="D267" i="2" l="1"/>
  <c r="E267" i="2" s="1"/>
  <c r="F267" i="2" s="1"/>
  <c r="D268" i="2" l="1"/>
  <c r="E268" i="2" s="1"/>
  <c r="F268" i="2" s="1"/>
  <c r="D269" i="2" l="1"/>
  <c r="E269" i="2" s="1"/>
  <c r="F269" i="2" s="1"/>
  <c r="D270" i="2" l="1"/>
  <c r="E270" i="2" s="1"/>
  <c r="F270" i="2" s="1"/>
  <c r="D271" i="2" l="1"/>
  <c r="E271" i="2" s="1"/>
  <c r="F271" i="2" s="1"/>
  <c r="D272" i="2" l="1"/>
  <c r="E272" i="2" s="1"/>
  <c r="F272" i="2" s="1"/>
  <c r="D273" i="2" l="1"/>
  <c r="E273" i="2" s="1"/>
  <c r="F273" i="2" s="1"/>
  <c r="D274" i="2" l="1"/>
  <c r="E274" i="2" s="1"/>
  <c r="F274" i="2" s="1"/>
  <c r="D275" i="2" l="1"/>
  <c r="E275" i="2" s="1"/>
  <c r="F275" i="2" s="1"/>
  <c r="D276" i="2" l="1"/>
  <c r="E276" i="2" s="1"/>
  <c r="F276" i="2" s="1"/>
  <c r="D277" i="2" l="1"/>
  <c r="E277" i="2" s="1"/>
  <c r="F277" i="2" s="1"/>
  <c r="D278" i="2" l="1"/>
  <c r="E278" i="2" s="1"/>
  <c r="F278" i="2" s="1"/>
  <c r="D279" i="2" l="1"/>
  <c r="E279" i="2" s="1"/>
  <c r="F279" i="2" s="1"/>
  <c r="D280" i="2" l="1"/>
  <c r="E280" i="2" s="1"/>
  <c r="F280" i="2" s="1"/>
  <c r="D281" i="2" l="1"/>
  <c r="E281" i="2" s="1"/>
  <c r="F281" i="2" s="1"/>
  <c r="D282" i="2" l="1"/>
  <c r="E282" i="2" s="1"/>
  <c r="F282" i="2" s="1"/>
  <c r="D283" i="2" l="1"/>
  <c r="E283" i="2" s="1"/>
  <c r="F283" i="2" s="1"/>
  <c r="D284" i="2" l="1"/>
  <c r="E284" i="2" s="1"/>
  <c r="F284" i="2" s="1"/>
  <c r="D285" i="2" l="1"/>
  <c r="E285" i="2" s="1"/>
  <c r="F285" i="2" s="1"/>
  <c r="D286" i="2" l="1"/>
  <c r="E286" i="2" s="1"/>
  <c r="F286" i="2" s="1"/>
  <c r="D287" i="2" l="1"/>
  <c r="E287" i="2" s="1"/>
  <c r="F287" i="2" s="1"/>
  <c r="D288" i="2" l="1"/>
  <c r="E288" i="2" s="1"/>
  <c r="F288" i="2" s="1"/>
  <c r="D289" i="2" l="1"/>
  <c r="E289" i="2" s="1"/>
  <c r="F289" i="2" s="1"/>
  <c r="D290" i="2" l="1"/>
  <c r="E290" i="2" s="1"/>
  <c r="F290" i="2" s="1"/>
  <c r="D291" i="2" l="1"/>
  <c r="E291" i="2" s="1"/>
  <c r="F291" i="2" s="1"/>
  <c r="D292" i="2" l="1"/>
  <c r="E292" i="2" s="1"/>
  <c r="F292" i="2" s="1"/>
  <c r="D293" i="2" l="1"/>
  <c r="E293" i="2" s="1"/>
  <c r="F293" i="2" s="1"/>
  <c r="D294" i="2" l="1"/>
  <c r="E294" i="2" s="1"/>
  <c r="F294" i="2" s="1"/>
  <c r="D295" i="2" l="1"/>
  <c r="E295" i="2" s="1"/>
  <c r="F295" i="2" s="1"/>
  <c r="D296" i="2" l="1"/>
  <c r="E296" i="2" s="1"/>
  <c r="F296" i="2" s="1"/>
  <c r="D297" i="2" l="1"/>
  <c r="E297" i="2" s="1"/>
  <c r="F297" i="2" s="1"/>
  <c r="D298" i="2" l="1"/>
  <c r="E298" i="2" s="1"/>
  <c r="F298" i="2" s="1"/>
  <c r="D299" i="2" l="1"/>
  <c r="E299" i="2" s="1"/>
  <c r="F299" i="2" s="1"/>
  <c r="D300" i="2" l="1"/>
  <c r="E300" i="2" s="1"/>
  <c r="F300" i="2" s="1"/>
  <c r="D301" i="2" l="1"/>
  <c r="E301" i="2" s="1"/>
  <c r="F301" i="2" s="1"/>
  <c r="D302" i="2" l="1"/>
  <c r="E302" i="2" s="1"/>
  <c r="F302" i="2" s="1"/>
  <c r="D303" i="2" l="1"/>
  <c r="E303" i="2" s="1"/>
  <c r="F303" i="2" s="1"/>
  <c r="D304" i="2" l="1"/>
  <c r="E304" i="2" s="1"/>
  <c r="F304" i="2" s="1"/>
  <c r="D305" i="2" l="1"/>
  <c r="E305" i="2" s="1"/>
  <c r="F305" i="2" s="1"/>
  <c r="D306" i="2" l="1"/>
  <c r="E306" i="2" s="1"/>
  <c r="F306" i="2" s="1"/>
  <c r="D307" i="2" l="1"/>
  <c r="E307" i="2" s="1"/>
  <c r="F307" i="2" s="1"/>
  <c r="D308" i="2" l="1"/>
  <c r="E308" i="2" s="1"/>
  <c r="F308" i="2" s="1"/>
  <c r="D309" i="2" l="1"/>
  <c r="E309" i="2" s="1"/>
  <c r="F309" i="2" s="1"/>
  <c r="D310" i="2" l="1"/>
  <c r="E310" i="2" s="1"/>
  <c r="F310" i="2" s="1"/>
  <c r="D311" i="2" l="1"/>
  <c r="E311" i="2" s="1"/>
  <c r="F311" i="2" s="1"/>
  <c r="D312" i="2" l="1"/>
  <c r="E312" i="2" s="1"/>
  <c r="F312" i="2" s="1"/>
  <c r="D313" i="2" l="1"/>
  <c r="E313" i="2" s="1"/>
  <c r="F313" i="2" s="1"/>
  <c r="D314" i="2" l="1"/>
  <c r="E314" i="2" s="1"/>
  <c r="F314" i="2" s="1"/>
  <c r="D315" i="2" l="1"/>
  <c r="E315" i="2" s="1"/>
  <c r="F315" i="2" s="1"/>
  <c r="D316" i="2" l="1"/>
  <c r="E316" i="2" s="1"/>
  <c r="F316" i="2" s="1"/>
  <c r="D317" i="2" l="1"/>
  <c r="E317" i="2" s="1"/>
  <c r="F317" i="2" s="1"/>
  <c r="D318" i="2" l="1"/>
  <c r="E318" i="2" s="1"/>
  <c r="F318" i="2" s="1"/>
  <c r="D319" i="2" l="1"/>
  <c r="E319" i="2" s="1"/>
  <c r="F319" i="2" s="1"/>
  <c r="D320" i="2" l="1"/>
  <c r="E320" i="2" s="1"/>
  <c r="F320" i="2" s="1"/>
  <c r="D321" i="2" l="1"/>
  <c r="E321" i="2" s="1"/>
  <c r="F321" i="2" s="1"/>
  <c r="D322" i="2" l="1"/>
  <c r="E322" i="2" s="1"/>
  <c r="F322" i="2" s="1"/>
  <c r="D323" i="2" l="1"/>
  <c r="E323" i="2" s="1"/>
  <c r="F323" i="2" s="1"/>
  <c r="D324" i="2" l="1"/>
  <c r="E324" i="2" s="1"/>
  <c r="F324" i="2" s="1"/>
  <c r="D325" i="2" l="1"/>
  <c r="E325" i="2" s="1"/>
  <c r="F325" i="2" s="1"/>
  <c r="D326" i="2" l="1"/>
  <c r="E326" i="2" s="1"/>
  <c r="F326" i="2" s="1"/>
  <c r="D327" i="2" l="1"/>
  <c r="E327" i="2" s="1"/>
  <c r="F327" i="2" s="1"/>
  <c r="D328" i="2" l="1"/>
  <c r="E328" i="2" s="1"/>
  <c r="F328" i="2" s="1"/>
  <c r="D329" i="2" l="1"/>
  <c r="E329" i="2" s="1"/>
  <c r="F329" i="2" s="1"/>
  <c r="D330" i="2" l="1"/>
  <c r="E330" i="2" s="1"/>
  <c r="F330" i="2" s="1"/>
  <c r="D331" i="2" l="1"/>
  <c r="E331" i="2" s="1"/>
  <c r="F331" i="2" s="1"/>
  <c r="D332" i="2" l="1"/>
  <c r="E332" i="2" s="1"/>
  <c r="F332" i="2" s="1"/>
  <c r="D333" i="2" l="1"/>
  <c r="E333" i="2" s="1"/>
  <c r="F333" i="2" s="1"/>
  <c r="D334" i="2" l="1"/>
  <c r="E334" i="2" s="1"/>
  <c r="F334" i="2" s="1"/>
  <c r="D335" i="2" l="1"/>
  <c r="E335" i="2" s="1"/>
  <c r="F335" i="2" s="1"/>
  <c r="D336" i="2" l="1"/>
  <c r="E336" i="2" s="1"/>
  <c r="F336" i="2" s="1"/>
  <c r="D337" i="2" l="1"/>
  <c r="E337" i="2" s="1"/>
  <c r="F337" i="2" s="1"/>
  <c r="D338" i="2" l="1"/>
  <c r="E338" i="2" s="1"/>
  <c r="F338" i="2" s="1"/>
  <c r="D339" i="2" l="1"/>
  <c r="E339" i="2" s="1"/>
  <c r="F339" i="2" s="1"/>
  <c r="D340" i="2" l="1"/>
  <c r="E340" i="2" s="1"/>
  <c r="F340" i="2" s="1"/>
  <c r="D341" i="2" l="1"/>
  <c r="E341" i="2" s="1"/>
  <c r="F341" i="2" s="1"/>
  <c r="D342" i="2" l="1"/>
  <c r="E342" i="2" s="1"/>
  <c r="F342" i="2" s="1"/>
  <c r="D343" i="2" l="1"/>
  <c r="E343" i="2" s="1"/>
  <c r="F343" i="2" s="1"/>
  <c r="D344" i="2" l="1"/>
  <c r="E344" i="2" s="1"/>
  <c r="F344" i="2" s="1"/>
  <c r="D345" i="2" l="1"/>
  <c r="E345" i="2" s="1"/>
  <c r="F345" i="2" s="1"/>
  <c r="D346" i="2" l="1"/>
  <c r="E346" i="2" s="1"/>
  <c r="F346" i="2" s="1"/>
  <c r="D347" i="2" l="1"/>
  <c r="E347" i="2" s="1"/>
  <c r="F347" i="2" s="1"/>
  <c r="D348" i="2" l="1"/>
  <c r="E348" i="2" s="1"/>
  <c r="F348" i="2" s="1"/>
  <c r="D349" i="2" l="1"/>
  <c r="E349" i="2" s="1"/>
  <c r="F349" i="2" s="1"/>
  <c r="D350" i="2" l="1"/>
  <c r="E350" i="2" s="1"/>
  <c r="F350" i="2" s="1"/>
  <c r="D351" i="2" l="1"/>
  <c r="E351" i="2" s="1"/>
  <c r="F351" i="2" s="1"/>
  <c r="D352" i="2" l="1"/>
  <c r="E352" i="2" s="1"/>
  <c r="F352" i="2" s="1"/>
  <c r="D353" i="2" l="1"/>
  <c r="E353" i="2" s="1"/>
  <c r="F353" i="2" s="1"/>
  <c r="D354" i="2" l="1"/>
  <c r="E354" i="2" s="1"/>
  <c r="F354" i="2" s="1"/>
  <c r="D355" i="2" l="1"/>
  <c r="E355" i="2" s="1"/>
  <c r="F355" i="2" s="1"/>
  <c r="D356" i="2" l="1"/>
  <c r="E356" i="2" s="1"/>
  <c r="F356" i="2" s="1"/>
  <c r="D357" i="2" l="1"/>
  <c r="E357" i="2" s="1"/>
  <c r="F357" i="2" s="1"/>
  <c r="D358" i="2" l="1"/>
  <c r="E358" i="2" s="1"/>
  <c r="F358" i="2" s="1"/>
  <c r="D359" i="2" l="1"/>
  <c r="E359" i="2" s="1"/>
  <c r="F359" i="2" s="1"/>
  <c r="D360" i="2" l="1"/>
  <c r="E360" i="2" s="1"/>
  <c r="F360" i="2" s="1"/>
  <c r="D361" i="2" l="1"/>
  <c r="E361" i="2" s="1"/>
  <c r="F361" i="2" s="1"/>
  <c r="D362" i="2" l="1"/>
  <c r="E362" i="2" s="1"/>
  <c r="F362" i="2" s="1"/>
  <c r="D363" i="2" l="1"/>
  <c r="E363" i="2" s="1"/>
  <c r="F363" i="2" s="1"/>
  <c r="D364" i="2" l="1"/>
  <c r="E364" i="2" s="1"/>
  <c r="F364" i="2" s="1"/>
  <c r="D365" i="2" l="1"/>
  <c r="E365" i="2" s="1"/>
  <c r="F365" i="2" s="1"/>
</calcChain>
</file>

<file path=xl/sharedStrings.xml><?xml version="1.0" encoding="utf-8"?>
<sst xmlns="http://schemas.openxmlformats.org/spreadsheetml/2006/main" count="105" uniqueCount="92">
  <si>
    <t>REAL ESTATE MODEL</t>
  </si>
  <si>
    <t>KEY ASSUMPTIONS</t>
  </si>
  <si>
    <t>Global Inputs</t>
  </si>
  <si>
    <t>Vacancy rate</t>
  </si>
  <si>
    <t>Inflation rate</t>
  </si>
  <si>
    <t>Purchases Inputs</t>
  </si>
  <si>
    <t>Deperication rate</t>
  </si>
  <si>
    <t>Deperciable basis</t>
  </si>
  <si>
    <t>Down payment</t>
  </si>
  <si>
    <t>Purchases price</t>
  </si>
  <si>
    <t>Closing cost</t>
  </si>
  <si>
    <t>Addition Capex</t>
  </si>
  <si>
    <t>Loan cost &amp; cash flow</t>
  </si>
  <si>
    <t>Loan Fees</t>
  </si>
  <si>
    <t>Loan Amount</t>
  </si>
  <si>
    <t>Loan interest rate</t>
  </si>
  <si>
    <t>Loan term</t>
  </si>
  <si>
    <t>Taxation Inputs</t>
  </si>
  <si>
    <t>Marginal Tax rate</t>
  </si>
  <si>
    <t>Capital gain rate</t>
  </si>
  <si>
    <t>Sales exit inputs</t>
  </si>
  <si>
    <t>Exit selling cost</t>
  </si>
  <si>
    <t>Exit cap rate</t>
  </si>
  <si>
    <t>NPV Calculation Inputs</t>
  </si>
  <si>
    <t>Pretax discount rate</t>
  </si>
  <si>
    <t>Aftertax discoount rate</t>
  </si>
  <si>
    <t>FORECASTING OPERATING INCOME</t>
  </si>
  <si>
    <t>Monthly loan payment</t>
  </si>
  <si>
    <t>Particular</t>
  </si>
  <si>
    <t>Operating Income</t>
  </si>
  <si>
    <t>Rental Income</t>
  </si>
  <si>
    <t>Two bedrooms</t>
  </si>
  <si>
    <t>One bedrooms</t>
  </si>
  <si>
    <t>Studios</t>
  </si>
  <si>
    <t xml:space="preserve">Monthly </t>
  </si>
  <si>
    <t>Units</t>
  </si>
  <si>
    <t>Total Potencial Income</t>
  </si>
  <si>
    <t>Forecasted Income</t>
  </si>
  <si>
    <t>Vacancy Allowance</t>
  </si>
  <si>
    <t>Operating Expenses</t>
  </si>
  <si>
    <t>Admin</t>
  </si>
  <si>
    <t>Minor Repairs</t>
  </si>
  <si>
    <t>Maintanac</t>
  </si>
  <si>
    <t>Maintenance/Landscape</t>
  </si>
  <si>
    <t>Leasing Commissions</t>
  </si>
  <si>
    <t>Insurance</t>
  </si>
  <si>
    <t>Legal &amp; Other Professinal fees</t>
  </si>
  <si>
    <t>Management Fees</t>
  </si>
  <si>
    <t>Repairs/ Units Turns</t>
  </si>
  <si>
    <t>Home Warrantly</t>
  </si>
  <si>
    <t>Propety Tax</t>
  </si>
  <si>
    <t>Utilites</t>
  </si>
  <si>
    <t>Others</t>
  </si>
  <si>
    <t>Total Oer</t>
  </si>
  <si>
    <t>Total Operating Expenses</t>
  </si>
  <si>
    <t>CALCULATION OF PRETAX NPV &amp; IRR</t>
  </si>
  <si>
    <t>Total Annual Loan Payments</t>
  </si>
  <si>
    <t>Pretax Cash Flows</t>
  </si>
  <si>
    <t>Initial Investment</t>
  </si>
  <si>
    <t>Loan Payments</t>
  </si>
  <si>
    <t>Sales Proceeds</t>
  </si>
  <si>
    <t>Selling Cost</t>
  </si>
  <si>
    <t>The Loan Amortization Schedule</t>
  </si>
  <si>
    <t xml:space="preserve">Month </t>
  </si>
  <si>
    <t>Payment</t>
  </si>
  <si>
    <t>Interest</t>
  </si>
  <si>
    <t xml:space="preserve">Principal </t>
  </si>
  <si>
    <t>Balance</t>
  </si>
  <si>
    <t>Total Pretax Cash Flow</t>
  </si>
  <si>
    <t>Cap Rate</t>
  </si>
  <si>
    <t>Pertax IRR</t>
  </si>
  <si>
    <t>Cash On Cash Return</t>
  </si>
  <si>
    <t>Pretax NPV</t>
  </si>
  <si>
    <t>Avg. DSCR</t>
  </si>
  <si>
    <t>CALCULATION OF AFTERTAX NPV &amp; IRR</t>
  </si>
  <si>
    <t>Taxable Income Forecast</t>
  </si>
  <si>
    <t>Loan Interest</t>
  </si>
  <si>
    <t>Deperication</t>
  </si>
  <si>
    <t>Loan fee amortization</t>
  </si>
  <si>
    <t>Taxable Income (Loss)</t>
  </si>
  <si>
    <t>Tax Expenses (Savings)</t>
  </si>
  <si>
    <t>Aftertax operating cash flows</t>
  </si>
  <si>
    <t>Sales Proceed</t>
  </si>
  <si>
    <t>Selling cost</t>
  </si>
  <si>
    <t>Loan Repayment</t>
  </si>
  <si>
    <t>Capital gain tax</t>
  </si>
  <si>
    <t>After tax all inclue cash flow</t>
  </si>
  <si>
    <t>After tax IRR</t>
  </si>
  <si>
    <t>After tax NPV</t>
  </si>
  <si>
    <t>#</t>
  </si>
  <si>
    <t>Other aftertax Cashflow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</si>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</sst>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[$$-409]* #,##0.00_ ;_-[$$-409]* \-#,##0.00\ ;_-[$$-409]* &quot;-&quot;??_ ;_-@_ "/>
    <numFmt numFmtId="165" formatCode="0.0%"/>
    <numFmt numFmtId="166" formatCode="_-[$$-409]* #,##0_ ;_-[$$-409]* \-#,##0\ ;_-[$$-409]* &quot;-&quot;??_ ;_-@_ "/>
    <numFmt numFmtId="167" formatCode="0.0"/>
    <numFmt numFmtId="168" formatCode="\$\ #,##0.00;\(\$\ #,##0.00\)"/>
    <numFmt numFmtId="169" formatCode="\$\ #,##0.0;\(\$\ #,##0.0\)"/>
    <numFmt numFmtId="170" formatCode="\$\ #,##0;\(\$\ #,##0\)"/>
    <numFmt numFmtId="171" formatCode="&quot;Year&quot;\ 0"/>
  </numFmts>
  <fonts count="20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rgb="FF002060"/>
      <name val="Arial Nova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theme="0"/>
      </right>
      <top style="hair">
        <color auto="1"/>
      </top>
      <bottom/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n">
        <color auto="1"/>
      </top>
      <bottom style="medium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 style="thin">
        <color rgb="FF002060"/>
      </top>
      <bottom style="double">
        <color rgb="FF002060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ck">
        <color theme="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medium">
        <color rgb="FF002060"/>
      </top>
      <bottom/>
      <diagonal/>
    </border>
    <border>
      <left/>
      <right style="thick">
        <color theme="0"/>
      </right>
      <top style="thin">
        <color auto="1"/>
      </top>
      <bottom style="thin">
        <color auto="1"/>
      </bottom>
      <diagonal/>
    </border>
    <border>
      <left/>
      <right style="thick">
        <color theme="0"/>
      </right>
      <top/>
      <bottom style="thin">
        <color rgb="FF00206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n">
        <color rgb="FF002060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double">
        <color rgb="FF00206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Fill="0" applyBorder="0"/>
  </cellStyleXfs>
  <cellXfs count="1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  <xf numFmtId="0" fontId="9" fillId="3" borderId="0" xfId="2" applyFont="1" applyFill="1" applyAlignment="1">
      <alignment horizontal="center"/>
    </xf>
    <xf numFmtId="0" fontId="9" fillId="0" borderId="0" xfId="2" applyFont="1" applyFill="1" applyAlignment="1"/>
    <xf numFmtId="0" fontId="10" fillId="0" borderId="0" xfId="0" applyFont="1" applyFill="1" applyBorder="1" applyAlignment="1">
      <alignment vertical="center"/>
    </xf>
    <xf numFmtId="0" fontId="11" fillId="5" borderId="1" xfId="0" applyFont="1" applyFill="1" applyBorder="1"/>
    <xf numFmtId="0" fontId="8" fillId="5" borderId="1" xfId="0" applyFont="1" applyFill="1" applyBorder="1"/>
    <xf numFmtId="0" fontId="8" fillId="0" borderId="0" xfId="0" applyFont="1" applyFill="1" applyBorder="1"/>
    <xf numFmtId="0" fontId="8" fillId="0" borderId="32" xfId="0" applyFont="1" applyBorder="1"/>
    <xf numFmtId="0" fontId="8" fillId="0" borderId="33" xfId="0" applyFont="1" applyBorder="1"/>
    <xf numFmtId="165" fontId="12" fillId="0" borderId="32" xfId="0" applyNumberFormat="1" applyFont="1" applyBorder="1"/>
    <xf numFmtId="9" fontId="12" fillId="0" borderId="32" xfId="0" applyNumberFormat="1" applyFont="1" applyBorder="1"/>
    <xf numFmtId="0" fontId="13" fillId="0" borderId="0" xfId="0" applyFont="1" applyFill="1" applyBorder="1"/>
    <xf numFmtId="0" fontId="8" fillId="0" borderId="2" xfId="0" applyFont="1" applyBorder="1"/>
    <xf numFmtId="0" fontId="8" fillId="0" borderId="7" xfId="0" applyFont="1" applyBorder="1"/>
    <xf numFmtId="165" fontId="12" fillId="0" borderId="2" xfId="0" applyNumberFormat="1" applyFont="1" applyBorder="1"/>
    <xf numFmtId="9" fontId="12" fillId="0" borderId="2" xfId="0" applyNumberFormat="1" applyFont="1" applyBorder="1"/>
    <xf numFmtId="0" fontId="14" fillId="0" borderId="0" xfId="0" applyFont="1" applyFill="1" applyBorder="1"/>
    <xf numFmtId="165" fontId="15" fillId="0" borderId="0" xfId="0" applyNumberFormat="1" applyFont="1" applyFill="1" applyBorder="1"/>
    <xf numFmtId="0" fontId="8" fillId="0" borderId="0" xfId="0" applyFont="1" applyBorder="1"/>
    <xf numFmtId="166" fontId="12" fillId="0" borderId="32" xfId="0" applyNumberFormat="1" applyFont="1" applyFill="1" applyBorder="1"/>
    <xf numFmtId="166" fontId="8" fillId="0" borderId="32" xfId="0" applyNumberFormat="1" applyFont="1" applyBorder="1" applyAlignment="1">
      <alignment horizontal="right"/>
    </xf>
    <xf numFmtId="0" fontId="12" fillId="0" borderId="32" xfId="0" applyFont="1" applyBorder="1"/>
    <xf numFmtId="170" fontId="8" fillId="0" borderId="33" xfId="0" applyNumberFormat="1" applyFont="1" applyBorder="1"/>
    <xf numFmtId="165" fontId="16" fillId="0" borderId="32" xfId="1" applyNumberFormat="1" applyFont="1" applyBorder="1"/>
    <xf numFmtId="170" fontId="8" fillId="0" borderId="2" xfId="0" applyNumberFormat="1" applyFont="1" applyBorder="1"/>
    <xf numFmtId="165" fontId="16" fillId="0" borderId="9" xfId="0" applyNumberFormat="1" applyFont="1" applyBorder="1"/>
    <xf numFmtId="164" fontId="8" fillId="0" borderId="0" xfId="0" applyNumberFormat="1" applyFont="1"/>
    <xf numFmtId="0" fontId="12" fillId="0" borderId="6" xfId="0" applyFont="1" applyBorder="1"/>
    <xf numFmtId="170" fontId="8" fillId="0" borderId="8" xfId="0" applyNumberFormat="1" applyFont="1" applyBorder="1"/>
    <xf numFmtId="165" fontId="16" fillId="0" borderId="32" xfId="1" applyNumberFormat="1" applyFont="1" applyBorder="1" applyAlignment="1">
      <alignment horizontal="right"/>
    </xf>
    <xf numFmtId="0" fontId="12" fillId="0" borderId="7" xfId="0" applyFont="1" applyBorder="1"/>
    <xf numFmtId="165" fontId="12" fillId="0" borderId="7" xfId="0" applyNumberFormat="1" applyFont="1" applyBorder="1"/>
    <xf numFmtId="166" fontId="12" fillId="0" borderId="2" xfId="0" applyNumberFormat="1" applyFont="1" applyBorder="1"/>
    <xf numFmtId="166" fontId="8" fillId="0" borderId="31" xfId="0" applyNumberFormat="1" applyFont="1" applyBorder="1" applyAlignment="1">
      <alignment horizontal="right"/>
    </xf>
    <xf numFmtId="167" fontId="16" fillId="0" borderId="2" xfId="0" applyNumberFormat="1" applyFont="1" applyBorder="1"/>
    <xf numFmtId="0" fontId="8" fillId="0" borderId="8" xfId="0" applyFont="1" applyBorder="1"/>
    <xf numFmtId="166" fontId="8" fillId="0" borderId="2" xfId="0" applyNumberFormat="1" applyFont="1" applyBorder="1" applyAlignment="1">
      <alignment horizontal="right"/>
    </xf>
    <xf numFmtId="0" fontId="8" fillId="0" borderId="31" xfId="0" applyFont="1" applyBorder="1"/>
    <xf numFmtId="9" fontId="12" fillId="0" borderId="0" xfId="0" applyNumberFormat="1" applyFont="1"/>
    <xf numFmtId="0" fontId="11" fillId="5" borderId="5" xfId="0" applyFont="1" applyFill="1" applyBorder="1"/>
    <xf numFmtId="0" fontId="11" fillId="5" borderId="12" xfId="0" applyFont="1" applyFill="1" applyBorder="1"/>
    <xf numFmtId="169" fontId="11" fillId="4" borderId="12" xfId="0" applyNumberFormat="1" applyFont="1" applyFill="1" applyBorder="1"/>
    <xf numFmtId="0" fontId="8" fillId="0" borderId="11" xfId="0" applyFont="1" applyBorder="1"/>
    <xf numFmtId="0" fontId="8" fillId="0" borderId="10" xfId="0" applyFont="1" applyBorder="1"/>
    <xf numFmtId="0" fontId="17" fillId="3" borderId="0" xfId="0" applyFont="1" applyFill="1"/>
    <xf numFmtId="0" fontId="17" fillId="3" borderId="0" xfId="0" applyFont="1" applyFill="1" applyBorder="1"/>
    <xf numFmtId="171" fontId="17" fillId="3" borderId="0" xfId="0" applyNumberFormat="1" applyFont="1" applyFill="1" applyBorder="1"/>
    <xf numFmtId="171" fontId="17" fillId="0" borderId="0" xfId="0" applyNumberFormat="1" applyFont="1" applyFill="1"/>
    <xf numFmtId="0" fontId="8" fillId="2" borderId="4" xfId="0" applyFont="1" applyFill="1" applyBorder="1"/>
    <xf numFmtId="3" fontId="12" fillId="2" borderId="4" xfId="0" applyNumberFormat="1" applyFont="1" applyFill="1" applyBorder="1" applyAlignment="1">
      <alignment horizontal="right"/>
    </xf>
    <xf numFmtId="0" fontId="12" fillId="2" borderId="4" xfId="0" applyFont="1" applyFill="1" applyBorder="1"/>
    <xf numFmtId="170" fontId="8" fillId="0" borderId="0" xfId="0" applyNumberFormat="1" applyFont="1"/>
    <xf numFmtId="0" fontId="11" fillId="0" borderId="0" xfId="0" applyFont="1"/>
    <xf numFmtId="0" fontId="11" fillId="0" borderId="13" xfId="0" applyFont="1" applyBorder="1"/>
    <xf numFmtId="0" fontId="11" fillId="0" borderId="14" xfId="0" applyFont="1" applyBorder="1"/>
    <xf numFmtId="170" fontId="11" fillId="0" borderId="14" xfId="0" applyNumberFormat="1" applyFont="1" applyBorder="1"/>
    <xf numFmtId="170" fontId="11" fillId="0" borderId="0" xfId="0" applyNumberFormat="1" applyFont="1"/>
    <xf numFmtId="0" fontId="11" fillId="0" borderId="8" xfId="0" applyFont="1" applyBorder="1"/>
    <xf numFmtId="170" fontId="11" fillId="0" borderId="8" xfId="0" applyNumberFormat="1" applyFont="1" applyBorder="1"/>
    <xf numFmtId="2" fontId="8" fillId="0" borderId="8" xfId="0" applyNumberFormat="1" applyFont="1" applyBorder="1"/>
    <xf numFmtId="2" fontId="8" fillId="0" borderId="0" xfId="0" applyNumberFormat="1" applyFont="1"/>
    <xf numFmtId="0" fontId="11" fillId="2" borderId="13" xfId="0" applyFont="1" applyFill="1" applyBorder="1"/>
    <xf numFmtId="0" fontId="11" fillId="2" borderId="14" xfId="0" applyFont="1" applyFill="1" applyBorder="1"/>
    <xf numFmtId="170" fontId="11" fillId="2" borderId="14" xfId="0" applyNumberFormat="1" applyFont="1" applyFill="1" applyBorder="1"/>
    <xf numFmtId="10" fontId="8" fillId="2" borderId="4" xfId="0" applyNumberFormat="1" applyFont="1" applyFill="1" applyBorder="1"/>
    <xf numFmtId="170" fontId="8" fillId="2" borderId="4" xfId="0" applyNumberFormat="1" applyFont="1" applyFill="1" applyBorder="1"/>
    <xf numFmtId="1" fontId="8" fillId="0" borderId="0" xfId="0" applyNumberFormat="1" applyFont="1"/>
    <xf numFmtId="0" fontId="11" fillId="0" borderId="17" xfId="0" applyFont="1" applyBorder="1"/>
    <xf numFmtId="0" fontId="11" fillId="0" borderId="18" xfId="0" applyFont="1" applyBorder="1"/>
    <xf numFmtId="168" fontId="11" fillId="0" borderId="18" xfId="0" applyNumberFormat="1" applyFont="1" applyBorder="1"/>
    <xf numFmtId="0" fontId="8" fillId="0" borderId="30" xfId="0" applyFont="1" applyBorder="1"/>
    <xf numFmtId="0" fontId="11" fillId="2" borderId="16" xfId="0" applyFont="1" applyFill="1" applyBorder="1"/>
    <xf numFmtId="0" fontId="8" fillId="2" borderId="16" xfId="0" applyFont="1" applyFill="1" applyBorder="1"/>
    <xf numFmtId="0" fontId="8" fillId="2" borderId="15" xfId="0" applyFont="1" applyFill="1" applyBorder="1"/>
    <xf numFmtId="170" fontId="11" fillId="2" borderId="15" xfId="0" applyNumberFormat="1" applyFont="1" applyFill="1" applyBorder="1"/>
    <xf numFmtId="0" fontId="8" fillId="0" borderId="35" xfId="0" applyFont="1" applyBorder="1"/>
    <xf numFmtId="0" fontId="11" fillId="0" borderId="0" xfId="0" applyFont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169" fontId="8" fillId="0" borderId="0" xfId="0" applyNumberFormat="1" applyFont="1"/>
    <xf numFmtId="169" fontId="8" fillId="2" borderId="0" xfId="0" applyNumberFormat="1" applyFont="1" applyFill="1"/>
    <xf numFmtId="0" fontId="8" fillId="0" borderId="19" xfId="0" applyFont="1" applyBorder="1"/>
    <xf numFmtId="0" fontId="8" fillId="0" borderId="21" xfId="0" applyFont="1" applyBorder="1"/>
    <xf numFmtId="0" fontId="8" fillId="4" borderId="0" xfId="0" applyFont="1" applyFill="1" applyBorder="1"/>
    <xf numFmtId="10" fontId="8" fillId="4" borderId="0" xfId="1" applyNumberFormat="1" applyFont="1" applyFill="1" applyBorder="1"/>
    <xf numFmtId="0" fontId="8" fillId="0" borderId="20" xfId="0" applyFont="1" applyBorder="1"/>
    <xf numFmtId="10" fontId="8" fillId="4" borderId="0" xfId="0" applyNumberFormat="1" applyFont="1" applyFill="1" applyBorder="1"/>
    <xf numFmtId="10" fontId="19" fillId="4" borderId="34" xfId="1" applyNumberFormat="1" applyFont="1" applyFill="1" applyBorder="1"/>
    <xf numFmtId="10" fontId="19" fillId="4" borderId="27" xfId="1" applyNumberFormat="1" applyFont="1" applyFill="1" applyBorder="1"/>
    <xf numFmtId="0" fontId="8" fillId="0" borderId="34" xfId="0" applyFont="1" applyBorder="1"/>
    <xf numFmtId="4" fontId="8" fillId="4" borderId="0" xfId="0" applyNumberFormat="1" applyFont="1" applyFill="1" applyBorder="1"/>
    <xf numFmtId="2" fontId="19" fillId="4" borderId="27" xfId="1" applyNumberFormat="1" applyFont="1" applyFill="1" applyBorder="1"/>
    <xf numFmtId="0" fontId="8" fillId="0" borderId="22" xfId="0" applyFont="1" applyBorder="1"/>
    <xf numFmtId="0" fontId="8" fillId="0" borderId="24" xfId="0" applyFont="1" applyBorder="1"/>
    <xf numFmtId="169" fontId="8" fillId="0" borderId="22" xfId="0" applyNumberFormat="1" applyFont="1" applyBorder="1"/>
    <xf numFmtId="0" fontId="8" fillId="0" borderId="25" xfId="0" applyFont="1" applyBorder="1"/>
    <xf numFmtId="169" fontId="8" fillId="0" borderId="23" xfId="0" applyNumberFormat="1" applyFont="1" applyBorder="1"/>
    <xf numFmtId="0" fontId="11" fillId="4" borderId="27" xfId="0" applyFont="1" applyFill="1" applyBorder="1"/>
    <xf numFmtId="0" fontId="11" fillId="4" borderId="28" xfId="0" applyFont="1" applyFill="1" applyBorder="1"/>
    <xf numFmtId="10" fontId="11" fillId="4" borderId="0" xfId="0" applyNumberFormat="1" applyFont="1" applyFill="1"/>
    <xf numFmtId="0" fontId="11" fillId="4" borderId="0" xfId="0" applyFont="1" applyFill="1"/>
    <xf numFmtId="0" fontId="11" fillId="4" borderId="3" xfId="0" applyFont="1" applyFill="1" applyBorder="1"/>
    <xf numFmtId="169" fontId="11" fillId="4" borderId="27" xfId="0" applyNumberFormat="1" applyFont="1" applyFill="1" applyBorder="1"/>
    <xf numFmtId="0" fontId="8" fillId="0" borderId="26" xfId="0" applyFont="1" applyBorder="1"/>
    <xf numFmtId="0" fontId="8" fillId="0" borderId="29" xfId="0" applyFont="1" applyBorder="1"/>
    <xf numFmtId="0" fontId="18" fillId="3" borderId="17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0" fillId="2" borderId="4" xfId="0" applyFill="1" applyBorder="1" applyAlignment="1">
      <alignment horizontal="left"/>
    </xf>
    <xf numFmtId="168" fontId="5" fillId="2" borderId="4" xfId="0" applyNumberFormat="1" applyFont="1" applyFill="1" applyBorder="1" applyAlignment="1"/>
  </cellXfs>
  <cellStyles count="4">
    <cellStyle name="Normal" xfId="0" builtinId="0"/>
    <cellStyle name="Normal 3" xfId="3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Q104"/>
  <sheetViews>
    <sheetView showGridLines="0" topLeftCell="B99" zoomScale="85" zoomScaleNormal="85" zoomScaleSheetLayoutView="70" workbookViewId="0">
      <selection activeCell="B101" sqref="B101"/>
    </sheetView>
  </sheetViews>
  <sheetFormatPr defaultRowHeight="15" outlineLevelRow="1"/>
  <cols>
    <col min="1" max="2" width="1.85546875" style="3" customWidth="1"/>
    <col min="3" max="3" width="29.5703125" style="3" customWidth="1"/>
    <col min="4" max="4" width="13.7109375" style="3" bestFit="1" customWidth="1"/>
    <col min="5" max="5" width="14.140625" style="3" bestFit="1" customWidth="1"/>
    <col min="6" max="6" width="19.28515625" style="3" customWidth="1"/>
    <col min="7" max="10" width="12.5703125" style="3" bestFit="1" customWidth="1"/>
    <col min="11" max="11" width="12.5703125" style="3" customWidth="1"/>
    <col min="12" max="12" width="12.5703125" style="3" bestFit="1" customWidth="1"/>
    <col min="13" max="13" width="12.42578125" style="3" customWidth="1"/>
    <col min="14" max="15" width="12.5703125" style="3" bestFit="1" customWidth="1"/>
    <col min="16" max="16" width="14" style="3" bestFit="1" customWidth="1"/>
    <col min="17" max="17" width="12.5703125" style="3" bestFit="1" customWidth="1"/>
    <col min="18" max="16384" width="9.140625" style="3"/>
  </cols>
  <sheetData>
    <row r="2" spans="1:17" ht="28.5"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4" spans="1:17" ht="21">
      <c r="C4" s="6" t="s">
        <v>1</v>
      </c>
    </row>
    <row r="6" spans="1:17" ht="15.75" thickBot="1">
      <c r="A6" s="3" t="s">
        <v>89</v>
      </c>
      <c r="C6" s="7" t="s">
        <v>2</v>
      </c>
      <c r="D6" s="8"/>
      <c r="E6" s="8"/>
      <c r="F6" s="9"/>
      <c r="H6" s="7" t="s">
        <v>17</v>
      </c>
      <c r="I6" s="8"/>
      <c r="J6" s="8"/>
      <c r="K6" s="8"/>
    </row>
    <row r="7" spans="1:17" ht="3.75" customHeight="1"/>
    <row r="8" spans="1:17" ht="15.75">
      <c r="C8" s="10" t="s">
        <v>4</v>
      </c>
      <c r="D8" s="11"/>
      <c r="E8" s="12">
        <v>0.03</v>
      </c>
      <c r="H8" s="10" t="s">
        <v>18</v>
      </c>
      <c r="I8" s="10"/>
      <c r="J8" s="10"/>
      <c r="K8" s="13">
        <v>0.22</v>
      </c>
      <c r="M8" s="14"/>
      <c r="N8" s="14"/>
    </row>
    <row r="9" spans="1:17" ht="15.75">
      <c r="C9" s="15" t="s">
        <v>3</v>
      </c>
      <c r="D9" s="16"/>
      <c r="E9" s="17">
        <v>0.05</v>
      </c>
      <c r="H9" s="15" t="s">
        <v>19</v>
      </c>
      <c r="I9" s="15"/>
      <c r="J9" s="15"/>
      <c r="K9" s="18">
        <v>0.15</v>
      </c>
      <c r="M9" s="19"/>
      <c r="N9" s="20"/>
    </row>
    <row r="10" spans="1:17" ht="15.75">
      <c r="C10" s="21"/>
      <c r="D10" s="21"/>
      <c r="E10" s="21"/>
      <c r="F10" s="21"/>
      <c r="M10" s="19"/>
      <c r="N10" s="20"/>
    </row>
    <row r="11" spans="1:17" ht="15.75" thickBot="1">
      <c r="C11" s="7" t="s">
        <v>5</v>
      </c>
      <c r="D11" s="8"/>
      <c r="E11" s="8"/>
      <c r="F11" s="8"/>
      <c r="H11" s="7" t="s">
        <v>12</v>
      </c>
      <c r="I11" s="8"/>
      <c r="J11" s="8"/>
      <c r="K11" s="8"/>
      <c r="L11" s="7"/>
    </row>
    <row r="12" spans="1:17" ht="3.75" customHeight="1"/>
    <row r="13" spans="1:17">
      <c r="C13" s="10" t="s">
        <v>9</v>
      </c>
      <c r="D13" s="11"/>
      <c r="E13" s="22">
        <v>1130000</v>
      </c>
      <c r="F13" s="23" t="s">
        <v>91</v>
      </c>
      <c r="H13" s="10" t="s">
        <v>13</v>
      </c>
      <c r="I13" s="10"/>
      <c r="J13" s="24"/>
      <c r="K13" s="25">
        <f>Loan_Amount*L13</f>
        <v>4237.5</v>
      </c>
      <c r="L13" s="26">
        <v>5.0000000000000001E-3</v>
      </c>
    </row>
    <row r="14" spans="1:17">
      <c r="C14" s="15" t="s">
        <v>8</v>
      </c>
      <c r="D14" s="16"/>
      <c r="E14" s="27">
        <f>E13*F14</f>
        <v>282500</v>
      </c>
      <c r="F14" s="28">
        <v>0.25</v>
      </c>
      <c r="G14" s="29"/>
      <c r="H14" s="3" t="s">
        <v>14</v>
      </c>
      <c r="J14" s="30"/>
      <c r="K14" s="31">
        <f>Purchases_Price-Down_Payment</f>
        <v>847500</v>
      </c>
      <c r="L14" s="32" t="s">
        <v>91</v>
      </c>
    </row>
    <row r="15" spans="1:17">
      <c r="C15" s="15" t="s">
        <v>7</v>
      </c>
      <c r="D15" s="16"/>
      <c r="E15" s="27">
        <f>E13*F15+E18</f>
        <v>904000</v>
      </c>
      <c r="F15" s="28">
        <v>0.8</v>
      </c>
      <c r="H15" s="15" t="s">
        <v>15</v>
      </c>
      <c r="I15" s="15"/>
      <c r="J15" s="33"/>
      <c r="K15" s="34">
        <v>3.5000000000000003E-2</v>
      </c>
      <c r="L15" s="32" t="s">
        <v>91</v>
      </c>
    </row>
    <row r="16" spans="1:17">
      <c r="C16" s="15" t="s">
        <v>6</v>
      </c>
      <c r="D16" s="16"/>
      <c r="E16" s="35">
        <v>0.05</v>
      </c>
      <c r="F16" s="36" t="s">
        <v>91</v>
      </c>
      <c r="H16" s="15" t="s">
        <v>16</v>
      </c>
      <c r="I16" s="15"/>
      <c r="J16" s="33"/>
      <c r="K16" s="16">
        <f>L16*12</f>
        <v>360</v>
      </c>
      <c r="L16" s="37">
        <v>30</v>
      </c>
    </row>
    <row r="17" spans="1:17">
      <c r="C17" s="15" t="s">
        <v>10</v>
      </c>
      <c r="D17" s="16"/>
      <c r="E17" s="35">
        <v>15000</v>
      </c>
      <c r="F17" s="36" t="s">
        <v>91</v>
      </c>
      <c r="J17" s="38"/>
      <c r="K17" s="38"/>
    </row>
    <row r="18" spans="1:17">
      <c r="C18" s="15" t="s">
        <v>11</v>
      </c>
      <c r="D18" s="16"/>
      <c r="E18" s="35">
        <v>0</v>
      </c>
      <c r="F18" s="39" t="s">
        <v>91</v>
      </c>
    </row>
    <row r="19" spans="1:17">
      <c r="C19" s="40"/>
      <c r="D19" s="40"/>
      <c r="E19" s="40"/>
      <c r="F19" s="41"/>
    </row>
    <row r="20" spans="1:17" ht="15.75" thickBot="1">
      <c r="C20" s="7" t="s">
        <v>20</v>
      </c>
      <c r="D20" s="8"/>
      <c r="E20" s="8"/>
      <c r="F20" s="9"/>
      <c r="H20" s="7" t="s">
        <v>23</v>
      </c>
      <c r="I20" s="8"/>
      <c r="J20" s="8"/>
      <c r="K20" s="8"/>
    </row>
    <row r="21" spans="1:17" ht="6.75" customHeight="1"/>
    <row r="22" spans="1:17">
      <c r="C22" s="10" t="s">
        <v>22</v>
      </c>
      <c r="D22" s="11"/>
      <c r="E22" s="12">
        <v>4.4999999999999998E-2</v>
      </c>
      <c r="H22" s="10" t="s">
        <v>24</v>
      </c>
      <c r="I22" s="10"/>
      <c r="J22" s="11"/>
      <c r="K22" s="12">
        <v>0.12</v>
      </c>
    </row>
    <row r="23" spans="1:17">
      <c r="C23" s="15" t="s">
        <v>21</v>
      </c>
      <c r="D23" s="16"/>
      <c r="E23" s="17">
        <v>0.06</v>
      </c>
      <c r="H23" s="15" t="s">
        <v>25</v>
      </c>
      <c r="I23" s="15"/>
      <c r="J23" s="16"/>
      <c r="K23" s="17">
        <v>0.09</v>
      </c>
    </row>
    <row r="24" spans="1:17" ht="15.75" thickBot="1">
      <c r="D24" s="38"/>
      <c r="J24" s="38"/>
    </row>
    <row r="25" spans="1:17" ht="16.5" thickTop="1" thickBot="1">
      <c r="C25" s="42" t="s">
        <v>27</v>
      </c>
      <c r="D25" s="43"/>
      <c r="E25" s="44">
        <f>PMT(Loan_interest_rate/12,loan_term,Loan_Amount)</f>
        <v>-3805.6537291797872</v>
      </c>
      <c r="F25" s="45"/>
    </row>
    <row r="26" spans="1:17" ht="15.75" thickBot="1">
      <c r="F26" s="46"/>
    </row>
    <row r="27" spans="1:17" ht="21.75" thickTop="1">
      <c r="A27" s="3" t="s">
        <v>89</v>
      </c>
      <c r="C27" s="6" t="s">
        <v>26</v>
      </c>
      <c r="G27" s="38"/>
    </row>
    <row r="28" spans="1:17" outlineLevel="1">
      <c r="E28" s="21"/>
      <c r="F28" s="21"/>
      <c r="G28" s="38"/>
    </row>
    <row r="29" spans="1:17" outlineLevel="1">
      <c r="B29" s="47" t="s">
        <v>28</v>
      </c>
      <c r="C29" s="47"/>
      <c r="D29" s="47"/>
      <c r="E29" s="48"/>
      <c r="F29" s="49">
        <v>1</v>
      </c>
      <c r="G29" s="49">
        <f>F29+1</f>
        <v>2</v>
      </c>
      <c r="H29" s="49">
        <f t="shared" ref="H29:P29" si="0">G29+1</f>
        <v>3</v>
      </c>
      <c r="I29" s="49">
        <f t="shared" si="0"/>
        <v>4</v>
      </c>
      <c r="J29" s="49">
        <f t="shared" si="0"/>
        <v>5</v>
      </c>
      <c r="K29" s="49">
        <f t="shared" si="0"/>
        <v>6</v>
      </c>
      <c r="L29" s="49">
        <f t="shared" si="0"/>
        <v>7</v>
      </c>
      <c r="M29" s="49">
        <f t="shared" si="0"/>
        <v>8</v>
      </c>
      <c r="N29" s="49">
        <f t="shared" si="0"/>
        <v>9</v>
      </c>
      <c r="O29" s="49">
        <f t="shared" si="0"/>
        <v>10</v>
      </c>
      <c r="P29" s="49">
        <f t="shared" si="0"/>
        <v>11</v>
      </c>
      <c r="Q29" s="50"/>
    </row>
    <row r="30" spans="1:17" outlineLevel="1">
      <c r="E30" s="21"/>
      <c r="F30" s="21"/>
      <c r="G30" s="38"/>
    </row>
    <row r="31" spans="1:17" outlineLevel="1">
      <c r="B31" s="3" t="s">
        <v>29</v>
      </c>
    </row>
    <row r="32" spans="1:17" outlineLevel="1">
      <c r="B32" s="3" t="s">
        <v>30</v>
      </c>
      <c r="D32" s="3" t="s">
        <v>34</v>
      </c>
      <c r="E32" s="3" t="s">
        <v>35</v>
      </c>
    </row>
    <row r="33" spans="2:17" outlineLevel="1">
      <c r="C33" s="3" t="s">
        <v>33</v>
      </c>
      <c r="D33" s="51"/>
      <c r="E33" s="51"/>
    </row>
    <row r="34" spans="2:17" outlineLevel="1">
      <c r="C34" s="3" t="s">
        <v>32</v>
      </c>
      <c r="D34" s="51"/>
      <c r="E34" s="51"/>
    </row>
    <row r="35" spans="2:17" outlineLevel="1">
      <c r="C35" s="3" t="s">
        <v>31</v>
      </c>
      <c r="D35" s="52">
        <v>1000</v>
      </c>
      <c r="E35" s="53">
        <v>12</v>
      </c>
      <c r="F35" s="31">
        <f>D35*E35*12</f>
        <v>144000</v>
      </c>
      <c r="G35" s="54">
        <f t="shared" ref="G35:P35" si="1">F35*(1+Inflation_Rate)</f>
        <v>148320</v>
      </c>
      <c r="H35" s="54">
        <f t="shared" si="1"/>
        <v>152769.60000000001</v>
      </c>
      <c r="I35" s="54">
        <f t="shared" si="1"/>
        <v>157352.68800000002</v>
      </c>
      <c r="J35" s="54">
        <f t="shared" si="1"/>
        <v>162073.26864000002</v>
      </c>
      <c r="K35" s="54">
        <f t="shared" si="1"/>
        <v>166935.46669920004</v>
      </c>
      <c r="L35" s="54">
        <f t="shared" si="1"/>
        <v>171943.53070017605</v>
      </c>
      <c r="M35" s="54">
        <f t="shared" si="1"/>
        <v>177101.83662118134</v>
      </c>
      <c r="N35" s="54">
        <f t="shared" si="1"/>
        <v>182414.89171981678</v>
      </c>
      <c r="O35" s="54">
        <f t="shared" si="1"/>
        <v>187887.33847141129</v>
      </c>
      <c r="P35" s="54">
        <f t="shared" si="1"/>
        <v>193523.95862555364</v>
      </c>
      <c r="Q35" s="54"/>
    </row>
    <row r="36" spans="2:17" ht="5.25" customHeight="1" outlineLevel="1">
      <c r="F36" s="38"/>
    </row>
    <row r="37" spans="2:17" s="55" customFormat="1" ht="15.75" outlineLevel="1" thickBot="1">
      <c r="C37" s="56" t="s">
        <v>36</v>
      </c>
      <c r="D37" s="56"/>
      <c r="E37" s="57"/>
      <c r="F37" s="58">
        <f>SUM(F33:F35)</f>
        <v>144000</v>
      </c>
      <c r="G37" s="58">
        <f t="shared" ref="G37:P37" si="2">SUM(G33:G35)</f>
        <v>148320</v>
      </c>
      <c r="H37" s="58">
        <f t="shared" si="2"/>
        <v>152769.60000000001</v>
      </c>
      <c r="I37" s="58">
        <f t="shared" si="2"/>
        <v>157352.68800000002</v>
      </c>
      <c r="J37" s="58">
        <f t="shared" si="2"/>
        <v>162073.26864000002</v>
      </c>
      <c r="K37" s="58">
        <f t="shared" si="2"/>
        <v>166935.46669920004</v>
      </c>
      <c r="L37" s="58">
        <f t="shared" si="2"/>
        <v>171943.53070017605</v>
      </c>
      <c r="M37" s="58">
        <f t="shared" si="2"/>
        <v>177101.83662118134</v>
      </c>
      <c r="N37" s="58">
        <f t="shared" si="2"/>
        <v>182414.89171981678</v>
      </c>
      <c r="O37" s="58">
        <f t="shared" si="2"/>
        <v>187887.33847141129</v>
      </c>
      <c r="P37" s="58">
        <f t="shared" si="2"/>
        <v>193523.95862555364</v>
      </c>
      <c r="Q37" s="59"/>
    </row>
    <row r="38" spans="2:17" s="55" customFormat="1" ht="4.5" customHeight="1" outlineLevel="1">
      <c r="E38" s="60"/>
      <c r="F38" s="61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2:17" outlineLevel="1">
      <c r="C39" s="3" t="s">
        <v>38</v>
      </c>
      <c r="E39" s="38"/>
      <c r="F39" s="31">
        <f t="shared" ref="F39:P39" si="3">F37*Vacancy_Rate</f>
        <v>7200</v>
      </c>
      <c r="G39" s="54">
        <f t="shared" si="3"/>
        <v>7416</v>
      </c>
      <c r="H39" s="54">
        <f t="shared" si="3"/>
        <v>7638.4800000000005</v>
      </c>
      <c r="I39" s="54">
        <f t="shared" si="3"/>
        <v>7867.6344000000017</v>
      </c>
      <c r="J39" s="54">
        <f t="shared" si="3"/>
        <v>8103.6634320000012</v>
      </c>
      <c r="K39" s="54">
        <f t="shared" si="3"/>
        <v>8346.7733349600021</v>
      </c>
      <c r="L39" s="54">
        <f t="shared" si="3"/>
        <v>8597.1765350088026</v>
      </c>
      <c r="M39" s="54">
        <f t="shared" si="3"/>
        <v>8855.0918310590678</v>
      </c>
      <c r="N39" s="54">
        <f t="shared" si="3"/>
        <v>9120.7445859908385</v>
      </c>
      <c r="O39" s="54">
        <f t="shared" si="3"/>
        <v>9394.3669235705656</v>
      </c>
      <c r="P39" s="54">
        <f t="shared" si="3"/>
        <v>9676.1979312776821</v>
      </c>
      <c r="Q39" s="54"/>
    </row>
    <row r="40" spans="2:17" ht="4.5" customHeight="1" outlineLevel="1">
      <c r="E40" s="38"/>
      <c r="F40" s="62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</row>
    <row r="41" spans="2:17" ht="15.75" outlineLevel="1" thickBot="1">
      <c r="C41" s="64" t="s">
        <v>37</v>
      </c>
      <c r="D41" s="64"/>
      <c r="E41" s="65"/>
      <c r="F41" s="66">
        <f>F37-F39</f>
        <v>136800</v>
      </c>
      <c r="G41" s="66">
        <f t="shared" ref="G41:P41" si="4">G37-G39</f>
        <v>140904</v>
      </c>
      <c r="H41" s="66">
        <f t="shared" si="4"/>
        <v>145131.12</v>
      </c>
      <c r="I41" s="66">
        <f t="shared" si="4"/>
        <v>149485.05360000001</v>
      </c>
      <c r="J41" s="66">
        <f t="shared" si="4"/>
        <v>153969.60520800002</v>
      </c>
      <c r="K41" s="66">
        <f t="shared" si="4"/>
        <v>158588.69336424005</v>
      </c>
      <c r="L41" s="66">
        <f t="shared" si="4"/>
        <v>163346.35416516726</v>
      </c>
      <c r="M41" s="66">
        <f t="shared" si="4"/>
        <v>168246.74479012226</v>
      </c>
      <c r="N41" s="66">
        <f t="shared" si="4"/>
        <v>173294.14713382593</v>
      </c>
      <c r="O41" s="66">
        <f t="shared" si="4"/>
        <v>178492.97154784072</v>
      </c>
      <c r="P41" s="66">
        <f t="shared" si="4"/>
        <v>183847.76069427596</v>
      </c>
      <c r="Q41" s="59"/>
    </row>
    <row r="42" spans="2:17" outlineLevel="1">
      <c r="F42" s="38"/>
    </row>
    <row r="43" spans="2:17" outlineLevel="1">
      <c r="B43" s="55" t="s">
        <v>39</v>
      </c>
    </row>
    <row r="44" spans="2:17" outlineLevel="1">
      <c r="C44" s="3" t="s">
        <v>40</v>
      </c>
    </row>
    <row r="45" spans="2:17" outlineLevel="1">
      <c r="C45" s="3" t="s">
        <v>41</v>
      </c>
    </row>
    <row r="46" spans="2:17" outlineLevel="1">
      <c r="C46" s="3" t="s">
        <v>42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7" outlineLevel="1">
      <c r="C47" s="3" t="s">
        <v>43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7" outlineLevel="1">
      <c r="C48" s="3" t="s">
        <v>44</v>
      </c>
      <c r="D48" s="67">
        <v>0.05</v>
      </c>
      <c r="F48" s="54">
        <f>F41*$D$48</f>
        <v>6840</v>
      </c>
      <c r="G48" s="54">
        <f t="shared" ref="G48:P48" si="5">G41*$D$48</f>
        <v>7045.2000000000007</v>
      </c>
      <c r="H48" s="54">
        <f t="shared" si="5"/>
        <v>7256.5560000000005</v>
      </c>
      <c r="I48" s="54">
        <f t="shared" si="5"/>
        <v>7474.2526800000014</v>
      </c>
      <c r="J48" s="54">
        <f t="shared" si="5"/>
        <v>7698.4802604000015</v>
      </c>
      <c r="K48" s="54">
        <f t="shared" si="5"/>
        <v>7929.4346682120031</v>
      </c>
      <c r="L48" s="54">
        <f t="shared" si="5"/>
        <v>8167.3177082583634</v>
      </c>
      <c r="M48" s="54">
        <f t="shared" si="5"/>
        <v>8412.3372395061142</v>
      </c>
      <c r="N48" s="54">
        <f t="shared" si="5"/>
        <v>8664.7073566912968</v>
      </c>
      <c r="O48" s="54">
        <f t="shared" si="5"/>
        <v>8924.6485773920358</v>
      </c>
      <c r="P48" s="54">
        <f t="shared" si="5"/>
        <v>9192.3880347137983</v>
      </c>
      <c r="Q48" s="54"/>
    </row>
    <row r="49" spans="1:17" outlineLevel="1">
      <c r="C49" s="3" t="s">
        <v>45</v>
      </c>
      <c r="D49" s="68">
        <v>2000</v>
      </c>
      <c r="F49" s="54">
        <f>D49</f>
        <v>2000</v>
      </c>
      <c r="G49" s="54">
        <f t="shared" ref="G49:P49" si="6">F49*(1+Inflation_Rate)</f>
        <v>2060</v>
      </c>
      <c r="H49" s="54">
        <f t="shared" si="6"/>
        <v>2121.8000000000002</v>
      </c>
      <c r="I49" s="54">
        <f t="shared" si="6"/>
        <v>2185.4540000000002</v>
      </c>
      <c r="J49" s="54">
        <f t="shared" si="6"/>
        <v>2251.0176200000001</v>
      </c>
      <c r="K49" s="54">
        <f t="shared" si="6"/>
        <v>2318.5481486000003</v>
      </c>
      <c r="L49" s="54">
        <f t="shared" si="6"/>
        <v>2388.1045930580003</v>
      </c>
      <c r="M49" s="54">
        <f t="shared" si="6"/>
        <v>2459.7477308497405</v>
      </c>
      <c r="N49" s="54">
        <f t="shared" si="6"/>
        <v>2533.5401627752326</v>
      </c>
      <c r="O49" s="54">
        <f t="shared" si="6"/>
        <v>2609.5463676584895</v>
      </c>
      <c r="P49" s="54">
        <f t="shared" si="6"/>
        <v>2687.8327586882442</v>
      </c>
      <c r="Q49" s="54"/>
    </row>
    <row r="50" spans="1:17" outlineLevel="1">
      <c r="C50" s="3" t="s">
        <v>46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7" outlineLevel="1">
      <c r="C51" s="3" t="s">
        <v>47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7" outlineLevel="1">
      <c r="C52" s="3" t="s">
        <v>48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1:17" outlineLevel="1">
      <c r="C53" s="3" t="s">
        <v>49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7" outlineLevel="1">
      <c r="C54" s="3" t="s">
        <v>50</v>
      </c>
      <c r="D54" s="68">
        <v>14000</v>
      </c>
      <c r="F54" s="54">
        <f>D54</f>
        <v>14000</v>
      </c>
      <c r="G54" s="54">
        <f t="shared" ref="G54:P54" si="7">F54*(1+Inflation_Rate)</f>
        <v>14420</v>
      </c>
      <c r="H54" s="54">
        <f t="shared" si="7"/>
        <v>14852.6</v>
      </c>
      <c r="I54" s="54">
        <f t="shared" si="7"/>
        <v>15298.178</v>
      </c>
      <c r="J54" s="54">
        <f t="shared" si="7"/>
        <v>15757.12334</v>
      </c>
      <c r="K54" s="54">
        <f t="shared" si="7"/>
        <v>16229.8370402</v>
      </c>
      <c r="L54" s="54">
        <f t="shared" si="7"/>
        <v>16716.732151406002</v>
      </c>
      <c r="M54" s="54">
        <f t="shared" si="7"/>
        <v>17218.234115948184</v>
      </c>
      <c r="N54" s="54">
        <f t="shared" si="7"/>
        <v>17734.781139426628</v>
      </c>
      <c r="O54" s="54">
        <f t="shared" si="7"/>
        <v>18266.824573609429</v>
      </c>
      <c r="P54" s="54">
        <f t="shared" si="7"/>
        <v>18814.829310817713</v>
      </c>
      <c r="Q54" s="54"/>
    </row>
    <row r="55" spans="1:17" outlineLevel="1">
      <c r="C55" s="3" t="s">
        <v>51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</row>
    <row r="56" spans="1:17" outlineLevel="1">
      <c r="C56" s="3" t="s">
        <v>52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</row>
    <row r="57" spans="1:17" outlineLevel="1">
      <c r="C57" s="3" t="s">
        <v>53</v>
      </c>
      <c r="F57" s="69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7" outlineLevel="1">
      <c r="C58" s="70" t="s">
        <v>54</v>
      </c>
      <c r="D58" s="70"/>
      <c r="E58" s="71"/>
      <c r="F58" s="72">
        <f>SUM(F48:F57)</f>
        <v>22840</v>
      </c>
      <c r="G58" s="72">
        <f t="shared" ref="G58:P58" si="8">SUM(G48:G57)</f>
        <v>23525.200000000001</v>
      </c>
      <c r="H58" s="72">
        <f t="shared" si="8"/>
        <v>24230.955999999998</v>
      </c>
      <c r="I58" s="72">
        <f t="shared" si="8"/>
        <v>24957.884680000003</v>
      </c>
      <c r="J58" s="72">
        <f t="shared" si="8"/>
        <v>25706.621220400004</v>
      </c>
      <c r="K58" s="72">
        <f t="shared" si="8"/>
        <v>26477.819857012004</v>
      </c>
      <c r="L58" s="72">
        <f t="shared" si="8"/>
        <v>27272.154452722367</v>
      </c>
      <c r="M58" s="72">
        <f t="shared" si="8"/>
        <v>28090.319086304036</v>
      </c>
      <c r="N58" s="72">
        <f t="shared" si="8"/>
        <v>28933.028658893156</v>
      </c>
      <c r="O58" s="72">
        <f t="shared" si="8"/>
        <v>29801.019518659952</v>
      </c>
      <c r="P58" s="72">
        <f t="shared" si="8"/>
        <v>30695.050104219757</v>
      </c>
      <c r="Q58" s="54"/>
    </row>
    <row r="59" spans="1:17" outlineLevel="1">
      <c r="E59" s="73"/>
    </row>
    <row r="60" spans="1:17" ht="15.75" outlineLevel="1" thickBot="1">
      <c r="B60" s="74" t="s">
        <v>29</v>
      </c>
      <c r="C60" s="75"/>
      <c r="D60" s="75"/>
      <c r="E60" s="76"/>
      <c r="F60" s="77">
        <f>F41-F58</f>
        <v>113960</v>
      </c>
      <c r="G60" s="77">
        <f t="shared" ref="G60:P60" si="9">G41-G58</f>
        <v>117378.8</v>
      </c>
      <c r="H60" s="77">
        <f t="shared" si="9"/>
        <v>120900.16399999999</v>
      </c>
      <c r="I60" s="77">
        <f t="shared" si="9"/>
        <v>124527.16892000001</v>
      </c>
      <c r="J60" s="77">
        <f t="shared" si="9"/>
        <v>128262.98398760002</v>
      </c>
      <c r="K60" s="77">
        <f t="shared" si="9"/>
        <v>132110.87350722804</v>
      </c>
      <c r="L60" s="77">
        <f t="shared" si="9"/>
        <v>136074.19971244488</v>
      </c>
      <c r="M60" s="77">
        <f t="shared" si="9"/>
        <v>140156.42570381821</v>
      </c>
      <c r="N60" s="77">
        <f t="shared" si="9"/>
        <v>144361.11847493277</v>
      </c>
      <c r="O60" s="77">
        <f t="shared" si="9"/>
        <v>148691.95202918077</v>
      </c>
      <c r="P60" s="77">
        <f t="shared" si="9"/>
        <v>153152.7105900562</v>
      </c>
      <c r="Q60" s="59"/>
    </row>
    <row r="61" spans="1:17" ht="15.75" thickTop="1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</row>
    <row r="62" spans="1:17" ht="21">
      <c r="A62" s="79" t="s">
        <v>89</v>
      </c>
      <c r="B62" s="80" t="s">
        <v>55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</row>
    <row r="63" spans="1:17" ht="21">
      <c r="A63" s="79"/>
      <c r="B63" s="6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7" outlineLevel="1">
      <c r="B64" s="3" t="s">
        <v>56</v>
      </c>
      <c r="E64" s="38"/>
      <c r="F64" s="81">
        <f>$E$25*12</f>
        <v>-45667.844750157448</v>
      </c>
      <c r="G64" s="81">
        <f t="shared" ref="G64:P64" si="10">$E$25*12</f>
        <v>-45667.844750157448</v>
      </c>
      <c r="H64" s="81">
        <f t="shared" si="10"/>
        <v>-45667.844750157448</v>
      </c>
      <c r="I64" s="81">
        <f t="shared" si="10"/>
        <v>-45667.844750157448</v>
      </c>
      <c r="J64" s="81">
        <f t="shared" si="10"/>
        <v>-45667.844750157448</v>
      </c>
      <c r="K64" s="81">
        <f t="shared" si="10"/>
        <v>-45667.844750157448</v>
      </c>
      <c r="L64" s="81">
        <f t="shared" si="10"/>
        <v>-45667.844750157448</v>
      </c>
      <c r="M64" s="81">
        <f t="shared" si="10"/>
        <v>-45667.844750157448</v>
      </c>
      <c r="N64" s="81">
        <f t="shared" si="10"/>
        <v>-45667.844750157448</v>
      </c>
      <c r="O64" s="81">
        <f t="shared" si="10"/>
        <v>-45667.844750157448</v>
      </c>
      <c r="P64" s="81">
        <f t="shared" si="10"/>
        <v>-45667.844750157448</v>
      </c>
      <c r="Q64" s="81"/>
    </row>
    <row r="65" spans="1:17" outlineLevel="1"/>
    <row r="66" spans="1:17" outlineLevel="1">
      <c r="B66" s="3" t="s">
        <v>57</v>
      </c>
    </row>
    <row r="67" spans="1:17" outlineLevel="1">
      <c r="C67" s="3" t="s">
        <v>58</v>
      </c>
      <c r="E67" s="82">
        <f>-(Down_Payment+Closing_cost+E18+Loan_Fees)</f>
        <v>-301737.5</v>
      </c>
    </row>
    <row r="68" spans="1:17" outlineLevel="1">
      <c r="C68" s="3" t="s">
        <v>29</v>
      </c>
      <c r="F68" s="81">
        <f>F60</f>
        <v>113960</v>
      </c>
      <c r="G68" s="81">
        <f t="shared" ref="G68:P68" si="11">G60</f>
        <v>117378.8</v>
      </c>
      <c r="H68" s="81">
        <f t="shared" si="11"/>
        <v>120900.16399999999</v>
      </c>
      <c r="I68" s="81">
        <f t="shared" si="11"/>
        <v>124527.16892000001</v>
      </c>
      <c r="J68" s="81">
        <f t="shared" si="11"/>
        <v>128262.98398760002</v>
      </c>
      <c r="K68" s="81">
        <f t="shared" si="11"/>
        <v>132110.87350722804</v>
      </c>
      <c r="L68" s="81">
        <f t="shared" si="11"/>
        <v>136074.19971244488</v>
      </c>
      <c r="M68" s="81">
        <f t="shared" si="11"/>
        <v>140156.42570381821</v>
      </c>
      <c r="N68" s="81">
        <f t="shared" si="11"/>
        <v>144361.11847493277</v>
      </c>
      <c r="O68" s="81">
        <f t="shared" si="11"/>
        <v>148691.95202918077</v>
      </c>
      <c r="P68" s="81">
        <f t="shared" si="11"/>
        <v>153152.7105900562</v>
      </c>
      <c r="Q68" s="81"/>
    </row>
    <row r="69" spans="1:17" outlineLevel="1">
      <c r="C69" s="3" t="s">
        <v>59</v>
      </c>
      <c r="F69" s="81">
        <f t="array" ref="F69:P69">F64</f>
        <v>-45667.844750157448</v>
      </c>
      <c r="G69" s="81">
        <v>-45667.844750157448</v>
      </c>
      <c r="H69" s="81">
        <v>-45667.844750157448</v>
      </c>
      <c r="I69" s="81">
        <v>-45667.844750157448</v>
      </c>
      <c r="J69" s="81">
        <v>-45667.844750157448</v>
      </c>
      <c r="K69" s="81">
        <v>-45667.844750157448</v>
      </c>
      <c r="L69" s="81">
        <v>-45667.844750157448</v>
      </c>
      <c r="M69" s="81">
        <v>-45667.844750157448</v>
      </c>
      <c r="N69" s="81">
        <v>-45667.844750157448</v>
      </c>
      <c r="O69" s="81">
        <v>-45667.844750157448</v>
      </c>
      <c r="P69" s="81">
        <v>-45667.844750157448</v>
      </c>
      <c r="Q69" s="81"/>
    </row>
    <row r="70" spans="1:17" outlineLevel="1">
      <c r="C70" s="3" t="s">
        <v>60</v>
      </c>
      <c r="P70" s="81">
        <f>P60/Exit_cap_rate</f>
        <v>3403393.5686679156</v>
      </c>
    </row>
    <row r="71" spans="1:17" outlineLevel="1">
      <c r="C71" s="3" t="s">
        <v>61</v>
      </c>
      <c r="P71" s="81">
        <f>P70*-Exit_selling_rate</f>
        <v>-204203.61412007493</v>
      </c>
    </row>
    <row r="72" spans="1:17" outlineLevel="1">
      <c r="C72" s="3" t="s">
        <v>59</v>
      </c>
      <c r="P72" s="81">
        <f>-'Loan Amortization Schedule'!F132</f>
        <v>-642834.02625163633</v>
      </c>
    </row>
    <row r="73" spans="1:17" ht="15.75" outlineLevel="1" thickBot="1">
      <c r="C73" s="83" t="s">
        <v>68</v>
      </c>
      <c r="D73" s="83"/>
      <c r="E73" s="66">
        <f>SUM(E67:E72)</f>
        <v>-301737.5</v>
      </c>
      <c r="F73" s="66">
        <f t="shared" ref="F73:P73" si="12">SUM(F67:F72)</f>
        <v>68292.155249842559</v>
      </c>
      <c r="G73" s="66">
        <f t="shared" si="12"/>
        <v>71710.955249842547</v>
      </c>
      <c r="H73" s="66">
        <f t="shared" si="12"/>
        <v>75232.319249842549</v>
      </c>
      <c r="I73" s="66">
        <f t="shared" si="12"/>
        <v>78859.324169842555</v>
      </c>
      <c r="J73" s="66">
        <f t="shared" si="12"/>
        <v>82595.139237442578</v>
      </c>
      <c r="K73" s="66">
        <f t="shared" si="12"/>
        <v>86443.028757070599</v>
      </c>
      <c r="L73" s="66">
        <f t="shared" si="12"/>
        <v>90406.354962287442</v>
      </c>
      <c r="M73" s="66">
        <f t="shared" si="12"/>
        <v>94488.58095366077</v>
      </c>
      <c r="N73" s="66">
        <f t="shared" si="12"/>
        <v>98693.273724775325</v>
      </c>
      <c r="O73" s="66">
        <f t="shared" si="12"/>
        <v>103024.10727902333</v>
      </c>
      <c r="P73" s="66">
        <f t="shared" si="12"/>
        <v>2663840.7941361028</v>
      </c>
    </row>
    <row r="74" spans="1:17" ht="15.75" outlineLevel="1" thickBot="1">
      <c r="B74" s="84"/>
      <c r="C74" s="21"/>
      <c r="D74" s="21"/>
      <c r="P74" s="81"/>
    </row>
    <row r="75" spans="1:17" ht="16.5" outlineLevel="1" thickTop="1" thickBot="1">
      <c r="A75" s="84"/>
      <c r="B75" s="84"/>
      <c r="C75" s="85" t="s">
        <v>69</v>
      </c>
      <c r="D75" s="86">
        <f>F60/Purchases_Price</f>
        <v>0.10084955752212389</v>
      </c>
      <c r="E75" s="38"/>
      <c r="F75" s="87"/>
      <c r="G75" s="84"/>
    </row>
    <row r="76" spans="1:17" ht="16.5" outlineLevel="1" thickTop="1" thickBot="1">
      <c r="B76" s="21"/>
      <c r="C76" s="85" t="s">
        <v>70</v>
      </c>
      <c r="D76" s="88">
        <f>IRR(E73:P73)</f>
        <v>0.35353483700402033</v>
      </c>
      <c r="E76" s="38"/>
      <c r="F76" s="89">
        <f>F73/-$E$67</f>
        <v>0.22632969137028894</v>
      </c>
      <c r="G76" s="90">
        <f t="shared" ref="G76:P76" si="13">G73/-$E$67</f>
        <v>0.23766006959639602</v>
      </c>
      <c r="H76" s="90">
        <f t="shared" si="13"/>
        <v>0.24933035916928639</v>
      </c>
      <c r="I76" s="90">
        <f t="shared" si="13"/>
        <v>0.26135075742936348</v>
      </c>
      <c r="J76" s="90">
        <f t="shared" si="13"/>
        <v>0.27373176763724288</v>
      </c>
      <c r="K76" s="90">
        <f t="shared" si="13"/>
        <v>0.28648420815135872</v>
      </c>
      <c r="L76" s="90">
        <f t="shared" si="13"/>
        <v>0.29961922188089796</v>
      </c>
      <c r="M76" s="90">
        <f t="shared" si="13"/>
        <v>0.31314828602232325</v>
      </c>
      <c r="N76" s="90">
        <f t="shared" si="13"/>
        <v>0.32708322208799145</v>
      </c>
      <c r="O76" s="90">
        <f t="shared" si="13"/>
        <v>0.34143620623562976</v>
      </c>
      <c r="P76" s="90">
        <f t="shared" si="13"/>
        <v>8.8283385198594893</v>
      </c>
    </row>
    <row r="77" spans="1:17" ht="15.75" outlineLevel="1" thickTop="1">
      <c r="B77" s="21"/>
      <c r="C77" s="85" t="s">
        <v>71</v>
      </c>
      <c r="D77" s="88">
        <f>AVERAGE(F76:O76)</f>
        <v>0.28161737895807792</v>
      </c>
      <c r="E77" s="38"/>
      <c r="F77" s="38"/>
    </row>
    <row r="78" spans="1:17" ht="15.75" outlineLevel="1" thickBot="1">
      <c r="B78" s="21"/>
      <c r="C78" s="85" t="s">
        <v>72</v>
      </c>
      <c r="D78" s="85">
        <f>NPV(Pertax_discount_rate,E73:P73)/(1+Pertax_discount_rate)</f>
        <v>736878.95906154439</v>
      </c>
    </row>
    <row r="79" spans="1:17" ht="16.5" outlineLevel="1" thickTop="1" thickBot="1">
      <c r="B79" s="91"/>
      <c r="C79" s="85" t="s">
        <v>73</v>
      </c>
      <c r="D79" s="92">
        <f>AVERAGE(F79:P79)</f>
        <v>2.9055184032170565</v>
      </c>
      <c r="F79" s="93">
        <f t="shared" ref="F79:P79" si="14">F60/-F64</f>
        <v>2.4954100773412806</v>
      </c>
      <c r="G79" s="93">
        <f t="shared" si="14"/>
        <v>2.5702723796615192</v>
      </c>
      <c r="H79" s="93">
        <f t="shared" si="14"/>
        <v>2.6473805510513646</v>
      </c>
      <c r="I79" s="93">
        <f t="shared" si="14"/>
        <v>2.7268019675829058</v>
      </c>
      <c r="J79" s="93">
        <f t="shared" si="14"/>
        <v>2.8086060266103932</v>
      </c>
      <c r="K79" s="93">
        <f t="shared" si="14"/>
        <v>2.8928642074087056</v>
      </c>
      <c r="L79" s="93">
        <f t="shared" si="14"/>
        <v>2.9796501336309666</v>
      </c>
      <c r="M79" s="93">
        <f t="shared" si="14"/>
        <v>3.0690396376398952</v>
      </c>
      <c r="N79" s="93">
        <f t="shared" si="14"/>
        <v>3.1611108267690922</v>
      </c>
      <c r="O79" s="93">
        <f t="shared" si="14"/>
        <v>3.2559441515721654</v>
      </c>
      <c r="P79" s="93">
        <f t="shared" si="14"/>
        <v>3.3536224761193307</v>
      </c>
    </row>
    <row r="80" spans="1:17" ht="15.75" thickTop="1">
      <c r="B80" s="21"/>
      <c r="C80" s="21"/>
      <c r="D80" s="21"/>
    </row>
    <row r="81" spans="1:16" ht="21">
      <c r="A81" s="55" t="s">
        <v>89</v>
      </c>
      <c r="B81" s="107" t="s">
        <v>74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</row>
    <row r="82" spans="1:16" outlineLevel="1"/>
    <row r="83" spans="1:16" outlineLevel="1">
      <c r="B83" s="55" t="s">
        <v>75</v>
      </c>
    </row>
    <row r="84" spans="1:16" outlineLevel="1">
      <c r="C84" s="3" t="s">
        <v>29</v>
      </c>
      <c r="F84" s="81">
        <f t="shared" ref="F84:P84" si="15">F60</f>
        <v>113960</v>
      </c>
      <c r="G84" s="81">
        <f t="shared" si="15"/>
        <v>117378.8</v>
      </c>
      <c r="H84" s="81">
        <f t="shared" si="15"/>
        <v>120900.16399999999</v>
      </c>
      <c r="I84" s="81">
        <f t="shared" si="15"/>
        <v>124527.16892000001</v>
      </c>
      <c r="J84" s="81">
        <f t="shared" si="15"/>
        <v>128262.98398760002</v>
      </c>
      <c r="K84" s="81">
        <f t="shared" si="15"/>
        <v>132110.87350722804</v>
      </c>
      <c r="L84" s="81">
        <f t="shared" si="15"/>
        <v>136074.19971244488</v>
      </c>
      <c r="M84" s="81">
        <f t="shared" si="15"/>
        <v>140156.42570381821</v>
      </c>
      <c r="N84" s="81">
        <f t="shared" si="15"/>
        <v>144361.11847493277</v>
      </c>
      <c r="O84" s="81">
        <f t="shared" si="15"/>
        <v>148691.95202918077</v>
      </c>
      <c r="P84" s="81">
        <f t="shared" si="15"/>
        <v>153152.7105900562</v>
      </c>
    </row>
    <row r="85" spans="1:16" outlineLevel="1">
      <c r="C85" s="3" t="s">
        <v>76</v>
      </c>
      <c r="F85" s="81">
        <f>SUM('Loan Amortization Schedule'!D6:D17)</f>
        <v>-29403.234932646439</v>
      </c>
      <c r="G85" s="81">
        <f>SUM('Loan Amortization Schedule'!D18:D29)</f>
        <v>-28824.752320582447</v>
      </c>
      <c r="H85" s="81">
        <f>SUM('Loan Amortization Schedule'!D30:D41)</f>
        <v>-28225.694844675127</v>
      </c>
      <c r="I85" s="81">
        <f>SUM('Loan Amortization Schedule'!D42:D53)</f>
        <v>-27605.330719710277</v>
      </c>
      <c r="J85" s="81">
        <f>SUM('Loan Amortization Schedule'!D54:D65)</f>
        <v>-26962.902133103435</v>
      </c>
      <c r="K85" s="81">
        <f>SUM('Loan Amortization Schedule'!D66:D77)</f>
        <v>-26297.624319185594</v>
      </c>
      <c r="L85" s="81">
        <f>SUM('Loan Amortization Schedule'!D78:D89)</f>
        <v>-25608.684600564142</v>
      </c>
      <c r="M85" s="81">
        <f>SUM('Loan Amortization Schedule'!D90:D101)</f>
        <v>-24895.241395387875</v>
      </c>
      <c r="N85" s="81">
        <f>SUM('Loan Amortization Schedule'!D102:D113)</f>
        <v>-24156.423189303478</v>
      </c>
      <c r="O85" s="81">
        <f>SUM('Loan Amortization Schedule'!D114:D125)</f>
        <v>-23391.327470847642</v>
      </c>
      <c r="P85" s="81">
        <f>SUM('Loan Amortization Schedule'!D126:D137)</f>
        <v>-22599.01962897434</v>
      </c>
    </row>
    <row r="86" spans="1:16" outlineLevel="1">
      <c r="C86" s="3" t="s">
        <v>77</v>
      </c>
      <c r="F86" s="81">
        <f t="shared" ref="F86:P86" si="16">-Depericiable_basis*Deperication_rate</f>
        <v>-45200</v>
      </c>
      <c r="G86" s="81">
        <f t="shared" si="16"/>
        <v>-45200</v>
      </c>
      <c r="H86" s="81">
        <f t="shared" si="16"/>
        <v>-45200</v>
      </c>
      <c r="I86" s="81">
        <f t="shared" si="16"/>
        <v>-45200</v>
      </c>
      <c r="J86" s="81">
        <f t="shared" si="16"/>
        <v>-45200</v>
      </c>
      <c r="K86" s="81">
        <f t="shared" si="16"/>
        <v>-45200</v>
      </c>
      <c r="L86" s="81">
        <f t="shared" si="16"/>
        <v>-45200</v>
      </c>
      <c r="M86" s="81">
        <f t="shared" si="16"/>
        <v>-45200</v>
      </c>
      <c r="N86" s="81">
        <f t="shared" si="16"/>
        <v>-45200</v>
      </c>
      <c r="O86" s="81">
        <f t="shared" si="16"/>
        <v>-45200</v>
      </c>
      <c r="P86" s="81">
        <f t="shared" si="16"/>
        <v>-45200</v>
      </c>
    </row>
    <row r="87" spans="1:16" outlineLevel="1">
      <c r="C87" s="3" t="s">
        <v>78</v>
      </c>
      <c r="E87" s="38"/>
      <c r="F87" s="81">
        <f t="shared" ref="F87:O87" si="17">-Loan_Fees/loan_term*12</f>
        <v>-141.25</v>
      </c>
      <c r="G87" s="81">
        <f t="shared" si="17"/>
        <v>-141.25</v>
      </c>
      <c r="H87" s="81">
        <f t="shared" si="17"/>
        <v>-141.25</v>
      </c>
      <c r="I87" s="81">
        <f t="shared" si="17"/>
        <v>-141.25</v>
      </c>
      <c r="J87" s="81">
        <f t="shared" si="17"/>
        <v>-141.25</v>
      </c>
      <c r="K87" s="81">
        <f t="shared" si="17"/>
        <v>-141.25</v>
      </c>
      <c r="L87" s="81">
        <f t="shared" si="17"/>
        <v>-141.25</v>
      </c>
      <c r="M87" s="81">
        <f t="shared" si="17"/>
        <v>-141.25</v>
      </c>
      <c r="N87" s="81">
        <f t="shared" si="17"/>
        <v>-141.25</v>
      </c>
      <c r="O87" s="81">
        <f t="shared" si="17"/>
        <v>-141.25</v>
      </c>
      <c r="P87" s="81">
        <f>-Loan_Fees-SUM(F87:O87)</f>
        <v>-2825</v>
      </c>
    </row>
    <row r="88" spans="1:16" ht="15.75" outlineLevel="1" thickBot="1">
      <c r="C88" s="64" t="s">
        <v>79</v>
      </c>
      <c r="D88" s="64"/>
      <c r="E88" s="65"/>
      <c r="F88" s="66">
        <f>SUM(F84:F87)</f>
        <v>39215.515067353554</v>
      </c>
      <c r="G88" s="66">
        <f t="shared" ref="G88:P88" si="18">SUM(G84:G87)</f>
        <v>43212.797679417563</v>
      </c>
      <c r="H88" s="66">
        <f t="shared" si="18"/>
        <v>47333.219155324856</v>
      </c>
      <c r="I88" s="66">
        <f t="shared" si="18"/>
        <v>51580.588200289727</v>
      </c>
      <c r="J88" s="66">
        <f t="shared" si="18"/>
        <v>55958.831854496588</v>
      </c>
      <c r="K88" s="66">
        <f t="shared" si="18"/>
        <v>60471.99918804245</v>
      </c>
      <c r="L88" s="66">
        <f t="shared" si="18"/>
        <v>65124.265111880741</v>
      </c>
      <c r="M88" s="66">
        <f t="shared" si="18"/>
        <v>69919.93430843034</v>
      </c>
      <c r="N88" s="66">
        <f t="shared" si="18"/>
        <v>74863.445285629292</v>
      </c>
      <c r="O88" s="66">
        <f t="shared" si="18"/>
        <v>79959.374558333133</v>
      </c>
      <c r="P88" s="66">
        <f t="shared" si="18"/>
        <v>82528.690961081855</v>
      </c>
    </row>
    <row r="89" spans="1:16" outlineLevel="1">
      <c r="E89" s="38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</row>
    <row r="90" spans="1:16" outlineLevel="1">
      <c r="B90" s="94" t="s">
        <v>80</v>
      </c>
      <c r="C90" s="94"/>
      <c r="D90" s="94"/>
      <c r="E90" s="95"/>
      <c r="F90" s="96">
        <f t="shared" ref="F90:P90" si="19">F88*-Marginal_tax_rate</f>
        <v>-8627.4133148177825</v>
      </c>
      <c r="G90" s="96">
        <f t="shared" si="19"/>
        <v>-9506.8154894718646</v>
      </c>
      <c r="H90" s="96">
        <f t="shared" si="19"/>
        <v>-10413.308214171468</v>
      </c>
      <c r="I90" s="96">
        <f t="shared" si="19"/>
        <v>-11347.729404063741</v>
      </c>
      <c r="J90" s="96">
        <f t="shared" si="19"/>
        <v>-12310.94300798925</v>
      </c>
      <c r="K90" s="96">
        <f t="shared" si="19"/>
        <v>-13303.839821369338</v>
      </c>
      <c r="L90" s="96">
        <f t="shared" si="19"/>
        <v>-14327.338324613764</v>
      </c>
      <c r="M90" s="96">
        <f t="shared" si="19"/>
        <v>-15382.385547854676</v>
      </c>
      <c r="N90" s="96">
        <f t="shared" si="19"/>
        <v>-16469.957962838445</v>
      </c>
      <c r="O90" s="96">
        <f t="shared" si="19"/>
        <v>-17591.06240283329</v>
      </c>
      <c r="P90" s="96">
        <f t="shared" si="19"/>
        <v>-18156.312011438007</v>
      </c>
    </row>
    <row r="91" spans="1:16" outlineLevel="1">
      <c r="E91" s="97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</row>
    <row r="92" spans="1:16" ht="15.75" outlineLevel="1" thickBot="1">
      <c r="B92" s="64" t="s">
        <v>81</v>
      </c>
      <c r="C92" s="64"/>
      <c r="D92" s="64"/>
      <c r="E92" s="65"/>
      <c r="F92" s="66">
        <f t="shared" ref="F92:P92" si="20">F68+F69+F90</f>
        <v>59664.74193502478</v>
      </c>
      <c r="G92" s="66">
        <f t="shared" si="20"/>
        <v>62204.139760370686</v>
      </c>
      <c r="H92" s="66">
        <f t="shared" si="20"/>
        <v>64819.011035671079</v>
      </c>
      <c r="I92" s="66">
        <f t="shared" si="20"/>
        <v>67511.59476577882</v>
      </c>
      <c r="J92" s="66">
        <f t="shared" si="20"/>
        <v>70284.19622945333</v>
      </c>
      <c r="K92" s="66">
        <f t="shared" si="20"/>
        <v>73139.188935701255</v>
      </c>
      <c r="L92" s="66">
        <f t="shared" si="20"/>
        <v>76079.016637673674</v>
      </c>
      <c r="M92" s="66">
        <f t="shared" si="20"/>
        <v>79106.195405806095</v>
      </c>
      <c r="N92" s="66">
        <f t="shared" si="20"/>
        <v>82223.315761936887</v>
      </c>
      <c r="O92" s="66">
        <f t="shared" si="20"/>
        <v>85433.044876190048</v>
      </c>
      <c r="P92" s="66">
        <f t="shared" si="20"/>
        <v>89328.553828460746</v>
      </c>
    </row>
    <row r="93" spans="1:16" outlineLevel="1">
      <c r="F93" s="98"/>
      <c r="G93" s="81"/>
      <c r="H93" s="81"/>
      <c r="I93" s="81"/>
      <c r="J93" s="81"/>
      <c r="K93" s="81"/>
      <c r="L93" s="81"/>
      <c r="M93" s="81"/>
      <c r="N93" s="81"/>
      <c r="O93" s="81"/>
      <c r="P93" s="81"/>
    </row>
    <row r="94" spans="1:16" outlineLevel="1">
      <c r="B94" s="3" t="s">
        <v>90</v>
      </c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</row>
    <row r="95" spans="1:16" outlineLevel="1">
      <c r="C95" s="3" t="s">
        <v>58</v>
      </c>
      <c r="E95" s="82">
        <f>E67</f>
        <v>-301737.5</v>
      </c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</row>
    <row r="96" spans="1:16" outlineLevel="1">
      <c r="C96" s="3" t="s">
        <v>82</v>
      </c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2">
        <f>P70</f>
        <v>3403393.5686679156</v>
      </c>
    </row>
    <row r="97" spans="1:16" outlineLevel="1">
      <c r="C97" s="3" t="s">
        <v>83</v>
      </c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2">
        <f>P71</f>
        <v>-204203.61412007493</v>
      </c>
    </row>
    <row r="98" spans="1:16" outlineLevel="1">
      <c r="C98" s="3" t="s">
        <v>84</v>
      </c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2">
        <f>P72</f>
        <v>-642834.02625163633</v>
      </c>
    </row>
    <row r="99" spans="1:16" outlineLevel="1">
      <c r="C99" s="3" t="s">
        <v>85</v>
      </c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2">
        <f>(P96+P97-(Purchases_Price+Closing_cost))*-capital_gain_rate</f>
        <v>-308128.49318217608</v>
      </c>
    </row>
    <row r="100" spans="1:16" ht="15.75" outlineLevel="1" thickBot="1">
      <c r="B100" s="55" t="s">
        <v>86</v>
      </c>
      <c r="E100" s="77">
        <f>SUM(E92:E99)</f>
        <v>-301737.5</v>
      </c>
      <c r="F100" s="77">
        <f t="shared" ref="F100:P100" si="21">SUM(F92:F99)</f>
        <v>59664.74193502478</v>
      </c>
      <c r="G100" s="77">
        <f t="shared" si="21"/>
        <v>62204.139760370686</v>
      </c>
      <c r="H100" s="77">
        <f t="shared" si="21"/>
        <v>64819.011035671079</v>
      </c>
      <c r="I100" s="77">
        <f t="shared" si="21"/>
        <v>67511.59476577882</v>
      </c>
      <c r="J100" s="77">
        <f t="shared" si="21"/>
        <v>70284.19622945333</v>
      </c>
      <c r="K100" s="77">
        <f t="shared" si="21"/>
        <v>73139.188935701255</v>
      </c>
      <c r="L100" s="77">
        <f t="shared" si="21"/>
        <v>76079.016637673674</v>
      </c>
      <c r="M100" s="77">
        <f t="shared" si="21"/>
        <v>79106.195405806095</v>
      </c>
      <c r="N100" s="77">
        <f t="shared" si="21"/>
        <v>82223.315761936887</v>
      </c>
      <c r="O100" s="77">
        <f t="shared" si="21"/>
        <v>85433.044876190048</v>
      </c>
      <c r="P100" s="77">
        <f t="shared" si="21"/>
        <v>2337555.9889424886</v>
      </c>
    </row>
    <row r="101" spans="1:16" ht="16.5" outlineLevel="1" thickTop="1" thickBot="1">
      <c r="C101" s="38"/>
      <c r="D101" s="87"/>
    </row>
    <row r="102" spans="1:16" ht="16.5" outlineLevel="1" thickTop="1" thickBot="1">
      <c r="A102" s="38"/>
      <c r="B102" s="99" t="s">
        <v>87</v>
      </c>
      <c r="C102" s="100"/>
      <c r="D102" s="101">
        <f>IRR(E100:P100)</f>
        <v>0.32190663392638741</v>
      </c>
    </row>
    <row r="103" spans="1:16" ht="16.5" outlineLevel="1" thickTop="1" thickBot="1">
      <c r="A103" s="38"/>
      <c r="B103" s="102" t="s">
        <v>88</v>
      </c>
      <c r="C103" s="103"/>
      <c r="D103" s="104">
        <f>NPV(After_tax_discount_rate,E100:P100)/(1+After_tax_discount_rate)</f>
        <v>886853.21870597347</v>
      </c>
      <c r="E103" s="105"/>
    </row>
    <row r="104" spans="1:16" ht="15.75" outlineLevel="1" thickTop="1">
      <c r="A104" s="38"/>
      <c r="C104" s="38"/>
      <c r="F104" s="106"/>
    </row>
  </sheetData>
  <mergeCells count="3">
    <mergeCell ref="C2:P2"/>
    <mergeCell ref="B81:P81"/>
    <mergeCell ref="B62:P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5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F365"/>
  <sheetViews>
    <sheetView showGridLines="0" tabSelected="1" workbookViewId="0">
      <selection activeCell="D4" sqref="D4"/>
    </sheetView>
  </sheetViews>
  <sheetFormatPr defaultRowHeight="15"/>
  <cols>
    <col min="1" max="1" width="1.85546875" customWidth="1"/>
    <col min="3" max="3" width="14.85546875" customWidth="1"/>
    <col min="4" max="4" width="15.28515625" customWidth="1"/>
    <col min="5" max="5" width="15.5703125" customWidth="1"/>
    <col min="6" max="6" width="16.5703125" customWidth="1"/>
  </cols>
  <sheetData>
    <row r="2" spans="2:6" ht="20.25">
      <c r="B2" s="108" t="s">
        <v>62</v>
      </c>
      <c r="C2" s="108"/>
      <c r="D2" s="108"/>
      <c r="E2" s="108"/>
      <c r="F2" s="108"/>
    </row>
    <row r="4" spans="2:6">
      <c r="B4" s="109" t="s">
        <v>63</v>
      </c>
      <c r="C4" s="110" t="s">
        <v>64</v>
      </c>
      <c r="D4" s="110" t="s">
        <v>65</v>
      </c>
      <c r="E4" s="110" t="s">
        <v>66</v>
      </c>
      <c r="F4" s="110" t="s">
        <v>67</v>
      </c>
    </row>
    <row r="5" spans="2:6" ht="4.5" customHeight="1">
      <c r="B5" s="2"/>
      <c r="C5" s="1"/>
      <c r="D5" s="1"/>
      <c r="E5" s="1"/>
      <c r="F5" s="1"/>
    </row>
    <row r="6" spans="2:6">
      <c r="B6" s="111">
        <v>1</v>
      </c>
      <c r="C6" s="112">
        <f>'RE Model'!$E$25</f>
        <v>-3805.6537291797872</v>
      </c>
      <c r="D6" s="112">
        <f>-Loan_Amount*Loan_interest_rate/12</f>
        <v>-2471.8750000000005</v>
      </c>
      <c r="E6" s="112">
        <f>C6-D6</f>
        <v>-1333.7787291797868</v>
      </c>
      <c r="F6" s="112">
        <f>Loan_Amount+E6</f>
        <v>846166.22127082024</v>
      </c>
    </row>
    <row r="7" spans="2:6">
      <c r="B7" s="111">
        <v>2</v>
      </c>
      <c r="C7" s="112">
        <f t="shared" ref="C7:C70" si="0">IF(B7&lt;=loan_term,C6,0)</f>
        <v>-3805.6537291797872</v>
      </c>
      <c r="D7" s="112">
        <f t="shared" ref="D7:D70" si="1">-F6*Loan_interest_rate/12</f>
        <v>-2467.9848120398924</v>
      </c>
      <c r="E7" s="112">
        <f>C7-D7</f>
        <v>-1337.6689171398948</v>
      </c>
      <c r="F7" s="112">
        <f>F6+E7</f>
        <v>844828.55235368037</v>
      </c>
    </row>
    <row r="8" spans="2:6">
      <c r="B8" s="111">
        <v>3</v>
      </c>
      <c r="C8" s="112">
        <f t="shared" si="0"/>
        <v>-3805.6537291797872</v>
      </c>
      <c r="D8" s="112">
        <f t="shared" si="1"/>
        <v>-2464.0832776982347</v>
      </c>
      <c r="E8" s="112">
        <f t="shared" ref="E8:E71" si="2">C8-D8</f>
        <v>-1341.5704514815525</v>
      </c>
      <c r="F8" s="112">
        <f t="shared" ref="F8:F71" si="3">F7+E8</f>
        <v>843486.98190219887</v>
      </c>
    </row>
    <row r="9" spans="2:6">
      <c r="B9" s="111">
        <v>4</v>
      </c>
      <c r="C9" s="112">
        <f t="shared" si="0"/>
        <v>-3805.6537291797872</v>
      </c>
      <c r="D9" s="112">
        <f t="shared" si="1"/>
        <v>-2460.1703638814138</v>
      </c>
      <c r="E9" s="112">
        <f t="shared" si="2"/>
        <v>-1345.4833652983734</v>
      </c>
      <c r="F9" s="112">
        <f t="shared" si="3"/>
        <v>842141.4985369005</v>
      </c>
    </row>
    <row r="10" spans="2:6">
      <c r="B10" s="111">
        <v>5</v>
      </c>
      <c r="C10" s="112">
        <f t="shared" si="0"/>
        <v>-3805.6537291797872</v>
      </c>
      <c r="D10" s="112">
        <f t="shared" si="1"/>
        <v>-2456.2460373992931</v>
      </c>
      <c r="E10" s="112">
        <f t="shared" si="2"/>
        <v>-1349.4076917804941</v>
      </c>
      <c r="F10" s="112">
        <f t="shared" si="3"/>
        <v>840792.09084512002</v>
      </c>
    </row>
    <row r="11" spans="2:6">
      <c r="B11" s="111">
        <v>6</v>
      </c>
      <c r="C11" s="112">
        <f t="shared" si="0"/>
        <v>-3805.6537291797872</v>
      </c>
      <c r="D11" s="112">
        <f t="shared" si="1"/>
        <v>-2452.3102649649336</v>
      </c>
      <c r="E11" s="112">
        <f t="shared" si="2"/>
        <v>-1353.3434642148536</v>
      </c>
      <c r="F11" s="112">
        <f t="shared" si="3"/>
        <v>839438.7473809052</v>
      </c>
    </row>
    <row r="12" spans="2:6">
      <c r="B12" s="111">
        <v>7</v>
      </c>
      <c r="C12" s="112">
        <f t="shared" si="0"/>
        <v>-3805.6537291797872</v>
      </c>
      <c r="D12" s="112">
        <f t="shared" si="1"/>
        <v>-2448.3630131943069</v>
      </c>
      <c r="E12" s="112">
        <f t="shared" si="2"/>
        <v>-1357.2907159854803</v>
      </c>
      <c r="F12" s="112">
        <f t="shared" si="3"/>
        <v>838081.45666491974</v>
      </c>
    </row>
    <row r="13" spans="2:6">
      <c r="B13" s="111">
        <v>8</v>
      </c>
      <c r="C13" s="112">
        <f t="shared" si="0"/>
        <v>-3805.6537291797872</v>
      </c>
      <c r="D13" s="112">
        <f t="shared" si="1"/>
        <v>-2444.4042486060162</v>
      </c>
      <c r="E13" s="112">
        <f t="shared" si="2"/>
        <v>-1361.2494805737711</v>
      </c>
      <c r="F13" s="112">
        <f t="shared" si="3"/>
        <v>836720.20718434593</v>
      </c>
    </row>
    <row r="14" spans="2:6">
      <c r="B14" s="111">
        <v>9</v>
      </c>
      <c r="C14" s="112">
        <f t="shared" si="0"/>
        <v>-3805.6537291797872</v>
      </c>
      <c r="D14" s="112">
        <f t="shared" si="1"/>
        <v>-2440.4339376210091</v>
      </c>
      <c r="E14" s="112">
        <f t="shared" si="2"/>
        <v>-1365.2197915587781</v>
      </c>
      <c r="F14" s="112">
        <f t="shared" si="3"/>
        <v>835354.98739278712</v>
      </c>
    </row>
    <row r="15" spans="2:6">
      <c r="B15" s="111">
        <v>10</v>
      </c>
      <c r="C15" s="112">
        <f t="shared" si="0"/>
        <v>-3805.6537291797872</v>
      </c>
      <c r="D15" s="112">
        <f t="shared" si="1"/>
        <v>-2436.4520465622959</v>
      </c>
      <c r="E15" s="112">
        <f t="shared" si="2"/>
        <v>-1369.2016826174913</v>
      </c>
      <c r="F15" s="112">
        <f t="shared" si="3"/>
        <v>833985.78571016958</v>
      </c>
    </row>
    <row r="16" spans="2:6">
      <c r="B16" s="111">
        <v>11</v>
      </c>
      <c r="C16" s="112">
        <f t="shared" si="0"/>
        <v>-3805.6537291797872</v>
      </c>
      <c r="D16" s="112">
        <f t="shared" si="1"/>
        <v>-2432.4585416546615</v>
      </c>
      <c r="E16" s="112">
        <f t="shared" si="2"/>
        <v>-1373.1951875251257</v>
      </c>
      <c r="F16" s="112">
        <f t="shared" si="3"/>
        <v>832612.59052264446</v>
      </c>
    </row>
    <row r="17" spans="2:6">
      <c r="B17" s="111">
        <v>12</v>
      </c>
      <c r="C17" s="112">
        <f t="shared" si="0"/>
        <v>-3805.6537291797872</v>
      </c>
      <c r="D17" s="112">
        <f t="shared" si="1"/>
        <v>-2428.4533890243797</v>
      </c>
      <c r="E17" s="112">
        <f t="shared" si="2"/>
        <v>-1377.2003401554075</v>
      </c>
      <c r="F17" s="112">
        <f t="shared" si="3"/>
        <v>831235.39018248906</v>
      </c>
    </row>
    <row r="18" spans="2:6">
      <c r="B18" s="111">
        <v>13</v>
      </c>
      <c r="C18" s="112">
        <f t="shared" si="0"/>
        <v>-3805.6537291797872</v>
      </c>
      <c r="D18" s="112">
        <f t="shared" si="1"/>
        <v>-2424.4365546989266</v>
      </c>
      <c r="E18" s="112">
        <f t="shared" si="2"/>
        <v>-1381.2171744808606</v>
      </c>
      <c r="F18" s="112">
        <f t="shared" si="3"/>
        <v>829854.17300800816</v>
      </c>
    </row>
    <row r="19" spans="2:6">
      <c r="B19" s="111">
        <v>14</v>
      </c>
      <c r="C19" s="112">
        <f t="shared" si="0"/>
        <v>-3805.6537291797872</v>
      </c>
      <c r="D19" s="112">
        <f t="shared" si="1"/>
        <v>-2420.4080046066906</v>
      </c>
      <c r="E19" s="112">
        <f t="shared" si="2"/>
        <v>-1385.2457245730966</v>
      </c>
      <c r="F19" s="112">
        <f t="shared" si="3"/>
        <v>828468.92728343501</v>
      </c>
    </row>
    <row r="20" spans="2:6">
      <c r="B20" s="111">
        <v>15</v>
      </c>
      <c r="C20" s="112">
        <f t="shared" si="0"/>
        <v>-3805.6537291797872</v>
      </c>
      <c r="D20" s="112">
        <f t="shared" si="1"/>
        <v>-2416.3677045766858</v>
      </c>
      <c r="E20" s="112">
        <f t="shared" si="2"/>
        <v>-1389.2860246031014</v>
      </c>
      <c r="F20" s="112">
        <f t="shared" si="3"/>
        <v>827079.64125883195</v>
      </c>
    </row>
    <row r="21" spans="2:6">
      <c r="B21" s="111">
        <v>16</v>
      </c>
      <c r="C21" s="112">
        <f t="shared" si="0"/>
        <v>-3805.6537291797872</v>
      </c>
      <c r="D21" s="112">
        <f t="shared" si="1"/>
        <v>-2412.31562033826</v>
      </c>
      <c r="E21" s="112">
        <f t="shared" si="2"/>
        <v>-1393.3381088415272</v>
      </c>
      <c r="F21" s="112">
        <f t="shared" si="3"/>
        <v>825686.30314999039</v>
      </c>
    </row>
    <row r="22" spans="2:6">
      <c r="B22" s="111">
        <v>17</v>
      </c>
      <c r="C22" s="112">
        <f t="shared" si="0"/>
        <v>-3805.6537291797872</v>
      </c>
      <c r="D22" s="112">
        <f t="shared" si="1"/>
        <v>-2408.2517175208054</v>
      </c>
      <c r="E22" s="112">
        <f t="shared" si="2"/>
        <v>-1397.4020116589818</v>
      </c>
      <c r="F22" s="112">
        <f t="shared" si="3"/>
        <v>824288.90113833139</v>
      </c>
    </row>
    <row r="23" spans="2:6">
      <c r="B23" s="111">
        <v>18</v>
      </c>
      <c r="C23" s="112">
        <f t="shared" si="0"/>
        <v>-3805.6537291797872</v>
      </c>
      <c r="D23" s="112">
        <f t="shared" si="1"/>
        <v>-2404.1759616534669</v>
      </c>
      <c r="E23" s="112">
        <f t="shared" si="2"/>
        <v>-1401.4777675263203</v>
      </c>
      <c r="F23" s="112">
        <f t="shared" si="3"/>
        <v>822887.4233708051</v>
      </c>
    </row>
    <row r="24" spans="2:6">
      <c r="B24" s="111">
        <v>19</v>
      </c>
      <c r="C24" s="112">
        <f t="shared" si="0"/>
        <v>-3805.6537291797872</v>
      </c>
      <c r="D24" s="112">
        <f t="shared" si="1"/>
        <v>-2400.0883181648483</v>
      </c>
      <c r="E24" s="112">
        <f t="shared" si="2"/>
        <v>-1405.5654110149389</v>
      </c>
      <c r="F24" s="112">
        <f t="shared" si="3"/>
        <v>821481.85795979016</v>
      </c>
    </row>
    <row r="25" spans="2:6">
      <c r="B25" s="111">
        <v>20</v>
      </c>
      <c r="C25" s="112">
        <f t="shared" si="0"/>
        <v>-3805.6537291797872</v>
      </c>
      <c r="D25" s="112">
        <f t="shared" si="1"/>
        <v>-2395.9887523827215</v>
      </c>
      <c r="E25" s="112">
        <f t="shared" si="2"/>
        <v>-1409.6649767970657</v>
      </c>
      <c r="F25" s="112">
        <f t="shared" si="3"/>
        <v>820072.19298299309</v>
      </c>
    </row>
    <row r="26" spans="2:6">
      <c r="B26" s="111">
        <v>21</v>
      </c>
      <c r="C26" s="112">
        <f t="shared" si="0"/>
        <v>-3805.6537291797872</v>
      </c>
      <c r="D26" s="112">
        <f t="shared" si="1"/>
        <v>-2391.8772295337299</v>
      </c>
      <c r="E26" s="112">
        <f t="shared" si="2"/>
        <v>-1413.7764996460573</v>
      </c>
      <c r="F26" s="112">
        <f t="shared" si="3"/>
        <v>818658.41648334707</v>
      </c>
    </row>
    <row r="27" spans="2:6">
      <c r="B27" s="111">
        <v>22</v>
      </c>
      <c r="C27" s="112">
        <f t="shared" si="0"/>
        <v>-3805.6537291797872</v>
      </c>
      <c r="D27" s="112">
        <f t="shared" si="1"/>
        <v>-2387.7537147430958</v>
      </c>
      <c r="E27" s="112">
        <f t="shared" si="2"/>
        <v>-1417.9000144366914</v>
      </c>
      <c r="F27" s="112">
        <f t="shared" si="3"/>
        <v>817240.51646891038</v>
      </c>
    </row>
    <row r="28" spans="2:6">
      <c r="B28" s="111">
        <v>23</v>
      </c>
      <c r="C28" s="112">
        <f t="shared" si="0"/>
        <v>-3805.6537291797872</v>
      </c>
      <c r="D28" s="112">
        <f t="shared" si="1"/>
        <v>-2383.6181730343219</v>
      </c>
      <c r="E28" s="112">
        <f t="shared" si="2"/>
        <v>-1422.0355561454653</v>
      </c>
      <c r="F28" s="112">
        <f t="shared" si="3"/>
        <v>815818.48091276491</v>
      </c>
    </row>
    <row r="29" spans="2:6">
      <c r="B29" s="111">
        <v>24</v>
      </c>
      <c r="C29" s="112">
        <f t="shared" si="0"/>
        <v>-3805.6537291797872</v>
      </c>
      <c r="D29" s="112">
        <f t="shared" si="1"/>
        <v>-2379.4705693288979</v>
      </c>
      <c r="E29" s="112">
        <f t="shared" si="2"/>
        <v>-1426.1831598508893</v>
      </c>
      <c r="F29" s="112">
        <f t="shared" si="3"/>
        <v>814392.29775291402</v>
      </c>
    </row>
    <row r="30" spans="2:6">
      <c r="B30" s="111">
        <v>25</v>
      </c>
      <c r="C30" s="112">
        <f t="shared" si="0"/>
        <v>-3805.6537291797872</v>
      </c>
      <c r="D30" s="112">
        <f t="shared" si="1"/>
        <v>-2375.3108684459994</v>
      </c>
      <c r="E30" s="112">
        <f t="shared" si="2"/>
        <v>-1430.3428607337878</v>
      </c>
      <c r="F30" s="112">
        <f t="shared" si="3"/>
        <v>812961.95489218028</v>
      </c>
    </row>
    <row r="31" spans="2:6">
      <c r="B31" s="111">
        <v>26</v>
      </c>
      <c r="C31" s="112">
        <f t="shared" si="0"/>
        <v>-3805.6537291797872</v>
      </c>
      <c r="D31" s="112">
        <f t="shared" si="1"/>
        <v>-2371.1390351021928</v>
      </c>
      <c r="E31" s="112">
        <f t="shared" si="2"/>
        <v>-1434.5146940775944</v>
      </c>
      <c r="F31" s="112">
        <f t="shared" si="3"/>
        <v>811527.44019810273</v>
      </c>
    </row>
    <row r="32" spans="2:6">
      <c r="B32" s="111">
        <v>27</v>
      </c>
      <c r="C32" s="112">
        <f t="shared" si="0"/>
        <v>-3805.6537291797872</v>
      </c>
      <c r="D32" s="112">
        <f t="shared" si="1"/>
        <v>-2366.9550339111333</v>
      </c>
      <c r="E32" s="112">
        <f t="shared" si="2"/>
        <v>-1438.6986952686539</v>
      </c>
      <c r="F32" s="112">
        <f t="shared" si="3"/>
        <v>810088.74150283413</v>
      </c>
    </row>
    <row r="33" spans="2:6">
      <c r="B33" s="111">
        <v>28</v>
      </c>
      <c r="C33" s="112">
        <f t="shared" si="0"/>
        <v>-3805.6537291797872</v>
      </c>
      <c r="D33" s="112">
        <f t="shared" si="1"/>
        <v>-2362.7588293832664</v>
      </c>
      <c r="E33" s="112">
        <f t="shared" si="2"/>
        <v>-1442.8948997965208</v>
      </c>
      <c r="F33" s="112">
        <f t="shared" si="3"/>
        <v>808645.84660303756</v>
      </c>
    </row>
    <row r="34" spans="2:6">
      <c r="B34" s="111">
        <v>29</v>
      </c>
      <c r="C34" s="112">
        <f t="shared" si="0"/>
        <v>-3805.6537291797872</v>
      </c>
      <c r="D34" s="112">
        <f t="shared" si="1"/>
        <v>-2358.5503859255264</v>
      </c>
      <c r="E34" s="112">
        <f t="shared" si="2"/>
        <v>-1447.1033432542608</v>
      </c>
      <c r="F34" s="112">
        <f t="shared" si="3"/>
        <v>807198.74325978325</v>
      </c>
    </row>
    <row r="35" spans="2:6">
      <c r="B35" s="111">
        <v>30</v>
      </c>
      <c r="C35" s="112">
        <f t="shared" si="0"/>
        <v>-3805.6537291797872</v>
      </c>
      <c r="D35" s="112">
        <f t="shared" si="1"/>
        <v>-2354.3296678410347</v>
      </c>
      <c r="E35" s="112">
        <f t="shared" si="2"/>
        <v>-1451.3240613387525</v>
      </c>
      <c r="F35" s="112">
        <f t="shared" si="3"/>
        <v>805747.41919844446</v>
      </c>
    </row>
    <row r="36" spans="2:6">
      <c r="B36" s="111">
        <v>31</v>
      </c>
      <c r="C36" s="112">
        <f t="shared" si="0"/>
        <v>-3805.6537291797872</v>
      </c>
      <c r="D36" s="112">
        <f t="shared" si="1"/>
        <v>-2350.0966393287968</v>
      </c>
      <c r="E36" s="112">
        <f t="shared" si="2"/>
        <v>-1455.5570898509905</v>
      </c>
      <c r="F36" s="112">
        <f t="shared" si="3"/>
        <v>804291.86210859346</v>
      </c>
    </row>
    <row r="37" spans="2:6">
      <c r="B37" s="111">
        <v>32</v>
      </c>
      <c r="C37" s="112">
        <f t="shared" si="0"/>
        <v>-3805.6537291797872</v>
      </c>
      <c r="D37" s="112">
        <f t="shared" si="1"/>
        <v>-2345.8512644833977</v>
      </c>
      <c r="E37" s="112">
        <f t="shared" si="2"/>
        <v>-1459.8024646963895</v>
      </c>
      <c r="F37" s="112">
        <f t="shared" si="3"/>
        <v>802832.05964389711</v>
      </c>
    </row>
    <row r="38" spans="2:6">
      <c r="B38" s="111">
        <v>33</v>
      </c>
      <c r="C38" s="112">
        <f t="shared" si="0"/>
        <v>-3805.6537291797872</v>
      </c>
      <c r="D38" s="112">
        <f t="shared" si="1"/>
        <v>-2341.5935072947</v>
      </c>
      <c r="E38" s="112">
        <f t="shared" si="2"/>
        <v>-1464.0602218850872</v>
      </c>
      <c r="F38" s="112">
        <f t="shared" si="3"/>
        <v>801367.99942201201</v>
      </c>
    </row>
    <row r="39" spans="2:6">
      <c r="B39" s="111">
        <v>34</v>
      </c>
      <c r="C39" s="112">
        <f t="shared" si="0"/>
        <v>-3805.6537291797872</v>
      </c>
      <c r="D39" s="112">
        <f t="shared" si="1"/>
        <v>-2337.3233316475353</v>
      </c>
      <c r="E39" s="112">
        <f t="shared" si="2"/>
        <v>-1468.3303975322519</v>
      </c>
      <c r="F39" s="112">
        <f t="shared" si="3"/>
        <v>799899.66902447981</v>
      </c>
    </row>
    <row r="40" spans="2:6">
      <c r="B40" s="111">
        <v>35</v>
      </c>
      <c r="C40" s="112">
        <f t="shared" si="0"/>
        <v>-3805.6537291797872</v>
      </c>
      <c r="D40" s="112">
        <f t="shared" si="1"/>
        <v>-2333.0407013213994</v>
      </c>
      <c r="E40" s="112">
        <f t="shared" si="2"/>
        <v>-1472.6130278583878</v>
      </c>
      <c r="F40" s="112">
        <f t="shared" si="3"/>
        <v>798427.05599662138</v>
      </c>
    </row>
    <row r="41" spans="2:6">
      <c r="B41" s="111">
        <v>36</v>
      </c>
      <c r="C41" s="112">
        <f t="shared" si="0"/>
        <v>-3805.6537291797872</v>
      </c>
      <c r="D41" s="112">
        <f t="shared" si="1"/>
        <v>-2328.7455799901459</v>
      </c>
      <c r="E41" s="112">
        <f t="shared" si="2"/>
        <v>-1476.9081491896413</v>
      </c>
      <c r="F41" s="112">
        <f t="shared" si="3"/>
        <v>796950.14784743171</v>
      </c>
    </row>
    <row r="42" spans="2:6">
      <c r="B42" s="111">
        <v>37</v>
      </c>
      <c r="C42" s="112">
        <f t="shared" si="0"/>
        <v>-3805.6537291797872</v>
      </c>
      <c r="D42" s="112">
        <f t="shared" si="1"/>
        <v>-2324.4379312216761</v>
      </c>
      <c r="E42" s="112">
        <f t="shared" si="2"/>
        <v>-1481.2157979581111</v>
      </c>
      <c r="F42" s="112">
        <f t="shared" si="3"/>
        <v>795468.93204947363</v>
      </c>
    </row>
    <row r="43" spans="2:6">
      <c r="B43" s="111">
        <v>38</v>
      </c>
      <c r="C43" s="112">
        <f t="shared" si="0"/>
        <v>-3805.6537291797872</v>
      </c>
      <c r="D43" s="112">
        <f t="shared" si="1"/>
        <v>-2320.1177184776316</v>
      </c>
      <c r="E43" s="112">
        <f t="shared" si="2"/>
        <v>-1485.5360107021556</v>
      </c>
      <c r="F43" s="112">
        <f t="shared" si="3"/>
        <v>793983.39603877149</v>
      </c>
    </row>
    <row r="44" spans="2:6">
      <c r="B44" s="111">
        <v>39</v>
      </c>
      <c r="C44" s="112">
        <f t="shared" si="0"/>
        <v>-3805.6537291797872</v>
      </c>
      <c r="D44" s="112">
        <f t="shared" si="1"/>
        <v>-2315.7849051130838</v>
      </c>
      <c r="E44" s="112">
        <f t="shared" si="2"/>
        <v>-1489.8688240667034</v>
      </c>
      <c r="F44" s="112">
        <f t="shared" si="3"/>
        <v>792493.52721470478</v>
      </c>
    </row>
    <row r="45" spans="2:6">
      <c r="B45" s="111">
        <v>40</v>
      </c>
      <c r="C45" s="112">
        <f t="shared" si="0"/>
        <v>-3805.6537291797872</v>
      </c>
      <c r="D45" s="112">
        <f t="shared" si="1"/>
        <v>-2311.4394543762223</v>
      </c>
      <c r="E45" s="112">
        <f t="shared" si="2"/>
        <v>-1494.2142748035649</v>
      </c>
      <c r="F45" s="112">
        <f t="shared" si="3"/>
        <v>790999.31293990125</v>
      </c>
    </row>
    <row r="46" spans="2:6">
      <c r="B46" s="111">
        <v>41</v>
      </c>
      <c r="C46" s="112">
        <f t="shared" si="0"/>
        <v>-3805.6537291797872</v>
      </c>
      <c r="D46" s="112">
        <f t="shared" si="1"/>
        <v>-2307.0813294080458</v>
      </c>
      <c r="E46" s="112">
        <f t="shared" si="2"/>
        <v>-1498.5723997717414</v>
      </c>
      <c r="F46" s="112">
        <f t="shared" si="3"/>
        <v>789500.74054012948</v>
      </c>
    </row>
    <row r="47" spans="2:6">
      <c r="B47" s="111">
        <v>42</v>
      </c>
      <c r="C47" s="112">
        <f t="shared" si="0"/>
        <v>-3805.6537291797872</v>
      </c>
      <c r="D47" s="112">
        <f t="shared" si="1"/>
        <v>-2302.7104932420448</v>
      </c>
      <c r="E47" s="112">
        <f t="shared" si="2"/>
        <v>-1502.9432359377424</v>
      </c>
      <c r="F47" s="112">
        <f t="shared" si="3"/>
        <v>787997.79730419174</v>
      </c>
    </row>
    <row r="48" spans="2:6">
      <c r="B48" s="111">
        <v>43</v>
      </c>
      <c r="C48" s="112">
        <f t="shared" si="0"/>
        <v>-3805.6537291797872</v>
      </c>
      <c r="D48" s="112">
        <f t="shared" si="1"/>
        <v>-2298.3269088038928</v>
      </c>
      <c r="E48" s="112">
        <f t="shared" si="2"/>
        <v>-1507.3268203758944</v>
      </c>
      <c r="F48" s="112">
        <f t="shared" si="3"/>
        <v>786490.47048381588</v>
      </c>
    </row>
    <row r="49" spans="2:6">
      <c r="B49" s="111">
        <v>44</v>
      </c>
      <c r="C49" s="112">
        <f t="shared" si="0"/>
        <v>-3805.6537291797872</v>
      </c>
      <c r="D49" s="112">
        <f t="shared" si="1"/>
        <v>-2293.93053891113</v>
      </c>
      <c r="E49" s="112">
        <f t="shared" si="2"/>
        <v>-1511.7231902686572</v>
      </c>
      <c r="F49" s="112">
        <f t="shared" si="3"/>
        <v>784978.74729354726</v>
      </c>
    </row>
    <row r="50" spans="2:6">
      <c r="B50" s="111">
        <v>45</v>
      </c>
      <c r="C50" s="112">
        <f t="shared" si="0"/>
        <v>-3805.6537291797872</v>
      </c>
      <c r="D50" s="112">
        <f t="shared" si="1"/>
        <v>-2289.5213462728466</v>
      </c>
      <c r="E50" s="112">
        <f t="shared" si="2"/>
        <v>-1516.1323829069406</v>
      </c>
      <c r="F50" s="112">
        <f t="shared" si="3"/>
        <v>783462.61491064029</v>
      </c>
    </row>
    <row r="51" spans="2:6">
      <c r="B51" s="111">
        <v>46</v>
      </c>
      <c r="C51" s="112">
        <f t="shared" si="0"/>
        <v>-3805.6537291797872</v>
      </c>
      <c r="D51" s="112">
        <f t="shared" si="1"/>
        <v>-2285.0992934893679</v>
      </c>
      <c r="E51" s="112">
        <f t="shared" si="2"/>
        <v>-1520.5544356904193</v>
      </c>
      <c r="F51" s="112">
        <f t="shared" si="3"/>
        <v>781942.06047494989</v>
      </c>
    </row>
    <row r="52" spans="2:6">
      <c r="B52" s="111">
        <v>47</v>
      </c>
      <c r="C52" s="112">
        <f t="shared" si="0"/>
        <v>-3805.6537291797872</v>
      </c>
      <c r="D52" s="112">
        <f t="shared" si="1"/>
        <v>-2280.6643430519375</v>
      </c>
      <c r="E52" s="112">
        <f t="shared" si="2"/>
        <v>-1524.9893861278497</v>
      </c>
      <c r="F52" s="112">
        <f t="shared" si="3"/>
        <v>780417.07108882209</v>
      </c>
    </row>
    <row r="53" spans="2:6">
      <c r="B53" s="111">
        <v>48</v>
      </c>
      <c r="C53" s="112">
        <f t="shared" si="0"/>
        <v>-3805.6537291797872</v>
      </c>
      <c r="D53" s="112">
        <f t="shared" si="1"/>
        <v>-2276.2164573423979</v>
      </c>
      <c r="E53" s="112">
        <f t="shared" si="2"/>
        <v>-1529.4372718373893</v>
      </c>
      <c r="F53" s="112">
        <f t="shared" si="3"/>
        <v>778887.63381698471</v>
      </c>
    </row>
    <row r="54" spans="2:6">
      <c r="B54" s="111">
        <v>49</v>
      </c>
      <c r="C54" s="112">
        <f t="shared" si="0"/>
        <v>-3805.6537291797872</v>
      </c>
      <c r="D54" s="112">
        <f t="shared" si="1"/>
        <v>-2271.7555986328721</v>
      </c>
      <c r="E54" s="112">
        <f t="shared" si="2"/>
        <v>-1533.8981305469151</v>
      </c>
      <c r="F54" s="112">
        <f t="shared" si="3"/>
        <v>777353.73568643781</v>
      </c>
    </row>
    <row r="55" spans="2:6">
      <c r="B55" s="111">
        <v>50</v>
      </c>
      <c r="C55" s="112">
        <f t="shared" si="0"/>
        <v>-3805.6537291797872</v>
      </c>
      <c r="D55" s="112">
        <f t="shared" si="1"/>
        <v>-2267.2817290854441</v>
      </c>
      <c r="E55" s="112">
        <f t="shared" si="2"/>
        <v>-1538.3720000943431</v>
      </c>
      <c r="F55" s="112">
        <f t="shared" si="3"/>
        <v>775815.36368634342</v>
      </c>
    </row>
    <row r="56" spans="2:6">
      <c r="B56" s="111">
        <v>51</v>
      </c>
      <c r="C56" s="112">
        <f t="shared" si="0"/>
        <v>-3805.6537291797872</v>
      </c>
      <c r="D56" s="112">
        <f t="shared" si="1"/>
        <v>-2262.7948107518355</v>
      </c>
      <c r="E56" s="112">
        <f t="shared" si="2"/>
        <v>-1542.8589184279517</v>
      </c>
      <c r="F56" s="112">
        <f t="shared" si="3"/>
        <v>774272.50476791547</v>
      </c>
    </row>
    <row r="57" spans="2:6">
      <c r="B57" s="111">
        <v>52</v>
      </c>
      <c r="C57" s="112">
        <f t="shared" si="0"/>
        <v>-3805.6537291797872</v>
      </c>
      <c r="D57" s="112">
        <f t="shared" si="1"/>
        <v>-2258.2948055730872</v>
      </c>
      <c r="E57" s="112">
        <f t="shared" si="2"/>
        <v>-1547.3589236067</v>
      </c>
      <c r="F57" s="112">
        <f t="shared" si="3"/>
        <v>772725.14584430878</v>
      </c>
    </row>
    <row r="58" spans="2:6">
      <c r="B58" s="111">
        <v>53</v>
      </c>
      <c r="C58" s="112">
        <f t="shared" si="0"/>
        <v>-3805.6537291797872</v>
      </c>
      <c r="D58" s="112">
        <f t="shared" si="1"/>
        <v>-2253.781675379234</v>
      </c>
      <c r="E58" s="112">
        <f t="shared" si="2"/>
        <v>-1551.8720538005532</v>
      </c>
      <c r="F58" s="112">
        <f t="shared" si="3"/>
        <v>771173.27379050828</v>
      </c>
    </row>
    <row r="59" spans="2:6">
      <c r="B59" s="111">
        <v>54</v>
      </c>
      <c r="C59" s="112">
        <f t="shared" si="0"/>
        <v>-3805.6537291797872</v>
      </c>
      <c r="D59" s="112">
        <f t="shared" si="1"/>
        <v>-2249.2553818889828</v>
      </c>
      <c r="E59" s="112">
        <f t="shared" si="2"/>
        <v>-1556.3983472908044</v>
      </c>
      <c r="F59" s="112">
        <f t="shared" si="3"/>
        <v>769616.87544321746</v>
      </c>
    </row>
    <row r="60" spans="2:6">
      <c r="B60" s="111">
        <v>55</v>
      </c>
      <c r="C60" s="112">
        <f t="shared" si="0"/>
        <v>-3805.6537291797872</v>
      </c>
      <c r="D60" s="112">
        <f t="shared" si="1"/>
        <v>-2244.7158867093844</v>
      </c>
      <c r="E60" s="112">
        <f t="shared" si="2"/>
        <v>-1560.9378424704028</v>
      </c>
      <c r="F60" s="112">
        <f t="shared" si="3"/>
        <v>768055.9376007471</v>
      </c>
    </row>
    <row r="61" spans="2:6">
      <c r="B61" s="111">
        <v>56</v>
      </c>
      <c r="C61" s="112">
        <f t="shared" si="0"/>
        <v>-3805.6537291797872</v>
      </c>
      <c r="D61" s="112">
        <f t="shared" si="1"/>
        <v>-2240.1631513355128</v>
      </c>
      <c r="E61" s="112">
        <f t="shared" si="2"/>
        <v>-1565.4905778442744</v>
      </c>
      <c r="F61" s="112">
        <f t="shared" si="3"/>
        <v>766490.44702290278</v>
      </c>
    </row>
    <row r="62" spans="2:6">
      <c r="B62" s="111">
        <v>57</v>
      </c>
      <c r="C62" s="112">
        <f t="shared" si="0"/>
        <v>-3805.6537291797872</v>
      </c>
      <c r="D62" s="112">
        <f t="shared" si="1"/>
        <v>-2235.5971371501332</v>
      </c>
      <c r="E62" s="112">
        <f t="shared" si="2"/>
        <v>-1570.056592029654</v>
      </c>
      <c r="F62" s="112">
        <f t="shared" si="3"/>
        <v>764920.39043087314</v>
      </c>
    </row>
    <row r="63" spans="2:6">
      <c r="B63" s="111">
        <v>58</v>
      </c>
      <c r="C63" s="112">
        <f t="shared" si="0"/>
        <v>-3805.6537291797872</v>
      </c>
      <c r="D63" s="112">
        <f t="shared" si="1"/>
        <v>-2231.0178054233802</v>
      </c>
      <c r="E63" s="112">
        <f t="shared" si="2"/>
        <v>-1574.635923756407</v>
      </c>
      <c r="F63" s="112">
        <f t="shared" si="3"/>
        <v>763345.75450711674</v>
      </c>
    </row>
    <row r="64" spans="2:6">
      <c r="B64" s="111">
        <v>59</v>
      </c>
      <c r="C64" s="112">
        <f t="shared" si="0"/>
        <v>-3805.6537291797872</v>
      </c>
      <c r="D64" s="112">
        <f t="shared" si="1"/>
        <v>-2226.4251173124239</v>
      </c>
      <c r="E64" s="112">
        <f t="shared" si="2"/>
        <v>-1579.2286118673633</v>
      </c>
      <c r="F64" s="112">
        <f t="shared" si="3"/>
        <v>761766.52589524933</v>
      </c>
    </row>
    <row r="65" spans="2:6">
      <c r="B65" s="111">
        <v>60</v>
      </c>
      <c r="C65" s="112">
        <f t="shared" si="0"/>
        <v>-3805.6537291797872</v>
      </c>
      <c r="D65" s="112">
        <f t="shared" si="1"/>
        <v>-2221.8190338611444</v>
      </c>
      <c r="E65" s="112">
        <f t="shared" si="2"/>
        <v>-1583.8346953186428</v>
      </c>
      <c r="F65" s="112">
        <f t="shared" si="3"/>
        <v>760182.69119993073</v>
      </c>
    </row>
    <row r="66" spans="2:6">
      <c r="B66" s="111">
        <v>61</v>
      </c>
      <c r="C66" s="112">
        <f t="shared" si="0"/>
        <v>-3805.6537291797872</v>
      </c>
      <c r="D66" s="112">
        <f t="shared" si="1"/>
        <v>-2217.1995159997982</v>
      </c>
      <c r="E66" s="112">
        <f t="shared" si="2"/>
        <v>-1588.454213179989</v>
      </c>
      <c r="F66" s="112">
        <f t="shared" si="3"/>
        <v>758594.23698675074</v>
      </c>
    </row>
    <row r="67" spans="2:6">
      <c r="B67" s="111">
        <v>62</v>
      </c>
      <c r="C67" s="112">
        <f t="shared" si="0"/>
        <v>-3805.6537291797872</v>
      </c>
      <c r="D67" s="112">
        <f t="shared" si="1"/>
        <v>-2212.5665245446899</v>
      </c>
      <c r="E67" s="112">
        <f t="shared" si="2"/>
        <v>-1593.0872046350974</v>
      </c>
      <c r="F67" s="112">
        <f t="shared" si="3"/>
        <v>757001.14978211559</v>
      </c>
    </row>
    <row r="68" spans="2:6">
      <c r="B68" s="111">
        <v>63</v>
      </c>
      <c r="C68" s="112">
        <f t="shared" si="0"/>
        <v>-3805.6537291797872</v>
      </c>
      <c r="D68" s="112">
        <f t="shared" si="1"/>
        <v>-2207.9200201978374</v>
      </c>
      <c r="E68" s="112">
        <f t="shared" si="2"/>
        <v>-1597.7337089819498</v>
      </c>
      <c r="F68" s="112">
        <f t="shared" si="3"/>
        <v>755403.41607313359</v>
      </c>
    </row>
    <row r="69" spans="2:6">
      <c r="B69" s="111">
        <v>64</v>
      </c>
      <c r="C69" s="112">
        <f t="shared" si="0"/>
        <v>-3805.6537291797872</v>
      </c>
      <c r="D69" s="112">
        <f t="shared" si="1"/>
        <v>-2203.2599635466399</v>
      </c>
      <c r="E69" s="112">
        <f t="shared" si="2"/>
        <v>-1602.3937656331473</v>
      </c>
      <c r="F69" s="112">
        <f t="shared" si="3"/>
        <v>753801.02230750048</v>
      </c>
    </row>
    <row r="70" spans="2:6">
      <c r="B70" s="111">
        <v>65</v>
      </c>
      <c r="C70" s="112">
        <f t="shared" si="0"/>
        <v>-3805.6537291797872</v>
      </c>
      <c r="D70" s="112">
        <f t="shared" si="1"/>
        <v>-2198.5863150635432</v>
      </c>
      <c r="E70" s="112">
        <f t="shared" si="2"/>
        <v>-1607.067414116244</v>
      </c>
      <c r="F70" s="112">
        <f t="shared" si="3"/>
        <v>752193.95489338425</v>
      </c>
    </row>
    <row r="71" spans="2:6">
      <c r="B71" s="111">
        <v>66</v>
      </c>
      <c r="C71" s="112">
        <f t="shared" ref="C71:C134" si="4">IF(B71&lt;=loan_term,C70,0)</f>
        <v>-3805.6537291797872</v>
      </c>
      <c r="D71" s="112">
        <f t="shared" ref="D71:D134" si="5">-F70*Loan_interest_rate/12</f>
        <v>-2193.8990351057041</v>
      </c>
      <c r="E71" s="112">
        <f t="shared" si="2"/>
        <v>-1611.7546940740831</v>
      </c>
      <c r="F71" s="112">
        <f t="shared" si="3"/>
        <v>750582.2001993102</v>
      </c>
    </row>
    <row r="72" spans="2:6">
      <c r="B72" s="111">
        <v>67</v>
      </c>
      <c r="C72" s="112">
        <f t="shared" si="4"/>
        <v>-3805.6537291797872</v>
      </c>
      <c r="D72" s="112">
        <f t="shared" si="5"/>
        <v>-2189.1980839146549</v>
      </c>
      <c r="E72" s="112">
        <f t="shared" ref="E72:E135" si="6">C72-D72</f>
        <v>-1616.4556452651323</v>
      </c>
      <c r="F72" s="112">
        <f t="shared" ref="F72:F135" si="7">F71+E72</f>
        <v>748965.74455404503</v>
      </c>
    </row>
    <row r="73" spans="2:6">
      <c r="B73" s="111">
        <v>68</v>
      </c>
      <c r="C73" s="112">
        <f t="shared" si="4"/>
        <v>-3805.6537291797872</v>
      </c>
      <c r="D73" s="112">
        <f t="shared" si="5"/>
        <v>-2184.4834216159647</v>
      </c>
      <c r="E73" s="112">
        <f t="shared" si="6"/>
        <v>-1621.1703075638225</v>
      </c>
      <c r="F73" s="112">
        <f t="shared" si="7"/>
        <v>747344.57424648118</v>
      </c>
    </row>
    <row r="74" spans="2:6">
      <c r="B74" s="111">
        <v>69</v>
      </c>
      <c r="C74" s="112">
        <f t="shared" si="4"/>
        <v>-3805.6537291797872</v>
      </c>
      <c r="D74" s="112">
        <f t="shared" si="5"/>
        <v>-2179.7550082189036</v>
      </c>
      <c r="E74" s="112">
        <f t="shared" si="6"/>
        <v>-1625.8987209608836</v>
      </c>
      <c r="F74" s="112">
        <f t="shared" si="7"/>
        <v>745718.67552552035</v>
      </c>
    </row>
    <row r="75" spans="2:6">
      <c r="B75" s="111">
        <v>70</v>
      </c>
      <c r="C75" s="112">
        <f t="shared" si="4"/>
        <v>-3805.6537291797872</v>
      </c>
      <c r="D75" s="112">
        <f t="shared" si="5"/>
        <v>-2175.0128036161013</v>
      </c>
      <c r="E75" s="112">
        <f t="shared" si="6"/>
        <v>-1630.6409255636859</v>
      </c>
      <c r="F75" s="112">
        <f t="shared" si="7"/>
        <v>744088.03459995671</v>
      </c>
    </row>
    <row r="76" spans="2:6">
      <c r="B76" s="111">
        <v>71</v>
      </c>
      <c r="C76" s="112">
        <f t="shared" si="4"/>
        <v>-3805.6537291797872</v>
      </c>
      <c r="D76" s="112">
        <f t="shared" si="5"/>
        <v>-2170.2567675832074</v>
      </c>
      <c r="E76" s="112">
        <f t="shared" si="6"/>
        <v>-1635.3969615965798</v>
      </c>
      <c r="F76" s="112">
        <f t="shared" si="7"/>
        <v>742452.63763836015</v>
      </c>
    </row>
    <row r="77" spans="2:6">
      <c r="B77" s="111">
        <v>72</v>
      </c>
      <c r="C77" s="112">
        <f t="shared" si="4"/>
        <v>-3805.6537291797872</v>
      </c>
      <c r="D77" s="112">
        <f t="shared" si="5"/>
        <v>-2165.4868597785508</v>
      </c>
      <c r="E77" s="112">
        <f t="shared" si="6"/>
        <v>-1640.1668694012365</v>
      </c>
      <c r="F77" s="112">
        <f t="shared" si="7"/>
        <v>740812.47076895891</v>
      </c>
    </row>
    <row r="78" spans="2:6">
      <c r="B78" s="111">
        <v>73</v>
      </c>
      <c r="C78" s="112">
        <f t="shared" si="4"/>
        <v>-3805.6537291797872</v>
      </c>
      <c r="D78" s="112">
        <f t="shared" si="5"/>
        <v>-2160.703039742797</v>
      </c>
      <c r="E78" s="112">
        <f t="shared" si="6"/>
        <v>-1644.9506894369902</v>
      </c>
      <c r="F78" s="112">
        <f t="shared" si="7"/>
        <v>739167.52007952193</v>
      </c>
    </row>
    <row r="79" spans="2:6">
      <c r="B79" s="111">
        <v>74</v>
      </c>
      <c r="C79" s="112">
        <f t="shared" si="4"/>
        <v>-3805.6537291797872</v>
      </c>
      <c r="D79" s="112">
        <f t="shared" si="5"/>
        <v>-2155.9052668986055</v>
      </c>
      <c r="E79" s="112">
        <f t="shared" si="6"/>
        <v>-1649.7484622811817</v>
      </c>
      <c r="F79" s="112">
        <f t="shared" si="7"/>
        <v>737517.77161724074</v>
      </c>
    </row>
    <row r="80" spans="2:6">
      <c r="B80" s="111">
        <v>75</v>
      </c>
      <c r="C80" s="112">
        <f t="shared" si="4"/>
        <v>-3805.6537291797872</v>
      </c>
      <c r="D80" s="112">
        <f t="shared" si="5"/>
        <v>-2151.0935005502856</v>
      </c>
      <c r="E80" s="112">
        <f t="shared" si="6"/>
        <v>-1654.5602286295016</v>
      </c>
      <c r="F80" s="112">
        <f t="shared" si="7"/>
        <v>735863.21138861123</v>
      </c>
    </row>
    <row r="81" spans="2:6">
      <c r="B81" s="111">
        <v>76</v>
      </c>
      <c r="C81" s="112">
        <f t="shared" si="4"/>
        <v>-3805.6537291797872</v>
      </c>
      <c r="D81" s="112">
        <f t="shared" si="5"/>
        <v>-2146.2676998834495</v>
      </c>
      <c r="E81" s="112">
        <f t="shared" si="6"/>
        <v>-1659.3860292963377</v>
      </c>
      <c r="F81" s="112">
        <f t="shared" si="7"/>
        <v>734203.82535931491</v>
      </c>
    </row>
    <row r="82" spans="2:6">
      <c r="B82" s="111">
        <v>77</v>
      </c>
      <c r="C82" s="112">
        <f t="shared" si="4"/>
        <v>-3805.6537291797872</v>
      </c>
      <c r="D82" s="112">
        <f t="shared" si="5"/>
        <v>-2141.4278239646687</v>
      </c>
      <c r="E82" s="112">
        <f t="shared" si="6"/>
        <v>-1664.2259052151185</v>
      </c>
      <c r="F82" s="112">
        <f t="shared" si="7"/>
        <v>732539.59945409978</v>
      </c>
    </row>
    <row r="83" spans="2:6">
      <c r="B83" s="111">
        <v>78</v>
      </c>
      <c r="C83" s="112">
        <f t="shared" si="4"/>
        <v>-3805.6537291797872</v>
      </c>
      <c r="D83" s="112">
        <f t="shared" si="5"/>
        <v>-2136.5738317411246</v>
      </c>
      <c r="E83" s="112">
        <f t="shared" si="6"/>
        <v>-1669.0798974386626</v>
      </c>
      <c r="F83" s="112">
        <f t="shared" si="7"/>
        <v>730870.51955666114</v>
      </c>
    </row>
    <row r="84" spans="2:6">
      <c r="B84" s="111">
        <v>79</v>
      </c>
      <c r="C84" s="112">
        <f t="shared" si="4"/>
        <v>-3805.6537291797872</v>
      </c>
      <c r="D84" s="112">
        <f t="shared" si="5"/>
        <v>-2131.7056820402618</v>
      </c>
      <c r="E84" s="112">
        <f t="shared" si="6"/>
        <v>-1673.9480471395254</v>
      </c>
      <c r="F84" s="112">
        <f t="shared" si="7"/>
        <v>729196.57150952157</v>
      </c>
    </row>
    <row r="85" spans="2:6">
      <c r="B85" s="111">
        <v>80</v>
      </c>
      <c r="C85" s="112">
        <f t="shared" si="4"/>
        <v>-3805.6537291797872</v>
      </c>
      <c r="D85" s="112">
        <f t="shared" si="5"/>
        <v>-2126.8233335694381</v>
      </c>
      <c r="E85" s="112">
        <f t="shared" si="6"/>
        <v>-1678.8303956103491</v>
      </c>
      <c r="F85" s="112">
        <f t="shared" si="7"/>
        <v>727517.74111391127</v>
      </c>
    </row>
    <row r="86" spans="2:6">
      <c r="B86" s="111">
        <v>81</v>
      </c>
      <c r="C86" s="112">
        <f t="shared" si="4"/>
        <v>-3805.6537291797872</v>
      </c>
      <c r="D86" s="112">
        <f t="shared" si="5"/>
        <v>-2121.9267449155745</v>
      </c>
      <c r="E86" s="112">
        <f t="shared" si="6"/>
        <v>-1683.7269842642127</v>
      </c>
      <c r="F86" s="112">
        <f t="shared" si="7"/>
        <v>725834.01412964705</v>
      </c>
    </row>
    <row r="87" spans="2:6">
      <c r="B87" s="111">
        <v>82</v>
      </c>
      <c r="C87" s="112">
        <f t="shared" si="4"/>
        <v>-3805.6537291797872</v>
      </c>
      <c r="D87" s="112">
        <f t="shared" si="5"/>
        <v>-2117.0158745448039</v>
      </c>
      <c r="E87" s="112">
        <f t="shared" si="6"/>
        <v>-1688.6378546349833</v>
      </c>
      <c r="F87" s="112">
        <f t="shared" si="7"/>
        <v>724145.37627501204</v>
      </c>
    </row>
    <row r="88" spans="2:6">
      <c r="B88" s="111">
        <v>83</v>
      </c>
      <c r="C88" s="112">
        <f t="shared" si="4"/>
        <v>-3805.6537291797872</v>
      </c>
      <c r="D88" s="112">
        <f t="shared" si="5"/>
        <v>-2112.0906808021186</v>
      </c>
      <c r="E88" s="112">
        <f t="shared" si="6"/>
        <v>-1693.5630483776686</v>
      </c>
      <c r="F88" s="112">
        <f t="shared" si="7"/>
        <v>722451.8132266344</v>
      </c>
    </row>
    <row r="89" spans="2:6">
      <c r="B89" s="111">
        <v>84</v>
      </c>
      <c r="C89" s="112">
        <f t="shared" si="4"/>
        <v>-3805.6537291797872</v>
      </c>
      <c r="D89" s="112">
        <f t="shared" si="5"/>
        <v>-2107.1511219110171</v>
      </c>
      <c r="E89" s="112">
        <f t="shared" si="6"/>
        <v>-1698.5026072687701</v>
      </c>
      <c r="F89" s="112">
        <f t="shared" si="7"/>
        <v>720753.31061936566</v>
      </c>
    </row>
    <row r="90" spans="2:6">
      <c r="B90" s="111">
        <v>85</v>
      </c>
      <c r="C90" s="112">
        <f t="shared" si="4"/>
        <v>-3805.6537291797872</v>
      </c>
      <c r="D90" s="112">
        <f t="shared" si="5"/>
        <v>-2102.1971559731501</v>
      </c>
      <c r="E90" s="112">
        <f t="shared" si="6"/>
        <v>-1703.4565732066371</v>
      </c>
      <c r="F90" s="112">
        <f t="shared" si="7"/>
        <v>719049.85404615907</v>
      </c>
    </row>
    <row r="91" spans="2:6">
      <c r="B91" s="111">
        <v>86</v>
      </c>
      <c r="C91" s="112">
        <f t="shared" si="4"/>
        <v>-3805.6537291797872</v>
      </c>
      <c r="D91" s="112">
        <f t="shared" si="5"/>
        <v>-2097.2287409679643</v>
      </c>
      <c r="E91" s="112">
        <f t="shared" si="6"/>
        <v>-1708.4249882118229</v>
      </c>
      <c r="F91" s="112">
        <f t="shared" si="7"/>
        <v>717341.42905794724</v>
      </c>
    </row>
    <row r="92" spans="2:6">
      <c r="B92" s="111">
        <v>87</v>
      </c>
      <c r="C92" s="112">
        <f t="shared" si="4"/>
        <v>-3805.6537291797872</v>
      </c>
      <c r="D92" s="112">
        <f t="shared" si="5"/>
        <v>-2092.2458347523466</v>
      </c>
      <c r="E92" s="112">
        <f t="shared" si="6"/>
        <v>-1713.4078944274406</v>
      </c>
      <c r="F92" s="112">
        <f t="shared" si="7"/>
        <v>715628.02116351982</v>
      </c>
    </row>
    <row r="93" spans="2:6">
      <c r="B93" s="111">
        <v>88</v>
      </c>
      <c r="C93" s="112">
        <f t="shared" si="4"/>
        <v>-3805.6537291797872</v>
      </c>
      <c r="D93" s="112">
        <f t="shared" si="5"/>
        <v>-2087.2483950602664</v>
      </c>
      <c r="E93" s="112">
        <f t="shared" si="6"/>
        <v>-1718.4053341195208</v>
      </c>
      <c r="F93" s="112">
        <f t="shared" si="7"/>
        <v>713909.61582940025</v>
      </c>
    </row>
    <row r="94" spans="2:6">
      <c r="B94" s="111">
        <v>89</v>
      </c>
      <c r="C94" s="112">
        <f t="shared" si="4"/>
        <v>-3805.6537291797872</v>
      </c>
      <c r="D94" s="112">
        <f t="shared" si="5"/>
        <v>-2082.2363795024175</v>
      </c>
      <c r="E94" s="112">
        <f t="shared" si="6"/>
        <v>-1723.4173496773697</v>
      </c>
      <c r="F94" s="112">
        <f t="shared" si="7"/>
        <v>712186.19847972284</v>
      </c>
    </row>
    <row r="95" spans="2:6">
      <c r="B95" s="111">
        <v>90</v>
      </c>
      <c r="C95" s="112">
        <f t="shared" si="4"/>
        <v>-3805.6537291797872</v>
      </c>
      <c r="D95" s="112">
        <f t="shared" si="5"/>
        <v>-2077.2097455658586</v>
      </c>
      <c r="E95" s="112">
        <f t="shared" si="6"/>
        <v>-1728.4439836139286</v>
      </c>
      <c r="F95" s="112">
        <f t="shared" si="7"/>
        <v>710457.75449610886</v>
      </c>
    </row>
    <row r="96" spans="2:6">
      <c r="B96" s="111">
        <v>91</v>
      </c>
      <c r="C96" s="112">
        <f t="shared" si="4"/>
        <v>-3805.6537291797872</v>
      </c>
      <c r="D96" s="112">
        <f t="shared" si="5"/>
        <v>-2072.1684506136512</v>
      </c>
      <c r="E96" s="112">
        <f t="shared" si="6"/>
        <v>-1733.485278566136</v>
      </c>
      <c r="F96" s="112">
        <f t="shared" si="7"/>
        <v>708724.26921754272</v>
      </c>
    </row>
    <row r="97" spans="2:6">
      <c r="B97" s="111">
        <v>92</v>
      </c>
      <c r="C97" s="112">
        <f t="shared" si="4"/>
        <v>-3805.6537291797872</v>
      </c>
      <c r="D97" s="112">
        <f t="shared" si="5"/>
        <v>-2067.1124518844999</v>
      </c>
      <c r="E97" s="112">
        <f t="shared" si="6"/>
        <v>-1738.5412772952873</v>
      </c>
      <c r="F97" s="112">
        <f t="shared" si="7"/>
        <v>706985.72794024739</v>
      </c>
    </row>
    <row r="98" spans="2:6">
      <c r="B98" s="111">
        <v>93</v>
      </c>
      <c r="C98" s="112">
        <f t="shared" si="4"/>
        <v>-3805.6537291797872</v>
      </c>
      <c r="D98" s="112">
        <f t="shared" si="5"/>
        <v>-2062.0417064923881</v>
      </c>
      <c r="E98" s="112">
        <f t="shared" si="6"/>
        <v>-1743.6120226873991</v>
      </c>
      <c r="F98" s="112">
        <f t="shared" si="7"/>
        <v>705242.11591755995</v>
      </c>
    </row>
    <row r="99" spans="2:6">
      <c r="B99" s="111">
        <v>94</v>
      </c>
      <c r="C99" s="112">
        <f t="shared" si="4"/>
        <v>-3805.6537291797872</v>
      </c>
      <c r="D99" s="112">
        <f t="shared" si="5"/>
        <v>-2056.9561714262168</v>
      </c>
      <c r="E99" s="112">
        <f t="shared" si="6"/>
        <v>-1748.6975577535704</v>
      </c>
      <c r="F99" s="112">
        <f t="shared" si="7"/>
        <v>703493.41835980641</v>
      </c>
    </row>
    <row r="100" spans="2:6">
      <c r="B100" s="111">
        <v>95</v>
      </c>
      <c r="C100" s="112">
        <f t="shared" si="4"/>
        <v>-3805.6537291797872</v>
      </c>
      <c r="D100" s="112">
        <f t="shared" si="5"/>
        <v>-2051.8558035494357</v>
      </c>
      <c r="E100" s="112">
        <f t="shared" si="6"/>
        <v>-1753.7979256303515</v>
      </c>
      <c r="F100" s="112">
        <f t="shared" si="7"/>
        <v>701739.62043417606</v>
      </c>
    </row>
    <row r="101" spans="2:6">
      <c r="B101" s="111">
        <v>96</v>
      </c>
      <c r="C101" s="112">
        <f t="shared" si="4"/>
        <v>-3805.6537291797872</v>
      </c>
      <c r="D101" s="112">
        <f t="shared" si="5"/>
        <v>-2046.7405595996804</v>
      </c>
      <c r="E101" s="112">
        <f t="shared" si="6"/>
        <v>-1758.9131695801068</v>
      </c>
      <c r="F101" s="112">
        <f t="shared" si="7"/>
        <v>699980.7072645959</v>
      </c>
    </row>
    <row r="102" spans="2:6">
      <c r="B102" s="111">
        <v>97</v>
      </c>
      <c r="C102" s="112">
        <f t="shared" si="4"/>
        <v>-3805.6537291797872</v>
      </c>
      <c r="D102" s="112">
        <f t="shared" si="5"/>
        <v>-2041.6103961884048</v>
      </c>
      <c r="E102" s="112">
        <f t="shared" si="6"/>
        <v>-1764.0433329913824</v>
      </c>
      <c r="F102" s="112">
        <f t="shared" si="7"/>
        <v>698216.66393160447</v>
      </c>
    </row>
    <row r="103" spans="2:6">
      <c r="B103" s="111">
        <v>98</v>
      </c>
      <c r="C103" s="112">
        <f t="shared" si="4"/>
        <v>-3805.6537291797872</v>
      </c>
      <c r="D103" s="112">
        <f t="shared" si="5"/>
        <v>-2036.4652698005132</v>
      </c>
      <c r="E103" s="112">
        <f t="shared" si="6"/>
        <v>-1769.188459379274</v>
      </c>
      <c r="F103" s="112">
        <f t="shared" si="7"/>
        <v>696447.47547222523</v>
      </c>
    </row>
    <row r="104" spans="2:6">
      <c r="B104" s="111">
        <v>99</v>
      </c>
      <c r="C104" s="112">
        <f t="shared" si="4"/>
        <v>-3805.6537291797872</v>
      </c>
      <c r="D104" s="112">
        <f t="shared" si="5"/>
        <v>-2031.3051367939904</v>
      </c>
      <c r="E104" s="112">
        <f t="shared" si="6"/>
        <v>-1774.3485923857968</v>
      </c>
      <c r="F104" s="112">
        <f t="shared" si="7"/>
        <v>694673.12687983946</v>
      </c>
    </row>
    <row r="105" spans="2:6">
      <c r="B105" s="111">
        <v>100</v>
      </c>
      <c r="C105" s="112">
        <f t="shared" si="4"/>
        <v>-3805.6537291797872</v>
      </c>
      <c r="D105" s="112">
        <f t="shared" si="5"/>
        <v>-2026.1299533995318</v>
      </c>
      <c r="E105" s="112">
        <f t="shared" si="6"/>
        <v>-1779.5237757802554</v>
      </c>
      <c r="F105" s="112">
        <f t="shared" si="7"/>
        <v>692893.60310405924</v>
      </c>
    </row>
    <row r="106" spans="2:6">
      <c r="B106" s="111">
        <v>101</v>
      </c>
      <c r="C106" s="112">
        <f t="shared" si="4"/>
        <v>-3805.6537291797872</v>
      </c>
      <c r="D106" s="112">
        <f t="shared" si="5"/>
        <v>-2020.939675720173</v>
      </c>
      <c r="E106" s="112">
        <f t="shared" si="6"/>
        <v>-1784.7140534596142</v>
      </c>
      <c r="F106" s="112">
        <f t="shared" si="7"/>
        <v>691108.88905059965</v>
      </c>
    </row>
    <row r="107" spans="2:6">
      <c r="B107" s="111">
        <v>102</v>
      </c>
      <c r="C107" s="112">
        <f t="shared" si="4"/>
        <v>-3805.6537291797872</v>
      </c>
      <c r="D107" s="112">
        <f t="shared" si="5"/>
        <v>-2015.7342597309159</v>
      </c>
      <c r="E107" s="112">
        <f t="shared" si="6"/>
        <v>-1789.9194694488713</v>
      </c>
      <c r="F107" s="112">
        <f t="shared" si="7"/>
        <v>689318.9695811508</v>
      </c>
    </row>
    <row r="108" spans="2:6">
      <c r="B108" s="111">
        <v>103</v>
      </c>
      <c r="C108" s="112">
        <f t="shared" si="4"/>
        <v>-3805.6537291797872</v>
      </c>
      <c r="D108" s="112">
        <f t="shared" si="5"/>
        <v>-2010.5136612783565</v>
      </c>
      <c r="E108" s="112">
        <f t="shared" si="6"/>
        <v>-1795.1400679014307</v>
      </c>
      <c r="F108" s="112">
        <f t="shared" si="7"/>
        <v>687523.82951324934</v>
      </c>
    </row>
    <row r="109" spans="2:6">
      <c r="B109" s="111">
        <v>104</v>
      </c>
      <c r="C109" s="112">
        <f t="shared" si="4"/>
        <v>-3805.6537291797872</v>
      </c>
      <c r="D109" s="112">
        <f t="shared" si="5"/>
        <v>-2005.2778360803106</v>
      </c>
      <c r="E109" s="112">
        <f t="shared" si="6"/>
        <v>-1800.3758930994766</v>
      </c>
      <c r="F109" s="112">
        <f t="shared" si="7"/>
        <v>685723.45362014987</v>
      </c>
    </row>
    <row r="110" spans="2:6">
      <c r="B110" s="111">
        <v>105</v>
      </c>
      <c r="C110" s="112">
        <f t="shared" si="4"/>
        <v>-3805.6537291797872</v>
      </c>
      <c r="D110" s="112">
        <f t="shared" si="5"/>
        <v>-2000.0267397254374</v>
      </c>
      <c r="E110" s="112">
        <f t="shared" si="6"/>
        <v>-1805.6269894543498</v>
      </c>
      <c r="F110" s="112">
        <f t="shared" si="7"/>
        <v>683917.82663069549</v>
      </c>
    </row>
    <row r="111" spans="2:6">
      <c r="B111" s="111">
        <v>106</v>
      </c>
      <c r="C111" s="112">
        <f t="shared" si="4"/>
        <v>-3805.6537291797872</v>
      </c>
      <c r="D111" s="112">
        <f t="shared" si="5"/>
        <v>-1994.7603276728621</v>
      </c>
      <c r="E111" s="112">
        <f t="shared" si="6"/>
        <v>-1810.8934015069251</v>
      </c>
      <c r="F111" s="112">
        <f t="shared" si="7"/>
        <v>682106.93322918855</v>
      </c>
    </row>
    <row r="112" spans="2:6">
      <c r="B112" s="111">
        <v>107</v>
      </c>
      <c r="C112" s="112">
        <f t="shared" si="4"/>
        <v>-3805.6537291797872</v>
      </c>
      <c r="D112" s="112">
        <f t="shared" si="5"/>
        <v>-1989.4785552518003</v>
      </c>
      <c r="E112" s="112">
        <f t="shared" si="6"/>
        <v>-1816.1751739279869</v>
      </c>
      <c r="F112" s="112">
        <f t="shared" si="7"/>
        <v>680290.75805526052</v>
      </c>
    </row>
    <row r="113" spans="2:6">
      <c r="B113" s="111">
        <v>108</v>
      </c>
      <c r="C113" s="112">
        <f t="shared" si="4"/>
        <v>-3805.6537291797872</v>
      </c>
      <c r="D113" s="112">
        <f t="shared" si="5"/>
        <v>-1984.1813776611768</v>
      </c>
      <c r="E113" s="112">
        <f t="shared" si="6"/>
        <v>-1821.4723515186104</v>
      </c>
      <c r="F113" s="112">
        <f t="shared" si="7"/>
        <v>678469.28570374195</v>
      </c>
    </row>
    <row r="114" spans="2:6">
      <c r="B114" s="111">
        <v>109</v>
      </c>
      <c r="C114" s="112">
        <f t="shared" si="4"/>
        <v>-3805.6537291797872</v>
      </c>
      <c r="D114" s="112">
        <f t="shared" si="5"/>
        <v>-1978.8687499692476</v>
      </c>
      <c r="E114" s="112">
        <f t="shared" si="6"/>
        <v>-1826.7849792105396</v>
      </c>
      <c r="F114" s="112">
        <f t="shared" si="7"/>
        <v>676642.50072453136</v>
      </c>
    </row>
    <row r="115" spans="2:6">
      <c r="B115" s="111">
        <v>110</v>
      </c>
      <c r="C115" s="112">
        <f t="shared" si="4"/>
        <v>-3805.6537291797872</v>
      </c>
      <c r="D115" s="112">
        <f t="shared" si="5"/>
        <v>-1973.5406271132167</v>
      </c>
      <c r="E115" s="112">
        <f t="shared" si="6"/>
        <v>-1832.1131020665705</v>
      </c>
      <c r="F115" s="112">
        <f t="shared" si="7"/>
        <v>674810.3876224648</v>
      </c>
    </row>
    <row r="116" spans="2:6">
      <c r="B116" s="111">
        <v>111</v>
      </c>
      <c r="C116" s="112">
        <f t="shared" si="4"/>
        <v>-3805.6537291797872</v>
      </c>
      <c r="D116" s="112">
        <f t="shared" si="5"/>
        <v>-1968.1969638988558</v>
      </c>
      <c r="E116" s="112">
        <f t="shared" si="6"/>
        <v>-1837.4567652809314</v>
      </c>
      <c r="F116" s="112">
        <f t="shared" si="7"/>
        <v>672972.93085718388</v>
      </c>
    </row>
    <row r="117" spans="2:6">
      <c r="B117" s="111">
        <v>112</v>
      </c>
      <c r="C117" s="112">
        <f t="shared" si="4"/>
        <v>-3805.6537291797872</v>
      </c>
      <c r="D117" s="112">
        <f t="shared" si="5"/>
        <v>-1962.8377150001197</v>
      </c>
      <c r="E117" s="112">
        <f t="shared" si="6"/>
        <v>-1842.8160141796675</v>
      </c>
      <c r="F117" s="112">
        <f t="shared" si="7"/>
        <v>671130.11484300427</v>
      </c>
    </row>
    <row r="118" spans="2:6">
      <c r="B118" s="111">
        <v>113</v>
      </c>
      <c r="C118" s="112">
        <f t="shared" si="4"/>
        <v>-3805.6537291797872</v>
      </c>
      <c r="D118" s="112">
        <f t="shared" si="5"/>
        <v>-1957.4628349587626</v>
      </c>
      <c r="E118" s="112">
        <f t="shared" si="6"/>
        <v>-1848.1908942210246</v>
      </c>
      <c r="F118" s="112">
        <f t="shared" si="7"/>
        <v>669281.92394878319</v>
      </c>
    </row>
    <row r="119" spans="2:6">
      <c r="B119" s="111">
        <v>114</v>
      </c>
      <c r="C119" s="112">
        <f t="shared" si="4"/>
        <v>-3805.6537291797872</v>
      </c>
      <c r="D119" s="112">
        <f t="shared" si="5"/>
        <v>-1952.0722781839513</v>
      </c>
      <c r="E119" s="112">
        <f t="shared" si="6"/>
        <v>-1853.5814509958359</v>
      </c>
      <c r="F119" s="112">
        <f t="shared" si="7"/>
        <v>667428.34249778732</v>
      </c>
    </row>
    <row r="120" spans="2:6">
      <c r="B120" s="111">
        <v>115</v>
      </c>
      <c r="C120" s="112">
        <f t="shared" si="4"/>
        <v>-3805.6537291797872</v>
      </c>
      <c r="D120" s="112">
        <f t="shared" si="5"/>
        <v>-1946.6659989518801</v>
      </c>
      <c r="E120" s="112">
        <f t="shared" si="6"/>
        <v>-1858.9877302279072</v>
      </c>
      <c r="F120" s="112">
        <f t="shared" si="7"/>
        <v>665569.35476755945</v>
      </c>
    </row>
    <row r="121" spans="2:6">
      <c r="B121" s="111">
        <v>116</v>
      </c>
      <c r="C121" s="112">
        <f t="shared" si="4"/>
        <v>-3805.6537291797872</v>
      </c>
      <c r="D121" s="112">
        <f t="shared" si="5"/>
        <v>-1941.2439514053819</v>
      </c>
      <c r="E121" s="112">
        <f t="shared" si="6"/>
        <v>-1864.4097777744053</v>
      </c>
      <c r="F121" s="112">
        <f t="shared" si="7"/>
        <v>663704.94498978509</v>
      </c>
    </row>
    <row r="122" spans="2:6">
      <c r="B122" s="111">
        <v>117</v>
      </c>
      <c r="C122" s="112">
        <f t="shared" si="4"/>
        <v>-3805.6537291797872</v>
      </c>
      <c r="D122" s="112">
        <f t="shared" si="5"/>
        <v>-1935.80608955354</v>
      </c>
      <c r="E122" s="112">
        <f t="shared" si="6"/>
        <v>-1869.8476396262472</v>
      </c>
      <c r="F122" s="112">
        <f t="shared" si="7"/>
        <v>661835.09735015885</v>
      </c>
    </row>
    <row r="123" spans="2:6">
      <c r="B123" s="111">
        <v>118</v>
      </c>
      <c r="C123" s="112">
        <f t="shared" si="4"/>
        <v>-3805.6537291797872</v>
      </c>
      <c r="D123" s="112">
        <f t="shared" si="5"/>
        <v>-1930.352367271297</v>
      </c>
      <c r="E123" s="112">
        <f t="shared" si="6"/>
        <v>-1875.3013619084902</v>
      </c>
      <c r="F123" s="112">
        <f t="shared" si="7"/>
        <v>659959.79598825041</v>
      </c>
    </row>
    <row r="124" spans="2:6">
      <c r="B124" s="111">
        <v>119</v>
      </c>
      <c r="C124" s="112">
        <f t="shared" si="4"/>
        <v>-3805.6537291797872</v>
      </c>
      <c r="D124" s="112">
        <f t="shared" si="5"/>
        <v>-1924.8827382990639</v>
      </c>
      <c r="E124" s="112">
        <f t="shared" si="6"/>
        <v>-1880.7709908807233</v>
      </c>
      <c r="F124" s="112">
        <f t="shared" si="7"/>
        <v>658079.02499736974</v>
      </c>
    </row>
    <row r="125" spans="2:6">
      <c r="B125" s="111">
        <v>120</v>
      </c>
      <c r="C125" s="112">
        <f t="shared" si="4"/>
        <v>-3805.6537291797872</v>
      </c>
      <c r="D125" s="112">
        <f t="shared" si="5"/>
        <v>-1919.3971562423285</v>
      </c>
      <c r="E125" s="112">
        <f t="shared" si="6"/>
        <v>-1886.2565729374587</v>
      </c>
      <c r="F125" s="112">
        <f t="shared" si="7"/>
        <v>656192.76842443226</v>
      </c>
    </row>
    <row r="126" spans="2:6">
      <c r="B126" s="111">
        <v>121</v>
      </c>
      <c r="C126" s="112">
        <f t="shared" si="4"/>
        <v>-3805.6537291797872</v>
      </c>
      <c r="D126" s="112">
        <f t="shared" si="5"/>
        <v>-1913.895574571261</v>
      </c>
      <c r="E126" s="112">
        <f t="shared" si="6"/>
        <v>-1891.7581546085262</v>
      </c>
      <c r="F126" s="112">
        <f t="shared" si="7"/>
        <v>654301.01026982372</v>
      </c>
    </row>
    <row r="127" spans="2:6">
      <c r="B127" s="111">
        <v>122</v>
      </c>
      <c r="C127" s="112">
        <f t="shared" si="4"/>
        <v>-3805.6537291797872</v>
      </c>
      <c r="D127" s="112">
        <f t="shared" si="5"/>
        <v>-1908.3779466203193</v>
      </c>
      <c r="E127" s="112">
        <f t="shared" si="6"/>
        <v>-1897.2757825594679</v>
      </c>
      <c r="F127" s="112">
        <f t="shared" si="7"/>
        <v>652403.7344872643</v>
      </c>
    </row>
    <row r="128" spans="2:6">
      <c r="B128" s="111">
        <v>123</v>
      </c>
      <c r="C128" s="112">
        <f t="shared" si="4"/>
        <v>-3805.6537291797872</v>
      </c>
      <c r="D128" s="112">
        <f t="shared" si="5"/>
        <v>-1902.8442255878545</v>
      </c>
      <c r="E128" s="112">
        <f t="shared" si="6"/>
        <v>-1902.8095035919328</v>
      </c>
      <c r="F128" s="112">
        <f t="shared" si="7"/>
        <v>650500.92498367233</v>
      </c>
    </row>
    <row r="129" spans="2:6">
      <c r="B129" s="111">
        <v>124</v>
      </c>
      <c r="C129" s="112">
        <f t="shared" si="4"/>
        <v>-3805.6537291797872</v>
      </c>
      <c r="D129" s="112">
        <f t="shared" si="5"/>
        <v>-1897.2943645357111</v>
      </c>
      <c r="E129" s="112">
        <f t="shared" si="6"/>
        <v>-1908.3593646440761</v>
      </c>
      <c r="F129" s="112">
        <f t="shared" si="7"/>
        <v>648592.56561902829</v>
      </c>
    </row>
    <row r="130" spans="2:6">
      <c r="B130" s="111">
        <v>125</v>
      </c>
      <c r="C130" s="112">
        <f t="shared" si="4"/>
        <v>-3805.6537291797872</v>
      </c>
      <c r="D130" s="112">
        <f t="shared" si="5"/>
        <v>-1891.7283163888326</v>
      </c>
      <c r="E130" s="112">
        <f t="shared" si="6"/>
        <v>-1913.9254127909546</v>
      </c>
      <c r="F130" s="112">
        <f t="shared" si="7"/>
        <v>646678.64020623732</v>
      </c>
    </row>
    <row r="131" spans="2:6">
      <c r="B131" s="111">
        <v>126</v>
      </c>
      <c r="C131" s="112">
        <f t="shared" si="4"/>
        <v>-3805.6537291797872</v>
      </c>
      <c r="D131" s="112">
        <f t="shared" si="5"/>
        <v>-1886.1460339348589</v>
      </c>
      <c r="E131" s="112">
        <f t="shared" si="6"/>
        <v>-1919.5076952449283</v>
      </c>
      <c r="F131" s="112">
        <f t="shared" si="7"/>
        <v>644759.13251099235</v>
      </c>
    </row>
    <row r="132" spans="2:6">
      <c r="B132" s="111">
        <v>127</v>
      </c>
      <c r="C132" s="112">
        <f t="shared" si="4"/>
        <v>-3805.6537291797872</v>
      </c>
      <c r="D132" s="112">
        <f t="shared" si="5"/>
        <v>-1880.5474698237279</v>
      </c>
      <c r="E132" s="112">
        <f t="shared" si="6"/>
        <v>-1925.1062593560594</v>
      </c>
      <c r="F132" s="112">
        <f t="shared" si="7"/>
        <v>642834.02625163633</v>
      </c>
    </row>
    <row r="133" spans="2:6">
      <c r="B133" s="111">
        <v>128</v>
      </c>
      <c r="C133" s="112">
        <f t="shared" si="4"/>
        <v>-3805.6537291797872</v>
      </c>
      <c r="D133" s="112">
        <f t="shared" si="5"/>
        <v>-1874.9325765672729</v>
      </c>
      <c r="E133" s="112">
        <f t="shared" si="6"/>
        <v>-1930.7211526125143</v>
      </c>
      <c r="F133" s="112">
        <f t="shared" si="7"/>
        <v>640903.30509902386</v>
      </c>
    </row>
    <row r="134" spans="2:6">
      <c r="B134" s="111">
        <v>129</v>
      </c>
      <c r="C134" s="112">
        <f t="shared" si="4"/>
        <v>-3805.6537291797872</v>
      </c>
      <c r="D134" s="112">
        <f t="shared" si="5"/>
        <v>-1869.3013065388197</v>
      </c>
      <c r="E134" s="112">
        <f t="shared" si="6"/>
        <v>-1936.3524226409675</v>
      </c>
      <c r="F134" s="112">
        <f t="shared" si="7"/>
        <v>638966.95267638285</v>
      </c>
    </row>
    <row r="135" spans="2:6">
      <c r="B135" s="111">
        <v>130</v>
      </c>
      <c r="C135" s="112">
        <f t="shared" ref="C135:C198" si="8">IF(B135&lt;=loan_term,C134,0)</f>
        <v>-3805.6537291797872</v>
      </c>
      <c r="D135" s="112">
        <f t="shared" ref="D135:D198" si="9">-F134*Loan_interest_rate/12</f>
        <v>-1863.6536119727834</v>
      </c>
      <c r="E135" s="112">
        <f t="shared" si="6"/>
        <v>-1942.0001172070038</v>
      </c>
      <c r="F135" s="112">
        <f t="shared" si="7"/>
        <v>637024.9525591759</v>
      </c>
    </row>
    <row r="136" spans="2:6">
      <c r="B136" s="111">
        <v>131</v>
      </c>
      <c r="C136" s="112">
        <f t="shared" si="8"/>
        <v>-3805.6537291797872</v>
      </c>
      <c r="D136" s="112">
        <f t="shared" si="9"/>
        <v>-1857.9894449642632</v>
      </c>
      <c r="E136" s="112">
        <f t="shared" ref="E136:E199" si="10">C136-D136</f>
        <v>-1947.664284215524</v>
      </c>
      <c r="F136" s="112">
        <f t="shared" ref="F136:F199" si="11">F135+E136</f>
        <v>635077.28827496036</v>
      </c>
    </row>
    <row r="137" spans="2:6">
      <c r="B137" s="111">
        <v>132</v>
      </c>
      <c r="C137" s="112">
        <f t="shared" si="8"/>
        <v>-3805.6537291797872</v>
      </c>
      <c r="D137" s="112">
        <f t="shared" si="9"/>
        <v>-1852.3087574686344</v>
      </c>
      <c r="E137" s="112">
        <f t="shared" si="10"/>
        <v>-1953.3449717111528</v>
      </c>
      <c r="F137" s="112">
        <f t="shared" si="11"/>
        <v>633123.94330324919</v>
      </c>
    </row>
    <row r="138" spans="2:6">
      <c r="B138" s="111">
        <v>133</v>
      </c>
      <c r="C138" s="112">
        <f t="shared" si="8"/>
        <v>-3805.6537291797872</v>
      </c>
      <c r="D138" s="112">
        <f t="shared" si="9"/>
        <v>-1846.6115013011438</v>
      </c>
      <c r="E138" s="112">
        <f t="shared" si="10"/>
        <v>-1959.0422278786434</v>
      </c>
      <c r="F138" s="112">
        <f t="shared" si="11"/>
        <v>631164.90107537049</v>
      </c>
    </row>
    <row r="139" spans="2:6">
      <c r="B139" s="111">
        <v>134</v>
      </c>
      <c r="C139" s="112">
        <f t="shared" si="8"/>
        <v>-3805.6537291797872</v>
      </c>
      <c r="D139" s="112">
        <f t="shared" si="9"/>
        <v>-1840.8976281364976</v>
      </c>
      <c r="E139" s="112">
        <f t="shared" si="10"/>
        <v>-1964.7561010432896</v>
      </c>
      <c r="F139" s="112">
        <f t="shared" si="11"/>
        <v>629200.14497432718</v>
      </c>
    </row>
    <row r="140" spans="2:6">
      <c r="B140" s="111">
        <v>135</v>
      </c>
      <c r="C140" s="112">
        <f t="shared" si="8"/>
        <v>-3805.6537291797872</v>
      </c>
      <c r="D140" s="112">
        <f t="shared" si="9"/>
        <v>-1835.1670895084544</v>
      </c>
      <c r="E140" s="112">
        <f t="shared" si="10"/>
        <v>-1970.4866396713328</v>
      </c>
      <c r="F140" s="112">
        <f t="shared" si="11"/>
        <v>627229.6583346558</v>
      </c>
    </row>
    <row r="141" spans="2:6">
      <c r="B141" s="111">
        <v>136</v>
      </c>
      <c r="C141" s="112">
        <f t="shared" si="8"/>
        <v>-3805.6537291797872</v>
      </c>
      <c r="D141" s="112">
        <f t="shared" si="9"/>
        <v>-1829.419836809413</v>
      </c>
      <c r="E141" s="112">
        <f t="shared" si="10"/>
        <v>-1976.2338923703742</v>
      </c>
      <c r="F141" s="112">
        <f t="shared" si="11"/>
        <v>625253.42444228544</v>
      </c>
    </row>
    <row r="142" spans="2:6">
      <c r="B142" s="111">
        <v>137</v>
      </c>
      <c r="C142" s="112">
        <f t="shared" si="8"/>
        <v>-3805.6537291797872</v>
      </c>
      <c r="D142" s="112">
        <f t="shared" si="9"/>
        <v>-1823.6558212899993</v>
      </c>
      <c r="E142" s="112">
        <f t="shared" si="10"/>
        <v>-1981.9979078897879</v>
      </c>
      <c r="F142" s="112">
        <f t="shared" si="11"/>
        <v>623271.42653439566</v>
      </c>
    </row>
    <row r="143" spans="2:6">
      <c r="B143" s="111">
        <v>138</v>
      </c>
      <c r="C143" s="112">
        <f t="shared" si="8"/>
        <v>-3805.6537291797872</v>
      </c>
      <c r="D143" s="112">
        <f t="shared" si="9"/>
        <v>-1817.8749940586542</v>
      </c>
      <c r="E143" s="112">
        <f t="shared" si="10"/>
        <v>-1987.778735121133</v>
      </c>
      <c r="F143" s="112">
        <f t="shared" si="11"/>
        <v>621283.64779927453</v>
      </c>
    </row>
    <row r="144" spans="2:6">
      <c r="B144" s="111">
        <v>139</v>
      </c>
      <c r="C144" s="112">
        <f t="shared" si="8"/>
        <v>-3805.6537291797872</v>
      </c>
      <c r="D144" s="112">
        <f t="shared" si="9"/>
        <v>-1812.0773060812178</v>
      </c>
      <c r="E144" s="112">
        <f t="shared" si="10"/>
        <v>-1993.5764230985694</v>
      </c>
      <c r="F144" s="112">
        <f t="shared" si="11"/>
        <v>619290.07137617597</v>
      </c>
    </row>
    <row r="145" spans="2:6">
      <c r="B145" s="111">
        <v>140</v>
      </c>
      <c r="C145" s="112">
        <f t="shared" si="8"/>
        <v>-3805.6537291797872</v>
      </c>
      <c r="D145" s="112">
        <f t="shared" si="9"/>
        <v>-1806.2627081805133</v>
      </c>
      <c r="E145" s="112">
        <f t="shared" si="10"/>
        <v>-1999.3910209992739</v>
      </c>
      <c r="F145" s="112">
        <f t="shared" si="11"/>
        <v>617290.68035517668</v>
      </c>
    </row>
    <row r="146" spans="2:6">
      <c r="B146" s="111">
        <v>141</v>
      </c>
      <c r="C146" s="112">
        <f t="shared" si="8"/>
        <v>-3805.6537291797872</v>
      </c>
      <c r="D146" s="112">
        <f t="shared" si="9"/>
        <v>-1800.4311510359321</v>
      </c>
      <c r="E146" s="112">
        <f t="shared" si="10"/>
        <v>-2005.2225781438551</v>
      </c>
      <c r="F146" s="112">
        <f t="shared" si="11"/>
        <v>615285.45777703286</v>
      </c>
    </row>
    <row r="147" spans="2:6">
      <c r="B147" s="111">
        <v>142</v>
      </c>
      <c r="C147" s="112">
        <f t="shared" si="8"/>
        <v>-3805.6537291797872</v>
      </c>
      <c r="D147" s="112">
        <f t="shared" si="9"/>
        <v>-1794.5825851830125</v>
      </c>
      <c r="E147" s="112">
        <f t="shared" si="10"/>
        <v>-2011.0711439967747</v>
      </c>
      <c r="F147" s="112">
        <f t="shared" si="11"/>
        <v>613274.38663303608</v>
      </c>
    </row>
    <row r="148" spans="2:6">
      <c r="B148" s="111">
        <v>143</v>
      </c>
      <c r="C148" s="112">
        <f t="shared" si="8"/>
        <v>-3805.6537291797872</v>
      </c>
      <c r="D148" s="112">
        <f t="shared" si="9"/>
        <v>-1788.716961013022</v>
      </c>
      <c r="E148" s="112">
        <f t="shared" si="10"/>
        <v>-2016.9367681667652</v>
      </c>
      <c r="F148" s="112">
        <f t="shared" si="11"/>
        <v>611257.44986486936</v>
      </c>
    </row>
    <row r="149" spans="2:6">
      <c r="B149" s="111">
        <v>144</v>
      </c>
      <c r="C149" s="112">
        <f t="shared" si="8"/>
        <v>-3805.6537291797872</v>
      </c>
      <c r="D149" s="112">
        <f t="shared" si="9"/>
        <v>-1782.8342287725357</v>
      </c>
      <c r="E149" s="112">
        <f t="shared" si="10"/>
        <v>-2022.8195004072516</v>
      </c>
      <c r="F149" s="112">
        <f t="shared" si="11"/>
        <v>609234.63036446215</v>
      </c>
    </row>
    <row r="150" spans="2:6">
      <c r="B150" s="111">
        <v>145</v>
      </c>
      <c r="C150" s="112">
        <f t="shared" si="8"/>
        <v>-3805.6537291797872</v>
      </c>
      <c r="D150" s="112">
        <f t="shared" si="9"/>
        <v>-1776.9343385630148</v>
      </c>
      <c r="E150" s="112">
        <f t="shared" si="10"/>
        <v>-2028.7193906167724</v>
      </c>
      <c r="F150" s="112">
        <f t="shared" si="11"/>
        <v>607205.9109738454</v>
      </c>
    </row>
    <row r="151" spans="2:6">
      <c r="B151" s="111">
        <v>146</v>
      </c>
      <c r="C151" s="112">
        <f t="shared" si="8"/>
        <v>-3805.6537291797872</v>
      </c>
      <c r="D151" s="112">
        <f t="shared" si="9"/>
        <v>-1771.0172403403824</v>
      </c>
      <c r="E151" s="112">
        <f t="shared" si="10"/>
        <v>-2034.6364888394048</v>
      </c>
      <c r="F151" s="112">
        <f t="shared" si="11"/>
        <v>605171.274485006</v>
      </c>
    </row>
    <row r="152" spans="2:6">
      <c r="B152" s="111">
        <v>147</v>
      </c>
      <c r="C152" s="112">
        <f t="shared" si="8"/>
        <v>-3805.6537291797872</v>
      </c>
      <c r="D152" s="112">
        <f t="shared" si="9"/>
        <v>-1765.0828839146009</v>
      </c>
      <c r="E152" s="112">
        <f t="shared" si="10"/>
        <v>-2040.5708452651863</v>
      </c>
      <c r="F152" s="112">
        <f t="shared" si="11"/>
        <v>603130.70363974082</v>
      </c>
    </row>
    <row r="153" spans="2:6">
      <c r="B153" s="111">
        <v>148</v>
      </c>
      <c r="C153" s="112">
        <f t="shared" si="8"/>
        <v>-3805.6537291797872</v>
      </c>
      <c r="D153" s="112">
        <f t="shared" si="9"/>
        <v>-1759.1312189492444</v>
      </c>
      <c r="E153" s="112">
        <f t="shared" si="10"/>
        <v>-2046.5225102305428</v>
      </c>
      <c r="F153" s="112">
        <f t="shared" si="11"/>
        <v>601084.18112951028</v>
      </c>
    </row>
    <row r="154" spans="2:6">
      <c r="B154" s="111">
        <v>149</v>
      </c>
      <c r="C154" s="112">
        <f t="shared" si="8"/>
        <v>-3805.6537291797872</v>
      </c>
      <c r="D154" s="112">
        <f t="shared" si="9"/>
        <v>-1753.1621949610717</v>
      </c>
      <c r="E154" s="112">
        <f t="shared" si="10"/>
        <v>-2052.4915342187155</v>
      </c>
      <c r="F154" s="112">
        <f t="shared" si="11"/>
        <v>599031.68959529162</v>
      </c>
    </row>
    <row r="155" spans="2:6">
      <c r="B155" s="111">
        <v>150</v>
      </c>
      <c r="C155" s="112">
        <f t="shared" si="8"/>
        <v>-3805.6537291797872</v>
      </c>
      <c r="D155" s="112">
        <f t="shared" si="9"/>
        <v>-1747.1757613196007</v>
      </c>
      <c r="E155" s="112">
        <f t="shared" si="10"/>
        <v>-2058.4779678601863</v>
      </c>
      <c r="F155" s="112">
        <f t="shared" si="11"/>
        <v>596973.21162743145</v>
      </c>
    </row>
    <row r="156" spans="2:6">
      <c r="B156" s="111">
        <v>151</v>
      </c>
      <c r="C156" s="112">
        <f t="shared" si="8"/>
        <v>-3805.6537291797872</v>
      </c>
      <c r="D156" s="112">
        <f t="shared" si="9"/>
        <v>-1741.1718672466752</v>
      </c>
      <c r="E156" s="112">
        <f t="shared" si="10"/>
        <v>-2064.4818619331118</v>
      </c>
      <c r="F156" s="112">
        <f t="shared" si="11"/>
        <v>594908.72976549831</v>
      </c>
    </row>
    <row r="157" spans="2:6">
      <c r="B157" s="111">
        <v>152</v>
      </c>
      <c r="C157" s="112">
        <f t="shared" si="8"/>
        <v>-3805.6537291797872</v>
      </c>
      <c r="D157" s="112">
        <f t="shared" si="9"/>
        <v>-1735.150461816037</v>
      </c>
      <c r="E157" s="112">
        <f t="shared" si="10"/>
        <v>-2070.5032673637502</v>
      </c>
      <c r="F157" s="112">
        <f t="shared" si="11"/>
        <v>592838.22649813455</v>
      </c>
    </row>
    <row r="158" spans="2:6">
      <c r="B158" s="111">
        <v>153</v>
      </c>
      <c r="C158" s="112">
        <f t="shared" si="8"/>
        <v>-3805.6537291797872</v>
      </c>
      <c r="D158" s="112">
        <f t="shared" si="9"/>
        <v>-1729.1114939528925</v>
      </c>
      <c r="E158" s="112">
        <f t="shared" si="10"/>
        <v>-2076.5422352268947</v>
      </c>
      <c r="F158" s="112">
        <f t="shared" si="11"/>
        <v>590761.6842629076</v>
      </c>
    </row>
    <row r="159" spans="2:6">
      <c r="B159" s="111">
        <v>154</v>
      </c>
      <c r="C159" s="112">
        <f t="shared" si="8"/>
        <v>-3805.6537291797872</v>
      </c>
      <c r="D159" s="112">
        <f t="shared" si="9"/>
        <v>-1723.0549124334805</v>
      </c>
      <c r="E159" s="112">
        <f t="shared" si="10"/>
        <v>-2082.5988167463065</v>
      </c>
      <c r="F159" s="112">
        <f t="shared" si="11"/>
        <v>588679.08544616133</v>
      </c>
    </row>
    <row r="160" spans="2:6">
      <c r="B160" s="111">
        <v>155</v>
      </c>
      <c r="C160" s="112">
        <f t="shared" si="8"/>
        <v>-3805.6537291797872</v>
      </c>
      <c r="D160" s="112">
        <f t="shared" si="9"/>
        <v>-1716.9806658846373</v>
      </c>
      <c r="E160" s="112">
        <f t="shared" si="10"/>
        <v>-2088.6730632951499</v>
      </c>
      <c r="F160" s="112">
        <f t="shared" si="11"/>
        <v>586590.41238286614</v>
      </c>
    </row>
    <row r="161" spans="2:6">
      <c r="B161" s="111">
        <v>156</v>
      </c>
      <c r="C161" s="112">
        <f t="shared" si="8"/>
        <v>-3805.6537291797872</v>
      </c>
      <c r="D161" s="112">
        <f t="shared" si="9"/>
        <v>-1710.8887027833598</v>
      </c>
      <c r="E161" s="112">
        <f t="shared" si="10"/>
        <v>-2094.7650263964274</v>
      </c>
      <c r="F161" s="112">
        <f t="shared" si="11"/>
        <v>584495.64735646977</v>
      </c>
    </row>
    <row r="162" spans="2:6">
      <c r="B162" s="111">
        <v>157</v>
      </c>
      <c r="C162" s="112">
        <f t="shared" si="8"/>
        <v>-3805.6537291797872</v>
      </c>
      <c r="D162" s="112">
        <f t="shared" si="9"/>
        <v>-1704.7789714563703</v>
      </c>
      <c r="E162" s="112">
        <f t="shared" si="10"/>
        <v>-2100.8747577234171</v>
      </c>
      <c r="F162" s="112">
        <f t="shared" si="11"/>
        <v>582394.77259874635</v>
      </c>
    </row>
    <row r="163" spans="2:6">
      <c r="B163" s="111">
        <v>158</v>
      </c>
      <c r="C163" s="112">
        <f t="shared" si="8"/>
        <v>-3805.6537291797872</v>
      </c>
      <c r="D163" s="112">
        <f t="shared" si="9"/>
        <v>-1698.6514200796771</v>
      </c>
      <c r="E163" s="112">
        <f t="shared" si="10"/>
        <v>-2107.0023091001103</v>
      </c>
      <c r="F163" s="112">
        <f t="shared" si="11"/>
        <v>580287.77028964623</v>
      </c>
    </row>
    <row r="164" spans="2:6">
      <c r="B164" s="111">
        <v>159</v>
      </c>
      <c r="C164" s="112">
        <f t="shared" si="8"/>
        <v>-3805.6537291797872</v>
      </c>
      <c r="D164" s="112">
        <f t="shared" si="9"/>
        <v>-1692.5059966781348</v>
      </c>
      <c r="E164" s="112">
        <f t="shared" si="10"/>
        <v>-2113.1477325016522</v>
      </c>
      <c r="F164" s="112">
        <f t="shared" si="11"/>
        <v>578174.62255714461</v>
      </c>
    </row>
    <row r="165" spans="2:6">
      <c r="B165" s="111">
        <v>160</v>
      </c>
      <c r="C165" s="112">
        <f t="shared" si="8"/>
        <v>-3805.6537291797872</v>
      </c>
      <c r="D165" s="112">
        <f t="shared" si="9"/>
        <v>-1686.3426491250054</v>
      </c>
      <c r="E165" s="112">
        <f t="shared" si="10"/>
        <v>-2119.311080054782</v>
      </c>
      <c r="F165" s="112">
        <f t="shared" si="11"/>
        <v>576055.31147708988</v>
      </c>
    </row>
    <row r="166" spans="2:6">
      <c r="B166" s="111">
        <v>161</v>
      </c>
      <c r="C166" s="112">
        <f t="shared" si="8"/>
        <v>-3805.6537291797872</v>
      </c>
      <c r="D166" s="112">
        <f t="shared" si="9"/>
        <v>-1680.1613251415122</v>
      </c>
      <c r="E166" s="112">
        <f t="shared" si="10"/>
        <v>-2125.4924040382748</v>
      </c>
      <c r="F166" s="112">
        <f t="shared" si="11"/>
        <v>573929.81907305156</v>
      </c>
    </row>
    <row r="167" spans="2:6">
      <c r="B167" s="111">
        <v>162</v>
      </c>
      <c r="C167" s="112">
        <f t="shared" si="8"/>
        <v>-3805.6537291797872</v>
      </c>
      <c r="D167" s="112">
        <f t="shared" si="9"/>
        <v>-1673.9619722964005</v>
      </c>
      <c r="E167" s="112">
        <f t="shared" si="10"/>
        <v>-2131.6917568833869</v>
      </c>
      <c r="F167" s="112">
        <f t="shared" si="11"/>
        <v>571798.12731616816</v>
      </c>
    </row>
    <row r="168" spans="2:6">
      <c r="B168" s="111">
        <v>163</v>
      </c>
      <c r="C168" s="112">
        <f t="shared" si="8"/>
        <v>-3805.6537291797872</v>
      </c>
      <c r="D168" s="112">
        <f t="shared" si="9"/>
        <v>-1667.7445380054905</v>
      </c>
      <c r="E168" s="112">
        <f t="shared" si="10"/>
        <v>-2137.9091911742967</v>
      </c>
      <c r="F168" s="112">
        <f t="shared" si="11"/>
        <v>569660.21812499384</v>
      </c>
    </row>
    <row r="169" spans="2:6">
      <c r="B169" s="111">
        <v>164</v>
      </c>
      <c r="C169" s="112">
        <f t="shared" si="8"/>
        <v>-3805.6537291797872</v>
      </c>
      <c r="D169" s="112">
        <f t="shared" si="9"/>
        <v>-1661.5089695312324</v>
      </c>
      <c r="E169" s="112">
        <f t="shared" si="10"/>
        <v>-2144.144759648555</v>
      </c>
      <c r="F169" s="112">
        <f t="shared" si="11"/>
        <v>567516.07336534525</v>
      </c>
    </row>
    <row r="170" spans="2:6">
      <c r="B170" s="111">
        <v>165</v>
      </c>
      <c r="C170" s="112">
        <f t="shared" si="8"/>
        <v>-3805.6537291797872</v>
      </c>
      <c r="D170" s="112">
        <f t="shared" si="9"/>
        <v>-1655.2552139822571</v>
      </c>
      <c r="E170" s="112">
        <f t="shared" si="10"/>
        <v>-2150.3985151975303</v>
      </c>
      <c r="F170" s="112">
        <f t="shared" si="11"/>
        <v>565365.67485014768</v>
      </c>
    </row>
    <row r="171" spans="2:6">
      <c r="B171" s="111">
        <v>166</v>
      </c>
      <c r="C171" s="112">
        <f t="shared" si="8"/>
        <v>-3805.6537291797872</v>
      </c>
      <c r="D171" s="112">
        <f t="shared" si="9"/>
        <v>-1648.9832183129308</v>
      </c>
      <c r="E171" s="112">
        <f t="shared" si="10"/>
        <v>-2156.6705108668566</v>
      </c>
      <c r="F171" s="112">
        <f t="shared" si="11"/>
        <v>563209.00433928077</v>
      </c>
    </row>
    <row r="172" spans="2:6">
      <c r="B172" s="111">
        <v>167</v>
      </c>
      <c r="C172" s="112">
        <f t="shared" si="8"/>
        <v>-3805.6537291797872</v>
      </c>
      <c r="D172" s="112">
        <f t="shared" si="9"/>
        <v>-1642.6929293229023</v>
      </c>
      <c r="E172" s="112">
        <f t="shared" si="10"/>
        <v>-2162.9607998568849</v>
      </c>
      <c r="F172" s="112">
        <f t="shared" si="11"/>
        <v>561046.04353942384</v>
      </c>
    </row>
    <row r="173" spans="2:6">
      <c r="B173" s="111">
        <v>168</v>
      </c>
      <c r="C173" s="112">
        <f t="shared" si="8"/>
        <v>-3805.6537291797872</v>
      </c>
      <c r="D173" s="112">
        <f t="shared" si="9"/>
        <v>-1636.3842936566532</v>
      </c>
      <c r="E173" s="112">
        <f t="shared" si="10"/>
        <v>-2169.2694355231342</v>
      </c>
      <c r="F173" s="112">
        <f t="shared" si="11"/>
        <v>558876.77410390077</v>
      </c>
    </row>
    <row r="174" spans="2:6">
      <c r="B174" s="111">
        <v>169</v>
      </c>
      <c r="C174" s="112">
        <f t="shared" si="8"/>
        <v>-3805.6537291797872</v>
      </c>
      <c r="D174" s="112">
        <f t="shared" si="9"/>
        <v>-1630.0572578030442</v>
      </c>
      <c r="E174" s="112">
        <f t="shared" si="10"/>
        <v>-2175.596471376743</v>
      </c>
      <c r="F174" s="112">
        <f t="shared" si="11"/>
        <v>556701.17763252405</v>
      </c>
    </row>
    <row r="175" spans="2:6">
      <c r="B175" s="111">
        <v>170</v>
      </c>
      <c r="C175" s="112">
        <f t="shared" si="8"/>
        <v>-3805.6537291797872</v>
      </c>
      <c r="D175" s="112">
        <f t="shared" si="9"/>
        <v>-1623.711768094862</v>
      </c>
      <c r="E175" s="112">
        <f t="shared" si="10"/>
        <v>-2181.9419610849254</v>
      </c>
      <c r="F175" s="112">
        <f t="shared" si="11"/>
        <v>554519.23567143909</v>
      </c>
    </row>
    <row r="176" spans="2:6">
      <c r="B176" s="111">
        <v>171</v>
      </c>
      <c r="C176" s="112">
        <f t="shared" si="8"/>
        <v>-3805.6537291797872</v>
      </c>
      <c r="D176" s="112">
        <f t="shared" si="9"/>
        <v>-1617.3477707083641</v>
      </c>
      <c r="E176" s="112">
        <f t="shared" si="10"/>
        <v>-2188.3059584714229</v>
      </c>
      <c r="F176" s="112">
        <f t="shared" si="11"/>
        <v>552330.92971296771</v>
      </c>
    </row>
    <row r="177" spans="2:6">
      <c r="B177" s="111">
        <v>172</v>
      </c>
      <c r="C177" s="112">
        <f t="shared" si="8"/>
        <v>-3805.6537291797872</v>
      </c>
      <c r="D177" s="112">
        <f t="shared" si="9"/>
        <v>-1610.9652116628229</v>
      </c>
      <c r="E177" s="112">
        <f t="shared" si="10"/>
        <v>-2194.6885175169646</v>
      </c>
      <c r="F177" s="112">
        <f t="shared" si="11"/>
        <v>550136.24119545077</v>
      </c>
    </row>
    <row r="178" spans="2:6">
      <c r="B178" s="111">
        <v>173</v>
      </c>
      <c r="C178" s="112">
        <f t="shared" si="8"/>
        <v>-3805.6537291797872</v>
      </c>
      <c r="D178" s="112">
        <f t="shared" si="9"/>
        <v>-1604.5640368200648</v>
      </c>
      <c r="E178" s="112">
        <f t="shared" si="10"/>
        <v>-2201.0896923597224</v>
      </c>
      <c r="F178" s="112">
        <f t="shared" si="11"/>
        <v>547935.1515030911</v>
      </c>
    </row>
    <row r="179" spans="2:6">
      <c r="B179" s="111">
        <v>174</v>
      </c>
      <c r="C179" s="112">
        <f t="shared" si="8"/>
        <v>-3805.6537291797872</v>
      </c>
      <c r="D179" s="112">
        <f t="shared" si="9"/>
        <v>-1598.1441918840158</v>
      </c>
      <c r="E179" s="112">
        <f t="shared" si="10"/>
        <v>-2207.5095372957712</v>
      </c>
      <c r="F179" s="112">
        <f t="shared" si="11"/>
        <v>545727.64196579531</v>
      </c>
    </row>
    <row r="180" spans="2:6">
      <c r="B180" s="111">
        <v>175</v>
      </c>
      <c r="C180" s="112">
        <f t="shared" si="8"/>
        <v>-3805.6537291797872</v>
      </c>
      <c r="D180" s="112">
        <f t="shared" si="9"/>
        <v>-1591.7056224002365</v>
      </c>
      <c r="E180" s="112">
        <f t="shared" si="10"/>
        <v>-2213.9481067795505</v>
      </c>
      <c r="F180" s="112">
        <f t="shared" si="11"/>
        <v>543513.69385901571</v>
      </c>
    </row>
    <row r="181" spans="2:6">
      <c r="B181" s="111">
        <v>176</v>
      </c>
      <c r="C181" s="112">
        <f t="shared" si="8"/>
        <v>-3805.6537291797872</v>
      </c>
      <c r="D181" s="112">
        <f t="shared" si="9"/>
        <v>-1585.2482737554626</v>
      </c>
      <c r="E181" s="112">
        <f t="shared" si="10"/>
        <v>-2220.4054554243248</v>
      </c>
      <c r="F181" s="112">
        <f t="shared" si="11"/>
        <v>541293.28840359137</v>
      </c>
    </row>
    <row r="182" spans="2:6">
      <c r="B182" s="111">
        <v>177</v>
      </c>
      <c r="C182" s="112">
        <f t="shared" si="8"/>
        <v>-3805.6537291797872</v>
      </c>
      <c r="D182" s="112">
        <f t="shared" si="9"/>
        <v>-1578.7720911771419</v>
      </c>
      <c r="E182" s="112">
        <f t="shared" si="10"/>
        <v>-2226.8816380026456</v>
      </c>
      <c r="F182" s="112">
        <f t="shared" si="11"/>
        <v>539066.40676558868</v>
      </c>
    </row>
    <row r="183" spans="2:6">
      <c r="B183" s="111">
        <v>178</v>
      </c>
      <c r="C183" s="112">
        <f t="shared" si="8"/>
        <v>-3805.6537291797872</v>
      </c>
      <c r="D183" s="112">
        <f t="shared" si="9"/>
        <v>-1572.2770197329671</v>
      </c>
      <c r="E183" s="112">
        <f t="shared" si="10"/>
        <v>-2233.3767094468203</v>
      </c>
      <c r="F183" s="112">
        <f t="shared" si="11"/>
        <v>536833.0300561419</v>
      </c>
    </row>
    <row r="184" spans="2:6">
      <c r="B184" s="111">
        <v>179</v>
      </c>
      <c r="C184" s="112">
        <f t="shared" si="8"/>
        <v>-3805.6537291797872</v>
      </c>
      <c r="D184" s="112">
        <f t="shared" si="9"/>
        <v>-1565.7630043304141</v>
      </c>
      <c r="E184" s="112">
        <f t="shared" si="10"/>
        <v>-2239.8907248493733</v>
      </c>
      <c r="F184" s="112">
        <f t="shared" si="11"/>
        <v>534593.13933129248</v>
      </c>
    </row>
    <row r="185" spans="2:6">
      <c r="B185" s="111">
        <v>180</v>
      </c>
      <c r="C185" s="112">
        <f t="shared" si="8"/>
        <v>-3805.6537291797872</v>
      </c>
      <c r="D185" s="112">
        <f t="shared" si="9"/>
        <v>-1559.22998971627</v>
      </c>
      <c r="E185" s="112">
        <f t="shared" si="10"/>
        <v>-2246.4237394635174</v>
      </c>
      <c r="F185" s="112">
        <f t="shared" si="11"/>
        <v>532346.71559182892</v>
      </c>
    </row>
    <row r="186" spans="2:6">
      <c r="B186" s="111">
        <v>181</v>
      </c>
      <c r="C186" s="112">
        <f t="shared" si="8"/>
        <v>-3805.6537291797872</v>
      </c>
      <c r="D186" s="112">
        <f t="shared" si="9"/>
        <v>-1552.6779204761679</v>
      </c>
      <c r="E186" s="112">
        <f t="shared" si="10"/>
        <v>-2252.9758087036194</v>
      </c>
      <c r="F186" s="112">
        <f t="shared" si="11"/>
        <v>530093.73978312535</v>
      </c>
    </row>
    <row r="187" spans="2:6">
      <c r="B187" s="111">
        <v>182</v>
      </c>
      <c r="C187" s="112">
        <f t="shared" si="8"/>
        <v>-3805.6537291797872</v>
      </c>
      <c r="D187" s="112">
        <f t="shared" si="9"/>
        <v>-1546.1067410341157</v>
      </c>
      <c r="E187" s="112">
        <f t="shared" si="10"/>
        <v>-2259.5469881456715</v>
      </c>
      <c r="F187" s="112">
        <f t="shared" si="11"/>
        <v>527834.19279497967</v>
      </c>
    </row>
    <row r="188" spans="2:6">
      <c r="B188" s="111">
        <v>183</v>
      </c>
      <c r="C188" s="112">
        <f t="shared" si="8"/>
        <v>-3805.6537291797872</v>
      </c>
      <c r="D188" s="112">
        <f t="shared" si="9"/>
        <v>-1539.5163956520244</v>
      </c>
      <c r="E188" s="112">
        <f t="shared" si="10"/>
        <v>-2266.1373335277631</v>
      </c>
      <c r="F188" s="112">
        <f t="shared" si="11"/>
        <v>525568.05546145188</v>
      </c>
    </row>
    <row r="189" spans="2:6">
      <c r="B189" s="111">
        <v>184</v>
      </c>
      <c r="C189" s="112">
        <f t="shared" si="8"/>
        <v>-3805.6537291797872</v>
      </c>
      <c r="D189" s="112">
        <f t="shared" si="9"/>
        <v>-1532.9068284292346</v>
      </c>
      <c r="E189" s="112">
        <f t="shared" si="10"/>
        <v>-2272.7469007505524</v>
      </c>
      <c r="F189" s="112">
        <f t="shared" si="11"/>
        <v>523295.30856070132</v>
      </c>
    </row>
    <row r="190" spans="2:6">
      <c r="B190" s="111">
        <v>185</v>
      </c>
      <c r="C190" s="112">
        <f t="shared" si="8"/>
        <v>-3805.6537291797872</v>
      </c>
      <c r="D190" s="112">
        <f t="shared" si="9"/>
        <v>-1526.2779833020456</v>
      </c>
      <c r="E190" s="112">
        <f t="shared" si="10"/>
        <v>-2279.3757458777418</v>
      </c>
      <c r="F190" s="112">
        <f t="shared" si="11"/>
        <v>521015.93281482358</v>
      </c>
    </row>
    <row r="191" spans="2:6">
      <c r="B191" s="111">
        <v>186</v>
      </c>
      <c r="C191" s="112">
        <f t="shared" si="8"/>
        <v>-3805.6537291797872</v>
      </c>
      <c r="D191" s="112">
        <f t="shared" si="9"/>
        <v>-1519.6298040432357</v>
      </c>
      <c r="E191" s="112">
        <f t="shared" si="10"/>
        <v>-2286.0239251365515</v>
      </c>
      <c r="F191" s="112">
        <f t="shared" si="11"/>
        <v>518729.90888968704</v>
      </c>
    </row>
    <row r="192" spans="2:6">
      <c r="B192" s="111">
        <v>187</v>
      </c>
      <c r="C192" s="112">
        <f t="shared" si="8"/>
        <v>-3805.6537291797872</v>
      </c>
      <c r="D192" s="112">
        <f t="shared" si="9"/>
        <v>-1512.9622342615874</v>
      </c>
      <c r="E192" s="112">
        <f t="shared" si="10"/>
        <v>-2292.6914949182001</v>
      </c>
      <c r="F192" s="112">
        <f t="shared" si="11"/>
        <v>516437.21739476884</v>
      </c>
    </row>
    <row r="193" spans="2:6">
      <c r="B193" s="111">
        <v>188</v>
      </c>
      <c r="C193" s="112">
        <f t="shared" si="8"/>
        <v>-3805.6537291797872</v>
      </c>
      <c r="D193" s="112">
        <f t="shared" si="9"/>
        <v>-1506.2752174014092</v>
      </c>
      <c r="E193" s="112">
        <f t="shared" si="10"/>
        <v>-2299.3785117783782</v>
      </c>
      <c r="F193" s="112">
        <f t="shared" si="11"/>
        <v>514137.83888299047</v>
      </c>
    </row>
    <row r="194" spans="2:6">
      <c r="B194" s="111">
        <v>189</v>
      </c>
      <c r="C194" s="112">
        <f t="shared" si="8"/>
        <v>-3805.6537291797872</v>
      </c>
      <c r="D194" s="112">
        <f t="shared" si="9"/>
        <v>-1499.5686967420559</v>
      </c>
      <c r="E194" s="112">
        <f t="shared" si="10"/>
        <v>-2306.0850324377316</v>
      </c>
      <c r="F194" s="112">
        <f t="shared" si="11"/>
        <v>511831.75385055272</v>
      </c>
    </row>
    <row r="195" spans="2:6">
      <c r="B195" s="111">
        <v>190</v>
      </c>
      <c r="C195" s="112">
        <f t="shared" si="8"/>
        <v>-3805.6537291797872</v>
      </c>
      <c r="D195" s="112">
        <f t="shared" si="9"/>
        <v>-1492.8426153974458</v>
      </c>
      <c r="E195" s="112">
        <f t="shared" si="10"/>
        <v>-2312.8111137823416</v>
      </c>
      <c r="F195" s="112">
        <f t="shared" si="11"/>
        <v>509518.94273677038</v>
      </c>
    </row>
    <row r="196" spans="2:6">
      <c r="B196" s="111">
        <v>191</v>
      </c>
      <c r="C196" s="112">
        <f t="shared" si="8"/>
        <v>-3805.6537291797872</v>
      </c>
      <c r="D196" s="112">
        <f t="shared" si="9"/>
        <v>-1486.0969163155805</v>
      </c>
      <c r="E196" s="112">
        <f t="shared" si="10"/>
        <v>-2319.5568128642067</v>
      </c>
      <c r="F196" s="112">
        <f t="shared" si="11"/>
        <v>507199.38592390617</v>
      </c>
    </row>
    <row r="197" spans="2:6">
      <c r="B197" s="111">
        <v>192</v>
      </c>
      <c r="C197" s="112">
        <f t="shared" si="8"/>
        <v>-3805.6537291797872</v>
      </c>
      <c r="D197" s="112">
        <f t="shared" si="9"/>
        <v>-1479.3315422780597</v>
      </c>
      <c r="E197" s="112">
        <f t="shared" si="10"/>
        <v>-2326.3221869017275</v>
      </c>
      <c r="F197" s="112">
        <f t="shared" si="11"/>
        <v>504873.06373700447</v>
      </c>
    </row>
    <row r="198" spans="2:6">
      <c r="B198" s="111">
        <v>193</v>
      </c>
      <c r="C198" s="112">
        <f t="shared" si="8"/>
        <v>-3805.6537291797872</v>
      </c>
      <c r="D198" s="112">
        <f t="shared" si="9"/>
        <v>-1472.5464358995966</v>
      </c>
      <c r="E198" s="112">
        <f t="shared" si="10"/>
        <v>-2333.1072932801908</v>
      </c>
      <c r="F198" s="112">
        <f t="shared" si="11"/>
        <v>502539.95644372428</v>
      </c>
    </row>
    <row r="199" spans="2:6">
      <c r="B199" s="111">
        <v>194</v>
      </c>
      <c r="C199" s="112">
        <f t="shared" ref="C199:C262" si="12">IF(B199&lt;=loan_term,C198,0)</f>
        <v>-3805.6537291797872</v>
      </c>
      <c r="D199" s="112">
        <f t="shared" ref="D199:D262" si="13">-F198*Loan_interest_rate/12</f>
        <v>-1465.7415396275292</v>
      </c>
      <c r="E199" s="112">
        <f t="shared" si="10"/>
        <v>-2339.912189552258</v>
      </c>
      <c r="F199" s="112">
        <f t="shared" si="11"/>
        <v>500200.04425417201</v>
      </c>
    </row>
    <row r="200" spans="2:6">
      <c r="B200" s="111">
        <v>195</v>
      </c>
      <c r="C200" s="112">
        <f t="shared" si="12"/>
        <v>-3805.6537291797872</v>
      </c>
      <c r="D200" s="112">
        <f t="shared" si="13"/>
        <v>-1458.9167957413354</v>
      </c>
      <c r="E200" s="112">
        <f t="shared" ref="E200:E263" si="14">C200-D200</f>
        <v>-2346.7369334384521</v>
      </c>
      <c r="F200" s="112">
        <f t="shared" ref="F200:F263" si="15">F199+E200</f>
        <v>497853.30732073355</v>
      </c>
    </row>
    <row r="201" spans="2:6">
      <c r="B201" s="111">
        <v>196</v>
      </c>
      <c r="C201" s="112">
        <f t="shared" si="12"/>
        <v>-3805.6537291797872</v>
      </c>
      <c r="D201" s="112">
        <f t="shared" si="13"/>
        <v>-1452.0721463521397</v>
      </c>
      <c r="E201" s="112">
        <f t="shared" si="14"/>
        <v>-2353.5815828276473</v>
      </c>
      <c r="F201" s="112">
        <f t="shared" si="15"/>
        <v>495499.72573790589</v>
      </c>
    </row>
    <row r="202" spans="2:6">
      <c r="B202" s="111">
        <v>197</v>
      </c>
      <c r="C202" s="112">
        <f t="shared" si="12"/>
        <v>-3805.6537291797872</v>
      </c>
      <c r="D202" s="112">
        <f t="shared" si="13"/>
        <v>-1445.2075334022256</v>
      </c>
      <c r="E202" s="112">
        <f t="shared" si="14"/>
        <v>-2360.4461957775616</v>
      </c>
      <c r="F202" s="112">
        <f t="shared" si="15"/>
        <v>493139.27954212832</v>
      </c>
    </row>
    <row r="203" spans="2:6">
      <c r="B203" s="111">
        <v>198</v>
      </c>
      <c r="C203" s="112">
        <f t="shared" si="12"/>
        <v>-3805.6537291797872</v>
      </c>
      <c r="D203" s="112">
        <f t="shared" si="13"/>
        <v>-1438.3228986645411</v>
      </c>
      <c r="E203" s="112">
        <f t="shared" si="14"/>
        <v>-2367.3308305152459</v>
      </c>
      <c r="F203" s="112">
        <f t="shared" si="15"/>
        <v>490771.94871161308</v>
      </c>
    </row>
    <row r="204" spans="2:6">
      <c r="B204" s="111">
        <v>199</v>
      </c>
      <c r="C204" s="112">
        <f t="shared" si="12"/>
        <v>-3805.6537291797872</v>
      </c>
      <c r="D204" s="112">
        <f t="shared" si="13"/>
        <v>-1431.418183742205</v>
      </c>
      <c r="E204" s="112">
        <f t="shared" si="14"/>
        <v>-2374.235545437582</v>
      </c>
      <c r="F204" s="112">
        <f t="shared" si="15"/>
        <v>488397.71316617547</v>
      </c>
    </row>
    <row r="205" spans="2:6">
      <c r="B205" s="111">
        <v>200</v>
      </c>
      <c r="C205" s="112">
        <f t="shared" si="12"/>
        <v>-3805.6537291797872</v>
      </c>
      <c r="D205" s="112">
        <f t="shared" si="13"/>
        <v>-1424.493330068012</v>
      </c>
      <c r="E205" s="112">
        <f t="shared" si="14"/>
        <v>-2381.1603991117754</v>
      </c>
      <c r="F205" s="112">
        <f t="shared" si="15"/>
        <v>486016.55276706367</v>
      </c>
    </row>
    <row r="206" spans="2:6">
      <c r="B206" s="111">
        <v>201</v>
      </c>
      <c r="C206" s="112">
        <f t="shared" si="12"/>
        <v>-3805.6537291797872</v>
      </c>
      <c r="D206" s="112">
        <f t="shared" si="13"/>
        <v>-1417.5482789039359</v>
      </c>
      <c r="E206" s="112">
        <f t="shared" si="14"/>
        <v>-2388.1054502758516</v>
      </c>
      <c r="F206" s="112">
        <f t="shared" si="15"/>
        <v>483628.44731678779</v>
      </c>
    </row>
    <row r="207" spans="2:6">
      <c r="B207" s="111">
        <v>202</v>
      </c>
      <c r="C207" s="112">
        <f t="shared" si="12"/>
        <v>-3805.6537291797872</v>
      </c>
      <c r="D207" s="112">
        <f t="shared" si="13"/>
        <v>-1410.582971340631</v>
      </c>
      <c r="E207" s="112">
        <f t="shared" si="14"/>
        <v>-2395.0707578391562</v>
      </c>
      <c r="F207" s="112">
        <f t="shared" si="15"/>
        <v>481233.37655894866</v>
      </c>
    </row>
    <row r="208" spans="2:6">
      <c r="B208" s="111">
        <v>203</v>
      </c>
      <c r="C208" s="112">
        <f t="shared" si="12"/>
        <v>-3805.6537291797872</v>
      </c>
      <c r="D208" s="112">
        <f t="shared" si="13"/>
        <v>-1403.5973482969337</v>
      </c>
      <c r="E208" s="112">
        <f t="shared" si="14"/>
        <v>-2402.0563808828538</v>
      </c>
      <c r="F208" s="112">
        <f t="shared" si="15"/>
        <v>478831.3201780658</v>
      </c>
    </row>
    <row r="209" spans="2:6">
      <c r="B209" s="111">
        <v>204</v>
      </c>
      <c r="C209" s="112">
        <f t="shared" si="12"/>
        <v>-3805.6537291797872</v>
      </c>
      <c r="D209" s="112">
        <f t="shared" si="13"/>
        <v>-1396.5913505193587</v>
      </c>
      <c r="E209" s="112">
        <f t="shared" si="14"/>
        <v>-2409.0623786604283</v>
      </c>
      <c r="F209" s="112">
        <f t="shared" si="15"/>
        <v>476422.25779940537</v>
      </c>
    </row>
    <row r="210" spans="2:6">
      <c r="B210" s="111">
        <v>205</v>
      </c>
      <c r="C210" s="112">
        <f t="shared" si="12"/>
        <v>-3805.6537291797872</v>
      </c>
      <c r="D210" s="112">
        <f t="shared" si="13"/>
        <v>-1389.5649185815992</v>
      </c>
      <c r="E210" s="112">
        <f t="shared" si="14"/>
        <v>-2416.088810598188</v>
      </c>
      <c r="F210" s="112">
        <f t="shared" si="15"/>
        <v>474006.16898880719</v>
      </c>
    </row>
    <row r="211" spans="2:6">
      <c r="B211" s="111">
        <v>206</v>
      </c>
      <c r="C211" s="112">
        <f t="shared" si="12"/>
        <v>-3805.6537291797872</v>
      </c>
      <c r="D211" s="112">
        <f t="shared" si="13"/>
        <v>-1382.5179928840209</v>
      </c>
      <c r="E211" s="112">
        <f t="shared" si="14"/>
        <v>-2423.135736295766</v>
      </c>
      <c r="F211" s="112">
        <f t="shared" si="15"/>
        <v>471583.03325251141</v>
      </c>
    </row>
    <row r="212" spans="2:6">
      <c r="B212" s="111">
        <v>207</v>
      </c>
      <c r="C212" s="112">
        <f t="shared" si="12"/>
        <v>-3805.6537291797872</v>
      </c>
      <c r="D212" s="112">
        <f t="shared" si="13"/>
        <v>-1375.4505136531586</v>
      </c>
      <c r="E212" s="112">
        <f t="shared" si="14"/>
        <v>-2430.2032155266288</v>
      </c>
      <c r="F212" s="112">
        <f t="shared" si="15"/>
        <v>469152.83003698476</v>
      </c>
    </row>
    <row r="213" spans="2:6">
      <c r="B213" s="111">
        <v>208</v>
      </c>
      <c r="C213" s="112">
        <f t="shared" si="12"/>
        <v>-3805.6537291797872</v>
      </c>
      <c r="D213" s="112">
        <f t="shared" si="13"/>
        <v>-1368.3624209412055</v>
      </c>
      <c r="E213" s="112">
        <f t="shared" si="14"/>
        <v>-2437.2913082385817</v>
      </c>
      <c r="F213" s="112">
        <f t="shared" si="15"/>
        <v>466715.53872874618</v>
      </c>
    </row>
    <row r="214" spans="2:6">
      <c r="B214" s="111">
        <v>209</v>
      </c>
      <c r="C214" s="112">
        <f t="shared" si="12"/>
        <v>-3805.6537291797872</v>
      </c>
      <c r="D214" s="112">
        <f t="shared" si="13"/>
        <v>-1361.2536546255099</v>
      </c>
      <c r="E214" s="112">
        <f t="shared" si="14"/>
        <v>-2444.4000745542771</v>
      </c>
      <c r="F214" s="112">
        <f t="shared" si="15"/>
        <v>464271.13865419192</v>
      </c>
    </row>
    <row r="215" spans="2:6">
      <c r="B215" s="111">
        <v>210</v>
      </c>
      <c r="C215" s="112">
        <f t="shared" si="12"/>
        <v>-3805.6537291797872</v>
      </c>
      <c r="D215" s="112">
        <f t="shared" si="13"/>
        <v>-1354.1241544080599</v>
      </c>
      <c r="E215" s="112">
        <f t="shared" si="14"/>
        <v>-2451.5295747717273</v>
      </c>
      <c r="F215" s="112">
        <f t="shared" si="15"/>
        <v>461819.60907942022</v>
      </c>
    </row>
    <row r="216" spans="2:6">
      <c r="B216" s="111">
        <v>211</v>
      </c>
      <c r="C216" s="112">
        <f t="shared" si="12"/>
        <v>-3805.6537291797872</v>
      </c>
      <c r="D216" s="112">
        <f t="shared" si="13"/>
        <v>-1346.9738598149759</v>
      </c>
      <c r="E216" s="112">
        <f t="shared" si="14"/>
        <v>-2458.6798693648116</v>
      </c>
      <c r="F216" s="112">
        <f t="shared" si="15"/>
        <v>459360.92921005539</v>
      </c>
    </row>
    <row r="217" spans="2:6">
      <c r="B217" s="111">
        <v>212</v>
      </c>
      <c r="C217" s="112">
        <f t="shared" si="12"/>
        <v>-3805.6537291797872</v>
      </c>
      <c r="D217" s="112">
        <f t="shared" si="13"/>
        <v>-1339.8027101959949</v>
      </c>
      <c r="E217" s="112">
        <f t="shared" si="14"/>
        <v>-2465.8510189837925</v>
      </c>
      <c r="F217" s="112">
        <f t="shared" si="15"/>
        <v>456895.07819107157</v>
      </c>
    </row>
    <row r="218" spans="2:6">
      <c r="B218" s="111">
        <v>213</v>
      </c>
      <c r="C218" s="112">
        <f t="shared" si="12"/>
        <v>-3805.6537291797872</v>
      </c>
      <c r="D218" s="112">
        <f t="shared" si="13"/>
        <v>-1332.6106447239588</v>
      </c>
      <c r="E218" s="112">
        <f t="shared" si="14"/>
        <v>-2473.0430844558286</v>
      </c>
      <c r="F218" s="112">
        <f t="shared" si="15"/>
        <v>454422.03510661575</v>
      </c>
    </row>
    <row r="219" spans="2:6">
      <c r="B219" s="111">
        <v>214</v>
      </c>
      <c r="C219" s="112">
        <f t="shared" si="12"/>
        <v>-3805.6537291797872</v>
      </c>
      <c r="D219" s="112">
        <f t="shared" si="13"/>
        <v>-1325.3976023942962</v>
      </c>
      <c r="E219" s="112">
        <f t="shared" si="14"/>
        <v>-2480.2561267854908</v>
      </c>
      <c r="F219" s="112">
        <f t="shared" si="15"/>
        <v>451941.77897983027</v>
      </c>
    </row>
    <row r="220" spans="2:6">
      <c r="B220" s="111">
        <v>215</v>
      </c>
      <c r="C220" s="112">
        <f t="shared" si="12"/>
        <v>-3805.6537291797872</v>
      </c>
      <c r="D220" s="112">
        <f t="shared" si="13"/>
        <v>-1318.163522024505</v>
      </c>
      <c r="E220" s="112">
        <f t="shared" si="14"/>
        <v>-2487.4902071552824</v>
      </c>
      <c r="F220" s="112">
        <f t="shared" si="15"/>
        <v>449454.28877267498</v>
      </c>
    </row>
    <row r="221" spans="2:6">
      <c r="B221" s="111">
        <v>216</v>
      </c>
      <c r="C221" s="112">
        <f t="shared" si="12"/>
        <v>-3805.6537291797872</v>
      </c>
      <c r="D221" s="112">
        <f t="shared" si="13"/>
        <v>-1310.9083422536355</v>
      </c>
      <c r="E221" s="112">
        <f t="shared" si="14"/>
        <v>-2494.7453869261517</v>
      </c>
      <c r="F221" s="112">
        <f t="shared" si="15"/>
        <v>446959.54338574881</v>
      </c>
    </row>
    <row r="222" spans="2:6">
      <c r="B222" s="111">
        <v>217</v>
      </c>
      <c r="C222" s="112">
        <f t="shared" si="12"/>
        <v>-3805.6537291797872</v>
      </c>
      <c r="D222" s="112">
        <f t="shared" si="13"/>
        <v>-1303.6320015417675</v>
      </c>
      <c r="E222" s="112">
        <f t="shared" si="14"/>
        <v>-2502.0217276380199</v>
      </c>
      <c r="F222" s="112">
        <f t="shared" si="15"/>
        <v>444457.52165811078</v>
      </c>
    </row>
    <row r="223" spans="2:6">
      <c r="B223" s="111">
        <v>218</v>
      </c>
      <c r="C223" s="112">
        <f t="shared" si="12"/>
        <v>-3805.6537291797872</v>
      </c>
      <c r="D223" s="112">
        <f t="shared" si="13"/>
        <v>-1296.3344381694899</v>
      </c>
      <c r="E223" s="112">
        <f t="shared" si="14"/>
        <v>-2509.3192910102971</v>
      </c>
      <c r="F223" s="112">
        <f t="shared" si="15"/>
        <v>441948.20236710046</v>
      </c>
    </row>
    <row r="224" spans="2:6">
      <c r="B224" s="111">
        <v>219</v>
      </c>
      <c r="C224" s="112">
        <f t="shared" si="12"/>
        <v>-3805.6537291797872</v>
      </c>
      <c r="D224" s="112">
        <f t="shared" si="13"/>
        <v>-1289.0155902373765</v>
      </c>
      <c r="E224" s="112">
        <f t="shared" si="14"/>
        <v>-2516.6381389424105</v>
      </c>
      <c r="F224" s="112">
        <f t="shared" si="15"/>
        <v>439431.56422815804</v>
      </c>
    </row>
    <row r="225" spans="2:6">
      <c r="B225" s="111">
        <v>220</v>
      </c>
      <c r="C225" s="112">
        <f t="shared" si="12"/>
        <v>-3805.6537291797872</v>
      </c>
      <c r="D225" s="112">
        <f t="shared" si="13"/>
        <v>-1281.6753956654611</v>
      </c>
      <c r="E225" s="112">
        <f t="shared" si="14"/>
        <v>-2523.9783335143261</v>
      </c>
      <c r="F225" s="112">
        <f t="shared" si="15"/>
        <v>436907.58589464374</v>
      </c>
    </row>
    <row r="226" spans="2:6">
      <c r="B226" s="111">
        <v>221</v>
      </c>
      <c r="C226" s="112">
        <f t="shared" si="12"/>
        <v>-3805.6537291797872</v>
      </c>
      <c r="D226" s="112">
        <f t="shared" si="13"/>
        <v>-1274.3137921927112</v>
      </c>
      <c r="E226" s="112">
        <f t="shared" si="14"/>
        <v>-2531.3399369870758</v>
      </c>
      <c r="F226" s="112">
        <f t="shared" si="15"/>
        <v>434376.24595765665</v>
      </c>
    </row>
    <row r="227" spans="2:6">
      <c r="B227" s="111">
        <v>222</v>
      </c>
      <c r="C227" s="112">
        <f t="shared" si="12"/>
        <v>-3805.6537291797872</v>
      </c>
      <c r="D227" s="112">
        <f t="shared" si="13"/>
        <v>-1266.9307173764987</v>
      </c>
      <c r="E227" s="112">
        <f t="shared" si="14"/>
        <v>-2538.7230118032885</v>
      </c>
      <c r="F227" s="112">
        <f t="shared" si="15"/>
        <v>431837.52294585336</v>
      </c>
    </row>
    <row r="228" spans="2:6">
      <c r="B228" s="111">
        <v>223</v>
      </c>
      <c r="C228" s="112">
        <f t="shared" si="12"/>
        <v>-3805.6537291797872</v>
      </c>
      <c r="D228" s="112">
        <f t="shared" si="13"/>
        <v>-1259.5261085920724</v>
      </c>
      <c r="E228" s="112">
        <f t="shared" si="14"/>
        <v>-2546.1276205877148</v>
      </c>
      <c r="F228" s="112">
        <f t="shared" si="15"/>
        <v>429291.39532526565</v>
      </c>
    </row>
    <row r="229" spans="2:6">
      <c r="B229" s="111">
        <v>224</v>
      </c>
      <c r="C229" s="112">
        <f t="shared" si="12"/>
        <v>-3805.6537291797872</v>
      </c>
      <c r="D229" s="112">
        <f t="shared" si="13"/>
        <v>-1252.0999030320249</v>
      </c>
      <c r="E229" s="112">
        <f t="shared" si="14"/>
        <v>-2553.5538261477623</v>
      </c>
      <c r="F229" s="112">
        <f t="shared" si="15"/>
        <v>426737.8414991179</v>
      </c>
    </row>
    <row r="230" spans="2:6">
      <c r="B230" s="111">
        <v>225</v>
      </c>
      <c r="C230" s="112">
        <f t="shared" si="12"/>
        <v>-3805.6537291797872</v>
      </c>
      <c r="D230" s="112">
        <f t="shared" si="13"/>
        <v>-1244.6520377057607</v>
      </c>
      <c r="E230" s="112">
        <f t="shared" si="14"/>
        <v>-2561.0016914740263</v>
      </c>
      <c r="F230" s="112">
        <f t="shared" si="15"/>
        <v>424176.8398076439</v>
      </c>
    </row>
    <row r="231" spans="2:6">
      <c r="B231" s="111">
        <v>226</v>
      </c>
      <c r="C231" s="112">
        <f t="shared" si="12"/>
        <v>-3805.6537291797872</v>
      </c>
      <c r="D231" s="112">
        <f t="shared" si="13"/>
        <v>-1237.1824494389614</v>
      </c>
      <c r="E231" s="112">
        <f t="shared" si="14"/>
        <v>-2568.4712797408256</v>
      </c>
      <c r="F231" s="112">
        <f t="shared" si="15"/>
        <v>421608.36852790311</v>
      </c>
    </row>
    <row r="232" spans="2:6">
      <c r="B232" s="111">
        <v>227</v>
      </c>
      <c r="C232" s="112">
        <f t="shared" si="12"/>
        <v>-3805.6537291797872</v>
      </c>
      <c r="D232" s="112">
        <f t="shared" si="13"/>
        <v>-1229.6910748730509</v>
      </c>
      <c r="E232" s="112">
        <f t="shared" si="14"/>
        <v>-2575.9626543067361</v>
      </c>
      <c r="F232" s="112">
        <f t="shared" si="15"/>
        <v>419032.40587359638</v>
      </c>
    </row>
    <row r="233" spans="2:6">
      <c r="B233" s="111">
        <v>228</v>
      </c>
      <c r="C233" s="112">
        <f t="shared" si="12"/>
        <v>-3805.6537291797872</v>
      </c>
      <c r="D233" s="112">
        <f t="shared" si="13"/>
        <v>-1222.1778504646561</v>
      </c>
      <c r="E233" s="112">
        <f t="shared" si="14"/>
        <v>-2583.4758787151313</v>
      </c>
      <c r="F233" s="112">
        <f t="shared" si="15"/>
        <v>416448.92999488127</v>
      </c>
    </row>
    <row r="234" spans="2:6">
      <c r="B234" s="111">
        <v>229</v>
      </c>
      <c r="C234" s="112">
        <f t="shared" si="12"/>
        <v>-3805.6537291797872</v>
      </c>
      <c r="D234" s="112">
        <f t="shared" si="13"/>
        <v>-1214.6427124850704</v>
      </c>
      <c r="E234" s="112">
        <f t="shared" si="14"/>
        <v>-2591.011016694717</v>
      </c>
      <c r="F234" s="112">
        <f t="shared" si="15"/>
        <v>413857.91897818656</v>
      </c>
    </row>
    <row r="235" spans="2:6">
      <c r="B235" s="111">
        <v>230</v>
      </c>
      <c r="C235" s="112">
        <f t="shared" si="12"/>
        <v>-3805.6537291797872</v>
      </c>
      <c r="D235" s="112">
        <f t="shared" si="13"/>
        <v>-1207.085597019711</v>
      </c>
      <c r="E235" s="112">
        <f t="shared" si="14"/>
        <v>-2598.5681321600759</v>
      </c>
      <c r="F235" s="112">
        <f t="shared" si="15"/>
        <v>411259.3508460265</v>
      </c>
    </row>
    <row r="236" spans="2:6">
      <c r="B236" s="111">
        <v>231</v>
      </c>
      <c r="C236" s="112">
        <f t="shared" si="12"/>
        <v>-3805.6537291797872</v>
      </c>
      <c r="D236" s="112">
        <f t="shared" si="13"/>
        <v>-1199.5064399675773</v>
      </c>
      <c r="E236" s="112">
        <f t="shared" si="14"/>
        <v>-2606.1472892122101</v>
      </c>
      <c r="F236" s="112">
        <f t="shared" si="15"/>
        <v>408653.20355681429</v>
      </c>
    </row>
    <row r="237" spans="2:6">
      <c r="B237" s="111">
        <v>232</v>
      </c>
      <c r="C237" s="112">
        <f t="shared" si="12"/>
        <v>-3805.6537291797872</v>
      </c>
      <c r="D237" s="112">
        <f t="shared" si="13"/>
        <v>-1191.9051770407084</v>
      </c>
      <c r="E237" s="112">
        <f t="shared" si="14"/>
        <v>-2613.748552139079</v>
      </c>
      <c r="F237" s="112">
        <f t="shared" si="15"/>
        <v>406039.4550046752</v>
      </c>
    </row>
    <row r="238" spans="2:6">
      <c r="B238" s="111">
        <v>233</v>
      </c>
      <c r="C238" s="112">
        <f t="shared" si="12"/>
        <v>-3805.6537291797872</v>
      </c>
      <c r="D238" s="112">
        <f t="shared" si="13"/>
        <v>-1184.2817437636361</v>
      </c>
      <c r="E238" s="112">
        <f t="shared" si="14"/>
        <v>-2621.3719854161509</v>
      </c>
      <c r="F238" s="112">
        <f t="shared" si="15"/>
        <v>403418.08301925904</v>
      </c>
    </row>
    <row r="239" spans="2:6">
      <c r="B239" s="111">
        <v>234</v>
      </c>
      <c r="C239" s="112">
        <f t="shared" si="12"/>
        <v>-3805.6537291797872</v>
      </c>
      <c r="D239" s="112">
        <f t="shared" si="13"/>
        <v>-1176.6360754728389</v>
      </c>
      <c r="E239" s="112">
        <f t="shared" si="14"/>
        <v>-2629.0176537069483</v>
      </c>
      <c r="F239" s="112">
        <f t="shared" si="15"/>
        <v>400789.06536555209</v>
      </c>
    </row>
    <row r="240" spans="2:6">
      <c r="B240" s="111">
        <v>235</v>
      </c>
      <c r="C240" s="112">
        <f t="shared" si="12"/>
        <v>-3805.6537291797872</v>
      </c>
      <c r="D240" s="112">
        <f t="shared" si="13"/>
        <v>-1168.9681073161937</v>
      </c>
      <c r="E240" s="112">
        <f t="shared" si="14"/>
        <v>-2636.6856218635935</v>
      </c>
      <c r="F240" s="112">
        <f t="shared" si="15"/>
        <v>398152.37974368851</v>
      </c>
    </row>
    <row r="241" spans="2:6">
      <c r="B241" s="111">
        <v>236</v>
      </c>
      <c r="C241" s="112">
        <f t="shared" si="12"/>
        <v>-3805.6537291797872</v>
      </c>
      <c r="D241" s="112">
        <f t="shared" si="13"/>
        <v>-1161.2777742524249</v>
      </c>
      <c r="E241" s="112">
        <f t="shared" si="14"/>
        <v>-2644.3759549273623</v>
      </c>
      <c r="F241" s="112">
        <f t="shared" si="15"/>
        <v>395508.00378876115</v>
      </c>
    </row>
    <row r="242" spans="2:6">
      <c r="B242" s="111">
        <v>237</v>
      </c>
      <c r="C242" s="112">
        <f t="shared" si="12"/>
        <v>-3805.6537291797872</v>
      </c>
      <c r="D242" s="112">
        <f t="shared" si="13"/>
        <v>-1153.5650110505535</v>
      </c>
      <c r="E242" s="112">
        <f t="shared" si="14"/>
        <v>-2652.0887181292337</v>
      </c>
      <c r="F242" s="112">
        <f t="shared" si="15"/>
        <v>392855.91507063195</v>
      </c>
    </row>
    <row r="243" spans="2:6">
      <c r="B243" s="111">
        <v>238</v>
      </c>
      <c r="C243" s="112">
        <f t="shared" si="12"/>
        <v>-3805.6537291797872</v>
      </c>
      <c r="D243" s="112">
        <f t="shared" si="13"/>
        <v>-1145.8297522893433</v>
      </c>
      <c r="E243" s="112">
        <f t="shared" si="14"/>
        <v>-2659.8239768904441</v>
      </c>
      <c r="F243" s="112">
        <f t="shared" si="15"/>
        <v>390196.09109374153</v>
      </c>
    </row>
    <row r="244" spans="2:6">
      <c r="B244" s="111">
        <v>239</v>
      </c>
      <c r="C244" s="112">
        <f t="shared" si="12"/>
        <v>-3805.6537291797872</v>
      </c>
      <c r="D244" s="112">
        <f t="shared" si="13"/>
        <v>-1138.0719323567462</v>
      </c>
      <c r="E244" s="112">
        <f t="shared" si="14"/>
        <v>-2667.5817968230413</v>
      </c>
      <c r="F244" s="112">
        <f t="shared" si="15"/>
        <v>387528.50929691846</v>
      </c>
    </row>
    <row r="245" spans="2:6">
      <c r="B245" s="111">
        <v>240</v>
      </c>
      <c r="C245" s="112">
        <f t="shared" si="12"/>
        <v>-3805.6537291797872</v>
      </c>
      <c r="D245" s="112">
        <f t="shared" si="13"/>
        <v>-1130.2914854493456</v>
      </c>
      <c r="E245" s="112">
        <f t="shared" si="14"/>
        <v>-2675.3622437304416</v>
      </c>
      <c r="F245" s="112">
        <f t="shared" si="15"/>
        <v>384853.147053188</v>
      </c>
    </row>
    <row r="246" spans="2:6">
      <c r="B246" s="111">
        <v>241</v>
      </c>
      <c r="C246" s="112">
        <f t="shared" si="12"/>
        <v>-3805.6537291797872</v>
      </c>
      <c r="D246" s="112">
        <f t="shared" si="13"/>
        <v>-1122.4883455717984</v>
      </c>
      <c r="E246" s="112">
        <f t="shared" si="14"/>
        <v>-2683.1653836079886</v>
      </c>
      <c r="F246" s="112">
        <f t="shared" si="15"/>
        <v>382169.98166958004</v>
      </c>
    </row>
    <row r="247" spans="2:6">
      <c r="B247" s="111">
        <v>242</v>
      </c>
      <c r="C247" s="112">
        <f t="shared" si="12"/>
        <v>-3805.6537291797872</v>
      </c>
      <c r="D247" s="112">
        <f t="shared" si="13"/>
        <v>-1114.6624465362752</v>
      </c>
      <c r="E247" s="112">
        <f t="shared" si="14"/>
        <v>-2690.991282643512</v>
      </c>
      <c r="F247" s="112">
        <f t="shared" si="15"/>
        <v>379478.99038693652</v>
      </c>
    </row>
    <row r="248" spans="2:6">
      <c r="B248" s="111">
        <v>243</v>
      </c>
      <c r="C248" s="112">
        <f t="shared" si="12"/>
        <v>-3805.6537291797872</v>
      </c>
      <c r="D248" s="112">
        <f t="shared" si="13"/>
        <v>-1106.8137219618982</v>
      </c>
      <c r="E248" s="112">
        <f t="shared" si="14"/>
        <v>-2698.8400072178893</v>
      </c>
      <c r="F248" s="112">
        <f t="shared" si="15"/>
        <v>376780.15037971863</v>
      </c>
    </row>
    <row r="249" spans="2:6">
      <c r="B249" s="111">
        <v>244</v>
      </c>
      <c r="C249" s="112">
        <f t="shared" si="12"/>
        <v>-3805.6537291797872</v>
      </c>
      <c r="D249" s="112">
        <f t="shared" si="13"/>
        <v>-1098.9421052741793</v>
      </c>
      <c r="E249" s="112">
        <f t="shared" si="14"/>
        <v>-2706.7116239056077</v>
      </c>
      <c r="F249" s="112">
        <f t="shared" si="15"/>
        <v>374073.438755813</v>
      </c>
    </row>
    <row r="250" spans="2:6">
      <c r="B250" s="111">
        <v>245</v>
      </c>
      <c r="C250" s="112">
        <f t="shared" si="12"/>
        <v>-3805.6537291797872</v>
      </c>
      <c r="D250" s="112">
        <f t="shared" si="13"/>
        <v>-1091.0475297044547</v>
      </c>
      <c r="E250" s="112">
        <f t="shared" si="14"/>
        <v>-2714.6061994753327</v>
      </c>
      <c r="F250" s="112">
        <f t="shared" si="15"/>
        <v>371358.83255633764</v>
      </c>
    </row>
    <row r="251" spans="2:6">
      <c r="B251" s="111">
        <v>246</v>
      </c>
      <c r="C251" s="112">
        <f t="shared" si="12"/>
        <v>-3805.6537291797872</v>
      </c>
      <c r="D251" s="112">
        <f t="shared" si="13"/>
        <v>-1083.1299282893183</v>
      </c>
      <c r="E251" s="112">
        <f t="shared" si="14"/>
        <v>-2722.5238008904689</v>
      </c>
      <c r="F251" s="112">
        <f t="shared" si="15"/>
        <v>368636.30875544716</v>
      </c>
    </row>
    <row r="252" spans="2:6">
      <c r="B252" s="111">
        <v>247</v>
      </c>
      <c r="C252" s="112">
        <f t="shared" si="12"/>
        <v>-3805.6537291797872</v>
      </c>
      <c r="D252" s="112">
        <f t="shared" si="13"/>
        <v>-1075.1892338700543</v>
      </c>
      <c r="E252" s="112">
        <f t="shared" si="14"/>
        <v>-2730.4644953097331</v>
      </c>
      <c r="F252" s="112">
        <f t="shared" si="15"/>
        <v>365905.84426013741</v>
      </c>
    </row>
    <row r="253" spans="2:6">
      <c r="B253" s="111">
        <v>248</v>
      </c>
      <c r="C253" s="112">
        <f t="shared" si="12"/>
        <v>-3805.6537291797872</v>
      </c>
      <c r="D253" s="112">
        <f t="shared" si="13"/>
        <v>-1067.2253790920674</v>
      </c>
      <c r="E253" s="112">
        <f t="shared" si="14"/>
        <v>-2738.42835008772</v>
      </c>
      <c r="F253" s="112">
        <f t="shared" si="15"/>
        <v>363167.41591004969</v>
      </c>
    </row>
    <row r="254" spans="2:6">
      <c r="B254" s="111">
        <v>249</v>
      </c>
      <c r="C254" s="112">
        <f t="shared" si="12"/>
        <v>-3805.6537291797872</v>
      </c>
      <c r="D254" s="112">
        <f t="shared" si="13"/>
        <v>-1059.2382964043118</v>
      </c>
      <c r="E254" s="112">
        <f t="shared" si="14"/>
        <v>-2746.4154327754754</v>
      </c>
      <c r="F254" s="112">
        <f t="shared" si="15"/>
        <v>360421.00047727424</v>
      </c>
    </row>
    <row r="255" spans="2:6">
      <c r="B255" s="111">
        <v>250</v>
      </c>
      <c r="C255" s="112">
        <f t="shared" si="12"/>
        <v>-3805.6537291797872</v>
      </c>
      <c r="D255" s="112">
        <f t="shared" si="13"/>
        <v>-1051.2279180587166</v>
      </c>
      <c r="E255" s="112">
        <f t="shared" si="14"/>
        <v>-2754.4258111210706</v>
      </c>
      <c r="F255" s="112">
        <f t="shared" si="15"/>
        <v>357666.57466615317</v>
      </c>
    </row>
    <row r="256" spans="2:6">
      <c r="B256" s="111">
        <v>251</v>
      </c>
      <c r="C256" s="112">
        <f t="shared" si="12"/>
        <v>-3805.6537291797872</v>
      </c>
      <c r="D256" s="112">
        <f t="shared" si="13"/>
        <v>-1043.1941761096134</v>
      </c>
      <c r="E256" s="112">
        <f t="shared" si="14"/>
        <v>-2762.4595530701736</v>
      </c>
      <c r="F256" s="112">
        <f t="shared" si="15"/>
        <v>354904.11511308298</v>
      </c>
    </row>
    <row r="257" spans="2:6">
      <c r="B257" s="111">
        <v>252</v>
      </c>
      <c r="C257" s="112">
        <f t="shared" si="12"/>
        <v>-3805.6537291797872</v>
      </c>
      <c r="D257" s="112">
        <f t="shared" si="13"/>
        <v>-1035.1370024131588</v>
      </c>
      <c r="E257" s="112">
        <f t="shared" si="14"/>
        <v>-2770.5167267666284</v>
      </c>
      <c r="F257" s="112">
        <f t="shared" si="15"/>
        <v>352133.59838631633</v>
      </c>
    </row>
    <row r="258" spans="2:6">
      <c r="B258" s="111">
        <v>253</v>
      </c>
      <c r="C258" s="112">
        <f t="shared" si="12"/>
        <v>-3805.6537291797872</v>
      </c>
      <c r="D258" s="112">
        <f t="shared" si="13"/>
        <v>-1027.0563286267561</v>
      </c>
      <c r="E258" s="112">
        <f t="shared" si="14"/>
        <v>-2778.5974005530311</v>
      </c>
      <c r="F258" s="112">
        <f t="shared" si="15"/>
        <v>349355.00098576327</v>
      </c>
    </row>
    <row r="259" spans="2:6">
      <c r="B259" s="111">
        <v>254</v>
      </c>
      <c r="C259" s="112">
        <f t="shared" si="12"/>
        <v>-3805.6537291797872</v>
      </c>
      <c r="D259" s="112">
        <f t="shared" si="13"/>
        <v>-1018.9520862084763</v>
      </c>
      <c r="E259" s="112">
        <f t="shared" si="14"/>
        <v>-2786.7016429713108</v>
      </c>
      <c r="F259" s="112">
        <f t="shared" si="15"/>
        <v>346568.29934279196</v>
      </c>
    </row>
    <row r="260" spans="2:6">
      <c r="B260" s="111">
        <v>255</v>
      </c>
      <c r="C260" s="112">
        <f t="shared" si="12"/>
        <v>-3805.6537291797872</v>
      </c>
      <c r="D260" s="112">
        <f t="shared" si="13"/>
        <v>-1010.8242064164766</v>
      </c>
      <c r="E260" s="112">
        <f t="shared" si="14"/>
        <v>-2794.8295227633107</v>
      </c>
      <c r="F260" s="112">
        <f t="shared" si="15"/>
        <v>343773.46982002864</v>
      </c>
    </row>
    <row r="261" spans="2:6">
      <c r="B261" s="111">
        <v>256</v>
      </c>
      <c r="C261" s="112">
        <f t="shared" si="12"/>
        <v>-3805.6537291797872</v>
      </c>
      <c r="D261" s="112">
        <f t="shared" si="13"/>
        <v>-1002.6726203084169</v>
      </c>
      <c r="E261" s="112">
        <f t="shared" si="14"/>
        <v>-2802.9811088713705</v>
      </c>
      <c r="F261" s="112">
        <f t="shared" si="15"/>
        <v>340970.48871115729</v>
      </c>
    </row>
    <row r="262" spans="2:6">
      <c r="B262" s="111">
        <v>257</v>
      </c>
      <c r="C262" s="112">
        <f t="shared" si="12"/>
        <v>-3805.6537291797872</v>
      </c>
      <c r="D262" s="112">
        <f t="shared" si="13"/>
        <v>-994.49725874087551</v>
      </c>
      <c r="E262" s="112">
        <f t="shared" si="14"/>
        <v>-2811.1564704389116</v>
      </c>
      <c r="F262" s="112">
        <f t="shared" si="15"/>
        <v>338159.33224071836</v>
      </c>
    </row>
    <row r="263" spans="2:6">
      <c r="B263" s="111">
        <v>258</v>
      </c>
      <c r="C263" s="112">
        <f t="shared" ref="C263:C326" si="16">IF(B263&lt;=loan_term,C262,0)</f>
        <v>-3805.6537291797872</v>
      </c>
      <c r="D263" s="112">
        <f t="shared" ref="D263:D326" si="17">-F262*Loan_interest_rate/12</f>
        <v>-986.298052368762</v>
      </c>
      <c r="E263" s="112">
        <f t="shared" si="14"/>
        <v>-2819.3556768110252</v>
      </c>
      <c r="F263" s="112">
        <f t="shared" si="15"/>
        <v>335339.97656390734</v>
      </c>
    </row>
    <row r="264" spans="2:6">
      <c r="B264" s="111">
        <v>259</v>
      </c>
      <c r="C264" s="112">
        <f t="shared" si="16"/>
        <v>-3805.6537291797872</v>
      </c>
      <c r="D264" s="112">
        <f t="shared" si="17"/>
        <v>-978.07493164472987</v>
      </c>
      <c r="E264" s="112">
        <f t="shared" ref="E264:E327" si="18">C264-D264</f>
        <v>-2827.5787975350572</v>
      </c>
      <c r="F264" s="112">
        <f t="shared" ref="F264:F327" si="19">F263+E264</f>
        <v>332512.39776637231</v>
      </c>
    </row>
    <row r="265" spans="2:6">
      <c r="B265" s="111">
        <v>260</v>
      </c>
      <c r="C265" s="112">
        <f t="shared" si="16"/>
        <v>-3805.6537291797872</v>
      </c>
      <c r="D265" s="112">
        <f t="shared" si="17"/>
        <v>-969.827826818586</v>
      </c>
      <c r="E265" s="112">
        <f t="shared" si="18"/>
        <v>-2835.8259023612013</v>
      </c>
      <c r="F265" s="112">
        <f t="shared" si="19"/>
        <v>329676.57186401112</v>
      </c>
    </row>
    <row r="266" spans="2:6">
      <c r="B266" s="111">
        <v>261</v>
      </c>
      <c r="C266" s="112">
        <f t="shared" si="16"/>
        <v>-3805.6537291797872</v>
      </c>
      <c r="D266" s="112">
        <f t="shared" si="17"/>
        <v>-961.55666793669923</v>
      </c>
      <c r="E266" s="112">
        <f t="shared" si="18"/>
        <v>-2844.0970612430879</v>
      </c>
      <c r="F266" s="112">
        <f t="shared" si="19"/>
        <v>326832.47480276803</v>
      </c>
    </row>
    <row r="267" spans="2:6">
      <c r="B267" s="111">
        <v>262</v>
      </c>
      <c r="C267" s="112">
        <f t="shared" si="16"/>
        <v>-3805.6537291797872</v>
      </c>
      <c r="D267" s="112">
        <f t="shared" si="17"/>
        <v>-953.26138484140677</v>
      </c>
      <c r="E267" s="112">
        <f t="shared" si="18"/>
        <v>-2852.3923443383806</v>
      </c>
      <c r="F267" s="112">
        <f t="shared" si="19"/>
        <v>323980.08245842968</v>
      </c>
    </row>
    <row r="268" spans="2:6">
      <c r="B268" s="111">
        <v>263</v>
      </c>
      <c r="C268" s="112">
        <f t="shared" si="16"/>
        <v>-3805.6537291797872</v>
      </c>
      <c r="D268" s="112">
        <f t="shared" si="17"/>
        <v>-944.94190717042</v>
      </c>
      <c r="E268" s="112">
        <f t="shared" si="18"/>
        <v>-2860.7118220093671</v>
      </c>
      <c r="F268" s="112">
        <f t="shared" si="19"/>
        <v>321119.37063642032</v>
      </c>
    </row>
    <row r="269" spans="2:6">
      <c r="B269" s="111">
        <v>264</v>
      </c>
      <c r="C269" s="112">
        <f t="shared" si="16"/>
        <v>-3805.6537291797872</v>
      </c>
      <c r="D269" s="112">
        <f t="shared" si="17"/>
        <v>-936.59816435622599</v>
      </c>
      <c r="E269" s="112">
        <f t="shared" si="18"/>
        <v>-2869.0555648235613</v>
      </c>
      <c r="F269" s="112">
        <f t="shared" si="19"/>
        <v>318250.31507159676</v>
      </c>
    </row>
    <row r="270" spans="2:6">
      <c r="B270" s="111">
        <v>265</v>
      </c>
      <c r="C270" s="112">
        <f t="shared" si="16"/>
        <v>-3805.6537291797872</v>
      </c>
      <c r="D270" s="112">
        <f t="shared" si="17"/>
        <v>-928.23008562549069</v>
      </c>
      <c r="E270" s="112">
        <f t="shared" si="18"/>
        <v>-2877.4236435542966</v>
      </c>
      <c r="F270" s="112">
        <f t="shared" si="19"/>
        <v>315372.89142804249</v>
      </c>
    </row>
    <row r="271" spans="2:6">
      <c r="B271" s="111">
        <v>266</v>
      </c>
      <c r="C271" s="112">
        <f t="shared" si="16"/>
        <v>-3805.6537291797872</v>
      </c>
      <c r="D271" s="112">
        <f t="shared" si="17"/>
        <v>-919.83759999845734</v>
      </c>
      <c r="E271" s="112">
        <f t="shared" si="18"/>
        <v>-2885.8161291813299</v>
      </c>
      <c r="F271" s="112">
        <f t="shared" si="19"/>
        <v>312487.07529886119</v>
      </c>
    </row>
    <row r="272" spans="2:6">
      <c r="B272" s="111">
        <v>267</v>
      </c>
      <c r="C272" s="112">
        <f t="shared" si="16"/>
        <v>-3805.6537291797872</v>
      </c>
      <c r="D272" s="112">
        <f t="shared" si="17"/>
        <v>-911.42063628834524</v>
      </c>
      <c r="E272" s="112">
        <f t="shared" si="18"/>
        <v>-2894.2330928914421</v>
      </c>
      <c r="F272" s="112">
        <f t="shared" si="19"/>
        <v>309592.84220596973</v>
      </c>
    </row>
    <row r="273" spans="2:6">
      <c r="B273" s="111">
        <v>268</v>
      </c>
      <c r="C273" s="112">
        <f t="shared" si="16"/>
        <v>-3805.6537291797872</v>
      </c>
      <c r="D273" s="112">
        <f t="shared" si="17"/>
        <v>-902.97912310074514</v>
      </c>
      <c r="E273" s="112">
        <f t="shared" si="18"/>
        <v>-2902.674606079042</v>
      </c>
      <c r="F273" s="112">
        <f t="shared" si="19"/>
        <v>306690.16759989067</v>
      </c>
    </row>
    <row r="274" spans="2:6">
      <c r="B274" s="111">
        <v>269</v>
      </c>
      <c r="C274" s="112">
        <f t="shared" si="16"/>
        <v>-3805.6537291797872</v>
      </c>
      <c r="D274" s="112">
        <f t="shared" si="17"/>
        <v>-894.51298883301445</v>
      </c>
      <c r="E274" s="112">
        <f t="shared" si="18"/>
        <v>-2911.1407403467729</v>
      </c>
      <c r="F274" s="112">
        <f t="shared" si="19"/>
        <v>303779.02685954393</v>
      </c>
    </row>
    <row r="275" spans="2:6">
      <c r="B275" s="111">
        <v>270</v>
      </c>
      <c r="C275" s="112">
        <f t="shared" si="16"/>
        <v>-3805.6537291797872</v>
      </c>
      <c r="D275" s="112">
        <f t="shared" si="17"/>
        <v>-886.02216167366987</v>
      </c>
      <c r="E275" s="112">
        <f t="shared" si="18"/>
        <v>-2919.6315675061173</v>
      </c>
      <c r="F275" s="112">
        <f t="shared" si="19"/>
        <v>300859.39529203781</v>
      </c>
    </row>
    <row r="276" spans="2:6">
      <c r="B276" s="111">
        <v>271</v>
      </c>
      <c r="C276" s="112">
        <f t="shared" si="16"/>
        <v>-3805.6537291797872</v>
      </c>
      <c r="D276" s="112">
        <f t="shared" si="17"/>
        <v>-877.50656960177696</v>
      </c>
      <c r="E276" s="112">
        <f t="shared" si="18"/>
        <v>-2928.1471595780104</v>
      </c>
      <c r="F276" s="112">
        <f t="shared" si="19"/>
        <v>297931.24813245982</v>
      </c>
    </row>
    <row r="277" spans="2:6">
      <c r="B277" s="111">
        <v>272</v>
      </c>
      <c r="C277" s="112">
        <f t="shared" si="16"/>
        <v>-3805.6537291797872</v>
      </c>
      <c r="D277" s="112">
        <f t="shared" si="17"/>
        <v>-868.96614038634118</v>
      </c>
      <c r="E277" s="112">
        <f t="shared" si="18"/>
        <v>-2936.6875887934461</v>
      </c>
      <c r="F277" s="112">
        <f t="shared" si="19"/>
        <v>294994.56054366636</v>
      </c>
    </row>
    <row r="278" spans="2:6">
      <c r="B278" s="111">
        <v>273</v>
      </c>
      <c r="C278" s="112">
        <f t="shared" si="16"/>
        <v>-3805.6537291797872</v>
      </c>
      <c r="D278" s="112">
        <f t="shared" si="17"/>
        <v>-860.40080158569356</v>
      </c>
      <c r="E278" s="112">
        <f t="shared" si="18"/>
        <v>-2945.2529275940938</v>
      </c>
      <c r="F278" s="112">
        <f t="shared" si="19"/>
        <v>292049.30761607224</v>
      </c>
    </row>
    <row r="279" spans="2:6">
      <c r="B279" s="111">
        <v>274</v>
      </c>
      <c r="C279" s="112">
        <f t="shared" si="16"/>
        <v>-3805.6537291797872</v>
      </c>
      <c r="D279" s="112">
        <f t="shared" si="17"/>
        <v>-851.81048054687744</v>
      </c>
      <c r="E279" s="112">
        <f t="shared" si="18"/>
        <v>-2953.8432486329098</v>
      </c>
      <c r="F279" s="112">
        <f t="shared" si="19"/>
        <v>289095.46436743933</v>
      </c>
    </row>
    <row r="280" spans="2:6">
      <c r="B280" s="111">
        <v>275</v>
      </c>
      <c r="C280" s="112">
        <f t="shared" si="16"/>
        <v>-3805.6537291797872</v>
      </c>
      <c r="D280" s="112">
        <f t="shared" si="17"/>
        <v>-843.19510440503143</v>
      </c>
      <c r="E280" s="112">
        <f t="shared" si="18"/>
        <v>-2962.4586247747557</v>
      </c>
      <c r="F280" s="112">
        <f t="shared" si="19"/>
        <v>286133.00574266457</v>
      </c>
    </row>
    <row r="281" spans="2:6">
      <c r="B281" s="111">
        <v>276</v>
      </c>
      <c r="C281" s="112">
        <f t="shared" si="16"/>
        <v>-3805.6537291797872</v>
      </c>
      <c r="D281" s="112">
        <f t="shared" si="17"/>
        <v>-834.55460008277169</v>
      </c>
      <c r="E281" s="112">
        <f t="shared" si="18"/>
        <v>-2971.0991290970155</v>
      </c>
      <c r="F281" s="112">
        <f t="shared" si="19"/>
        <v>283161.90661356755</v>
      </c>
    </row>
    <row r="282" spans="2:6">
      <c r="B282" s="111">
        <v>277</v>
      </c>
      <c r="C282" s="112">
        <f t="shared" si="16"/>
        <v>-3805.6537291797872</v>
      </c>
      <c r="D282" s="112">
        <f t="shared" si="17"/>
        <v>-825.88889428957202</v>
      </c>
      <c r="E282" s="112">
        <f t="shared" si="18"/>
        <v>-2979.7648348902153</v>
      </c>
      <c r="F282" s="112">
        <f t="shared" si="19"/>
        <v>280182.14177867735</v>
      </c>
    </row>
    <row r="283" spans="2:6">
      <c r="B283" s="111">
        <v>278</v>
      </c>
      <c r="C283" s="112">
        <f t="shared" si="16"/>
        <v>-3805.6537291797872</v>
      </c>
      <c r="D283" s="112">
        <f t="shared" si="17"/>
        <v>-817.19791352114237</v>
      </c>
      <c r="E283" s="112">
        <f t="shared" si="18"/>
        <v>-2988.455815658645</v>
      </c>
      <c r="F283" s="112">
        <f t="shared" si="19"/>
        <v>277193.68596301868</v>
      </c>
    </row>
    <row r="284" spans="2:6">
      <c r="B284" s="111">
        <v>279</v>
      </c>
      <c r="C284" s="112">
        <f t="shared" si="16"/>
        <v>-3805.6537291797872</v>
      </c>
      <c r="D284" s="112">
        <f t="shared" si="17"/>
        <v>-808.48158405880451</v>
      </c>
      <c r="E284" s="112">
        <f t="shared" si="18"/>
        <v>-2997.1721451209828</v>
      </c>
      <c r="F284" s="112">
        <f t="shared" si="19"/>
        <v>274196.51381789771</v>
      </c>
    </row>
    <row r="285" spans="2:6">
      <c r="B285" s="111">
        <v>280</v>
      </c>
      <c r="C285" s="112">
        <f t="shared" si="16"/>
        <v>-3805.6537291797872</v>
      </c>
      <c r="D285" s="112">
        <f t="shared" si="17"/>
        <v>-799.73983196886832</v>
      </c>
      <c r="E285" s="112">
        <f t="shared" si="18"/>
        <v>-3005.913897210919</v>
      </c>
      <c r="F285" s="112">
        <f t="shared" si="19"/>
        <v>271190.5999206868</v>
      </c>
    </row>
    <row r="286" spans="2:6">
      <c r="B286" s="111">
        <v>281</v>
      </c>
      <c r="C286" s="112">
        <f t="shared" si="16"/>
        <v>-3805.6537291797872</v>
      </c>
      <c r="D286" s="112">
        <f t="shared" si="17"/>
        <v>-790.97258310200323</v>
      </c>
      <c r="E286" s="112">
        <f t="shared" si="18"/>
        <v>-3014.681146077784</v>
      </c>
      <c r="F286" s="112">
        <f t="shared" si="19"/>
        <v>268175.91877460899</v>
      </c>
    </row>
    <row r="287" spans="2:6">
      <c r="B287" s="111">
        <v>282</v>
      </c>
      <c r="C287" s="112">
        <f t="shared" si="16"/>
        <v>-3805.6537291797872</v>
      </c>
      <c r="D287" s="112">
        <f t="shared" si="17"/>
        <v>-782.17976309260973</v>
      </c>
      <c r="E287" s="112">
        <f t="shared" si="18"/>
        <v>-3023.4739660871774</v>
      </c>
      <c r="F287" s="112">
        <f t="shared" si="19"/>
        <v>265152.44480852183</v>
      </c>
    </row>
    <row r="288" spans="2:6">
      <c r="B288" s="111">
        <v>283</v>
      </c>
      <c r="C288" s="112">
        <f t="shared" si="16"/>
        <v>-3805.6537291797872</v>
      </c>
      <c r="D288" s="112">
        <f t="shared" si="17"/>
        <v>-773.36129735818884</v>
      </c>
      <c r="E288" s="112">
        <f t="shared" si="18"/>
        <v>-3032.2924318215983</v>
      </c>
      <c r="F288" s="112">
        <f t="shared" si="19"/>
        <v>262120.15237670022</v>
      </c>
    </row>
    <row r="289" spans="2:6">
      <c r="B289" s="111">
        <v>284</v>
      </c>
      <c r="C289" s="112">
        <f t="shared" si="16"/>
        <v>-3805.6537291797872</v>
      </c>
      <c r="D289" s="112">
        <f t="shared" si="17"/>
        <v>-764.51711109870905</v>
      </c>
      <c r="E289" s="112">
        <f t="shared" si="18"/>
        <v>-3041.1366180810783</v>
      </c>
      <c r="F289" s="112">
        <f t="shared" si="19"/>
        <v>259079.01575861915</v>
      </c>
    </row>
    <row r="290" spans="2:6">
      <c r="B290" s="111">
        <v>285</v>
      </c>
      <c r="C290" s="112">
        <f t="shared" si="16"/>
        <v>-3805.6537291797872</v>
      </c>
      <c r="D290" s="112">
        <f t="shared" si="17"/>
        <v>-755.6471292959726</v>
      </c>
      <c r="E290" s="112">
        <f t="shared" si="18"/>
        <v>-3050.0065998838145</v>
      </c>
      <c r="F290" s="112">
        <f t="shared" si="19"/>
        <v>256029.00915873534</v>
      </c>
    </row>
    <row r="291" spans="2:6">
      <c r="B291" s="111">
        <v>286</v>
      </c>
      <c r="C291" s="112">
        <f t="shared" si="16"/>
        <v>-3805.6537291797872</v>
      </c>
      <c r="D291" s="112">
        <f t="shared" si="17"/>
        <v>-746.75127671297821</v>
      </c>
      <c r="E291" s="112">
        <f t="shared" si="18"/>
        <v>-3058.9024524668089</v>
      </c>
      <c r="F291" s="112">
        <f t="shared" si="19"/>
        <v>252970.10670626853</v>
      </c>
    </row>
    <row r="292" spans="2:6">
      <c r="B292" s="111">
        <v>287</v>
      </c>
      <c r="C292" s="112">
        <f t="shared" si="16"/>
        <v>-3805.6537291797872</v>
      </c>
      <c r="D292" s="112">
        <f t="shared" si="17"/>
        <v>-737.8294778932833</v>
      </c>
      <c r="E292" s="112">
        <f t="shared" si="18"/>
        <v>-3067.824251286504</v>
      </c>
      <c r="F292" s="112">
        <f t="shared" si="19"/>
        <v>249902.28245498202</v>
      </c>
    </row>
    <row r="293" spans="2:6">
      <c r="B293" s="111">
        <v>288</v>
      </c>
      <c r="C293" s="112">
        <f t="shared" si="16"/>
        <v>-3805.6537291797872</v>
      </c>
      <c r="D293" s="112">
        <f t="shared" si="17"/>
        <v>-728.88165716036428</v>
      </c>
      <c r="E293" s="112">
        <f t="shared" si="18"/>
        <v>-3076.7720720194229</v>
      </c>
      <c r="F293" s="112">
        <f t="shared" si="19"/>
        <v>246825.51038296259</v>
      </c>
    </row>
    <row r="294" spans="2:6">
      <c r="B294" s="111">
        <v>289</v>
      </c>
      <c r="C294" s="112">
        <f t="shared" si="16"/>
        <v>-3805.6537291797872</v>
      </c>
      <c r="D294" s="112">
        <f t="shared" si="17"/>
        <v>-719.90773861697426</v>
      </c>
      <c r="E294" s="112">
        <f t="shared" si="18"/>
        <v>-3085.7459905628129</v>
      </c>
      <c r="F294" s="112">
        <f t="shared" si="19"/>
        <v>243739.76439239978</v>
      </c>
    </row>
    <row r="295" spans="2:6">
      <c r="B295" s="111">
        <v>290</v>
      </c>
      <c r="C295" s="112">
        <f t="shared" si="16"/>
        <v>-3805.6537291797872</v>
      </c>
      <c r="D295" s="112">
        <f t="shared" si="17"/>
        <v>-710.90764614449938</v>
      </c>
      <c r="E295" s="112">
        <f t="shared" si="18"/>
        <v>-3094.7460830352879</v>
      </c>
      <c r="F295" s="112">
        <f t="shared" si="19"/>
        <v>240645.0183093645</v>
      </c>
    </row>
    <row r="296" spans="2:6">
      <c r="B296" s="111">
        <v>291</v>
      </c>
      <c r="C296" s="112">
        <f t="shared" si="16"/>
        <v>-3805.6537291797872</v>
      </c>
      <c r="D296" s="112">
        <f t="shared" si="17"/>
        <v>-701.88130340231316</v>
      </c>
      <c r="E296" s="112">
        <f t="shared" si="18"/>
        <v>-3103.7724257774739</v>
      </c>
      <c r="F296" s="112">
        <f t="shared" si="19"/>
        <v>237541.24588358702</v>
      </c>
    </row>
    <row r="297" spans="2:6">
      <c r="B297" s="111">
        <v>292</v>
      </c>
      <c r="C297" s="112">
        <f t="shared" si="16"/>
        <v>-3805.6537291797872</v>
      </c>
      <c r="D297" s="112">
        <f t="shared" si="17"/>
        <v>-692.82863382712878</v>
      </c>
      <c r="E297" s="112">
        <f t="shared" si="18"/>
        <v>-3112.8250953526585</v>
      </c>
      <c r="F297" s="112">
        <f t="shared" si="19"/>
        <v>234428.42078823436</v>
      </c>
    </row>
    <row r="298" spans="2:6">
      <c r="B298" s="111">
        <v>293</v>
      </c>
      <c r="C298" s="112">
        <f t="shared" si="16"/>
        <v>-3805.6537291797872</v>
      </c>
      <c r="D298" s="112">
        <f t="shared" si="17"/>
        <v>-683.74956063235038</v>
      </c>
      <c r="E298" s="112">
        <f t="shared" si="18"/>
        <v>-3121.9041685474367</v>
      </c>
      <c r="F298" s="112">
        <f t="shared" si="19"/>
        <v>231306.51661968691</v>
      </c>
    </row>
    <row r="299" spans="2:6">
      <c r="B299" s="111">
        <v>294</v>
      </c>
      <c r="C299" s="112">
        <f t="shared" si="16"/>
        <v>-3805.6537291797872</v>
      </c>
      <c r="D299" s="112">
        <f t="shared" si="17"/>
        <v>-674.64400680742017</v>
      </c>
      <c r="E299" s="112">
        <f t="shared" si="18"/>
        <v>-3131.0097223723669</v>
      </c>
      <c r="F299" s="112">
        <f t="shared" si="19"/>
        <v>228175.50689731454</v>
      </c>
    </row>
    <row r="300" spans="2:6">
      <c r="B300" s="111">
        <v>295</v>
      </c>
      <c r="C300" s="112">
        <f t="shared" si="16"/>
        <v>-3805.6537291797872</v>
      </c>
      <c r="D300" s="112">
        <f t="shared" si="17"/>
        <v>-665.51189511716746</v>
      </c>
      <c r="E300" s="112">
        <f t="shared" si="18"/>
        <v>-3140.1418340626196</v>
      </c>
      <c r="F300" s="112">
        <f t="shared" si="19"/>
        <v>225035.36506325193</v>
      </c>
    </row>
    <row r="301" spans="2:6">
      <c r="B301" s="111">
        <v>296</v>
      </c>
      <c r="C301" s="112">
        <f t="shared" si="16"/>
        <v>-3805.6537291797872</v>
      </c>
      <c r="D301" s="112">
        <f t="shared" si="17"/>
        <v>-656.35314810115153</v>
      </c>
      <c r="E301" s="112">
        <f t="shared" si="18"/>
        <v>-3149.3005810786358</v>
      </c>
      <c r="F301" s="112">
        <f t="shared" si="19"/>
        <v>221886.0644821733</v>
      </c>
    </row>
    <row r="302" spans="2:6">
      <c r="B302" s="111">
        <v>297</v>
      </c>
      <c r="C302" s="112">
        <f t="shared" si="16"/>
        <v>-3805.6537291797872</v>
      </c>
      <c r="D302" s="112">
        <f t="shared" si="17"/>
        <v>-647.16768807300548</v>
      </c>
      <c r="E302" s="112">
        <f t="shared" si="18"/>
        <v>-3158.4860411067816</v>
      </c>
      <c r="F302" s="112">
        <f t="shared" si="19"/>
        <v>218727.57844106652</v>
      </c>
    </row>
    <row r="303" spans="2:6">
      <c r="B303" s="111">
        <v>298</v>
      </c>
      <c r="C303" s="112">
        <f t="shared" si="16"/>
        <v>-3805.6537291797872</v>
      </c>
      <c r="D303" s="112">
        <f t="shared" si="17"/>
        <v>-637.95543711977746</v>
      </c>
      <c r="E303" s="112">
        <f t="shared" si="18"/>
        <v>-3167.6982920600099</v>
      </c>
      <c r="F303" s="112">
        <f t="shared" si="19"/>
        <v>215559.88014900652</v>
      </c>
    </row>
    <row r="304" spans="2:6">
      <c r="B304" s="111">
        <v>299</v>
      </c>
      <c r="C304" s="112">
        <f t="shared" si="16"/>
        <v>-3805.6537291797872</v>
      </c>
      <c r="D304" s="112">
        <f t="shared" si="17"/>
        <v>-628.71631710126906</v>
      </c>
      <c r="E304" s="112">
        <f t="shared" si="18"/>
        <v>-3176.9374120785183</v>
      </c>
      <c r="F304" s="112">
        <f t="shared" si="19"/>
        <v>212382.942736928</v>
      </c>
    </row>
    <row r="305" spans="2:6">
      <c r="B305" s="111">
        <v>300</v>
      </c>
      <c r="C305" s="112">
        <f t="shared" si="16"/>
        <v>-3805.6537291797872</v>
      </c>
      <c r="D305" s="112">
        <f t="shared" si="17"/>
        <v>-619.4502496493734</v>
      </c>
      <c r="E305" s="112">
        <f t="shared" si="18"/>
        <v>-3186.2034795304139</v>
      </c>
      <c r="F305" s="112">
        <f t="shared" si="19"/>
        <v>209196.7392573976</v>
      </c>
    </row>
    <row r="306" spans="2:6">
      <c r="B306" s="111">
        <v>301</v>
      </c>
      <c r="C306" s="112">
        <f t="shared" si="16"/>
        <v>-3805.6537291797872</v>
      </c>
      <c r="D306" s="112">
        <f t="shared" si="17"/>
        <v>-610.15715616740965</v>
      </c>
      <c r="E306" s="112">
        <f t="shared" si="18"/>
        <v>-3195.4965730123777</v>
      </c>
      <c r="F306" s="112">
        <f t="shared" si="19"/>
        <v>206001.24268438522</v>
      </c>
    </row>
    <row r="307" spans="2:6">
      <c r="B307" s="111">
        <v>302</v>
      </c>
      <c r="C307" s="112">
        <f t="shared" si="16"/>
        <v>-3805.6537291797872</v>
      </c>
      <c r="D307" s="112">
        <f t="shared" si="17"/>
        <v>-600.83695782945699</v>
      </c>
      <c r="E307" s="112">
        <f t="shared" si="18"/>
        <v>-3204.8167713503303</v>
      </c>
      <c r="F307" s="112">
        <f t="shared" si="19"/>
        <v>202796.42591303488</v>
      </c>
    </row>
    <row r="308" spans="2:6">
      <c r="B308" s="111">
        <v>303</v>
      </c>
      <c r="C308" s="112">
        <f t="shared" si="16"/>
        <v>-3805.6537291797872</v>
      </c>
      <c r="D308" s="112">
        <f t="shared" si="17"/>
        <v>-591.48957557968515</v>
      </c>
      <c r="E308" s="112">
        <f t="shared" si="18"/>
        <v>-3214.1641536001021</v>
      </c>
      <c r="F308" s="112">
        <f t="shared" si="19"/>
        <v>199582.26175943477</v>
      </c>
    </row>
    <row r="309" spans="2:6">
      <c r="B309" s="111">
        <v>304</v>
      </c>
      <c r="C309" s="112">
        <f t="shared" si="16"/>
        <v>-3805.6537291797872</v>
      </c>
      <c r="D309" s="112">
        <f t="shared" si="17"/>
        <v>-582.11493013168479</v>
      </c>
      <c r="E309" s="112">
        <f t="shared" si="18"/>
        <v>-3223.5387990481022</v>
      </c>
      <c r="F309" s="112">
        <f t="shared" si="19"/>
        <v>196358.72296038666</v>
      </c>
    </row>
    <row r="310" spans="2:6">
      <c r="B310" s="111">
        <v>305</v>
      </c>
      <c r="C310" s="112">
        <f t="shared" si="16"/>
        <v>-3805.6537291797872</v>
      </c>
      <c r="D310" s="112">
        <f t="shared" si="17"/>
        <v>-572.71294196779445</v>
      </c>
      <c r="E310" s="112">
        <f t="shared" si="18"/>
        <v>-3232.9407872119928</v>
      </c>
      <c r="F310" s="112">
        <f t="shared" si="19"/>
        <v>193125.78217317467</v>
      </c>
    </row>
    <row r="311" spans="2:6">
      <c r="B311" s="111">
        <v>306</v>
      </c>
      <c r="C311" s="112">
        <f t="shared" si="16"/>
        <v>-3805.6537291797872</v>
      </c>
      <c r="D311" s="112">
        <f t="shared" si="17"/>
        <v>-563.2835313384262</v>
      </c>
      <c r="E311" s="112">
        <f t="shared" si="18"/>
        <v>-3242.370197841361</v>
      </c>
      <c r="F311" s="112">
        <f t="shared" si="19"/>
        <v>189883.41197533329</v>
      </c>
    </row>
    <row r="312" spans="2:6">
      <c r="B312" s="111">
        <v>307</v>
      </c>
      <c r="C312" s="112">
        <f t="shared" si="16"/>
        <v>-3805.6537291797872</v>
      </c>
      <c r="D312" s="112">
        <f t="shared" si="17"/>
        <v>-553.82661826138883</v>
      </c>
      <c r="E312" s="112">
        <f t="shared" si="18"/>
        <v>-3251.8271109183984</v>
      </c>
      <c r="F312" s="112">
        <f t="shared" si="19"/>
        <v>186631.58486441491</v>
      </c>
    </row>
    <row r="313" spans="2:6">
      <c r="B313" s="111">
        <v>308</v>
      </c>
      <c r="C313" s="112">
        <f t="shared" si="16"/>
        <v>-3805.6537291797872</v>
      </c>
      <c r="D313" s="112">
        <f t="shared" si="17"/>
        <v>-544.34212252121017</v>
      </c>
      <c r="E313" s="112">
        <f t="shared" si="18"/>
        <v>-3261.3116066585771</v>
      </c>
      <c r="F313" s="112">
        <f t="shared" si="19"/>
        <v>183370.27325775634</v>
      </c>
    </row>
    <row r="314" spans="2:6">
      <c r="B314" s="111">
        <v>309</v>
      </c>
      <c r="C314" s="112">
        <f t="shared" si="16"/>
        <v>-3805.6537291797872</v>
      </c>
      <c r="D314" s="112">
        <f t="shared" si="17"/>
        <v>-534.82996366845612</v>
      </c>
      <c r="E314" s="112">
        <f t="shared" si="18"/>
        <v>-3270.8237655113312</v>
      </c>
      <c r="F314" s="112">
        <f t="shared" si="19"/>
        <v>180099.44949224501</v>
      </c>
    </row>
    <row r="315" spans="2:6">
      <c r="B315" s="111">
        <v>310</v>
      </c>
      <c r="C315" s="112">
        <f t="shared" si="16"/>
        <v>-3805.6537291797872</v>
      </c>
      <c r="D315" s="112">
        <f t="shared" si="17"/>
        <v>-525.29006101904804</v>
      </c>
      <c r="E315" s="112">
        <f t="shared" si="18"/>
        <v>-3280.3636681607391</v>
      </c>
      <c r="F315" s="112">
        <f t="shared" si="19"/>
        <v>176819.08582408426</v>
      </c>
    </row>
    <row r="316" spans="2:6">
      <c r="B316" s="111">
        <v>311</v>
      </c>
      <c r="C316" s="112">
        <f t="shared" si="16"/>
        <v>-3805.6537291797872</v>
      </c>
      <c r="D316" s="112">
        <f t="shared" si="17"/>
        <v>-515.72233365357908</v>
      </c>
      <c r="E316" s="112">
        <f t="shared" si="18"/>
        <v>-3289.9313955262082</v>
      </c>
      <c r="F316" s="112">
        <f t="shared" si="19"/>
        <v>173529.15442855805</v>
      </c>
    </row>
    <row r="317" spans="2:6">
      <c r="B317" s="111">
        <v>312</v>
      </c>
      <c r="C317" s="112">
        <f t="shared" si="16"/>
        <v>-3805.6537291797872</v>
      </c>
      <c r="D317" s="112">
        <f t="shared" si="17"/>
        <v>-506.12670041662767</v>
      </c>
      <c r="E317" s="112">
        <f t="shared" si="18"/>
        <v>-3299.5270287631597</v>
      </c>
      <c r="F317" s="112">
        <f t="shared" si="19"/>
        <v>170229.62739979487</v>
      </c>
    </row>
    <row r="318" spans="2:6">
      <c r="B318" s="111">
        <v>313</v>
      </c>
      <c r="C318" s="112">
        <f t="shared" si="16"/>
        <v>-3805.6537291797872</v>
      </c>
      <c r="D318" s="112">
        <f t="shared" si="17"/>
        <v>-496.50307991606843</v>
      </c>
      <c r="E318" s="112">
        <f t="shared" si="18"/>
        <v>-3309.1506492637186</v>
      </c>
      <c r="F318" s="112">
        <f t="shared" si="19"/>
        <v>166920.47675053115</v>
      </c>
    </row>
    <row r="319" spans="2:6">
      <c r="B319" s="111">
        <v>314</v>
      </c>
      <c r="C319" s="112">
        <f t="shared" si="16"/>
        <v>-3805.6537291797872</v>
      </c>
      <c r="D319" s="112">
        <f t="shared" si="17"/>
        <v>-486.85139052238259</v>
      </c>
      <c r="E319" s="112">
        <f t="shared" si="18"/>
        <v>-3318.8023386574046</v>
      </c>
      <c r="F319" s="112">
        <f t="shared" si="19"/>
        <v>163601.67441187374</v>
      </c>
    </row>
    <row r="320" spans="2:6">
      <c r="B320" s="111">
        <v>315</v>
      </c>
      <c r="C320" s="112">
        <f t="shared" si="16"/>
        <v>-3805.6537291797872</v>
      </c>
      <c r="D320" s="112">
        <f t="shared" si="17"/>
        <v>-477.17155036796515</v>
      </c>
      <c r="E320" s="112">
        <f t="shared" si="18"/>
        <v>-3328.482178811822</v>
      </c>
      <c r="F320" s="112">
        <f t="shared" si="19"/>
        <v>160273.19223306191</v>
      </c>
    </row>
    <row r="321" spans="2:6">
      <c r="B321" s="111">
        <v>316</v>
      </c>
      <c r="C321" s="112">
        <f t="shared" si="16"/>
        <v>-3805.6537291797872</v>
      </c>
      <c r="D321" s="112">
        <f t="shared" si="17"/>
        <v>-467.46347734643064</v>
      </c>
      <c r="E321" s="112">
        <f t="shared" si="18"/>
        <v>-3338.1902518333563</v>
      </c>
      <c r="F321" s="112">
        <f t="shared" si="19"/>
        <v>156935.00198122856</v>
      </c>
    </row>
    <row r="322" spans="2:6">
      <c r="B322" s="111">
        <v>317</v>
      </c>
      <c r="C322" s="112">
        <f t="shared" si="16"/>
        <v>-3805.6537291797872</v>
      </c>
      <c r="D322" s="112">
        <f t="shared" si="17"/>
        <v>-457.72708911191671</v>
      </c>
      <c r="E322" s="112">
        <f t="shared" si="18"/>
        <v>-3347.9266400678707</v>
      </c>
      <c r="F322" s="112">
        <f t="shared" si="19"/>
        <v>153587.0753411607</v>
      </c>
    </row>
    <row r="323" spans="2:6">
      <c r="B323" s="111">
        <v>318</v>
      </c>
      <c r="C323" s="112">
        <f t="shared" si="16"/>
        <v>-3805.6537291797872</v>
      </c>
      <c r="D323" s="112">
        <f t="shared" si="17"/>
        <v>-447.96230307838545</v>
      </c>
      <c r="E323" s="112">
        <f t="shared" si="18"/>
        <v>-3357.6914261014017</v>
      </c>
      <c r="F323" s="112">
        <f t="shared" si="19"/>
        <v>150229.3839150593</v>
      </c>
    </row>
    <row r="324" spans="2:6">
      <c r="B324" s="111">
        <v>319</v>
      </c>
      <c r="C324" s="112">
        <f t="shared" si="16"/>
        <v>-3805.6537291797872</v>
      </c>
      <c r="D324" s="112">
        <f t="shared" si="17"/>
        <v>-438.16903641892299</v>
      </c>
      <c r="E324" s="112">
        <f t="shared" si="18"/>
        <v>-3367.4846927608642</v>
      </c>
      <c r="F324" s="112">
        <f t="shared" si="19"/>
        <v>146861.89922229844</v>
      </c>
    </row>
    <row r="325" spans="2:6">
      <c r="B325" s="111">
        <v>320</v>
      </c>
      <c r="C325" s="112">
        <f t="shared" si="16"/>
        <v>-3805.6537291797872</v>
      </c>
      <c r="D325" s="112">
        <f t="shared" si="17"/>
        <v>-428.34720606503714</v>
      </c>
      <c r="E325" s="112">
        <f t="shared" si="18"/>
        <v>-3377.3065231147502</v>
      </c>
      <c r="F325" s="112">
        <f t="shared" si="19"/>
        <v>143484.59269918367</v>
      </c>
    </row>
    <row r="326" spans="2:6">
      <c r="B326" s="111">
        <v>321</v>
      </c>
      <c r="C326" s="112">
        <f t="shared" si="16"/>
        <v>-3805.6537291797872</v>
      </c>
      <c r="D326" s="112">
        <f t="shared" si="17"/>
        <v>-418.49672870595242</v>
      </c>
      <c r="E326" s="112">
        <f t="shared" si="18"/>
        <v>-3387.1570004738346</v>
      </c>
      <c r="F326" s="112">
        <f t="shared" si="19"/>
        <v>140097.43569870983</v>
      </c>
    </row>
    <row r="327" spans="2:6">
      <c r="B327" s="111">
        <v>322</v>
      </c>
      <c r="C327" s="112">
        <f t="shared" ref="C327:C390" si="20">IF(B327&lt;=loan_term,C326,0)</f>
        <v>-3805.6537291797872</v>
      </c>
      <c r="D327" s="112">
        <f t="shared" ref="D327:D365" si="21">-F326*Loan_interest_rate/12</f>
        <v>-408.61752078790369</v>
      </c>
      <c r="E327" s="112">
        <f t="shared" si="18"/>
        <v>-3397.0362083918835</v>
      </c>
      <c r="F327" s="112">
        <f t="shared" si="19"/>
        <v>136700.39949031794</v>
      </c>
    </row>
    <row r="328" spans="2:6">
      <c r="B328" s="111">
        <v>323</v>
      </c>
      <c r="C328" s="112">
        <f t="shared" si="20"/>
        <v>-3805.6537291797872</v>
      </c>
      <c r="D328" s="112">
        <f t="shared" si="21"/>
        <v>-398.70949851342738</v>
      </c>
      <c r="E328" s="112">
        <f t="shared" ref="E328:E365" si="22">C328-D328</f>
        <v>-3406.94423066636</v>
      </c>
      <c r="F328" s="112">
        <f t="shared" ref="F328:F365" si="23">F327+E328</f>
        <v>133293.45525965159</v>
      </c>
    </row>
    <row r="329" spans="2:6">
      <c r="B329" s="111">
        <v>324</v>
      </c>
      <c r="C329" s="112">
        <f t="shared" si="20"/>
        <v>-3805.6537291797872</v>
      </c>
      <c r="D329" s="112">
        <f t="shared" si="21"/>
        <v>-388.77257784065051</v>
      </c>
      <c r="E329" s="112">
        <f t="shared" si="22"/>
        <v>-3416.8811513391365</v>
      </c>
      <c r="F329" s="112">
        <f t="shared" si="23"/>
        <v>129876.57410831244</v>
      </c>
    </row>
    <row r="330" spans="2:6">
      <c r="B330" s="111">
        <v>325</v>
      </c>
      <c r="C330" s="112">
        <f t="shared" si="20"/>
        <v>-3805.6537291797872</v>
      </c>
      <c r="D330" s="112">
        <f t="shared" si="21"/>
        <v>-378.80667448257799</v>
      </c>
      <c r="E330" s="112">
        <f t="shared" si="22"/>
        <v>-3426.8470546972094</v>
      </c>
      <c r="F330" s="112">
        <f t="shared" si="23"/>
        <v>126449.72705361524</v>
      </c>
    </row>
    <row r="331" spans="2:6">
      <c r="B331" s="111">
        <v>326</v>
      </c>
      <c r="C331" s="112">
        <f t="shared" si="20"/>
        <v>-3805.6537291797872</v>
      </c>
      <c r="D331" s="112">
        <f t="shared" si="21"/>
        <v>-368.81170390637777</v>
      </c>
      <c r="E331" s="112">
        <f t="shared" si="22"/>
        <v>-3436.8420252734095</v>
      </c>
      <c r="F331" s="112">
        <f t="shared" si="23"/>
        <v>123012.88502834183</v>
      </c>
    </row>
    <row r="332" spans="2:6">
      <c r="B332" s="111">
        <v>327</v>
      </c>
      <c r="C332" s="112">
        <f t="shared" si="20"/>
        <v>-3805.6537291797872</v>
      </c>
      <c r="D332" s="112">
        <f t="shared" si="21"/>
        <v>-358.78758133266371</v>
      </c>
      <c r="E332" s="112">
        <f t="shared" si="22"/>
        <v>-3446.8661478471236</v>
      </c>
      <c r="F332" s="112">
        <f t="shared" si="23"/>
        <v>119566.01888049471</v>
      </c>
    </row>
    <row r="333" spans="2:6">
      <c r="B333" s="111">
        <v>328</v>
      </c>
      <c r="C333" s="112">
        <f t="shared" si="20"/>
        <v>-3805.6537291797872</v>
      </c>
      <c r="D333" s="112">
        <f t="shared" si="21"/>
        <v>-348.73422173477633</v>
      </c>
      <c r="E333" s="112">
        <f t="shared" si="22"/>
        <v>-3456.9195074450108</v>
      </c>
      <c r="F333" s="112">
        <f t="shared" si="23"/>
        <v>116109.0993730497</v>
      </c>
    </row>
    <row r="334" spans="2:6">
      <c r="B334" s="111">
        <v>329</v>
      </c>
      <c r="C334" s="112">
        <f t="shared" si="20"/>
        <v>-3805.6537291797872</v>
      </c>
      <c r="D334" s="112">
        <f t="shared" si="21"/>
        <v>-338.65153983806164</v>
      </c>
      <c r="E334" s="112">
        <f t="shared" si="22"/>
        <v>-3467.0021893417256</v>
      </c>
      <c r="F334" s="112">
        <f t="shared" si="23"/>
        <v>112642.09718370797</v>
      </c>
    </row>
    <row r="335" spans="2:6">
      <c r="B335" s="111">
        <v>330</v>
      </c>
      <c r="C335" s="112">
        <f t="shared" si="20"/>
        <v>-3805.6537291797872</v>
      </c>
      <c r="D335" s="112">
        <f t="shared" si="21"/>
        <v>-328.53945011914828</v>
      </c>
      <c r="E335" s="112">
        <f t="shared" si="22"/>
        <v>-3477.1142790606391</v>
      </c>
      <c r="F335" s="112">
        <f t="shared" si="23"/>
        <v>109164.98290464733</v>
      </c>
    </row>
    <row r="336" spans="2:6">
      <c r="B336" s="111">
        <v>331</v>
      </c>
      <c r="C336" s="112">
        <f t="shared" si="20"/>
        <v>-3805.6537291797872</v>
      </c>
      <c r="D336" s="112">
        <f t="shared" si="21"/>
        <v>-318.39786680522144</v>
      </c>
      <c r="E336" s="112">
        <f t="shared" si="22"/>
        <v>-3487.2558623745658</v>
      </c>
      <c r="F336" s="112">
        <f t="shared" si="23"/>
        <v>105677.72704227276</v>
      </c>
    </row>
    <row r="337" spans="2:6">
      <c r="B337" s="111">
        <v>332</v>
      </c>
      <c r="C337" s="112">
        <f t="shared" si="20"/>
        <v>-3805.6537291797872</v>
      </c>
      <c r="D337" s="112">
        <f t="shared" si="21"/>
        <v>-308.22670387329555</v>
      </c>
      <c r="E337" s="112">
        <f t="shared" si="22"/>
        <v>-3497.4270253064915</v>
      </c>
      <c r="F337" s="112">
        <f t="shared" si="23"/>
        <v>102180.30001696627</v>
      </c>
    </row>
    <row r="338" spans="2:6">
      <c r="B338" s="111">
        <v>333</v>
      </c>
      <c r="C338" s="112">
        <f t="shared" si="20"/>
        <v>-3805.6537291797872</v>
      </c>
      <c r="D338" s="112">
        <f t="shared" si="21"/>
        <v>-298.02587504948497</v>
      </c>
      <c r="E338" s="112">
        <f t="shared" si="22"/>
        <v>-3507.6278541303022</v>
      </c>
      <c r="F338" s="112">
        <f t="shared" si="23"/>
        <v>98672.672162835966</v>
      </c>
    </row>
    <row r="339" spans="2:6">
      <c r="B339" s="111">
        <v>334</v>
      </c>
      <c r="C339" s="112">
        <f t="shared" si="20"/>
        <v>-3805.6537291797872</v>
      </c>
      <c r="D339" s="112">
        <f t="shared" si="21"/>
        <v>-287.79529380827159</v>
      </c>
      <c r="E339" s="112">
        <f t="shared" si="22"/>
        <v>-3517.8584353715155</v>
      </c>
      <c r="F339" s="112">
        <f t="shared" si="23"/>
        <v>95154.813727464454</v>
      </c>
    </row>
    <row r="340" spans="2:6">
      <c r="B340" s="111">
        <v>335</v>
      </c>
      <c r="C340" s="112">
        <f t="shared" si="20"/>
        <v>-3805.6537291797872</v>
      </c>
      <c r="D340" s="112">
        <f t="shared" si="21"/>
        <v>-277.53487337177137</v>
      </c>
      <c r="E340" s="112">
        <f t="shared" si="22"/>
        <v>-3528.1188558080157</v>
      </c>
      <c r="F340" s="112">
        <f t="shared" si="23"/>
        <v>91626.694871656437</v>
      </c>
    </row>
    <row r="341" spans="2:6">
      <c r="B341" s="111">
        <v>336</v>
      </c>
      <c r="C341" s="112">
        <f t="shared" si="20"/>
        <v>-3805.6537291797872</v>
      </c>
      <c r="D341" s="112">
        <f t="shared" si="21"/>
        <v>-267.24452670899797</v>
      </c>
      <c r="E341" s="112">
        <f t="shared" si="22"/>
        <v>-3538.4092024707893</v>
      </c>
      <c r="F341" s="112">
        <f t="shared" si="23"/>
        <v>88088.285669185643</v>
      </c>
    </row>
    <row r="342" spans="2:6">
      <c r="B342" s="111">
        <v>337</v>
      </c>
      <c r="C342" s="112">
        <f t="shared" si="20"/>
        <v>-3805.6537291797872</v>
      </c>
      <c r="D342" s="112">
        <f t="shared" si="21"/>
        <v>-256.92416653512481</v>
      </c>
      <c r="E342" s="112">
        <f t="shared" si="22"/>
        <v>-3548.7295626446626</v>
      </c>
      <c r="F342" s="112">
        <f t="shared" si="23"/>
        <v>84539.556106540986</v>
      </c>
    </row>
    <row r="343" spans="2:6">
      <c r="B343" s="111">
        <v>338</v>
      </c>
      <c r="C343" s="112">
        <f t="shared" si="20"/>
        <v>-3805.6537291797872</v>
      </c>
      <c r="D343" s="112">
        <f t="shared" si="21"/>
        <v>-246.57370531074457</v>
      </c>
      <c r="E343" s="112">
        <f t="shared" si="22"/>
        <v>-3559.0800238690426</v>
      </c>
      <c r="F343" s="112">
        <f t="shared" si="23"/>
        <v>80980.476082671943</v>
      </c>
    </row>
    <row r="344" spans="2:6">
      <c r="B344" s="111">
        <v>339</v>
      </c>
      <c r="C344" s="112">
        <f t="shared" si="20"/>
        <v>-3805.6537291797872</v>
      </c>
      <c r="D344" s="112">
        <f t="shared" si="21"/>
        <v>-236.19305524112653</v>
      </c>
      <c r="E344" s="112">
        <f t="shared" si="22"/>
        <v>-3569.4606739386609</v>
      </c>
      <c r="F344" s="112">
        <f t="shared" si="23"/>
        <v>77411.015408733278</v>
      </c>
    </row>
    <row r="345" spans="2:6">
      <c r="B345" s="111">
        <v>340</v>
      </c>
      <c r="C345" s="112">
        <f t="shared" si="20"/>
        <v>-3805.6537291797872</v>
      </c>
      <c r="D345" s="112">
        <f t="shared" si="21"/>
        <v>-225.7821282754721</v>
      </c>
      <c r="E345" s="112">
        <f t="shared" si="22"/>
        <v>-3579.8716009043151</v>
      </c>
      <c r="F345" s="112">
        <f t="shared" si="23"/>
        <v>73831.143807828965</v>
      </c>
    </row>
    <row r="346" spans="2:6">
      <c r="B346" s="111">
        <v>341</v>
      </c>
      <c r="C346" s="112">
        <f t="shared" si="20"/>
        <v>-3805.6537291797872</v>
      </c>
      <c r="D346" s="112">
        <f t="shared" si="21"/>
        <v>-215.34083610616781</v>
      </c>
      <c r="E346" s="112">
        <f t="shared" si="22"/>
        <v>-3590.3128930736193</v>
      </c>
      <c r="F346" s="112">
        <f t="shared" si="23"/>
        <v>70240.830914755352</v>
      </c>
    </row>
    <row r="347" spans="2:6">
      <c r="B347" s="111">
        <v>342</v>
      </c>
      <c r="C347" s="112">
        <f t="shared" si="20"/>
        <v>-3805.6537291797872</v>
      </c>
      <c r="D347" s="112">
        <f t="shared" si="21"/>
        <v>-204.86909016803645</v>
      </c>
      <c r="E347" s="112">
        <f t="shared" si="22"/>
        <v>-3600.7846390117506</v>
      </c>
      <c r="F347" s="112">
        <f t="shared" si="23"/>
        <v>66640.046275743603</v>
      </c>
    </row>
    <row r="348" spans="2:6">
      <c r="B348" s="111">
        <v>343</v>
      </c>
      <c r="C348" s="112">
        <f t="shared" si="20"/>
        <v>-3805.6537291797872</v>
      </c>
      <c r="D348" s="112">
        <f t="shared" si="21"/>
        <v>-194.36680163758555</v>
      </c>
      <c r="E348" s="112">
        <f t="shared" si="22"/>
        <v>-3611.2869275422017</v>
      </c>
      <c r="F348" s="112">
        <f t="shared" si="23"/>
        <v>63028.759348201405</v>
      </c>
    </row>
    <row r="349" spans="2:6">
      <c r="B349" s="111">
        <v>344</v>
      </c>
      <c r="C349" s="112">
        <f t="shared" si="20"/>
        <v>-3805.6537291797872</v>
      </c>
      <c r="D349" s="112">
        <f t="shared" si="21"/>
        <v>-183.83388143225412</v>
      </c>
      <c r="E349" s="112">
        <f t="shared" si="22"/>
        <v>-3621.819847747533</v>
      </c>
      <c r="F349" s="112">
        <f t="shared" si="23"/>
        <v>59406.939500453875</v>
      </c>
    </row>
    <row r="350" spans="2:6">
      <c r="B350" s="111">
        <v>345</v>
      </c>
      <c r="C350" s="112">
        <f t="shared" si="20"/>
        <v>-3805.6537291797872</v>
      </c>
      <c r="D350" s="112">
        <f t="shared" si="21"/>
        <v>-173.27024020965715</v>
      </c>
      <c r="E350" s="112">
        <f t="shared" si="22"/>
        <v>-3632.3834889701302</v>
      </c>
      <c r="F350" s="112">
        <f t="shared" si="23"/>
        <v>55774.556011483743</v>
      </c>
    </row>
    <row r="351" spans="2:6">
      <c r="B351" s="111">
        <v>346</v>
      </c>
      <c r="C351" s="112">
        <f t="shared" si="20"/>
        <v>-3805.6537291797872</v>
      </c>
      <c r="D351" s="112">
        <f t="shared" si="21"/>
        <v>-162.67578836682759</v>
      </c>
      <c r="E351" s="112">
        <f t="shared" si="22"/>
        <v>-3642.9779408129598</v>
      </c>
      <c r="F351" s="112">
        <f t="shared" si="23"/>
        <v>52131.578070670781</v>
      </c>
    </row>
    <row r="352" spans="2:6">
      <c r="B352" s="111">
        <v>347</v>
      </c>
      <c r="C352" s="112">
        <f t="shared" si="20"/>
        <v>-3805.6537291797872</v>
      </c>
      <c r="D352" s="112">
        <f t="shared" si="21"/>
        <v>-152.05043603945646</v>
      </c>
      <c r="E352" s="112">
        <f t="shared" si="22"/>
        <v>-3653.6032931403306</v>
      </c>
      <c r="F352" s="112">
        <f t="shared" si="23"/>
        <v>48477.97477753045</v>
      </c>
    </row>
    <row r="353" spans="2:6">
      <c r="B353" s="111">
        <v>348</v>
      </c>
      <c r="C353" s="112">
        <f t="shared" si="20"/>
        <v>-3805.6537291797872</v>
      </c>
      <c r="D353" s="112">
        <f t="shared" si="21"/>
        <v>-141.39409310113049</v>
      </c>
      <c r="E353" s="112">
        <f t="shared" si="22"/>
        <v>-3664.2596360786565</v>
      </c>
      <c r="F353" s="112">
        <f t="shared" si="23"/>
        <v>44813.715141451794</v>
      </c>
    </row>
    <row r="354" spans="2:6">
      <c r="B354" s="111">
        <v>349</v>
      </c>
      <c r="C354" s="112">
        <f t="shared" si="20"/>
        <v>-3805.6537291797872</v>
      </c>
      <c r="D354" s="112">
        <f t="shared" si="21"/>
        <v>-130.70666916256775</v>
      </c>
      <c r="E354" s="112">
        <f t="shared" si="22"/>
        <v>-3674.9470600172194</v>
      </c>
      <c r="F354" s="112">
        <f t="shared" si="23"/>
        <v>41138.768081434573</v>
      </c>
    </row>
    <row r="355" spans="2:6">
      <c r="B355" s="111">
        <v>350</v>
      </c>
      <c r="C355" s="112">
        <f t="shared" si="20"/>
        <v>-3805.6537291797872</v>
      </c>
      <c r="D355" s="112">
        <f t="shared" si="21"/>
        <v>-119.98807357085086</v>
      </c>
      <c r="E355" s="112">
        <f t="shared" si="22"/>
        <v>-3685.6656556089365</v>
      </c>
      <c r="F355" s="112">
        <f t="shared" si="23"/>
        <v>37453.102425825637</v>
      </c>
    </row>
    <row r="356" spans="2:6">
      <c r="B356" s="111">
        <v>351</v>
      </c>
      <c r="C356" s="112">
        <f t="shared" si="20"/>
        <v>-3805.6537291797872</v>
      </c>
      <c r="D356" s="112">
        <f t="shared" si="21"/>
        <v>-109.23821540865812</v>
      </c>
      <c r="E356" s="112">
        <f t="shared" si="22"/>
        <v>-3696.4155137711291</v>
      </c>
      <c r="F356" s="112">
        <f t="shared" si="23"/>
        <v>33756.686912054509</v>
      </c>
    </row>
    <row r="357" spans="2:6">
      <c r="B357" s="111">
        <v>352</v>
      </c>
      <c r="C357" s="112">
        <f t="shared" si="20"/>
        <v>-3805.6537291797872</v>
      </c>
      <c r="D357" s="112">
        <f t="shared" si="21"/>
        <v>-98.457003493492323</v>
      </c>
      <c r="E357" s="112">
        <f t="shared" si="22"/>
        <v>-3707.1967256862949</v>
      </c>
      <c r="F357" s="112">
        <f t="shared" si="23"/>
        <v>30049.490186368213</v>
      </c>
    </row>
    <row r="358" spans="2:6">
      <c r="B358" s="111">
        <v>353</v>
      </c>
      <c r="C358" s="112">
        <f t="shared" si="20"/>
        <v>-3805.6537291797872</v>
      </c>
      <c r="D358" s="112">
        <f t="shared" si="21"/>
        <v>-87.644346376907308</v>
      </c>
      <c r="E358" s="112">
        <f t="shared" si="22"/>
        <v>-3718.0093828028798</v>
      </c>
      <c r="F358" s="112">
        <f t="shared" si="23"/>
        <v>26331.480803565333</v>
      </c>
    </row>
    <row r="359" spans="2:6">
      <c r="B359" s="111">
        <v>354</v>
      </c>
      <c r="C359" s="112">
        <f t="shared" si="20"/>
        <v>-3805.6537291797872</v>
      </c>
      <c r="D359" s="112">
        <f t="shared" si="21"/>
        <v>-76.800152343732222</v>
      </c>
      <c r="E359" s="112">
        <f t="shared" si="22"/>
        <v>-3728.8535768360548</v>
      </c>
      <c r="F359" s="112">
        <f t="shared" si="23"/>
        <v>22602.627226729277</v>
      </c>
    </row>
    <row r="360" spans="2:6">
      <c r="B360" s="111">
        <v>355</v>
      </c>
      <c r="C360" s="112">
        <f t="shared" si="20"/>
        <v>-3805.6537291797872</v>
      </c>
      <c r="D360" s="112">
        <f t="shared" si="21"/>
        <v>-65.924329411293726</v>
      </c>
      <c r="E360" s="112">
        <f t="shared" si="22"/>
        <v>-3739.7293997684933</v>
      </c>
      <c r="F360" s="112">
        <f t="shared" si="23"/>
        <v>18862.897826960783</v>
      </c>
    </row>
    <row r="361" spans="2:6">
      <c r="B361" s="111">
        <v>356</v>
      </c>
      <c r="C361" s="112">
        <f t="shared" si="20"/>
        <v>-3805.6537291797872</v>
      </c>
      <c r="D361" s="112">
        <f t="shared" si="21"/>
        <v>-55.016785328635621</v>
      </c>
      <c r="E361" s="112">
        <f t="shared" si="22"/>
        <v>-3750.6369438511515</v>
      </c>
      <c r="F361" s="112">
        <f t="shared" si="23"/>
        <v>15112.260883109631</v>
      </c>
    </row>
    <row r="362" spans="2:6">
      <c r="B362" s="111">
        <v>357</v>
      </c>
      <c r="C362" s="112">
        <f t="shared" si="20"/>
        <v>-3805.6537291797872</v>
      </c>
      <c r="D362" s="112">
        <f t="shared" si="21"/>
        <v>-44.077427575736429</v>
      </c>
      <c r="E362" s="112">
        <f t="shared" si="22"/>
        <v>-3761.576301604051</v>
      </c>
      <c r="F362" s="112">
        <f t="shared" si="23"/>
        <v>11350.68458150558</v>
      </c>
    </row>
    <row r="363" spans="2:6">
      <c r="B363" s="111">
        <v>358</v>
      </c>
      <c r="C363" s="112">
        <f t="shared" si="20"/>
        <v>-3805.6537291797872</v>
      </c>
      <c r="D363" s="112">
        <f t="shared" si="21"/>
        <v>-33.106163362724608</v>
      </c>
      <c r="E363" s="112">
        <f t="shared" si="22"/>
        <v>-3772.5475658170626</v>
      </c>
      <c r="F363" s="112">
        <f t="shared" si="23"/>
        <v>7578.1370156885177</v>
      </c>
    </row>
    <row r="364" spans="2:6">
      <c r="B364" s="111">
        <v>359</v>
      </c>
      <c r="C364" s="112">
        <f t="shared" si="20"/>
        <v>-3805.6537291797872</v>
      </c>
      <c r="D364" s="112">
        <f t="shared" si="21"/>
        <v>-22.10289962909151</v>
      </c>
      <c r="E364" s="112">
        <f t="shared" si="22"/>
        <v>-3783.5508295506957</v>
      </c>
      <c r="F364" s="112">
        <f t="shared" si="23"/>
        <v>3794.5861861378221</v>
      </c>
    </row>
    <row r="365" spans="2:6">
      <c r="B365" s="111">
        <v>360</v>
      </c>
      <c r="C365" s="112">
        <f t="shared" si="20"/>
        <v>-3805.6537291797872</v>
      </c>
      <c r="D365" s="112">
        <f t="shared" si="21"/>
        <v>-11.067543042901981</v>
      </c>
      <c r="E365" s="112">
        <f t="shared" si="22"/>
        <v>-3794.5861861368853</v>
      </c>
      <c r="F365" s="112">
        <f t="shared" si="23"/>
        <v>9.3677954282611609E-10</v>
      </c>
    </row>
  </sheetData>
  <mergeCells count="1">
    <mergeCell ref="B2:F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RE Model</vt:lpstr>
      <vt:lpstr>Loan Amortization Schedule</vt:lpstr>
      <vt:lpstr>After_tax_discount_rate</vt:lpstr>
      <vt:lpstr>capital_gain_rate</vt:lpstr>
      <vt:lpstr>Closing_cost</vt:lpstr>
      <vt:lpstr>Deperication_rate</vt:lpstr>
      <vt:lpstr>Depericiable_basis</vt:lpstr>
      <vt:lpstr>Down_Payment</vt:lpstr>
      <vt:lpstr>Exit_cap_rate</vt:lpstr>
      <vt:lpstr>Exit_selling_rate</vt:lpstr>
      <vt:lpstr>Inflation_Rate</vt:lpstr>
      <vt:lpstr>Loan_Amount</vt:lpstr>
      <vt:lpstr>Loan_Fees</vt:lpstr>
      <vt:lpstr>Loan_interest_rate</vt:lpstr>
      <vt:lpstr>loan_term</vt:lpstr>
      <vt:lpstr>Marginal_tax_rate</vt:lpstr>
      <vt:lpstr>NPV_discount_rate</vt:lpstr>
      <vt:lpstr>Pertax_discount_rate</vt:lpstr>
      <vt:lpstr>'RE Model'!Print_Area</vt:lpstr>
      <vt:lpstr>Purchases_Price</vt:lpstr>
      <vt:lpstr>Vacancy_Rate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cp:lastPrinted>2026-02-23T22:44:13Z</cp:lastPrinted>
  <dcterms:created xsi:type="dcterms:W3CDTF">2026-02-22T17:31:14Z</dcterms:created>
  <dcterms:modified xsi:type="dcterms:W3CDTF">2026-03-30T08:16:02Z</dcterms:modified>
</cp:coreProperties>
</file>