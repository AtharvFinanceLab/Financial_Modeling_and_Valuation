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5.xml" ContentType="application/vnd.openxmlformats-officedocument.drawing+xml"/>
  <Override PartName="/xl/charts/chartEx1.xml" ContentType="application/vnd.ms-office.chartex+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2.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rime\Downloads\Projects\Finanial Modeling and Valution\"/>
    </mc:Choice>
  </mc:AlternateContent>
  <bookViews>
    <workbookView xWindow="0" yWindow="0" windowWidth="20490" windowHeight="7620" firstSheet="8" activeTab="8"/>
  </bookViews>
  <sheets>
    <sheet name="HistoricalFS" sheetId="8" r:id="rId1"/>
    <sheet name="Ration Analysis" sheetId="11" r:id="rId2"/>
    <sheet name="Forcasting" sheetId="12" r:id="rId3"/>
    <sheet name="Common Size Statement " sheetId="19" r:id="rId4"/>
    <sheet name="DCF&gt;" sheetId="13" r:id="rId5"/>
    <sheet name="DCF" sheetId="23" r:id="rId6"/>
    <sheet name="Data&gt;" sheetId="15" r:id="rId7"/>
    <sheet name="WACC" sheetId="14" r:id="rId8"/>
    <sheet name="Beta-Regression" sheetId="16" r:id="rId9"/>
    <sheet name="Intrisic Growth" sheetId="22" r:id="rId10"/>
    <sheet name="Raw FS" sheetId="36" r:id="rId11"/>
    <sheet name="Comps Analysis" sheetId="25" r:id="rId12"/>
    <sheet name="Football Field" sheetId="26" r:id="rId13"/>
    <sheet name="Dupont Analysis" sheetId="32" r:id="rId14"/>
    <sheet name="Altman Z Score" sheetId="33" r:id="rId15"/>
    <sheet name="VAR&gt;" sheetId="29" r:id="rId16"/>
    <sheet name="Historical Apporoach" sheetId="27" r:id="rId17"/>
    <sheet name="Monte Carlo Simulation" sheetId="30" r:id="rId18"/>
    <sheet name="Data Room&gt;" sheetId="9" r:id="rId19"/>
    <sheet name="Data Sheet" sheetId="6" r:id="rId20"/>
    <sheet name=" Cash Flow Date" sheetId="10" r:id="rId21"/>
    <sheet name="RM" sheetId="35" r:id="rId22"/>
    <sheet name="Beta-comps" sheetId="17" r:id="rId23"/>
    <sheet name="Realtive Data" sheetId="24" r:id="rId24"/>
    <sheet name="List of Stock" sheetId="31" r:id="rId25"/>
  </sheets>
  <definedNames>
    <definedName name="_xlnm._FilterDatabase" localSheetId="22" hidden="1">'Beta-comps'!#REF!</definedName>
    <definedName name="_xlnm._FilterDatabase" localSheetId="16" hidden="1">'Historical Apporoach'!$B$7:$E$7</definedName>
    <definedName name="_xlnm._FilterDatabase" localSheetId="17" hidden="1">'Monte Carlo Simulation'!$B$9:$H$9</definedName>
    <definedName name="_xlchart.v1.0" hidden="1">'Historical Apporoach'!$B$8:$B$503</definedName>
    <definedName name="_xlchart.v1.1" hidden="1">'Historical Apporoach'!$C$7</definedName>
    <definedName name="_xlchart.v1.2" hidden="1">'Historical Apporoach'!$C$8:$C$503</definedName>
    <definedName name="_xlchart.v1.3" hidden="1">'Historical Apporoach'!$D$7</definedName>
    <definedName name="_xlchart.v1.4" hidden="1">'Historical Apporoach'!$D$8:$D$503</definedName>
    <definedName name="_xlchart.v1.5" hidden="1">'Monte Carlo Simulation'!$H$11:$H$10010</definedName>
    <definedName name="COD">WACC!$J$58</definedName>
    <definedName name="COE">WACC!$J$56</definedName>
    <definedName name="Cost_of_Debt">WACC!$J$58</definedName>
    <definedName name="_xlnm.Print_Area" localSheetId="14">'Altman Z Score'!$B$1:$I$99</definedName>
    <definedName name="_xlnm.Print_Area" localSheetId="8">'Beta-Regression'!$B$2:$K$120</definedName>
    <definedName name="_xlnm.Print_Area" localSheetId="3">'Common Size Statement '!$B$3:$L$47</definedName>
    <definedName name="_xlnm.Print_Area" localSheetId="11">'Comps Analysis'!$A$1:$P$42</definedName>
    <definedName name="_xlnm.Print_Area" localSheetId="5">DCF!$B$1:$I$93</definedName>
    <definedName name="_xlnm.Print_Area" localSheetId="13">'Dupont Analysis'!$A$1:$I$117</definedName>
    <definedName name="_xlnm.Print_Area" localSheetId="2">Forcasting!$A$3:$P$44</definedName>
    <definedName name="_xlnm.Print_Area" localSheetId="16">'Historical Apporoach'!$B$4:$K$81</definedName>
    <definedName name="_xlnm.Print_Area" localSheetId="0">HistoricalFS!$B$1:$M$115</definedName>
    <definedName name="_xlnm.Print_Area" localSheetId="9">'Intrisic Growth'!$B$4:$K$66</definedName>
    <definedName name="_xlnm.Print_Area" localSheetId="17">'Monte Carlo Simulation'!$A$1:$N$10010</definedName>
    <definedName name="_xlnm.Print_Area" localSheetId="1">'Ration Analysis'!$B$3:$O$48</definedName>
    <definedName name="_xlnm.Print_Area" localSheetId="7">WACC!$B$6:$J$63</definedName>
    <definedName name="Taper_rate">WACC!$C$17</definedName>
    <definedName name="Tax_rate">WACC!$C$21</definedName>
    <definedName name="UPDATE">'Data Sheet'!$E$1</definedName>
    <definedName name="WACC">WACC!$J$61</definedName>
  </definedNames>
  <calcPr calcId="162913"/>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C45" i="23" l="1"/>
  <c r="C51" i="23"/>
  <c r="K11" i="16"/>
  <c r="K16" i="16"/>
  <c r="C65" i="23" l="1"/>
  <c r="C20" i="14"/>
  <c r="C44" i="23"/>
  <c r="J57" i="14"/>
  <c r="J42" i="14"/>
  <c r="J41" i="14"/>
  <c r="F49" i="14"/>
  <c r="K95" i="6"/>
  <c r="J95" i="6"/>
  <c r="I95" i="6"/>
  <c r="K94" i="6"/>
  <c r="J94" i="6"/>
  <c r="I94" i="6"/>
  <c r="K93" i="6"/>
  <c r="J93" i="6"/>
  <c r="I93" i="6"/>
  <c r="K92" i="6"/>
  <c r="J92" i="6"/>
  <c r="I92" i="6"/>
  <c r="B33" i="14"/>
  <c r="D33" i="14"/>
  <c r="G33" i="14" s="1"/>
  <c r="J33" i="14" s="1"/>
  <c r="E33" i="14"/>
  <c r="F33" i="14"/>
  <c r="H33" i="14"/>
  <c r="B40" i="19" l="1"/>
  <c r="D504" i="30" l="1"/>
  <c r="D503" i="30"/>
  <c r="D502" i="30"/>
  <c r="D501" i="30"/>
  <c r="D500" i="30"/>
  <c r="D499" i="30"/>
  <c r="D498" i="30"/>
  <c r="D497" i="30"/>
  <c r="D496" i="30"/>
  <c r="D495" i="30"/>
  <c r="D494" i="30"/>
  <c r="D493" i="30"/>
  <c r="D492" i="30"/>
  <c r="D491" i="30"/>
  <c r="D490" i="30"/>
  <c r="D489" i="30"/>
  <c r="D488" i="30"/>
  <c r="D487" i="30"/>
  <c r="D486" i="30"/>
  <c r="D485" i="30"/>
  <c r="D484" i="30"/>
  <c r="D483" i="30"/>
  <c r="D482" i="30"/>
  <c r="D481" i="30"/>
  <c r="D480" i="30"/>
  <c r="D479" i="30"/>
  <c r="D478" i="30"/>
  <c r="D477" i="30"/>
  <c r="D476" i="30"/>
  <c r="D475" i="30"/>
  <c r="D474" i="30"/>
  <c r="D473" i="30"/>
  <c r="D472" i="30"/>
  <c r="D471" i="30"/>
  <c r="D470" i="30"/>
  <c r="D469" i="30"/>
  <c r="D468" i="30"/>
  <c r="D467" i="30"/>
  <c r="D466" i="30"/>
  <c r="D465" i="30"/>
  <c r="D464" i="30"/>
  <c r="D463" i="30"/>
  <c r="D462" i="30"/>
  <c r="D461" i="30"/>
  <c r="D460" i="30"/>
  <c r="D459" i="30"/>
  <c r="D458" i="30"/>
  <c r="D457" i="30"/>
  <c r="D456" i="30"/>
  <c r="D455" i="30"/>
  <c r="D454" i="30"/>
  <c r="D453" i="30"/>
  <c r="D452" i="30"/>
  <c r="D451" i="30"/>
  <c r="D450" i="30"/>
  <c r="D449" i="30"/>
  <c r="D448" i="30"/>
  <c r="D447" i="30"/>
  <c r="D446" i="30"/>
  <c r="D445" i="30"/>
  <c r="D444" i="30"/>
  <c r="D443" i="30"/>
  <c r="D442" i="30"/>
  <c r="D441" i="30"/>
  <c r="D440" i="30"/>
  <c r="D439" i="30"/>
  <c r="D438" i="30"/>
  <c r="D437" i="30"/>
  <c r="D436" i="30"/>
  <c r="D435" i="30"/>
  <c r="D434" i="30"/>
  <c r="D433" i="30"/>
  <c r="D432" i="30"/>
  <c r="D431" i="30"/>
  <c r="D430" i="30"/>
  <c r="D429" i="30"/>
  <c r="D428" i="30"/>
  <c r="D427" i="30"/>
  <c r="D426" i="30"/>
  <c r="D425" i="30"/>
  <c r="D424" i="30"/>
  <c r="D423" i="30"/>
  <c r="D422" i="30"/>
  <c r="D421" i="30"/>
  <c r="D420" i="30"/>
  <c r="D419" i="30"/>
  <c r="D418" i="30"/>
  <c r="D417" i="30"/>
  <c r="D416" i="30"/>
  <c r="D415" i="30"/>
  <c r="D414" i="30"/>
  <c r="D413" i="30"/>
  <c r="D412" i="30"/>
  <c r="D411" i="30"/>
  <c r="D410" i="30"/>
  <c r="D409" i="30"/>
  <c r="D408" i="30"/>
  <c r="D407" i="30"/>
  <c r="D406" i="30"/>
  <c r="D405" i="30"/>
  <c r="D404" i="30"/>
  <c r="D403" i="30"/>
  <c r="D402" i="30"/>
  <c r="D401" i="30"/>
  <c r="D400" i="30"/>
  <c r="D399" i="30"/>
  <c r="D398" i="30"/>
  <c r="D397" i="30"/>
  <c r="D396" i="30"/>
  <c r="D395" i="30"/>
  <c r="D394" i="30"/>
  <c r="D393" i="30"/>
  <c r="D392" i="30"/>
  <c r="D391" i="30"/>
  <c r="D390" i="30"/>
  <c r="D389" i="30"/>
  <c r="D388" i="30"/>
  <c r="D387" i="30"/>
  <c r="D386" i="30"/>
  <c r="D385" i="30"/>
  <c r="D384" i="30"/>
  <c r="D383" i="30"/>
  <c r="D382" i="30"/>
  <c r="D381" i="30"/>
  <c r="D380" i="30"/>
  <c r="D379" i="30"/>
  <c r="D378" i="30"/>
  <c r="D377" i="30"/>
  <c r="D376" i="30"/>
  <c r="D375" i="30"/>
  <c r="D374" i="30"/>
  <c r="D373" i="30"/>
  <c r="D372" i="30"/>
  <c r="D371" i="30"/>
  <c r="D370" i="30"/>
  <c r="D369" i="30"/>
  <c r="D368" i="30"/>
  <c r="D367" i="30"/>
  <c r="D366" i="30"/>
  <c r="D365" i="30"/>
  <c r="D364" i="30"/>
  <c r="D363" i="30"/>
  <c r="D362" i="30"/>
  <c r="D361" i="30"/>
  <c r="D360" i="30"/>
  <c r="D359" i="30"/>
  <c r="D358" i="30"/>
  <c r="D357" i="30"/>
  <c r="D356" i="30"/>
  <c r="D355" i="30"/>
  <c r="D354" i="30"/>
  <c r="D353" i="30"/>
  <c r="D352" i="30"/>
  <c r="D351" i="30"/>
  <c r="D350" i="30"/>
  <c r="D349" i="30"/>
  <c r="D348" i="30"/>
  <c r="D347" i="30"/>
  <c r="D346" i="30"/>
  <c r="D345" i="30"/>
  <c r="D344" i="30"/>
  <c r="D343" i="30"/>
  <c r="D342" i="30"/>
  <c r="D341" i="30"/>
  <c r="D340" i="30"/>
  <c r="D339" i="30"/>
  <c r="D338" i="30"/>
  <c r="D337" i="30"/>
  <c r="D336" i="30"/>
  <c r="D335" i="30"/>
  <c r="D334" i="30"/>
  <c r="D333" i="30"/>
  <c r="D332" i="30"/>
  <c r="D331" i="30"/>
  <c r="D330" i="30"/>
  <c r="D329" i="30"/>
  <c r="D328" i="30"/>
  <c r="D327" i="30"/>
  <c r="D326" i="30"/>
  <c r="D325" i="30"/>
  <c r="D324" i="30"/>
  <c r="D323" i="30"/>
  <c r="D322" i="30"/>
  <c r="D321" i="30"/>
  <c r="D320" i="30"/>
  <c r="D319" i="30"/>
  <c r="D318" i="30"/>
  <c r="D317" i="30"/>
  <c r="D316" i="30"/>
  <c r="D315" i="30"/>
  <c r="D314" i="30"/>
  <c r="D313" i="30"/>
  <c r="D312" i="30"/>
  <c r="D311" i="30"/>
  <c r="D310" i="30"/>
  <c r="D309" i="30"/>
  <c r="D308" i="30"/>
  <c r="D307" i="30"/>
  <c r="D306" i="30"/>
  <c r="D305" i="30"/>
  <c r="D304" i="30"/>
  <c r="D303" i="30"/>
  <c r="D302" i="30"/>
  <c r="D301" i="30"/>
  <c r="D300" i="30"/>
  <c r="D299" i="30"/>
  <c r="D298" i="30"/>
  <c r="D297" i="30"/>
  <c r="D296" i="30"/>
  <c r="D295" i="30"/>
  <c r="D294" i="30"/>
  <c r="D293" i="30"/>
  <c r="D292" i="30"/>
  <c r="D291" i="30"/>
  <c r="D290" i="30"/>
  <c r="D289" i="30"/>
  <c r="D288" i="30"/>
  <c r="D287" i="30"/>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K10" i="27"/>
  <c r="D502" i="27"/>
  <c r="D501" i="27"/>
  <c r="D500" i="27"/>
  <c r="D499" i="27"/>
  <c r="D498" i="27"/>
  <c r="D497" i="27"/>
  <c r="D496" i="27"/>
  <c r="D495" i="27"/>
  <c r="D494" i="27"/>
  <c r="D493" i="27"/>
  <c r="D492" i="27"/>
  <c r="D491" i="27"/>
  <c r="D490" i="27"/>
  <c r="D489" i="27"/>
  <c r="D488" i="27"/>
  <c r="D487" i="27"/>
  <c r="D486" i="27"/>
  <c r="D485" i="27"/>
  <c r="D484" i="27"/>
  <c r="D483" i="27"/>
  <c r="D482" i="27"/>
  <c r="D481" i="27"/>
  <c r="D480" i="27"/>
  <c r="D479" i="27"/>
  <c r="D478" i="27"/>
  <c r="D477" i="27"/>
  <c r="D476" i="27"/>
  <c r="D475" i="27"/>
  <c r="D474" i="27"/>
  <c r="D473" i="27"/>
  <c r="D472" i="27"/>
  <c r="D471" i="27"/>
  <c r="D470" i="27"/>
  <c r="D469" i="27"/>
  <c r="D468" i="27"/>
  <c r="D467" i="27"/>
  <c r="D466" i="27"/>
  <c r="D465" i="27"/>
  <c r="D464" i="27"/>
  <c r="D463" i="27"/>
  <c r="D462" i="27"/>
  <c r="D461" i="27"/>
  <c r="D460" i="27"/>
  <c r="D459" i="27"/>
  <c r="D458" i="27"/>
  <c r="D457" i="27"/>
  <c r="D456" i="27"/>
  <c r="D455" i="27"/>
  <c r="D454" i="27"/>
  <c r="D453" i="27"/>
  <c r="D452" i="27"/>
  <c r="D451" i="27"/>
  <c r="D450" i="27"/>
  <c r="D449" i="27"/>
  <c r="D448" i="27"/>
  <c r="D447" i="27"/>
  <c r="D446" i="27"/>
  <c r="D445" i="27"/>
  <c r="D444" i="27"/>
  <c r="D443" i="27"/>
  <c r="D442" i="27"/>
  <c r="D441" i="27"/>
  <c r="D440" i="27"/>
  <c r="D439" i="27"/>
  <c r="D438" i="27"/>
  <c r="D437" i="27"/>
  <c r="D436" i="27"/>
  <c r="D435" i="27"/>
  <c r="D434" i="27"/>
  <c r="D433" i="27"/>
  <c r="D432" i="27"/>
  <c r="D431" i="27"/>
  <c r="D430" i="27"/>
  <c r="D429" i="27"/>
  <c r="D428" i="27"/>
  <c r="D427" i="27"/>
  <c r="D426" i="27"/>
  <c r="D425" i="27"/>
  <c r="D424" i="27"/>
  <c r="D423" i="27"/>
  <c r="D422" i="27"/>
  <c r="D421" i="27"/>
  <c r="D420" i="27"/>
  <c r="D419" i="27"/>
  <c r="D418" i="27"/>
  <c r="D417" i="27"/>
  <c r="D416" i="27"/>
  <c r="D415" i="27"/>
  <c r="D414" i="27"/>
  <c r="D413" i="27"/>
  <c r="D412" i="27"/>
  <c r="D411" i="27"/>
  <c r="D410" i="27"/>
  <c r="D409" i="27"/>
  <c r="D408" i="27"/>
  <c r="D407" i="27"/>
  <c r="D406" i="27"/>
  <c r="D405" i="27"/>
  <c r="D404" i="27"/>
  <c r="D403" i="27"/>
  <c r="D402" i="27"/>
  <c r="D401" i="27"/>
  <c r="D400" i="27"/>
  <c r="D399" i="27"/>
  <c r="D398" i="27"/>
  <c r="D397" i="27"/>
  <c r="D396" i="27"/>
  <c r="D395" i="27"/>
  <c r="D394" i="27"/>
  <c r="D393" i="27"/>
  <c r="D392" i="27"/>
  <c r="D391" i="27"/>
  <c r="D390" i="27"/>
  <c r="D389" i="27"/>
  <c r="D388" i="27"/>
  <c r="D387" i="27"/>
  <c r="D386" i="27"/>
  <c r="D385" i="27"/>
  <c r="D384" i="27"/>
  <c r="D383" i="27"/>
  <c r="D382" i="27"/>
  <c r="D381" i="27"/>
  <c r="D380" i="27"/>
  <c r="D379" i="27"/>
  <c r="D378" i="27"/>
  <c r="D377" i="27"/>
  <c r="D376" i="27"/>
  <c r="D375" i="27"/>
  <c r="D374" i="27"/>
  <c r="D373" i="27"/>
  <c r="D372" i="27"/>
  <c r="D371" i="27"/>
  <c r="D370" i="27"/>
  <c r="D369" i="27"/>
  <c r="D368" i="27"/>
  <c r="D367" i="27"/>
  <c r="D366" i="27"/>
  <c r="D365" i="27"/>
  <c r="D364" i="27"/>
  <c r="D363" i="27"/>
  <c r="D362" i="27"/>
  <c r="D361" i="27"/>
  <c r="D360" i="27"/>
  <c r="D359" i="27"/>
  <c r="D358" i="27"/>
  <c r="D357" i="27"/>
  <c r="D356" i="27"/>
  <c r="D355" i="27"/>
  <c r="D354" i="27"/>
  <c r="D353" i="27"/>
  <c r="D352" i="27"/>
  <c r="D351" i="27"/>
  <c r="D350" i="27"/>
  <c r="D349" i="27"/>
  <c r="D348" i="27"/>
  <c r="D347" i="27"/>
  <c r="D346" i="27"/>
  <c r="D345" i="27"/>
  <c r="D344" i="27"/>
  <c r="D343" i="27"/>
  <c r="D342" i="27"/>
  <c r="D341" i="27"/>
  <c r="D340" i="27"/>
  <c r="D339" i="27"/>
  <c r="D338" i="27"/>
  <c r="D337" i="27"/>
  <c r="D336" i="27"/>
  <c r="D335" i="27"/>
  <c r="D334" i="27"/>
  <c r="D333" i="27"/>
  <c r="D332" i="27"/>
  <c r="D331" i="27"/>
  <c r="D330" i="27"/>
  <c r="D329" i="27"/>
  <c r="D328" i="27"/>
  <c r="D327" i="27"/>
  <c r="D326" i="27"/>
  <c r="D325" i="27"/>
  <c r="D324" i="27"/>
  <c r="D323" i="27"/>
  <c r="D322" i="27"/>
  <c r="D321" i="27"/>
  <c r="D320" i="27"/>
  <c r="D319" i="27"/>
  <c r="D318" i="27"/>
  <c r="D317" i="27"/>
  <c r="D316" i="27"/>
  <c r="D315" i="27"/>
  <c r="D314" i="27"/>
  <c r="D313" i="27"/>
  <c r="D312" i="27"/>
  <c r="D311" i="27"/>
  <c r="D310" i="27"/>
  <c r="D309" i="27"/>
  <c r="D308" i="27"/>
  <c r="D307" i="27"/>
  <c r="D306" i="27"/>
  <c r="D305" i="27"/>
  <c r="D304" i="27"/>
  <c r="D303" i="27"/>
  <c r="D302" i="27"/>
  <c r="D301" i="27"/>
  <c r="D300" i="27"/>
  <c r="D299" i="27"/>
  <c r="D298" i="27"/>
  <c r="D297" i="27"/>
  <c r="D296" i="27"/>
  <c r="D295" i="27"/>
  <c r="D294" i="27"/>
  <c r="D293" i="27"/>
  <c r="D292" i="27"/>
  <c r="D291" i="27"/>
  <c r="D290" i="27"/>
  <c r="D289" i="27"/>
  <c r="D288" i="27"/>
  <c r="D287" i="27"/>
  <c r="D286" i="27"/>
  <c r="D285" i="27"/>
  <c r="D284" i="27"/>
  <c r="D283" i="27"/>
  <c r="D282" i="27"/>
  <c r="D281" i="27"/>
  <c r="D280" i="27"/>
  <c r="D279" i="27"/>
  <c r="D278" i="27"/>
  <c r="D277" i="27"/>
  <c r="D276" i="27"/>
  <c r="D275" i="27"/>
  <c r="D274" i="27"/>
  <c r="D273" i="27"/>
  <c r="D272" i="27"/>
  <c r="D271" i="27"/>
  <c r="D270" i="27"/>
  <c r="D269" i="27"/>
  <c r="D268" i="27"/>
  <c r="D267" i="27"/>
  <c r="D266" i="27"/>
  <c r="D265" i="27"/>
  <c r="D264" i="27"/>
  <c r="D263" i="27"/>
  <c r="D262" i="27"/>
  <c r="D261" i="27"/>
  <c r="D260" i="27"/>
  <c r="D259" i="27"/>
  <c r="D258" i="27"/>
  <c r="D257" i="27"/>
  <c r="D256" i="27"/>
  <c r="D255" i="27"/>
  <c r="D254" i="27"/>
  <c r="D253" i="27"/>
  <c r="D252" i="27"/>
  <c r="D251" i="27"/>
  <c r="D250" i="27"/>
  <c r="D249" i="27"/>
  <c r="D248" i="27"/>
  <c r="D247" i="27"/>
  <c r="D246" i="27"/>
  <c r="D245" i="27"/>
  <c r="D244" i="27"/>
  <c r="D243" i="27"/>
  <c r="D242" i="27"/>
  <c r="D241" i="27"/>
  <c r="D240" i="27"/>
  <c r="D239" i="27"/>
  <c r="D238" i="27"/>
  <c r="D237" i="27"/>
  <c r="D236" i="27"/>
  <c r="D235" i="27"/>
  <c r="D234" i="27"/>
  <c r="D233" i="27"/>
  <c r="D232" i="27"/>
  <c r="D231" i="27"/>
  <c r="D230" i="27"/>
  <c r="D229" i="27"/>
  <c r="D228" i="27"/>
  <c r="D227" i="27"/>
  <c r="D226" i="27"/>
  <c r="D225" i="27"/>
  <c r="D224" i="27"/>
  <c r="D223" i="27"/>
  <c r="D222" i="27"/>
  <c r="D221" i="27"/>
  <c r="D220" i="27"/>
  <c r="D219" i="27"/>
  <c r="D218" i="27"/>
  <c r="D217" i="27"/>
  <c r="D216" i="27"/>
  <c r="D215" i="27"/>
  <c r="D214" i="27"/>
  <c r="D213" i="27"/>
  <c r="D212" i="27"/>
  <c r="D211" i="27"/>
  <c r="D210" i="27"/>
  <c r="D209" i="27"/>
  <c r="D208" i="27"/>
  <c r="D207" i="27"/>
  <c r="D206" i="27"/>
  <c r="D205" i="27"/>
  <c r="D204" i="27"/>
  <c r="D203" i="27"/>
  <c r="D202" i="27"/>
  <c r="D201" i="27"/>
  <c r="D200" i="27"/>
  <c r="D199" i="27"/>
  <c r="D198" i="27"/>
  <c r="D197" i="27"/>
  <c r="D196" i="27"/>
  <c r="D195" i="27"/>
  <c r="D194" i="27"/>
  <c r="D193" i="27"/>
  <c r="D192" i="27"/>
  <c r="D191" i="27"/>
  <c r="D190" i="27"/>
  <c r="D189" i="27"/>
  <c r="D188" i="27"/>
  <c r="D187" i="27"/>
  <c r="D186" i="27"/>
  <c r="D185" i="27"/>
  <c r="D184" i="27"/>
  <c r="D183" i="27"/>
  <c r="D182" i="27"/>
  <c r="D181" i="27"/>
  <c r="D180" i="27"/>
  <c r="D179" i="27"/>
  <c r="D178" i="27"/>
  <c r="D177" i="27"/>
  <c r="D176" i="27"/>
  <c r="D175" i="27"/>
  <c r="D174" i="27"/>
  <c r="D173" i="27"/>
  <c r="D172" i="27"/>
  <c r="D171" i="27"/>
  <c r="D170" i="27"/>
  <c r="D169" i="27"/>
  <c r="D168" i="27"/>
  <c r="D167" i="27"/>
  <c r="D166" i="27"/>
  <c r="D165" i="27"/>
  <c r="D164" i="27"/>
  <c r="D163" i="27"/>
  <c r="D162" i="27"/>
  <c r="D161" i="27"/>
  <c r="D160" i="27"/>
  <c r="D159" i="27"/>
  <c r="D158" i="27"/>
  <c r="D157" i="27"/>
  <c r="D156" i="27"/>
  <c r="D155" i="27"/>
  <c r="D154" i="27"/>
  <c r="D153" i="27"/>
  <c r="D152" i="27"/>
  <c r="D151" i="27"/>
  <c r="D150" i="27"/>
  <c r="D149" i="27"/>
  <c r="D148" i="27"/>
  <c r="D147" i="27"/>
  <c r="D146" i="27"/>
  <c r="D145" i="27"/>
  <c r="D144" i="27"/>
  <c r="D143" i="27"/>
  <c r="D142" i="27"/>
  <c r="D141" i="27"/>
  <c r="D140" i="27"/>
  <c r="D139" i="27"/>
  <c r="D138" i="27"/>
  <c r="D137" i="27"/>
  <c r="D136" i="27"/>
  <c r="D135" i="27"/>
  <c r="D134" i="27"/>
  <c r="D133" i="27"/>
  <c r="D132" i="27"/>
  <c r="D131" i="27"/>
  <c r="D130" i="27"/>
  <c r="D129" i="27"/>
  <c r="D128" i="27"/>
  <c r="D127" i="27"/>
  <c r="D126" i="27"/>
  <c r="D125" i="27"/>
  <c r="D124" i="27"/>
  <c r="D123" i="27"/>
  <c r="D122" i="27"/>
  <c r="D121" i="27"/>
  <c r="D120" i="27"/>
  <c r="D119" i="27"/>
  <c r="D118" i="27"/>
  <c r="D117" i="27"/>
  <c r="D116" i="27"/>
  <c r="D115" i="27"/>
  <c r="D114" i="27"/>
  <c r="D113" i="27"/>
  <c r="D112" i="27"/>
  <c r="D111" i="27"/>
  <c r="D110" i="27"/>
  <c r="D109" i="27"/>
  <c r="D108" i="27"/>
  <c r="D107" i="27"/>
  <c r="D106" i="27"/>
  <c r="D105" i="27"/>
  <c r="D104" i="27"/>
  <c r="D103" i="27"/>
  <c r="D102" i="27"/>
  <c r="D101" i="27"/>
  <c r="D100" i="27"/>
  <c r="D99" i="27"/>
  <c r="D98" i="27"/>
  <c r="D97" i="27"/>
  <c r="D96" i="27"/>
  <c r="D95" i="27"/>
  <c r="D94" i="27"/>
  <c r="D93" i="27"/>
  <c r="D92" i="27"/>
  <c r="D91" i="27"/>
  <c r="D90" i="27"/>
  <c r="D89" i="27"/>
  <c r="D88" i="27"/>
  <c r="D87" i="27"/>
  <c r="D86" i="27"/>
  <c r="D85" i="27"/>
  <c r="D84" i="27"/>
  <c r="D83" i="27"/>
  <c r="D82" i="27"/>
  <c r="D81" i="27"/>
  <c r="D80" i="27"/>
  <c r="D79" i="27"/>
  <c r="D78" i="27"/>
  <c r="D77" i="27"/>
  <c r="D76" i="27"/>
  <c r="D75" i="27"/>
  <c r="D74" i="27"/>
  <c r="D73" i="27"/>
  <c r="D72" i="27"/>
  <c r="D71" i="27"/>
  <c r="D70" i="27"/>
  <c r="D69" i="27"/>
  <c r="D68" i="27"/>
  <c r="D67" i="27"/>
  <c r="D66" i="27"/>
  <c r="D65" i="27"/>
  <c r="D64"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D35" i="27"/>
  <c r="D34" i="27"/>
  <c r="D33" i="27"/>
  <c r="D32" i="27"/>
  <c r="D31" i="27"/>
  <c r="D30" i="27"/>
  <c r="D29" i="27"/>
  <c r="D28" i="27"/>
  <c r="D27" i="27"/>
  <c r="D26" i="27"/>
  <c r="D25" i="27"/>
  <c r="D24" i="27"/>
  <c r="D23" i="27"/>
  <c r="D22" i="27"/>
  <c r="D21" i="27"/>
  <c r="D20" i="27"/>
  <c r="D19" i="27"/>
  <c r="D18" i="27"/>
  <c r="D17" i="27"/>
  <c r="D16" i="27"/>
  <c r="D15" i="27"/>
  <c r="D14" i="27"/>
  <c r="D13" i="27"/>
  <c r="D12" i="27"/>
  <c r="D11" i="27"/>
  <c r="D10" i="27"/>
  <c r="D9" i="27"/>
  <c r="C74" i="32" l="1"/>
  <c r="C70" i="32"/>
  <c r="C92" i="32" s="1"/>
  <c r="H64" i="32"/>
  <c r="G64" i="32"/>
  <c r="F64" i="32"/>
  <c r="E64" i="32"/>
  <c r="D64" i="32"/>
  <c r="C64" i="32"/>
  <c r="I64" i="32"/>
  <c r="C63" i="32"/>
  <c r="B3" i="32"/>
  <c r="B4" i="32" s="1"/>
  <c r="N14" i="30"/>
  <c r="K13" i="27" l="1"/>
  <c r="K12" i="27"/>
  <c r="K14" i="27"/>
  <c r="K11" i="27"/>
  <c r="M10" i="26" l="1"/>
  <c r="O10" i="26"/>
  <c r="P7" i="26"/>
  <c r="O7" i="26" s="1"/>
  <c r="N7" i="26"/>
  <c r="M7" i="26" s="1"/>
  <c r="P9" i="26"/>
  <c r="O9" i="26" s="1"/>
  <c r="N9" i="26"/>
  <c r="M9" i="26" s="1"/>
  <c r="P8" i="26"/>
  <c r="O8" i="26" s="1"/>
  <c r="N8" i="26"/>
  <c r="M8" i="26" s="1"/>
  <c r="M6" i="26"/>
  <c r="N6" i="26" s="1"/>
  <c r="P6" i="26"/>
  <c r="O6" i="26" s="1"/>
  <c r="L14" i="25"/>
  <c r="L15" i="25"/>
  <c r="L16" i="25"/>
  <c r="L17" i="25"/>
  <c r="L18" i="25"/>
  <c r="K18" i="25"/>
  <c r="K17" i="25"/>
  <c r="K16" i="25"/>
  <c r="K15" i="25"/>
  <c r="K14" i="25"/>
  <c r="J18" i="25"/>
  <c r="J17" i="25"/>
  <c r="J16" i="25"/>
  <c r="J15" i="25"/>
  <c r="J14" i="25"/>
  <c r="D14" i="25"/>
  <c r="I3" i="24"/>
  <c r="E18" i="25"/>
  <c r="E17" i="25"/>
  <c r="E16" i="25"/>
  <c r="E15" i="25"/>
  <c r="E14" i="25"/>
  <c r="P34" i="25" s="1"/>
  <c r="D15" i="25"/>
  <c r="D16" i="25"/>
  <c r="D17" i="25"/>
  <c r="D18" i="25"/>
  <c r="B18" i="25"/>
  <c r="B17" i="25"/>
  <c r="B16" i="25"/>
  <c r="B15" i="25"/>
  <c r="B14" i="25"/>
  <c r="J7" i="24"/>
  <c r="J6" i="24"/>
  <c r="J5" i="24"/>
  <c r="J3" i="24"/>
  <c r="I7" i="24"/>
  <c r="I6" i="24"/>
  <c r="I5" i="24"/>
  <c r="O34" i="25" l="1"/>
  <c r="N34" i="25"/>
  <c r="E22" i="23" l="1"/>
  <c r="E55" i="23"/>
  <c r="E51" i="23"/>
  <c r="C60" i="23" l="1"/>
  <c r="G45" i="22" l="1"/>
  <c r="G11" i="22" l="1"/>
  <c r="F38" i="23" l="1"/>
  <c r="G38" i="23" s="1"/>
  <c r="H38" i="23" s="1"/>
  <c r="I38" i="23" s="1"/>
  <c r="H45" i="22"/>
  <c r="K48" i="22"/>
  <c r="J48" i="22"/>
  <c r="I48" i="22"/>
  <c r="H48" i="22"/>
  <c r="I45" i="22"/>
  <c r="I46" i="22" s="1"/>
  <c r="J45" i="22"/>
  <c r="J46" i="22" s="1"/>
  <c r="K45" i="22"/>
  <c r="K46" i="22" s="1"/>
  <c r="K35" i="22"/>
  <c r="J35" i="22"/>
  <c r="I35" i="22"/>
  <c r="H35" i="22"/>
  <c r="G35" i="22"/>
  <c r="B35" i="22"/>
  <c r="K33" i="22"/>
  <c r="J33" i="22"/>
  <c r="I33" i="22"/>
  <c r="H33" i="22"/>
  <c r="G33" i="22"/>
  <c r="K32" i="22"/>
  <c r="J32" i="22"/>
  <c r="I32" i="22"/>
  <c r="H32" i="22"/>
  <c r="G32" i="22"/>
  <c r="K31" i="22"/>
  <c r="J31" i="22"/>
  <c r="I31" i="22"/>
  <c r="H31" i="22"/>
  <c r="G31" i="22"/>
  <c r="K30" i="22"/>
  <c r="J30" i="22"/>
  <c r="I30" i="22"/>
  <c r="H30" i="22"/>
  <c r="G30" i="22"/>
  <c r="K29" i="22"/>
  <c r="J29" i="22"/>
  <c r="I29" i="22"/>
  <c r="H29" i="22"/>
  <c r="G29" i="22"/>
  <c r="K28" i="22"/>
  <c r="J28" i="22"/>
  <c r="I28" i="22"/>
  <c r="H28" i="22"/>
  <c r="G28" i="22"/>
  <c r="K27" i="22"/>
  <c r="J27" i="22"/>
  <c r="I27" i="22"/>
  <c r="H27" i="22"/>
  <c r="G27" i="22"/>
  <c r="K26" i="22"/>
  <c r="J26" i="22"/>
  <c r="I26" i="22"/>
  <c r="H26" i="22"/>
  <c r="G26" i="22"/>
  <c r="K25" i="22"/>
  <c r="J25" i="22"/>
  <c r="I25" i="22"/>
  <c r="H25" i="22"/>
  <c r="G25" i="22"/>
  <c r="B34" i="22"/>
  <c r="B33" i="22"/>
  <c r="B32" i="22"/>
  <c r="B31" i="22"/>
  <c r="B30" i="22"/>
  <c r="B29" i="22"/>
  <c r="B28" i="22"/>
  <c r="B27" i="22"/>
  <c r="B26" i="22"/>
  <c r="B25" i="22"/>
  <c r="K8" i="22"/>
  <c r="K43" i="22" s="1"/>
  <c r="K56" i="22" s="1"/>
  <c r="J8" i="22"/>
  <c r="J43" i="22" s="1"/>
  <c r="J56" i="22" s="1"/>
  <c r="I8" i="22"/>
  <c r="I43" i="22" s="1"/>
  <c r="I56" i="22" s="1"/>
  <c r="H8" i="22"/>
  <c r="H43" i="22" s="1"/>
  <c r="H56" i="22" s="1"/>
  <c r="G8" i="22"/>
  <c r="G43" i="22" s="1"/>
  <c r="G56" i="22" s="1"/>
  <c r="K19" i="22"/>
  <c r="J19" i="22"/>
  <c r="I19" i="22"/>
  <c r="H19" i="22"/>
  <c r="G19" i="22"/>
  <c r="K18" i="22"/>
  <c r="J18" i="22"/>
  <c r="I18" i="22"/>
  <c r="H18" i="22"/>
  <c r="G18" i="22"/>
  <c r="B19" i="22"/>
  <c r="B18" i="22"/>
  <c r="K14" i="22"/>
  <c r="J14" i="22"/>
  <c r="I14" i="22"/>
  <c r="H14" i="22"/>
  <c r="G14" i="22"/>
  <c r="K13" i="22"/>
  <c r="J13" i="22"/>
  <c r="I13" i="22"/>
  <c r="H13" i="22"/>
  <c r="G13" i="22"/>
  <c r="K12" i="22"/>
  <c r="J12" i="22"/>
  <c r="I12" i="22"/>
  <c r="H12" i="22"/>
  <c r="G12" i="22"/>
  <c r="K11" i="22"/>
  <c r="J11" i="22"/>
  <c r="I11" i="22"/>
  <c r="H11" i="22"/>
  <c r="B14" i="22"/>
  <c r="B13" i="22"/>
  <c r="B12" i="22"/>
  <c r="B11" i="22"/>
  <c r="C30" i="36"/>
  <c r="D30" i="36"/>
  <c r="E30" i="36"/>
  <c r="F30" i="36"/>
  <c r="G30" i="36"/>
  <c r="H30" i="36"/>
  <c r="I30" i="36"/>
  <c r="J30" i="36"/>
  <c r="K30" i="36"/>
  <c r="L30" i="36"/>
  <c r="M30" i="36"/>
  <c r="N30" i="36"/>
  <c r="F21" i="23"/>
  <c r="E24" i="23"/>
  <c r="F24" i="23" s="1"/>
  <c r="G24" i="23" s="1"/>
  <c r="H24" i="23" s="1"/>
  <c r="I24" i="23" s="1"/>
  <c r="F29" i="14"/>
  <c r="F30" i="14" s="1"/>
  <c r="F31" i="14" s="1"/>
  <c r="F32" i="14" s="1"/>
  <c r="B30" i="14"/>
  <c r="E32" i="14"/>
  <c r="E31" i="14"/>
  <c r="E30" i="14"/>
  <c r="E29" i="14"/>
  <c r="D32" i="14"/>
  <c r="D31" i="14"/>
  <c r="D30" i="14"/>
  <c r="B32" i="14"/>
  <c r="B31" i="14"/>
  <c r="B29" i="14"/>
  <c r="G34" i="22" l="1"/>
  <c r="G36" i="22" s="1"/>
  <c r="I34" i="22"/>
  <c r="I36" i="22" s="1"/>
  <c r="K34" i="22"/>
  <c r="K36" i="22" s="1"/>
  <c r="E53" i="23"/>
  <c r="H34" i="22"/>
  <c r="H36" i="22" s="1"/>
  <c r="J34" i="22"/>
  <c r="J36" i="22" s="1"/>
  <c r="E23" i="23"/>
  <c r="F23" i="23" s="1"/>
  <c r="G23" i="23" s="1"/>
  <c r="H23" i="23" s="1"/>
  <c r="I23" i="23" s="1"/>
  <c r="F22" i="23"/>
  <c r="G22" i="23" s="1"/>
  <c r="H22" i="23" s="1"/>
  <c r="I22" i="23" s="1"/>
  <c r="E19" i="23" l="1" a="1"/>
  <c r="F19" i="23" l="1"/>
  <c r="I19" i="23"/>
  <c r="E19" i="23"/>
  <c r="H19" i="23"/>
  <c r="G19" i="23"/>
  <c r="C38" i="19" l="1"/>
  <c r="D38" i="19"/>
  <c r="E38" i="19"/>
  <c r="F38" i="19"/>
  <c r="G38" i="19"/>
  <c r="H38" i="19"/>
  <c r="I38" i="19"/>
  <c r="J38" i="19"/>
  <c r="K38" i="19"/>
  <c r="L38" i="19"/>
  <c r="D29" i="14" l="1"/>
  <c r="C61" i="23" l="1"/>
  <c r="F41" i="14"/>
  <c r="G7" i="12"/>
  <c r="K74" i="6"/>
  <c r="J74" i="6"/>
  <c r="I74" i="6"/>
  <c r="H74" i="6"/>
  <c r="G74" i="6"/>
  <c r="F74" i="6"/>
  <c r="E74" i="6"/>
  <c r="D74" i="6"/>
  <c r="C74" i="6"/>
  <c r="K81" i="6"/>
  <c r="J81" i="6"/>
  <c r="J82" i="6" s="1"/>
  <c r="I81" i="6"/>
  <c r="H81" i="6"/>
  <c r="H82" i="6" s="1"/>
  <c r="G81" i="6"/>
  <c r="F81" i="6"/>
  <c r="F82" i="6" s="1"/>
  <c r="E81" i="6"/>
  <c r="D81" i="6"/>
  <c r="D82" i="6" s="1"/>
  <c r="C81" i="6"/>
  <c r="B81" i="6"/>
  <c r="C82" i="6" s="1"/>
  <c r="K77" i="6"/>
  <c r="K78" i="6"/>
  <c r="K79" i="6"/>
  <c r="J79" i="6"/>
  <c r="I79" i="6"/>
  <c r="H79" i="6"/>
  <c r="G79" i="6"/>
  <c r="F79" i="6"/>
  <c r="E79" i="6"/>
  <c r="D79" i="6"/>
  <c r="C79" i="6"/>
  <c r="L19" i="8"/>
  <c r="K19" i="8"/>
  <c r="J19" i="8"/>
  <c r="I19" i="8"/>
  <c r="H19" i="8"/>
  <c r="G19" i="8"/>
  <c r="F19" i="8"/>
  <c r="E19" i="8"/>
  <c r="D19" i="8"/>
  <c r="C19" i="8"/>
  <c r="L13" i="8"/>
  <c r="K13" i="8"/>
  <c r="J13" i="8"/>
  <c r="I13" i="8"/>
  <c r="H13" i="8"/>
  <c r="G13" i="8"/>
  <c r="F13" i="8"/>
  <c r="E13" i="8"/>
  <c r="D13" i="8"/>
  <c r="C13" i="8"/>
  <c r="J78" i="6"/>
  <c r="I78" i="6"/>
  <c r="H78" i="6"/>
  <c r="G78" i="6"/>
  <c r="F78" i="6"/>
  <c r="E78" i="6"/>
  <c r="D78" i="6"/>
  <c r="C78" i="6"/>
  <c r="E82" i="6" l="1"/>
  <c r="G82" i="6"/>
  <c r="I82" i="6"/>
  <c r="K82" i="6"/>
  <c r="C66" i="8" l="1"/>
  <c r="C61" i="8"/>
  <c r="M31" i="8"/>
  <c r="L31" i="8"/>
  <c r="K31" i="8"/>
  <c r="J31" i="8"/>
  <c r="I31" i="8"/>
  <c r="H31" i="8"/>
  <c r="G31" i="8"/>
  <c r="F31" i="8"/>
  <c r="E31" i="8"/>
  <c r="D31" i="8"/>
  <c r="C31" i="8"/>
  <c r="M25" i="8"/>
  <c r="L25" i="8"/>
  <c r="K25" i="8"/>
  <c r="J25" i="8"/>
  <c r="I25" i="8"/>
  <c r="H25" i="8"/>
  <c r="G25" i="8"/>
  <c r="F25" i="8"/>
  <c r="E25" i="8"/>
  <c r="D25" i="8"/>
  <c r="C25" i="8"/>
  <c r="M19" i="8" l="1"/>
  <c r="M37" i="8"/>
  <c r="B6" i="8" l="1"/>
  <c r="I86" i="33" l="1"/>
  <c r="H86" i="33"/>
  <c r="G86" i="33"/>
  <c r="F86" i="33"/>
  <c r="E86" i="33"/>
  <c r="D86" i="33"/>
  <c r="C86" i="33"/>
  <c r="I81" i="33"/>
  <c r="H81" i="33"/>
  <c r="G81" i="33"/>
  <c r="F81" i="33"/>
  <c r="E81" i="33"/>
  <c r="D81" i="33"/>
  <c r="C81" i="33"/>
  <c r="I80" i="33"/>
  <c r="H80" i="33"/>
  <c r="G80" i="33"/>
  <c r="F80" i="33"/>
  <c r="E80" i="33"/>
  <c r="D80" i="33"/>
  <c r="C80" i="33"/>
  <c r="I65" i="33"/>
  <c r="H65" i="33"/>
  <c r="H71" i="33" s="1"/>
  <c r="H87" i="33" s="1"/>
  <c r="G65" i="33"/>
  <c r="F65" i="33"/>
  <c r="F71" i="33" s="1"/>
  <c r="F76" i="33" s="1"/>
  <c r="E65" i="33"/>
  <c r="E71" i="33" s="1"/>
  <c r="E87" i="33" s="1"/>
  <c r="D65" i="33"/>
  <c r="C65" i="33"/>
  <c r="I64" i="33"/>
  <c r="H64" i="33"/>
  <c r="G64" i="33"/>
  <c r="F64" i="33"/>
  <c r="E64" i="33"/>
  <c r="D64" i="33"/>
  <c r="C64" i="33"/>
  <c r="B5" i="33"/>
  <c r="B3" i="33"/>
  <c r="B4" i="19" s="1"/>
  <c r="C66" i="33" l="1"/>
  <c r="C82" i="33"/>
  <c r="E82" i="33"/>
  <c r="G82" i="33"/>
  <c r="I82" i="33"/>
  <c r="D82" i="33"/>
  <c r="F82" i="33"/>
  <c r="H82" i="33"/>
  <c r="F87" i="33"/>
  <c r="H76" i="33"/>
  <c r="D66" i="33"/>
  <c r="F66" i="33"/>
  <c r="H66" i="33"/>
  <c r="E76" i="33"/>
  <c r="E66" i="33"/>
  <c r="G66" i="33"/>
  <c r="I66" i="33"/>
  <c r="C71" i="33"/>
  <c r="C87" i="33" s="1"/>
  <c r="G71" i="33"/>
  <c r="G87" i="33" s="1"/>
  <c r="I71" i="33"/>
  <c r="I87" i="33" s="1"/>
  <c r="D71" i="33"/>
  <c r="F88" i="33"/>
  <c r="B78" i="32"/>
  <c r="B77" i="32"/>
  <c r="B86" i="32" s="1"/>
  <c r="H74" i="32"/>
  <c r="H86" i="32" s="1"/>
  <c r="H96" i="32" s="1"/>
  <c r="G74" i="32"/>
  <c r="G86" i="32" s="1"/>
  <c r="G96" i="32" s="1"/>
  <c r="F74" i="32"/>
  <c r="F86" i="32" s="1"/>
  <c r="F96" i="32" s="1"/>
  <c r="E74" i="32"/>
  <c r="E86" i="32" s="1"/>
  <c r="E96" i="32" s="1"/>
  <c r="D74" i="32"/>
  <c r="D86" i="32" s="1"/>
  <c r="D96" i="32" s="1"/>
  <c r="C86" i="32"/>
  <c r="I74" i="32"/>
  <c r="I77" i="32" s="1"/>
  <c r="H70" i="32"/>
  <c r="H73" i="32" s="1"/>
  <c r="G70" i="32"/>
  <c r="G73" i="32" s="1"/>
  <c r="F70" i="32"/>
  <c r="F73" i="32" s="1"/>
  <c r="E70" i="32"/>
  <c r="E73" i="32" s="1"/>
  <c r="D70" i="32"/>
  <c r="D73" i="32" s="1"/>
  <c r="C73" i="32"/>
  <c r="C75" i="32" s="1"/>
  <c r="I70" i="32"/>
  <c r="I92" i="32" s="1"/>
  <c r="B69" i="32"/>
  <c r="B85" i="32" s="1"/>
  <c r="B91" i="32" s="1"/>
  <c r="C78" i="32"/>
  <c r="H78" i="32"/>
  <c r="G78" i="32"/>
  <c r="F78" i="32"/>
  <c r="E78" i="32"/>
  <c r="D78" i="32"/>
  <c r="I78" i="32"/>
  <c r="H63" i="32"/>
  <c r="H69" i="32" s="1"/>
  <c r="H85" i="32" s="1"/>
  <c r="G63" i="32"/>
  <c r="G65" i="32" s="1"/>
  <c r="F63" i="32"/>
  <c r="F69" i="32" s="1"/>
  <c r="F85" i="32" s="1"/>
  <c r="E63" i="32"/>
  <c r="E65" i="32" s="1"/>
  <c r="D63" i="32"/>
  <c r="C65" i="32"/>
  <c r="I63" i="32"/>
  <c r="I69" i="32" s="1"/>
  <c r="B5" i="32"/>
  <c r="D69" i="32" l="1"/>
  <c r="D85" i="32" s="1"/>
  <c r="D65" i="32"/>
  <c r="C96" i="32"/>
  <c r="B2" i="8"/>
  <c r="B4" i="11" s="1"/>
  <c r="D87" i="33"/>
  <c r="H88" i="33"/>
  <c r="I76" i="33"/>
  <c r="C76" i="33"/>
  <c r="D76" i="33"/>
  <c r="G76" i="33"/>
  <c r="E88" i="33"/>
  <c r="I86" i="32"/>
  <c r="I96" i="32" s="1"/>
  <c r="I85" i="32"/>
  <c r="I91" i="32"/>
  <c r="I93" i="32" s="1"/>
  <c r="H65" i="32"/>
  <c r="H75" i="32"/>
  <c r="I73" i="32"/>
  <c r="I75" i="32" s="1"/>
  <c r="D92" i="32"/>
  <c r="D95" i="32" s="1"/>
  <c r="D97" i="32" s="1"/>
  <c r="F92" i="32"/>
  <c r="F95" i="32" s="1"/>
  <c r="F97" i="32" s="1"/>
  <c r="H92" i="32"/>
  <c r="H95" i="32" s="1"/>
  <c r="H97" i="32" s="1"/>
  <c r="F65" i="32"/>
  <c r="F71" i="32"/>
  <c r="D91" i="32"/>
  <c r="F91" i="32"/>
  <c r="H91" i="32"/>
  <c r="C95" i="32"/>
  <c r="E92" i="32"/>
  <c r="E95" i="32" s="1"/>
  <c r="E97" i="32" s="1"/>
  <c r="G92" i="32"/>
  <c r="G95" i="32" s="1"/>
  <c r="G97" i="32" s="1"/>
  <c r="E69" i="32"/>
  <c r="E91" i="32" s="1"/>
  <c r="I71" i="32"/>
  <c r="C77" i="32"/>
  <c r="C79" i="32" s="1"/>
  <c r="G77" i="32"/>
  <c r="G79" i="32" s="1"/>
  <c r="I65" i="32"/>
  <c r="D87" i="32"/>
  <c r="H87" i="32"/>
  <c r="C69" i="32"/>
  <c r="G69" i="32"/>
  <c r="G91" i="32" s="1"/>
  <c r="D75" i="32"/>
  <c r="F75" i="32"/>
  <c r="D71" i="32"/>
  <c r="H71" i="32"/>
  <c r="I95" i="32"/>
  <c r="E77" i="32"/>
  <c r="E79" i="32" s="1"/>
  <c r="I79" i="32"/>
  <c r="F87" i="32"/>
  <c r="D77" i="32"/>
  <c r="D79" i="32" s="1"/>
  <c r="F77" i="32"/>
  <c r="F79" i="32" s="1"/>
  <c r="H77" i="32"/>
  <c r="H79" i="32" s="1"/>
  <c r="E75" i="32"/>
  <c r="G75" i="32"/>
  <c r="C91" i="32" l="1"/>
  <c r="C85" i="32"/>
  <c r="C87" i="32" s="1"/>
  <c r="C71" i="32"/>
  <c r="C81" i="32" s="1"/>
  <c r="C97" i="32"/>
  <c r="B2" i="16"/>
  <c r="B4" i="12"/>
  <c r="B5" i="19"/>
  <c r="B3" i="8"/>
  <c r="B5" i="11" s="1"/>
  <c r="B5" i="12" s="1"/>
  <c r="B3" i="16" s="1"/>
  <c r="B4" i="33"/>
  <c r="I97" i="32"/>
  <c r="I99" i="32" s="1"/>
  <c r="I87" i="32"/>
  <c r="H93" i="32"/>
  <c r="H99" i="32" s="1"/>
  <c r="D93" i="32"/>
  <c r="D99" i="32" s="1"/>
  <c r="F93" i="32"/>
  <c r="F99" i="32" s="1"/>
  <c r="D81" i="32"/>
  <c r="F81" i="32"/>
  <c r="E71" i="32"/>
  <c r="E81" i="32" s="1"/>
  <c r="E85" i="32"/>
  <c r="H81" i="32"/>
  <c r="G71" i="32"/>
  <c r="G81" i="32" s="1"/>
  <c r="G85" i="32"/>
  <c r="I81" i="32"/>
  <c r="B7" i="14" l="1"/>
  <c r="B5" i="22"/>
  <c r="B3" i="23" s="1"/>
  <c r="B5" i="27" s="1"/>
  <c r="B7" i="25" s="1"/>
  <c r="B4" i="22"/>
  <c r="B6" i="14"/>
  <c r="C88" i="33"/>
  <c r="I88" i="33"/>
  <c r="G88" i="33"/>
  <c r="D88" i="33"/>
  <c r="E87" i="32"/>
  <c r="E93" i="32"/>
  <c r="E99" i="32" s="1"/>
  <c r="C93" i="32"/>
  <c r="C99" i="32" s="1"/>
  <c r="G87" i="32"/>
  <c r="G93" i="32"/>
  <c r="G99" i="32" s="1"/>
  <c r="B4" i="27" l="1"/>
  <c r="B6" i="25" s="1"/>
  <c r="B2" i="23"/>
  <c r="K30" i="30"/>
  <c r="K29" i="30"/>
  <c r="K28" i="30"/>
  <c r="K27" i="30"/>
  <c r="N16" i="30"/>
  <c r="N15" i="30"/>
  <c r="N13" i="30"/>
  <c r="H19" i="30" s="1"/>
  <c r="H12" i="30" l="1"/>
  <c r="H14" i="30"/>
  <c r="H16" i="30"/>
  <c r="H18" i="30"/>
  <c r="H20" i="30"/>
  <c r="H22" i="30"/>
  <c r="H24" i="30"/>
  <c r="H26" i="30"/>
  <c r="H28" i="30"/>
  <c r="H30" i="30"/>
  <c r="H32" i="30"/>
  <c r="H34" i="30"/>
  <c r="H36" i="30"/>
  <c r="H38" i="30"/>
  <c r="H40" i="30"/>
  <c r="H42" i="30"/>
  <c r="H44" i="30"/>
  <c r="H46" i="30"/>
  <c r="H48" i="30"/>
  <c r="H50" i="30"/>
  <c r="H52" i="30"/>
  <c r="H54" i="30"/>
  <c r="H56" i="30"/>
  <c r="H58" i="30"/>
  <c r="H60" i="30"/>
  <c r="H62" i="30"/>
  <c r="H64" i="30"/>
  <c r="H66" i="30"/>
  <c r="H68" i="30"/>
  <c r="H70" i="30"/>
  <c r="H72" i="30"/>
  <c r="H74" i="30"/>
  <c r="H76" i="30"/>
  <c r="H78" i="30"/>
  <c r="H80" i="30"/>
  <c r="H82" i="30"/>
  <c r="H84" i="30"/>
  <c r="H86" i="30"/>
  <c r="H88" i="30"/>
  <c r="H90" i="30"/>
  <c r="H92" i="30"/>
  <c r="H94" i="30"/>
  <c r="H96" i="30"/>
  <c r="H98" i="30"/>
  <c r="H100" i="30"/>
  <c r="H102" i="30"/>
  <c r="H104" i="30"/>
  <c r="H106" i="30"/>
  <c r="H108" i="30"/>
  <c r="H110" i="30"/>
  <c r="H112" i="30"/>
  <c r="H114" i="30"/>
  <c r="H116" i="30"/>
  <c r="H118" i="30"/>
  <c r="H120" i="30"/>
  <c r="H122" i="30"/>
  <c r="H124" i="30"/>
  <c r="H126" i="30"/>
  <c r="H128" i="30"/>
  <c r="H130" i="30"/>
  <c r="H132" i="30"/>
  <c r="H134" i="30"/>
  <c r="H136" i="30"/>
  <c r="H138" i="30"/>
  <c r="H140" i="30"/>
  <c r="H142" i="30"/>
  <c r="H144" i="30"/>
  <c r="H146" i="30"/>
  <c r="H148" i="30"/>
  <c r="H150" i="30"/>
  <c r="H152" i="30"/>
  <c r="H154" i="30"/>
  <c r="H156" i="30"/>
  <c r="H158" i="30"/>
  <c r="H160" i="30"/>
  <c r="H162" i="30"/>
  <c r="H164" i="30"/>
  <c r="H166" i="30"/>
  <c r="H168" i="30"/>
  <c r="H170" i="30"/>
  <c r="H172" i="30"/>
  <c r="H174" i="30"/>
  <c r="H176" i="30"/>
  <c r="H178" i="30"/>
  <c r="H180" i="30"/>
  <c r="H13" i="30"/>
  <c r="H17" i="30"/>
  <c r="H21" i="30"/>
  <c r="H25" i="30"/>
  <c r="H29" i="30"/>
  <c r="H33" i="30"/>
  <c r="H37" i="30"/>
  <c r="H41" i="30"/>
  <c r="H45" i="30"/>
  <c r="H49" i="30"/>
  <c r="H53" i="30"/>
  <c r="H57" i="30"/>
  <c r="H61" i="30"/>
  <c r="H65" i="30"/>
  <c r="H69" i="30"/>
  <c r="H73" i="30"/>
  <c r="H77" i="30"/>
  <c r="H81" i="30"/>
  <c r="H85" i="30"/>
  <c r="H89" i="30"/>
  <c r="H93" i="30"/>
  <c r="H97" i="30"/>
  <c r="H101" i="30"/>
  <c r="H105" i="30"/>
  <c r="H109" i="30"/>
  <c r="H113" i="30"/>
  <c r="H117" i="30"/>
  <c r="H121" i="30"/>
  <c r="H125" i="30"/>
  <c r="H129" i="30"/>
  <c r="H133" i="30"/>
  <c r="H137" i="30"/>
  <c r="H141" i="30"/>
  <c r="H145" i="30"/>
  <c r="H149" i="30"/>
  <c r="H153" i="30"/>
  <c r="H157" i="30"/>
  <c r="H161" i="30"/>
  <c r="H165" i="30"/>
  <c r="H169" i="30"/>
  <c r="H173" i="30"/>
  <c r="H177" i="30"/>
  <c r="H181" i="30"/>
  <c r="H183" i="30"/>
  <c r="H185" i="30"/>
  <c r="H187" i="30"/>
  <c r="H189" i="30"/>
  <c r="H191" i="30"/>
  <c r="H193" i="30"/>
  <c r="H195" i="30"/>
  <c r="H197" i="30"/>
  <c r="H199" i="30"/>
  <c r="H201" i="30"/>
  <c r="H203" i="30"/>
  <c r="H205" i="30"/>
  <c r="H207" i="30"/>
  <c r="H209" i="30"/>
  <c r="H211" i="30"/>
  <c r="H213" i="30"/>
  <c r="H215" i="30"/>
  <c r="H217" i="30"/>
  <c r="H219" i="30"/>
  <c r="H221" i="30"/>
  <c r="H223" i="30"/>
  <c r="H225" i="30"/>
  <c r="H227" i="30"/>
  <c r="H229" i="30"/>
  <c r="H231" i="30"/>
  <c r="H233" i="30"/>
  <c r="H235" i="30"/>
  <c r="H237" i="30"/>
  <c r="H239" i="30"/>
  <c r="H241" i="30"/>
  <c r="H243" i="30"/>
  <c r="H245" i="30"/>
  <c r="H247" i="30"/>
  <c r="H249" i="30"/>
  <c r="H251" i="30"/>
  <c r="H253" i="30"/>
  <c r="H255" i="30"/>
  <c r="H257" i="30"/>
  <c r="H259" i="30"/>
  <c r="H261" i="30"/>
  <c r="H263" i="30"/>
  <c r="H265" i="30"/>
  <c r="H267" i="30"/>
  <c r="H269" i="30"/>
  <c r="H271" i="30"/>
  <c r="H273" i="30"/>
  <c r="H275" i="30"/>
  <c r="H277" i="30"/>
  <c r="H279" i="30"/>
  <c r="H281" i="30"/>
  <c r="H283" i="30"/>
  <c r="H285" i="30"/>
  <c r="H287" i="30"/>
  <c r="H289" i="30"/>
  <c r="H291" i="30"/>
  <c r="H293" i="30"/>
  <c r="H295" i="30"/>
  <c r="H297" i="30"/>
  <c r="H299" i="30"/>
  <c r="H301" i="30"/>
  <c r="H303" i="30"/>
  <c r="H305" i="30"/>
  <c r="H307" i="30"/>
  <c r="H309" i="30"/>
  <c r="H311" i="30"/>
  <c r="H313" i="30"/>
  <c r="H315" i="30"/>
  <c r="H317" i="30"/>
  <c r="H319" i="30"/>
  <c r="H321" i="30"/>
  <c r="H323" i="30"/>
  <c r="H325" i="30"/>
  <c r="H327" i="30"/>
  <c r="H329" i="30"/>
  <c r="H331" i="30"/>
  <c r="H333" i="30"/>
  <c r="H335" i="30"/>
  <c r="H337" i="30"/>
  <c r="H339" i="30"/>
  <c r="H341" i="30"/>
  <c r="H343" i="30"/>
  <c r="H345" i="30"/>
  <c r="H347" i="30"/>
  <c r="H349" i="30"/>
  <c r="H351" i="30"/>
  <c r="H353" i="30"/>
  <c r="H355" i="30"/>
  <c r="H357" i="30"/>
  <c r="H359" i="30"/>
  <c r="H361" i="30"/>
  <c r="H363" i="30"/>
  <c r="H365" i="30"/>
  <c r="H367" i="30"/>
  <c r="H369" i="30"/>
  <c r="H371" i="30"/>
  <c r="H373" i="30"/>
  <c r="H375" i="30"/>
  <c r="H377" i="30"/>
  <c r="H379" i="30"/>
  <c r="H381" i="30"/>
  <c r="H383" i="30"/>
  <c r="H385" i="30"/>
  <c r="H387" i="30"/>
  <c r="H389" i="30"/>
  <c r="H391" i="30"/>
  <c r="H393" i="30"/>
  <c r="H395" i="30"/>
  <c r="H397" i="30"/>
  <c r="H399" i="30"/>
  <c r="H401" i="30"/>
  <c r="H403" i="30"/>
  <c r="H405" i="30"/>
  <c r="H407" i="30"/>
  <c r="H409" i="30"/>
  <c r="H411" i="30"/>
  <c r="H413" i="30"/>
  <c r="H415" i="30"/>
  <c r="H417" i="30"/>
  <c r="H419" i="30"/>
  <c r="H421" i="30"/>
  <c r="H423" i="30"/>
  <c r="H425" i="30"/>
  <c r="H427" i="30"/>
  <c r="H429" i="30"/>
  <c r="H431" i="30"/>
  <c r="H433" i="30"/>
  <c r="H435" i="30"/>
  <c r="H15" i="30"/>
  <c r="H23" i="30"/>
  <c r="H31" i="30"/>
  <c r="H39" i="30"/>
  <c r="H47" i="30"/>
  <c r="H55" i="30"/>
  <c r="H63" i="30"/>
  <c r="H71" i="30"/>
  <c r="H79" i="30"/>
  <c r="H87" i="30"/>
  <c r="H95" i="30"/>
  <c r="H103" i="30"/>
  <c r="H111" i="30"/>
  <c r="H119" i="30"/>
  <c r="H127" i="30"/>
  <c r="H135" i="30"/>
  <c r="H143" i="30"/>
  <c r="H151" i="30"/>
  <c r="H159" i="30"/>
  <c r="H167" i="30"/>
  <c r="H175" i="30"/>
  <c r="H182" i="30"/>
  <c r="H186" i="30"/>
  <c r="H190" i="30"/>
  <c r="H194" i="30"/>
  <c r="H198" i="30"/>
  <c r="H202" i="30"/>
  <c r="H206" i="30"/>
  <c r="H210" i="30"/>
  <c r="H214" i="30"/>
  <c r="H218" i="30"/>
  <c r="H222" i="30"/>
  <c r="H226" i="30"/>
  <c r="H230" i="30"/>
  <c r="H234" i="30"/>
  <c r="H238" i="30"/>
  <c r="H242" i="30"/>
  <c r="H246" i="30"/>
  <c r="H250" i="30"/>
  <c r="H254" i="30"/>
  <c r="H258" i="30"/>
  <c r="H262" i="30"/>
  <c r="H266" i="30"/>
  <c r="H270" i="30"/>
  <c r="H274" i="30"/>
  <c r="H278" i="30"/>
  <c r="H282" i="30"/>
  <c r="H286" i="30"/>
  <c r="H290" i="30"/>
  <c r="H294" i="30"/>
  <c r="H298" i="30"/>
  <c r="H302" i="30"/>
  <c r="H306" i="30"/>
  <c r="H310" i="30"/>
  <c r="H314" i="30"/>
  <c r="H318" i="30"/>
  <c r="H322" i="30"/>
  <c r="H326" i="30"/>
  <c r="H330" i="30"/>
  <c r="H334" i="30"/>
  <c r="H338" i="30"/>
  <c r="H342" i="30"/>
  <c r="H346" i="30"/>
  <c r="H350" i="30"/>
  <c r="H354" i="30"/>
  <c r="H358" i="30"/>
  <c r="H362" i="30"/>
  <c r="H366" i="30"/>
  <c r="H370" i="30"/>
  <c r="H374" i="30"/>
  <c r="H378" i="30"/>
  <c r="H382" i="30"/>
  <c r="H386" i="30"/>
  <c r="H390" i="30"/>
  <c r="H394" i="30"/>
  <c r="H398" i="30"/>
  <c r="H402" i="30"/>
  <c r="H406" i="30"/>
  <c r="H410" i="30"/>
  <c r="H414" i="30"/>
  <c r="H418" i="30"/>
  <c r="H422" i="30"/>
  <c r="H426" i="30"/>
  <c r="H430" i="30"/>
  <c r="H434" i="30"/>
  <c r="H437" i="30"/>
  <c r="H439" i="30"/>
  <c r="H441" i="30"/>
  <c r="H443" i="30"/>
  <c r="H445" i="30"/>
  <c r="H447" i="30"/>
  <c r="H449" i="30"/>
  <c r="H451" i="30"/>
  <c r="H453" i="30"/>
  <c r="H455" i="30"/>
  <c r="H457" i="30"/>
  <c r="H459" i="30"/>
  <c r="H461" i="30"/>
  <c r="H463" i="30"/>
  <c r="H465" i="30"/>
  <c r="H467" i="30"/>
  <c r="H469" i="30"/>
  <c r="H471" i="30"/>
  <c r="H473" i="30"/>
  <c r="H475" i="30"/>
  <c r="H477" i="30"/>
  <c r="H479" i="30"/>
  <c r="H481" i="30"/>
  <c r="H483" i="30"/>
  <c r="H485" i="30"/>
  <c r="H487" i="30"/>
  <c r="H489" i="30"/>
  <c r="H491" i="30"/>
  <c r="H493" i="30"/>
  <c r="H495" i="30"/>
  <c r="H497" i="30"/>
  <c r="H499" i="30"/>
  <c r="H501" i="30"/>
  <c r="H503" i="30"/>
  <c r="H505" i="30"/>
  <c r="H507" i="30"/>
  <c r="H509" i="30"/>
  <c r="H511" i="30"/>
  <c r="H513" i="30"/>
  <c r="H515" i="30"/>
  <c r="H517" i="30"/>
  <c r="H519" i="30"/>
  <c r="H521" i="30"/>
  <c r="H523" i="30"/>
  <c r="H525" i="30"/>
  <c r="H527" i="30"/>
  <c r="H529" i="30"/>
  <c r="H531" i="30"/>
  <c r="H533" i="30"/>
  <c r="H535" i="30"/>
  <c r="H537" i="30"/>
  <c r="H539" i="30"/>
  <c r="H541" i="30"/>
  <c r="H543" i="30"/>
  <c r="H545" i="30"/>
  <c r="H547" i="30"/>
  <c r="H549" i="30"/>
  <c r="H551" i="30"/>
  <c r="H553" i="30"/>
  <c r="H555" i="30"/>
  <c r="H557" i="30"/>
  <c r="H559" i="30"/>
  <c r="H561" i="30"/>
  <c r="H563" i="30"/>
  <c r="H565" i="30"/>
  <c r="H567" i="30"/>
  <c r="H569" i="30"/>
  <c r="H571" i="30"/>
  <c r="H573" i="30"/>
  <c r="H575" i="30"/>
  <c r="H577" i="30"/>
  <c r="H579" i="30"/>
  <c r="H581" i="30"/>
  <c r="H583" i="30"/>
  <c r="H585" i="30"/>
  <c r="H587" i="30"/>
  <c r="H589" i="30"/>
  <c r="H591" i="30"/>
  <c r="H593" i="30"/>
  <c r="H595" i="30"/>
  <c r="H597" i="30"/>
  <c r="H599" i="30"/>
  <c r="H601" i="30"/>
  <c r="H603" i="30"/>
  <c r="H605" i="30"/>
  <c r="H607" i="30"/>
  <c r="H609" i="30"/>
  <c r="H611" i="30"/>
  <c r="H613" i="30"/>
  <c r="H615" i="30"/>
  <c r="H617" i="30"/>
  <c r="H619" i="30"/>
  <c r="H621" i="30"/>
  <c r="H623" i="30"/>
  <c r="H625" i="30"/>
  <c r="H627" i="30"/>
  <c r="H629" i="30"/>
  <c r="H631" i="30"/>
  <c r="H633" i="30"/>
  <c r="H635" i="30"/>
  <c r="H637" i="30"/>
  <c r="H639" i="30"/>
  <c r="H641" i="30"/>
  <c r="H643" i="30"/>
  <c r="H645" i="30"/>
  <c r="H647" i="30"/>
  <c r="H649" i="30"/>
  <c r="H651" i="30"/>
  <c r="H653" i="30"/>
  <c r="H655" i="30"/>
  <c r="H657" i="30"/>
  <c r="H659" i="30"/>
  <c r="H661" i="30"/>
  <c r="H663" i="30"/>
  <c r="H665" i="30"/>
  <c r="H667" i="30"/>
  <c r="H669" i="30"/>
  <c r="H671" i="30"/>
  <c r="H673" i="30"/>
  <c r="H675" i="30"/>
  <c r="H677" i="30"/>
  <c r="H679" i="30"/>
  <c r="H681" i="30"/>
  <c r="H683" i="30"/>
  <c r="H685" i="30"/>
  <c r="H687" i="30"/>
  <c r="H689" i="30"/>
  <c r="H691" i="30"/>
  <c r="H693" i="30"/>
  <c r="H695" i="30"/>
  <c r="H697" i="30"/>
  <c r="H699" i="30"/>
  <c r="H701" i="30"/>
  <c r="H703" i="30"/>
  <c r="H705" i="30"/>
  <c r="H707" i="30"/>
  <c r="H709" i="30"/>
  <c r="H711" i="30"/>
  <c r="H713" i="30"/>
  <c r="H715" i="30"/>
  <c r="H717" i="30"/>
  <c r="H719" i="30"/>
  <c r="H721" i="30"/>
  <c r="H723" i="30"/>
  <c r="H725" i="30"/>
  <c r="H727" i="30"/>
  <c r="H729" i="30"/>
  <c r="H731" i="30"/>
  <c r="H733" i="30"/>
  <c r="H735" i="30"/>
  <c r="H737" i="30"/>
  <c r="H739" i="30"/>
  <c r="H741" i="30"/>
  <c r="H743" i="30"/>
  <c r="H745" i="30"/>
  <c r="H747" i="30"/>
  <c r="H749" i="30"/>
  <c r="H751" i="30"/>
  <c r="H753" i="30"/>
  <c r="H755" i="30"/>
  <c r="H757" i="30"/>
  <c r="H759" i="30"/>
  <c r="H761" i="30"/>
  <c r="H763" i="30"/>
  <c r="H765" i="30"/>
  <c r="H767" i="30"/>
  <c r="H769" i="30"/>
  <c r="H771" i="30"/>
  <c r="H773" i="30"/>
  <c r="H775" i="30"/>
  <c r="H777" i="30"/>
  <c r="H779" i="30"/>
  <c r="H781" i="30"/>
  <c r="H783" i="30"/>
  <c r="H785" i="30"/>
  <c r="H787" i="30"/>
  <c r="H789" i="30"/>
  <c r="H791" i="30"/>
  <c r="H793" i="30"/>
  <c r="H795" i="30"/>
  <c r="H797" i="30"/>
  <c r="H799" i="30"/>
  <c r="H801" i="30"/>
  <c r="H803" i="30"/>
  <c r="H805" i="30"/>
  <c r="H807" i="30"/>
  <c r="H809" i="30"/>
  <c r="H811" i="30"/>
  <c r="H813" i="30"/>
  <c r="H815" i="30"/>
  <c r="H817" i="30"/>
  <c r="H819" i="30"/>
  <c r="H821" i="30"/>
  <c r="H823" i="30"/>
  <c r="H825" i="30"/>
  <c r="H827" i="30"/>
  <c r="H829" i="30"/>
  <c r="H831" i="30"/>
  <c r="H833" i="30"/>
  <c r="H835" i="30"/>
  <c r="H837" i="30"/>
  <c r="H839" i="30"/>
  <c r="H841" i="30"/>
  <c r="H843" i="30"/>
  <c r="H845" i="30"/>
  <c r="H847" i="30"/>
  <c r="H849" i="30"/>
  <c r="H851" i="30"/>
  <c r="H853" i="30"/>
  <c r="H855" i="30"/>
  <c r="H857" i="30"/>
  <c r="H859" i="30"/>
  <c r="H861" i="30"/>
  <c r="H863" i="30"/>
  <c r="H865" i="30"/>
  <c r="H867" i="30"/>
  <c r="H869" i="30"/>
  <c r="H871" i="30"/>
  <c r="H873" i="30"/>
  <c r="H875" i="30"/>
  <c r="H877" i="30"/>
  <c r="H879" i="30"/>
  <c r="H881" i="30"/>
  <c r="H883" i="30"/>
  <c r="H885" i="30"/>
  <c r="H887" i="30"/>
  <c r="H889" i="30"/>
  <c r="H891" i="30"/>
  <c r="H893" i="30"/>
  <c r="H895" i="30"/>
  <c r="H897" i="30"/>
  <c r="H899" i="30"/>
  <c r="H901" i="30"/>
  <c r="H903" i="30"/>
  <c r="H905" i="30"/>
  <c r="H907" i="30"/>
  <c r="H909" i="30"/>
  <c r="H911" i="30"/>
  <c r="H913" i="30"/>
  <c r="H915" i="30"/>
  <c r="H917" i="30"/>
  <c r="H919" i="30"/>
  <c r="H921" i="30"/>
  <c r="H923" i="30"/>
  <c r="H925" i="30"/>
  <c r="H927" i="30"/>
  <c r="H929" i="30"/>
  <c r="H931" i="30"/>
  <c r="H933" i="30"/>
  <c r="H935" i="30"/>
  <c r="H937" i="30"/>
  <c r="H939" i="30"/>
  <c r="H941" i="30"/>
  <c r="H943" i="30"/>
  <c r="H945" i="30"/>
  <c r="H947" i="30"/>
  <c r="H35" i="30"/>
  <c r="H51" i="30"/>
  <c r="H67" i="30"/>
  <c r="H83" i="30"/>
  <c r="H99" i="30"/>
  <c r="H115" i="30"/>
  <c r="H131" i="30"/>
  <c r="H147" i="30"/>
  <c r="H163" i="30"/>
  <c r="H179" i="30"/>
  <c r="H188" i="30"/>
  <c r="H196" i="30"/>
  <c r="H204" i="30"/>
  <c r="H212" i="30"/>
  <c r="H220" i="30"/>
  <c r="H228" i="30"/>
  <c r="H236" i="30"/>
  <c r="H244" i="30"/>
  <c r="H252" i="30"/>
  <c r="H260" i="30"/>
  <c r="H268" i="30"/>
  <c r="H276" i="30"/>
  <c r="H284" i="30"/>
  <c r="H292" i="30"/>
  <c r="H300" i="30"/>
  <c r="H308" i="30"/>
  <c r="H316" i="30"/>
  <c r="H324" i="30"/>
  <c r="H332" i="30"/>
  <c r="H340" i="30"/>
  <c r="H348" i="30"/>
  <c r="H356" i="30"/>
  <c r="H364" i="30"/>
  <c r="H372" i="30"/>
  <c r="H380" i="30"/>
  <c r="H388" i="30"/>
  <c r="H396" i="30"/>
  <c r="H404" i="30"/>
  <c r="H412" i="30"/>
  <c r="H420" i="30"/>
  <c r="H428" i="30"/>
  <c r="H436" i="30"/>
  <c r="H440" i="30"/>
  <c r="H444" i="30"/>
  <c r="H448" i="30"/>
  <c r="H452" i="30"/>
  <c r="H456" i="30"/>
  <c r="H460" i="30"/>
  <c r="H464" i="30"/>
  <c r="H468" i="30"/>
  <c r="H472" i="30"/>
  <c r="H476" i="30"/>
  <c r="H480" i="30"/>
  <c r="H484" i="30"/>
  <c r="H488" i="30"/>
  <c r="H492" i="30"/>
  <c r="H496" i="30"/>
  <c r="H500" i="30"/>
  <c r="H504" i="30"/>
  <c r="H508" i="30"/>
  <c r="H512" i="30"/>
  <c r="H516" i="30"/>
  <c r="H520" i="30"/>
  <c r="H524" i="30"/>
  <c r="H528" i="30"/>
  <c r="H532" i="30"/>
  <c r="H536" i="30"/>
  <c r="H540" i="30"/>
  <c r="H544" i="30"/>
  <c r="H548" i="30"/>
  <c r="H552" i="30"/>
  <c r="H556" i="30"/>
  <c r="H560" i="30"/>
  <c r="H564" i="30"/>
  <c r="H568" i="30"/>
  <c r="H572" i="30"/>
  <c r="H576" i="30"/>
  <c r="H580" i="30"/>
  <c r="H584" i="30"/>
  <c r="H588" i="30"/>
  <c r="H592" i="30"/>
  <c r="H596" i="30"/>
  <c r="H600" i="30"/>
  <c r="H604" i="30"/>
  <c r="H608" i="30"/>
  <c r="H612" i="30"/>
  <c r="H616" i="30"/>
  <c r="H620" i="30"/>
  <c r="H624" i="30"/>
  <c r="H628" i="30"/>
  <c r="H632" i="30"/>
  <c r="H636" i="30"/>
  <c r="H640" i="30"/>
  <c r="H644" i="30"/>
  <c r="H648" i="30"/>
  <c r="H652" i="30"/>
  <c r="H656" i="30"/>
  <c r="H660" i="30"/>
  <c r="H664" i="30"/>
  <c r="H668" i="30"/>
  <c r="H672" i="30"/>
  <c r="H676" i="30"/>
  <c r="H680" i="30"/>
  <c r="H684" i="30"/>
  <c r="H688" i="30"/>
  <c r="H692" i="30"/>
  <c r="H696" i="30"/>
  <c r="H700" i="30"/>
  <c r="H704" i="30"/>
  <c r="H708" i="30"/>
  <c r="H712" i="30"/>
  <c r="H716" i="30"/>
  <c r="H720" i="30"/>
  <c r="H724" i="30"/>
  <c r="H728" i="30"/>
  <c r="H732" i="30"/>
  <c r="H736" i="30"/>
  <c r="H740" i="30"/>
  <c r="H744" i="30"/>
  <c r="H748" i="30"/>
  <c r="H752" i="30"/>
  <c r="H756" i="30"/>
  <c r="H760" i="30"/>
  <c r="H764" i="30"/>
  <c r="H768" i="30"/>
  <c r="H772" i="30"/>
  <c r="H776" i="30"/>
  <c r="H780" i="30"/>
  <c r="H784" i="30"/>
  <c r="H788" i="30"/>
  <c r="H792" i="30"/>
  <c r="H796" i="30"/>
  <c r="H800" i="30"/>
  <c r="H804" i="30"/>
  <c r="H808" i="30"/>
  <c r="H812" i="30"/>
  <c r="H816" i="30"/>
  <c r="H820" i="30"/>
  <c r="H824" i="30"/>
  <c r="H828" i="30"/>
  <c r="H832" i="30"/>
  <c r="H836" i="30"/>
  <c r="H840" i="30"/>
  <c r="H844" i="30"/>
  <c r="H848" i="30"/>
  <c r="H852" i="30"/>
  <c r="H856" i="30"/>
  <c r="H860" i="30"/>
  <c r="H864" i="30"/>
  <c r="H868" i="30"/>
  <c r="H872" i="30"/>
  <c r="H876" i="30"/>
  <c r="H880" i="30"/>
  <c r="H884" i="30"/>
  <c r="H888" i="30"/>
  <c r="H892" i="30"/>
  <c r="H896" i="30"/>
  <c r="H900" i="30"/>
  <c r="H904" i="30"/>
  <c r="H908" i="30"/>
  <c r="H912" i="30"/>
  <c r="H916" i="30"/>
  <c r="H920" i="30"/>
  <c r="H924" i="30"/>
  <c r="H928" i="30"/>
  <c r="H932" i="30"/>
  <c r="H936" i="30"/>
  <c r="H940" i="30"/>
  <c r="H944" i="30"/>
  <c r="H948" i="30"/>
  <c r="H950" i="30"/>
  <c r="H952" i="30"/>
  <c r="H954" i="30"/>
  <c r="H956" i="30"/>
  <c r="H958" i="30"/>
  <c r="H960" i="30"/>
  <c r="H962" i="30"/>
  <c r="H964" i="30"/>
  <c r="H966" i="30"/>
  <c r="H968" i="30"/>
  <c r="H970" i="30"/>
  <c r="H972" i="30"/>
  <c r="H974" i="30"/>
  <c r="H976" i="30"/>
  <c r="H978" i="30"/>
  <c r="H980" i="30"/>
  <c r="H982" i="30"/>
  <c r="H984" i="30"/>
  <c r="H986" i="30"/>
  <c r="H988" i="30"/>
  <c r="H990" i="30"/>
  <c r="H992" i="30"/>
  <c r="H994" i="30"/>
  <c r="H996" i="30"/>
  <c r="H998" i="30"/>
  <c r="H1000" i="30"/>
  <c r="H1002" i="30"/>
  <c r="H1004" i="30"/>
  <c r="H1006" i="30"/>
  <c r="H1008" i="30"/>
  <c r="H1010" i="30"/>
  <c r="H1012" i="30"/>
  <c r="H1014" i="30"/>
  <c r="H1016" i="30"/>
  <c r="H1018" i="30"/>
  <c r="H1020" i="30"/>
  <c r="H1022" i="30"/>
  <c r="H1024" i="30"/>
  <c r="H1026" i="30"/>
  <c r="H1028" i="30"/>
  <c r="H1030" i="30"/>
  <c r="H1032" i="30"/>
  <c r="H1034" i="30"/>
  <c r="H1036" i="30"/>
  <c r="H1038" i="30"/>
  <c r="H1040" i="30"/>
  <c r="H1042" i="30"/>
  <c r="H1044" i="30"/>
  <c r="H1046" i="30"/>
  <c r="H1048" i="30"/>
  <c r="H1050" i="30"/>
  <c r="H1052" i="30"/>
  <c r="H1054" i="30"/>
  <c r="H1056" i="30"/>
  <c r="H1058" i="30"/>
  <c r="H1060" i="30"/>
  <c r="H1062" i="30"/>
  <c r="H1064" i="30"/>
  <c r="H1066" i="30"/>
  <c r="H1068" i="30"/>
  <c r="H1070" i="30"/>
  <c r="H1072" i="30"/>
  <c r="H1074" i="30"/>
  <c r="H1076" i="30"/>
  <c r="H1078" i="30"/>
  <c r="H1080" i="30"/>
  <c r="H1082" i="30"/>
  <c r="H1084" i="30"/>
  <c r="H1086" i="30"/>
  <c r="H1088" i="30"/>
  <c r="H1090" i="30"/>
  <c r="H1092" i="30"/>
  <c r="H1094" i="30"/>
  <c r="H1096" i="30"/>
  <c r="H1098" i="30"/>
  <c r="H1100" i="30"/>
  <c r="H1102" i="30"/>
  <c r="H1104" i="30"/>
  <c r="H1106" i="30"/>
  <c r="H1108" i="30"/>
  <c r="H1110" i="30"/>
  <c r="H1112" i="30"/>
  <c r="H1114" i="30"/>
  <c r="H1116" i="30"/>
  <c r="H1118" i="30"/>
  <c r="H1120" i="30"/>
  <c r="H1122" i="30"/>
  <c r="H1124" i="30"/>
  <c r="H1126" i="30"/>
  <c r="H1128" i="30"/>
  <c r="H1130" i="30"/>
  <c r="H1132" i="30"/>
  <c r="H1134" i="30"/>
  <c r="H1136" i="30"/>
  <c r="H1138" i="30"/>
  <c r="H1140" i="30"/>
  <c r="H1142" i="30"/>
  <c r="H1144" i="30"/>
  <c r="H1146" i="30"/>
  <c r="H1148" i="30"/>
  <c r="H1150" i="30"/>
  <c r="H1152" i="30"/>
  <c r="H1154" i="30"/>
  <c r="H1156" i="30"/>
  <c r="H1158" i="30"/>
  <c r="H1160" i="30"/>
  <c r="H1162" i="30"/>
  <c r="H1164" i="30"/>
  <c r="H1166" i="30"/>
  <c r="H1168" i="30"/>
  <c r="H1170" i="30"/>
  <c r="H1172" i="30"/>
  <c r="H1174" i="30"/>
  <c r="H1176" i="30"/>
  <c r="H1178" i="30"/>
  <c r="H1180" i="30"/>
  <c r="H1182" i="30"/>
  <c r="H1184" i="30"/>
  <c r="H1186" i="30"/>
  <c r="H1188" i="30"/>
  <c r="H1190" i="30"/>
  <c r="H1192" i="30"/>
  <c r="H1194" i="30"/>
  <c r="H1196" i="30"/>
  <c r="H1198" i="30"/>
  <c r="H1200" i="30"/>
  <c r="H1202" i="30"/>
  <c r="H1204" i="30"/>
  <c r="H1206" i="30"/>
  <c r="H1208" i="30"/>
  <c r="H1210" i="30"/>
  <c r="H1212" i="30"/>
  <c r="H1214" i="30"/>
  <c r="H1216" i="30"/>
  <c r="H1218" i="30"/>
  <c r="H1220" i="30"/>
  <c r="H1222" i="30"/>
  <c r="H1224" i="30"/>
  <c r="H1226" i="30"/>
  <c r="H1228" i="30"/>
  <c r="H1230" i="30"/>
  <c r="H1232" i="30"/>
  <c r="H1234" i="30"/>
  <c r="H1236" i="30"/>
  <c r="H1238" i="30"/>
  <c r="H1240" i="30"/>
  <c r="H1242" i="30"/>
  <c r="H1244" i="30"/>
  <c r="H1246" i="30"/>
  <c r="H1248" i="30"/>
  <c r="H1250" i="30"/>
  <c r="H1252" i="30"/>
  <c r="H1254" i="30"/>
  <c r="H1256" i="30"/>
  <c r="H1258" i="30"/>
  <c r="H1260" i="30"/>
  <c r="H1262" i="30"/>
  <c r="H1264" i="30"/>
  <c r="H1266" i="30"/>
  <c r="H1268" i="30"/>
  <c r="H1270" i="30"/>
  <c r="H1272" i="30"/>
  <c r="H1274" i="30"/>
  <c r="H1276" i="30"/>
  <c r="H1278" i="30"/>
  <c r="H1280" i="30"/>
  <c r="H1282" i="30"/>
  <c r="H1284" i="30"/>
  <c r="H1286" i="30"/>
  <c r="H1288" i="30"/>
  <c r="H1290" i="30"/>
  <c r="H1292" i="30"/>
  <c r="H1294" i="30"/>
  <c r="H1296" i="30"/>
  <c r="H1298" i="30"/>
  <c r="H1300" i="30"/>
  <c r="H1302" i="30"/>
  <c r="H1304" i="30"/>
  <c r="H1306" i="30"/>
  <c r="H1308" i="30"/>
  <c r="H1310" i="30"/>
  <c r="H1312" i="30"/>
  <c r="H1314" i="30"/>
  <c r="H1316" i="30"/>
  <c r="H1318" i="30"/>
  <c r="H1320" i="30"/>
  <c r="H1322" i="30"/>
  <c r="H1324" i="30"/>
  <c r="H1326" i="30"/>
  <c r="H1328" i="30"/>
  <c r="H1330" i="30"/>
  <c r="H1332" i="30"/>
  <c r="H1334" i="30"/>
  <c r="H1336" i="30"/>
  <c r="H1338" i="30"/>
  <c r="H1340" i="30"/>
  <c r="H1342" i="30"/>
  <c r="H1344" i="30"/>
  <c r="H1346" i="30"/>
  <c r="H1348" i="30"/>
  <c r="H1350" i="30"/>
  <c r="H1352" i="30"/>
  <c r="H1354" i="30"/>
  <c r="H1356" i="30"/>
  <c r="H1358" i="30"/>
  <c r="H1360" i="30"/>
  <c r="H1362" i="30"/>
  <c r="H1364" i="30"/>
  <c r="H1366" i="30"/>
  <c r="H1368" i="30"/>
  <c r="H1370" i="30"/>
  <c r="H1372" i="30"/>
  <c r="H1374" i="30"/>
  <c r="H1376" i="30"/>
  <c r="H1378" i="30"/>
  <c r="H1380" i="30"/>
  <c r="H1382" i="30"/>
  <c r="H1384" i="30"/>
  <c r="H1386" i="30"/>
  <c r="H1388" i="30"/>
  <c r="H1390" i="30"/>
  <c r="H1392" i="30"/>
  <c r="H1394" i="30"/>
  <c r="H1396" i="30"/>
  <c r="H1398" i="30"/>
  <c r="H1400" i="30"/>
  <c r="H1402" i="30"/>
  <c r="H1404" i="30"/>
  <c r="H1406" i="30"/>
  <c r="H1408" i="30"/>
  <c r="H1410" i="30"/>
  <c r="H1412" i="30"/>
  <c r="H1414" i="30"/>
  <c r="H1416" i="30"/>
  <c r="H1418" i="30"/>
  <c r="H1420" i="30"/>
  <c r="H1422" i="30"/>
  <c r="H1424" i="30"/>
  <c r="H1426" i="30"/>
  <c r="H1428" i="30"/>
  <c r="H1430" i="30"/>
  <c r="H1432" i="30"/>
  <c r="H1434" i="30"/>
  <c r="H1436" i="30"/>
  <c r="H1438" i="30"/>
  <c r="H1440" i="30"/>
  <c r="H1442" i="30"/>
  <c r="H1444" i="30"/>
  <c r="H1446" i="30"/>
  <c r="H1448" i="30"/>
  <c r="H1450" i="30"/>
  <c r="H1452" i="30"/>
  <c r="H1454" i="30"/>
  <c r="H1456" i="30"/>
  <c r="H1458" i="30"/>
  <c r="H1460" i="30"/>
  <c r="H1462" i="30"/>
  <c r="H1464" i="30"/>
  <c r="H1466" i="30"/>
  <c r="H1468" i="30"/>
  <c r="H1470" i="30"/>
  <c r="H1472" i="30"/>
  <c r="H1474" i="30"/>
  <c r="H1476" i="30"/>
  <c r="H1478" i="30"/>
  <c r="H1480" i="30"/>
  <c r="H1482" i="30"/>
  <c r="H1484" i="30"/>
  <c r="H1486" i="30"/>
  <c r="H1488" i="30"/>
  <c r="H1490" i="30"/>
  <c r="H1492" i="30"/>
  <c r="H1494" i="30"/>
  <c r="H1496" i="30"/>
  <c r="H1498" i="30"/>
  <c r="H1500" i="30"/>
  <c r="H1502" i="30"/>
  <c r="H1504" i="30"/>
  <c r="H1506" i="30"/>
  <c r="H1508" i="30"/>
  <c r="H1510" i="30"/>
  <c r="H1512" i="30"/>
  <c r="H1514" i="30"/>
  <c r="H1516" i="30"/>
  <c r="H1518" i="30"/>
  <c r="H1520" i="30"/>
  <c r="H1522" i="30"/>
  <c r="H1524" i="30"/>
  <c r="H1526" i="30"/>
  <c r="H1528" i="30"/>
  <c r="H1530" i="30"/>
  <c r="H1532" i="30"/>
  <c r="H1534" i="30"/>
  <c r="H1536" i="30"/>
  <c r="H1538" i="30"/>
  <c r="H1540" i="30"/>
  <c r="H1542" i="30"/>
  <c r="H1544" i="30"/>
  <c r="H1546" i="30"/>
  <c r="H1548" i="30"/>
  <c r="H1550" i="30"/>
  <c r="H1552" i="30"/>
  <c r="H1554" i="30"/>
  <c r="H1556" i="30"/>
  <c r="H1558" i="30"/>
  <c r="H1560" i="30"/>
  <c r="H1562" i="30"/>
  <c r="H1564" i="30"/>
  <c r="H1566" i="30"/>
  <c r="H1568" i="30"/>
  <c r="H1570" i="30"/>
  <c r="H1572" i="30"/>
  <c r="H1574" i="30"/>
  <c r="H1576" i="30"/>
  <c r="H1578" i="30"/>
  <c r="H1580" i="30"/>
  <c r="H1582" i="30"/>
  <c r="H1584" i="30"/>
  <c r="H1586" i="30"/>
  <c r="H1588" i="30"/>
  <c r="H1590" i="30"/>
  <c r="H1592" i="30"/>
  <c r="H1594" i="30"/>
  <c r="H1596" i="30"/>
  <c r="H1598" i="30"/>
  <c r="H1600" i="30"/>
  <c r="H1602" i="30"/>
  <c r="H1604" i="30"/>
  <c r="H1606" i="30"/>
  <c r="H1608" i="30"/>
  <c r="H1610" i="30"/>
  <c r="H1612" i="30"/>
  <c r="H1614" i="30"/>
  <c r="H1616" i="30"/>
  <c r="H1618" i="30"/>
  <c r="H1620" i="30"/>
  <c r="H1622" i="30"/>
  <c r="H1624" i="30"/>
  <c r="H1626" i="30"/>
  <c r="H1628" i="30"/>
  <c r="H1630" i="30"/>
  <c r="H1632" i="30"/>
  <c r="H1634" i="30"/>
  <c r="H1636" i="30"/>
  <c r="H1638" i="30"/>
  <c r="H1640" i="30"/>
  <c r="H1642" i="30"/>
  <c r="H1644" i="30"/>
  <c r="H1646" i="30"/>
  <c r="H1648" i="30"/>
  <c r="H1650" i="30"/>
  <c r="H1652" i="30"/>
  <c r="H1654" i="30"/>
  <c r="H1656" i="30"/>
  <c r="H1658" i="30"/>
  <c r="H1660" i="30"/>
  <c r="H1662" i="30"/>
  <c r="H1664" i="30"/>
  <c r="H1666" i="30"/>
  <c r="H1668" i="30"/>
  <c r="H1670" i="30"/>
  <c r="H1672" i="30"/>
  <c r="H1674" i="30"/>
  <c r="H1676" i="30"/>
  <c r="H1678" i="30"/>
  <c r="H1680" i="30"/>
  <c r="H1682" i="30"/>
  <c r="H1684" i="30"/>
  <c r="H1686" i="30"/>
  <c r="H1688" i="30"/>
  <c r="H1690" i="30"/>
  <c r="H1692" i="30"/>
  <c r="H1694" i="30"/>
  <c r="H1696" i="30"/>
  <c r="H1698" i="30"/>
  <c r="H1700" i="30"/>
  <c r="H1702" i="30"/>
  <c r="H1704" i="30"/>
  <c r="H1706" i="30"/>
  <c r="H1708" i="30"/>
  <c r="H1710" i="30"/>
  <c r="H1712" i="30"/>
  <c r="H1714" i="30"/>
  <c r="H1716" i="30"/>
  <c r="H1718" i="30"/>
  <c r="H1720" i="30"/>
  <c r="H1722" i="30"/>
  <c r="H1724" i="30"/>
  <c r="H1726" i="30"/>
  <c r="H1728" i="30"/>
  <c r="H1730" i="30"/>
  <c r="H1732" i="30"/>
  <c r="H1734" i="30"/>
  <c r="H1736" i="30"/>
  <c r="H1738" i="30"/>
  <c r="H1740" i="30"/>
  <c r="H1742" i="30"/>
  <c r="H1744" i="30"/>
  <c r="H1746" i="30"/>
  <c r="H1748" i="30"/>
  <c r="H1750" i="30"/>
  <c r="H1752" i="30"/>
  <c r="H1754" i="30"/>
  <c r="H1756" i="30"/>
  <c r="H1758" i="30"/>
  <c r="H1760" i="30"/>
  <c r="H1762" i="30"/>
  <c r="H1764" i="30"/>
  <c r="H1766" i="30"/>
  <c r="H1768" i="30"/>
  <c r="H1770" i="30"/>
  <c r="H1772" i="30"/>
  <c r="H1774" i="30"/>
  <c r="H1776" i="30"/>
  <c r="H1778" i="30"/>
  <c r="H1780" i="30"/>
  <c r="H1782" i="30"/>
  <c r="H1784" i="30"/>
  <c r="H1786" i="30"/>
  <c r="H1788" i="30"/>
  <c r="H1790" i="30"/>
  <c r="H1792" i="30"/>
  <c r="H1794" i="30"/>
  <c r="H1796" i="30"/>
  <c r="H1798" i="30"/>
  <c r="H1800" i="30"/>
  <c r="H1802" i="30"/>
  <c r="H1804" i="30"/>
  <c r="H1806" i="30"/>
  <c r="H1808" i="30"/>
  <c r="H1810" i="30"/>
  <c r="H1812" i="30"/>
  <c r="H1814" i="30"/>
  <c r="H1816" i="30"/>
  <c r="H1818" i="30"/>
  <c r="H1820" i="30"/>
  <c r="H1822" i="30"/>
  <c r="H1824" i="30"/>
  <c r="H1826" i="30"/>
  <c r="H1828" i="30"/>
  <c r="H1830" i="30"/>
  <c r="H1832" i="30"/>
  <c r="H1834" i="30"/>
  <c r="H1836" i="30"/>
  <c r="H1838" i="30"/>
  <c r="H1840" i="30"/>
  <c r="H1842" i="30"/>
  <c r="H1844" i="30"/>
  <c r="H1846" i="30"/>
  <c r="H1848" i="30"/>
  <c r="H1850" i="30"/>
  <c r="H1852" i="30"/>
  <c r="H1854" i="30"/>
  <c r="H1856" i="30"/>
  <c r="H1858" i="30"/>
  <c r="H1860" i="30"/>
  <c r="H1862" i="30"/>
  <c r="H1864" i="30"/>
  <c r="H1866" i="30"/>
  <c r="H1868" i="30"/>
  <c r="H1870" i="30"/>
  <c r="H1872" i="30"/>
  <c r="H1874" i="30"/>
  <c r="H1876" i="30"/>
  <c r="H1878" i="30"/>
  <c r="H1880" i="30"/>
  <c r="H1882" i="30"/>
  <c r="H1884" i="30"/>
  <c r="H1886" i="30"/>
  <c r="H1888" i="30"/>
  <c r="H1890" i="30"/>
  <c r="H1892" i="30"/>
  <c r="H1894" i="30"/>
  <c r="H1896" i="30"/>
  <c r="H1898" i="30"/>
  <c r="H1900" i="30"/>
  <c r="H1902" i="30"/>
  <c r="H1904" i="30"/>
  <c r="H1906" i="30"/>
  <c r="H1908" i="30"/>
  <c r="H1910" i="30"/>
  <c r="H1912" i="30"/>
  <c r="H1914" i="30"/>
  <c r="H1916" i="30"/>
  <c r="H1918" i="30"/>
  <c r="H1920" i="30"/>
  <c r="H1922" i="30"/>
  <c r="H1924" i="30"/>
  <c r="H1926" i="30"/>
  <c r="H1928" i="30"/>
  <c r="H1930" i="30"/>
  <c r="H1932" i="30"/>
  <c r="H1934" i="30"/>
  <c r="H1936" i="30"/>
  <c r="H1938" i="30"/>
  <c r="H1940" i="30"/>
  <c r="H1942" i="30"/>
  <c r="H1944" i="30"/>
  <c r="H1946" i="30"/>
  <c r="H1948" i="30"/>
  <c r="H1950" i="30"/>
  <c r="H1952" i="30"/>
  <c r="H1954" i="30"/>
  <c r="H1956" i="30"/>
  <c r="H1958" i="30"/>
  <c r="H1960" i="30"/>
  <c r="H1962" i="30"/>
  <c r="H1964" i="30"/>
  <c r="H1966" i="30"/>
  <c r="H1968" i="30"/>
  <c r="H1970" i="30"/>
  <c r="H27" i="30"/>
  <c r="H59" i="30"/>
  <c r="H91" i="30"/>
  <c r="H123" i="30"/>
  <c r="H155" i="30"/>
  <c r="H184" i="30"/>
  <c r="H200" i="30"/>
  <c r="H216" i="30"/>
  <c r="H232" i="30"/>
  <c r="H248" i="30"/>
  <c r="H264" i="30"/>
  <c r="H280" i="30"/>
  <c r="H296" i="30"/>
  <c r="H312" i="30"/>
  <c r="H328" i="30"/>
  <c r="H344" i="30"/>
  <c r="H360" i="30"/>
  <c r="H376" i="30"/>
  <c r="H392" i="30"/>
  <c r="H408" i="30"/>
  <c r="H424" i="30"/>
  <c r="H438" i="30"/>
  <c r="H446" i="30"/>
  <c r="H454" i="30"/>
  <c r="H462" i="30"/>
  <c r="H470" i="30"/>
  <c r="H478" i="30"/>
  <c r="H486" i="30"/>
  <c r="H494" i="30"/>
  <c r="H502" i="30"/>
  <c r="H510" i="30"/>
  <c r="H518" i="30"/>
  <c r="H526" i="30"/>
  <c r="H534" i="30"/>
  <c r="H542" i="30"/>
  <c r="H550" i="30"/>
  <c r="H558" i="30"/>
  <c r="H566" i="30"/>
  <c r="H574" i="30"/>
  <c r="H582" i="30"/>
  <c r="H590" i="30"/>
  <c r="H598" i="30"/>
  <c r="H606" i="30"/>
  <c r="H614" i="30"/>
  <c r="H622" i="30"/>
  <c r="H630" i="30"/>
  <c r="H638" i="30"/>
  <c r="H646" i="30"/>
  <c r="H654" i="30"/>
  <c r="H662" i="30"/>
  <c r="H670" i="30"/>
  <c r="H678" i="30"/>
  <c r="H686" i="30"/>
  <c r="H694" i="30"/>
  <c r="H702" i="30"/>
  <c r="H710" i="30"/>
  <c r="H718" i="30"/>
  <c r="H726" i="30"/>
  <c r="H734" i="30"/>
  <c r="H742" i="30"/>
  <c r="H750" i="30"/>
  <c r="H758" i="30"/>
  <c r="H766" i="30"/>
  <c r="H774" i="30"/>
  <c r="H782" i="30"/>
  <c r="H790" i="30"/>
  <c r="H798" i="30"/>
  <c r="H806" i="30"/>
  <c r="H814" i="30"/>
  <c r="H822" i="30"/>
  <c r="H830" i="30"/>
  <c r="H838" i="30"/>
  <c r="H846" i="30"/>
  <c r="H854" i="30"/>
  <c r="H862" i="30"/>
  <c r="H870" i="30"/>
  <c r="H878" i="30"/>
  <c r="H886" i="30"/>
  <c r="H894" i="30"/>
  <c r="H902" i="30"/>
  <c r="H910" i="30"/>
  <c r="H918" i="30"/>
  <c r="H926" i="30"/>
  <c r="H934" i="30"/>
  <c r="H942" i="30"/>
  <c r="H949" i="30"/>
  <c r="H953" i="30"/>
  <c r="H957" i="30"/>
  <c r="H961" i="30"/>
  <c r="H965" i="30"/>
  <c r="H969" i="30"/>
  <c r="H973" i="30"/>
  <c r="H977" i="30"/>
  <c r="H981" i="30"/>
  <c r="H985" i="30"/>
  <c r="H989" i="30"/>
  <c r="H993" i="30"/>
  <c r="H997" i="30"/>
  <c r="H1001" i="30"/>
  <c r="H1005" i="30"/>
  <c r="H1009" i="30"/>
  <c r="H1013" i="30"/>
  <c r="H1017" i="30"/>
  <c r="H1021" i="30"/>
  <c r="H1025" i="30"/>
  <c r="H1029" i="30"/>
  <c r="H1033" i="30"/>
  <c r="H1037" i="30"/>
  <c r="H1041" i="30"/>
  <c r="H1045" i="30"/>
  <c r="H1049" i="30"/>
  <c r="H1053" i="30"/>
  <c r="H1057" i="30"/>
  <c r="H1061" i="30"/>
  <c r="H1065" i="30"/>
  <c r="H1069" i="30"/>
  <c r="H1073" i="30"/>
  <c r="H1077" i="30"/>
  <c r="H1081" i="30"/>
  <c r="H1085" i="30"/>
  <c r="H1089" i="30"/>
  <c r="H1093" i="30"/>
  <c r="H1097" i="30"/>
  <c r="H1101" i="30"/>
  <c r="H1105" i="30"/>
  <c r="H1109" i="30"/>
  <c r="H1113" i="30"/>
  <c r="H1117" i="30"/>
  <c r="H1121" i="30"/>
  <c r="H1125" i="30"/>
  <c r="H1129" i="30"/>
  <c r="H1133" i="30"/>
  <c r="H1137" i="30"/>
  <c r="H1141" i="30"/>
  <c r="H1145" i="30"/>
  <c r="H1149" i="30"/>
  <c r="H1153" i="30"/>
  <c r="H1157" i="30"/>
  <c r="H1161" i="30"/>
  <c r="H1165" i="30"/>
  <c r="H1169" i="30"/>
  <c r="H1173" i="30"/>
  <c r="H1177" i="30"/>
  <c r="H1181" i="30"/>
  <c r="H1185" i="30"/>
  <c r="H1189" i="30"/>
  <c r="H1193" i="30"/>
  <c r="H1197" i="30"/>
  <c r="H1201" i="30"/>
  <c r="H1205" i="30"/>
  <c r="H1209" i="30"/>
  <c r="H1213" i="30"/>
  <c r="H1217" i="30"/>
  <c r="H1221" i="30"/>
  <c r="H1225" i="30"/>
  <c r="H1229" i="30"/>
  <c r="H1233" i="30"/>
  <c r="H1237" i="30"/>
  <c r="H1241" i="30"/>
  <c r="H1245" i="30"/>
  <c r="H1249" i="30"/>
  <c r="H1253" i="30"/>
  <c r="H1257" i="30"/>
  <c r="H1261" i="30"/>
  <c r="H1265" i="30"/>
  <c r="H1269" i="30"/>
  <c r="H1273" i="30"/>
  <c r="H1277" i="30"/>
  <c r="H1281" i="30"/>
  <c r="H1285" i="30"/>
  <c r="H1289" i="30"/>
  <c r="H1293" i="30"/>
  <c r="H1297" i="30"/>
  <c r="H1301" i="30"/>
  <c r="H1305" i="30"/>
  <c r="H1309" i="30"/>
  <c r="H1313" i="30"/>
  <c r="H1317" i="30"/>
  <c r="H1321" i="30"/>
  <c r="H1325" i="30"/>
  <c r="H1329" i="30"/>
  <c r="H1333" i="30"/>
  <c r="H1337" i="30"/>
  <c r="H1341" i="30"/>
  <c r="H1345" i="30"/>
  <c r="H1349" i="30"/>
  <c r="H1353" i="30"/>
  <c r="H1357" i="30"/>
  <c r="H1361" i="30"/>
  <c r="H1365" i="30"/>
  <c r="H1369" i="30"/>
  <c r="H1373" i="30"/>
  <c r="H1377" i="30"/>
  <c r="H1381" i="30"/>
  <c r="H1385" i="30"/>
  <c r="H1389" i="30"/>
  <c r="H1393" i="30"/>
  <c r="H1397" i="30"/>
  <c r="H1401" i="30"/>
  <c r="H1405" i="30"/>
  <c r="H1409" i="30"/>
  <c r="H1413" i="30"/>
  <c r="H1417" i="30"/>
  <c r="H1421" i="30"/>
  <c r="H1425" i="30"/>
  <c r="H1429" i="30"/>
  <c r="H1433" i="30"/>
  <c r="H1437" i="30"/>
  <c r="H1441" i="30"/>
  <c r="H1445" i="30"/>
  <c r="H1449" i="30"/>
  <c r="H1453" i="30"/>
  <c r="H1457" i="30"/>
  <c r="H1461" i="30"/>
  <c r="H1465" i="30"/>
  <c r="H1469" i="30"/>
  <c r="H1473" i="30"/>
  <c r="H1477" i="30"/>
  <c r="H1481" i="30"/>
  <c r="H1485" i="30"/>
  <c r="H1489" i="30"/>
  <c r="H1493" i="30"/>
  <c r="H1497" i="30"/>
  <c r="H1501" i="30"/>
  <c r="H1505" i="30"/>
  <c r="H1509" i="30"/>
  <c r="H1513" i="30"/>
  <c r="H1517" i="30"/>
  <c r="H1521" i="30"/>
  <c r="H1525" i="30"/>
  <c r="H1529" i="30"/>
  <c r="H1533" i="30"/>
  <c r="H1537" i="30"/>
  <c r="H1541" i="30"/>
  <c r="H1545" i="30"/>
  <c r="H1549" i="30"/>
  <c r="H1553" i="30"/>
  <c r="H1557" i="30"/>
  <c r="H1561" i="30"/>
  <c r="H1565" i="30"/>
  <c r="H1569" i="30"/>
  <c r="H1573" i="30"/>
  <c r="H1577" i="30"/>
  <c r="H1581" i="30"/>
  <c r="H1585" i="30"/>
  <c r="H1589" i="30"/>
  <c r="H1593" i="30"/>
  <c r="H1597" i="30"/>
  <c r="H1601" i="30"/>
  <c r="H1605" i="30"/>
  <c r="H1609" i="30"/>
  <c r="H1613" i="30"/>
  <c r="H1617" i="30"/>
  <c r="H1621" i="30"/>
  <c r="H1625" i="30"/>
  <c r="H1629" i="30"/>
  <c r="H1633" i="30"/>
  <c r="H1637" i="30"/>
  <c r="H1641" i="30"/>
  <c r="H1645" i="30"/>
  <c r="H1649" i="30"/>
  <c r="H1653" i="30"/>
  <c r="H1657" i="30"/>
  <c r="H1661" i="30"/>
  <c r="H1665" i="30"/>
  <c r="H1669" i="30"/>
  <c r="H1673" i="30"/>
  <c r="H1677" i="30"/>
  <c r="H1681" i="30"/>
  <c r="H1685" i="30"/>
  <c r="H1689" i="30"/>
  <c r="H1693" i="30"/>
  <c r="H1697" i="30"/>
  <c r="H1701" i="30"/>
  <c r="H1705" i="30"/>
  <c r="H1709" i="30"/>
  <c r="H1713" i="30"/>
  <c r="H1717" i="30"/>
  <c r="H1721" i="30"/>
  <c r="H1725" i="30"/>
  <c r="H1729" i="30"/>
  <c r="H1733" i="30"/>
  <c r="H1737" i="30"/>
  <c r="H1741" i="30"/>
  <c r="H1745" i="30"/>
  <c r="H1749" i="30"/>
  <c r="H1753" i="30"/>
  <c r="H1757" i="30"/>
  <c r="H1761" i="30"/>
  <c r="H1765" i="30"/>
  <c r="H1769" i="30"/>
  <c r="H1773" i="30"/>
  <c r="H1777" i="30"/>
  <c r="H1781" i="30"/>
  <c r="H1785" i="30"/>
  <c r="H1789" i="30"/>
  <c r="H1793" i="30"/>
  <c r="H1797" i="30"/>
  <c r="H1801" i="30"/>
  <c r="H1805" i="30"/>
  <c r="H1809" i="30"/>
  <c r="H1813" i="30"/>
  <c r="H1817" i="30"/>
  <c r="H1821" i="30"/>
  <c r="H1825" i="30"/>
  <c r="H1829" i="30"/>
  <c r="H1833" i="30"/>
  <c r="H1837" i="30"/>
  <c r="H1841" i="30"/>
  <c r="H1845" i="30"/>
  <c r="H1849" i="30"/>
  <c r="H1853" i="30"/>
  <c r="H1857" i="30"/>
  <c r="H1861" i="30"/>
  <c r="H1865" i="30"/>
  <c r="H1869" i="30"/>
  <c r="H1873" i="30"/>
  <c r="H1877" i="30"/>
  <c r="H1881" i="30"/>
  <c r="H1885" i="30"/>
  <c r="H1889" i="30"/>
  <c r="H1893" i="30"/>
  <c r="H1897" i="30"/>
  <c r="H1901" i="30"/>
  <c r="H1905" i="30"/>
  <c r="H1909" i="30"/>
  <c r="H1913" i="30"/>
  <c r="H1917" i="30"/>
  <c r="H1921" i="30"/>
  <c r="H1925" i="30"/>
  <c r="H1929" i="30"/>
  <c r="H1933" i="30"/>
  <c r="H1937" i="30"/>
  <c r="H1941" i="30"/>
  <c r="H1945" i="30"/>
  <c r="H1949" i="30"/>
  <c r="H1953" i="30"/>
  <c r="H1957" i="30"/>
  <c r="H1961" i="30"/>
  <c r="H1965" i="30"/>
  <c r="H1969" i="30"/>
  <c r="H1972" i="30"/>
  <c r="H1974" i="30"/>
  <c r="H1976" i="30"/>
  <c r="H1978" i="30"/>
  <c r="H1980" i="30"/>
  <c r="H1982" i="30"/>
  <c r="H1984" i="30"/>
  <c r="H1986" i="30"/>
  <c r="H1988" i="30"/>
  <c r="H1990" i="30"/>
  <c r="H1992" i="30"/>
  <c r="H1994" i="30"/>
  <c r="H1996" i="30"/>
  <c r="H1998" i="30"/>
  <c r="H2000" i="30"/>
  <c r="H2002" i="30"/>
  <c r="H2004" i="30"/>
  <c r="H2006" i="30"/>
  <c r="H2008" i="30"/>
  <c r="H2010" i="30"/>
  <c r="H2012" i="30"/>
  <c r="H2014" i="30"/>
  <c r="H2016" i="30"/>
  <c r="H2018" i="30"/>
  <c r="H2020" i="30"/>
  <c r="H2022" i="30"/>
  <c r="H2024" i="30"/>
  <c r="H2026" i="30"/>
  <c r="H2028" i="30"/>
  <c r="H2030" i="30"/>
  <c r="H2032" i="30"/>
  <c r="H2034" i="30"/>
  <c r="H2036" i="30"/>
  <c r="H2038" i="30"/>
  <c r="H2040" i="30"/>
  <c r="H2042" i="30"/>
  <c r="H2044" i="30"/>
  <c r="H2046" i="30"/>
  <c r="H2048" i="30"/>
  <c r="H2050" i="30"/>
  <c r="H2052" i="30"/>
  <c r="H2054" i="30"/>
  <c r="H2056" i="30"/>
  <c r="H2058" i="30"/>
  <c r="H2060" i="30"/>
  <c r="H2062" i="30"/>
  <c r="H2064" i="30"/>
  <c r="H2066" i="30"/>
  <c r="H2068" i="30"/>
  <c r="H2070" i="30"/>
  <c r="H2072" i="30"/>
  <c r="H2074" i="30"/>
  <c r="H2076" i="30"/>
  <c r="H2078" i="30"/>
  <c r="H2080" i="30"/>
  <c r="H2082" i="30"/>
  <c r="H2084" i="30"/>
  <c r="H2086" i="30"/>
  <c r="H2088" i="30"/>
  <c r="H2090" i="30"/>
  <c r="H2092" i="30"/>
  <c r="H2094" i="30"/>
  <c r="H2096" i="30"/>
  <c r="H2098" i="30"/>
  <c r="H2100" i="30"/>
  <c r="H2102" i="30"/>
  <c r="H2104" i="30"/>
  <c r="H2106" i="30"/>
  <c r="H2108" i="30"/>
  <c r="H2110" i="30"/>
  <c r="H2112" i="30"/>
  <c r="H2114" i="30"/>
  <c r="H2116" i="30"/>
  <c r="H2118" i="30"/>
  <c r="H2120" i="30"/>
  <c r="H2122" i="30"/>
  <c r="H2124" i="30"/>
  <c r="H2126" i="30"/>
  <c r="H2128" i="30"/>
  <c r="H2130" i="30"/>
  <c r="H2132" i="30"/>
  <c r="H2134" i="30"/>
  <c r="H2136" i="30"/>
  <c r="H2138" i="30"/>
  <c r="H2140" i="30"/>
  <c r="H2142" i="30"/>
  <c r="H2144" i="30"/>
  <c r="H2146" i="30"/>
  <c r="H2148" i="30"/>
  <c r="H2150" i="30"/>
  <c r="H2152" i="30"/>
  <c r="H2154" i="30"/>
  <c r="H2156" i="30"/>
  <c r="H2158" i="30"/>
  <c r="H2160" i="30"/>
  <c r="H2162" i="30"/>
  <c r="H2164" i="30"/>
  <c r="H2166" i="30"/>
  <c r="H2168" i="30"/>
  <c r="H2170" i="30"/>
  <c r="H2172" i="30"/>
  <c r="H2174" i="30"/>
  <c r="H2176" i="30"/>
  <c r="H2178" i="30"/>
  <c r="H2180" i="30"/>
  <c r="H2182" i="30"/>
  <c r="H2184" i="30"/>
  <c r="H2186" i="30"/>
  <c r="H2188" i="30"/>
  <c r="H2190" i="30"/>
  <c r="H2192" i="30"/>
  <c r="H2194" i="30"/>
  <c r="H2196" i="30"/>
  <c r="H2198" i="30"/>
  <c r="H2200" i="30"/>
  <c r="H2202" i="30"/>
  <c r="H2204" i="30"/>
  <c r="H2206" i="30"/>
  <c r="H2208" i="30"/>
  <c r="H2210" i="30"/>
  <c r="H2212" i="30"/>
  <c r="H2214" i="30"/>
  <c r="H2216" i="30"/>
  <c r="H2218" i="30"/>
  <c r="H2220" i="30"/>
  <c r="H2222" i="30"/>
  <c r="H2224" i="30"/>
  <c r="H2226" i="30"/>
  <c r="H2228" i="30"/>
  <c r="H2230" i="30"/>
  <c r="H2232" i="30"/>
  <c r="H2234" i="30"/>
  <c r="H2236" i="30"/>
  <c r="H2238" i="30"/>
  <c r="H2240" i="30"/>
  <c r="H2242" i="30"/>
  <c r="H2244" i="30"/>
  <c r="H2246" i="30"/>
  <c r="H2248" i="30"/>
  <c r="H2250" i="30"/>
  <c r="H2252" i="30"/>
  <c r="H2254" i="30"/>
  <c r="H2256" i="30"/>
  <c r="H2258" i="30"/>
  <c r="H2260" i="30"/>
  <c r="H2262" i="30"/>
  <c r="H2264" i="30"/>
  <c r="H2266" i="30"/>
  <c r="H2268" i="30"/>
  <c r="H2270" i="30"/>
  <c r="H2272" i="30"/>
  <c r="H2274" i="30"/>
  <c r="H2276" i="30"/>
  <c r="H2278" i="30"/>
  <c r="H2280" i="30"/>
  <c r="H2282" i="30"/>
  <c r="H2284" i="30"/>
  <c r="H2286" i="30"/>
  <c r="H2288" i="30"/>
  <c r="H2290" i="30"/>
  <c r="H2292" i="30"/>
  <c r="H2294" i="30"/>
  <c r="H2296" i="30"/>
  <c r="H2298" i="30"/>
  <c r="H2300" i="30"/>
  <c r="H2302" i="30"/>
  <c r="H2304" i="30"/>
  <c r="H2306" i="30"/>
  <c r="H2308" i="30"/>
  <c r="H2310" i="30"/>
  <c r="H2312" i="30"/>
  <c r="H2314" i="30"/>
  <c r="H2316" i="30"/>
  <c r="H2318" i="30"/>
  <c r="H2320" i="30"/>
  <c r="H2322" i="30"/>
  <c r="H2324" i="30"/>
  <c r="H2326" i="30"/>
  <c r="H2328" i="30"/>
  <c r="H2330" i="30"/>
  <c r="H2332" i="30"/>
  <c r="H2334" i="30"/>
  <c r="H2336" i="30"/>
  <c r="H2338" i="30"/>
  <c r="H2340" i="30"/>
  <c r="H2342" i="30"/>
  <c r="H2344" i="30"/>
  <c r="H2346" i="30"/>
  <c r="H2348" i="30"/>
  <c r="H2350" i="30"/>
  <c r="H2352" i="30"/>
  <c r="H2354" i="30"/>
  <c r="H2356" i="30"/>
  <c r="H2358" i="30"/>
  <c r="H2360" i="30"/>
  <c r="H2362" i="30"/>
  <c r="H2364" i="30"/>
  <c r="H2366" i="30"/>
  <c r="H2368" i="30"/>
  <c r="H2370" i="30"/>
  <c r="H2372" i="30"/>
  <c r="H2374" i="30"/>
  <c r="H2376" i="30"/>
  <c r="H2378" i="30"/>
  <c r="H2380" i="30"/>
  <c r="H2382" i="30"/>
  <c r="H2384" i="30"/>
  <c r="H2386" i="30"/>
  <c r="H2388" i="30"/>
  <c r="H2390" i="30"/>
  <c r="H2392" i="30"/>
  <c r="H2394" i="30"/>
  <c r="H2396" i="30"/>
  <c r="H2398" i="30"/>
  <c r="H2400" i="30"/>
  <c r="H2402" i="30"/>
  <c r="H2404" i="30"/>
  <c r="H2406" i="30"/>
  <c r="H2408" i="30"/>
  <c r="H2410" i="30"/>
  <c r="H2412" i="30"/>
  <c r="H2414" i="30"/>
  <c r="H2416" i="30"/>
  <c r="H2418" i="30"/>
  <c r="H2420" i="30"/>
  <c r="H2422" i="30"/>
  <c r="H2424" i="30"/>
  <c r="H2426" i="30"/>
  <c r="H2428" i="30"/>
  <c r="H2430" i="30"/>
  <c r="H2432" i="30"/>
  <c r="H2434" i="30"/>
  <c r="H2436" i="30"/>
  <c r="H2438" i="30"/>
  <c r="H2440" i="30"/>
  <c r="H2442" i="30"/>
  <c r="H2444" i="30"/>
  <c r="H2446" i="30"/>
  <c r="H2448" i="30"/>
  <c r="H2450" i="30"/>
  <c r="H2452" i="30"/>
  <c r="H2454" i="30"/>
  <c r="H2456" i="30"/>
  <c r="H2458" i="30"/>
  <c r="H2460" i="30"/>
  <c r="H2462" i="30"/>
  <c r="H2464" i="30"/>
  <c r="H2466" i="30"/>
  <c r="H2468" i="30"/>
  <c r="H2470" i="30"/>
  <c r="H2472" i="30"/>
  <c r="H2474" i="30"/>
  <c r="H2476" i="30"/>
  <c r="H2478" i="30"/>
  <c r="H2480" i="30"/>
  <c r="H2482" i="30"/>
  <c r="H2484" i="30"/>
  <c r="H2486" i="30"/>
  <c r="H2488" i="30"/>
  <c r="H2490" i="30"/>
  <c r="H2492" i="30"/>
  <c r="H2494" i="30"/>
  <c r="H2496" i="30"/>
  <c r="H2498" i="30"/>
  <c r="H2500" i="30"/>
  <c r="H2502" i="30"/>
  <c r="H2504" i="30"/>
  <c r="H2506" i="30"/>
  <c r="H2508" i="30"/>
  <c r="H2510" i="30"/>
  <c r="H2512" i="30"/>
  <c r="H2514" i="30"/>
  <c r="H2516" i="30"/>
  <c r="H2518" i="30"/>
  <c r="H2520" i="30"/>
  <c r="H2522" i="30"/>
  <c r="H2524" i="30"/>
  <c r="H2526" i="30"/>
  <c r="H2528" i="30"/>
  <c r="H2530" i="30"/>
  <c r="H2532" i="30"/>
  <c r="H2534" i="30"/>
  <c r="H2536" i="30"/>
  <c r="H2538" i="30"/>
  <c r="H2540" i="30"/>
  <c r="H2542" i="30"/>
  <c r="H2544" i="30"/>
  <c r="H2546" i="30"/>
  <c r="H2548" i="30"/>
  <c r="H2550" i="30"/>
  <c r="H2552" i="30"/>
  <c r="H2554" i="30"/>
  <c r="H2556" i="30"/>
  <c r="H2558" i="30"/>
  <c r="H2560" i="30"/>
  <c r="H2562" i="30"/>
  <c r="H2564" i="30"/>
  <c r="H2566" i="30"/>
  <c r="H2568" i="30"/>
  <c r="H2570" i="30"/>
  <c r="H2572" i="30"/>
  <c r="H2574" i="30"/>
  <c r="H2576" i="30"/>
  <c r="H2578" i="30"/>
  <c r="H2580" i="30"/>
  <c r="H2582" i="30"/>
  <c r="H2584" i="30"/>
  <c r="H2586" i="30"/>
  <c r="H2588" i="30"/>
  <c r="H2590" i="30"/>
  <c r="H2592" i="30"/>
  <c r="H2594" i="30"/>
  <c r="H2596" i="30"/>
  <c r="H2598" i="30"/>
  <c r="H2600" i="30"/>
  <c r="H2602" i="30"/>
  <c r="H2604" i="30"/>
  <c r="H2606" i="30"/>
  <c r="H2608" i="30"/>
  <c r="H2610" i="30"/>
  <c r="H2612" i="30"/>
  <c r="H2614" i="30"/>
  <c r="H2616" i="30"/>
  <c r="H2618" i="30"/>
  <c r="H2620" i="30"/>
  <c r="H2622" i="30"/>
  <c r="H2624" i="30"/>
  <c r="H2626" i="30"/>
  <c r="H2628" i="30"/>
  <c r="H2630" i="30"/>
  <c r="H2632" i="30"/>
  <c r="H2634" i="30"/>
  <c r="H2636" i="30"/>
  <c r="H2638" i="30"/>
  <c r="H2640" i="30"/>
  <c r="H2642" i="30"/>
  <c r="H2644" i="30"/>
  <c r="H2646" i="30"/>
  <c r="H2648" i="30"/>
  <c r="H2650" i="30"/>
  <c r="H2652" i="30"/>
  <c r="H2654" i="30"/>
  <c r="H2656" i="30"/>
  <c r="H2658" i="30"/>
  <c r="H2660" i="30"/>
  <c r="H2662" i="30"/>
  <c r="H2664" i="30"/>
  <c r="H2666" i="30"/>
  <c r="H2668" i="30"/>
  <c r="H2670" i="30"/>
  <c r="H2672" i="30"/>
  <c r="H2674" i="30"/>
  <c r="H2676" i="30"/>
  <c r="H2678" i="30"/>
  <c r="H2680" i="30"/>
  <c r="H2682" i="30"/>
  <c r="H2684" i="30"/>
  <c r="H2686" i="30"/>
  <c r="H2688" i="30"/>
  <c r="H2690" i="30"/>
  <c r="H2692" i="30"/>
  <c r="H2694" i="30"/>
  <c r="H2696" i="30"/>
  <c r="H2698" i="30"/>
  <c r="H2700" i="30"/>
  <c r="H2702" i="30"/>
  <c r="H2704" i="30"/>
  <c r="H2706" i="30"/>
  <c r="H2708" i="30"/>
  <c r="H2710" i="30"/>
  <c r="H2712" i="30"/>
  <c r="H2714" i="30"/>
  <c r="H2716" i="30"/>
  <c r="H2718" i="30"/>
  <c r="H2720" i="30"/>
  <c r="H2722" i="30"/>
  <c r="H2724" i="30"/>
  <c r="H2726" i="30"/>
  <c r="H2728" i="30"/>
  <c r="H2730" i="30"/>
  <c r="H2732" i="30"/>
  <c r="H2734" i="30"/>
  <c r="H2736" i="30"/>
  <c r="H2738" i="30"/>
  <c r="H2740" i="30"/>
  <c r="H2742" i="30"/>
  <c r="H2744" i="30"/>
  <c r="H2746" i="30"/>
  <c r="H2748" i="30"/>
  <c r="H2750" i="30"/>
  <c r="H2752" i="30"/>
  <c r="H2754" i="30"/>
  <c r="H2756" i="30"/>
  <c r="H2758" i="30"/>
  <c r="H2760" i="30"/>
  <c r="H2762" i="30"/>
  <c r="H2764" i="30"/>
  <c r="H2766" i="30"/>
  <c r="H2768" i="30"/>
  <c r="H2770" i="30"/>
  <c r="H2772" i="30"/>
  <c r="H2774" i="30"/>
  <c r="H2776" i="30"/>
  <c r="H2778" i="30"/>
  <c r="H2780" i="30"/>
  <c r="H2782" i="30"/>
  <c r="H2784" i="30"/>
  <c r="H2786" i="30"/>
  <c r="H2788" i="30"/>
  <c r="H2790" i="30"/>
  <c r="H2792" i="30"/>
  <c r="H2794" i="30"/>
  <c r="H2796" i="30"/>
  <c r="H2798" i="30"/>
  <c r="H2800" i="30"/>
  <c r="H2802" i="30"/>
  <c r="H2804" i="30"/>
  <c r="H2806" i="30"/>
  <c r="H2808" i="30"/>
  <c r="H2810" i="30"/>
  <c r="H2812" i="30"/>
  <c r="H2814" i="30"/>
  <c r="H2816" i="30"/>
  <c r="H2818" i="30"/>
  <c r="H2820" i="30"/>
  <c r="H2822" i="30"/>
  <c r="H2824" i="30"/>
  <c r="H2826" i="30"/>
  <c r="H2828" i="30"/>
  <c r="H2830" i="30"/>
  <c r="H2832" i="30"/>
  <c r="H2834" i="30"/>
  <c r="H2836" i="30"/>
  <c r="H2838" i="30"/>
  <c r="H2840" i="30"/>
  <c r="H2842" i="30"/>
  <c r="H2844" i="30"/>
  <c r="H2846" i="30"/>
  <c r="H2848" i="30"/>
  <c r="H2850" i="30"/>
  <c r="H2852" i="30"/>
  <c r="H2854" i="30"/>
  <c r="H2856" i="30"/>
  <c r="H2858" i="30"/>
  <c r="H2860" i="30"/>
  <c r="H2862" i="30"/>
  <c r="H2864" i="30"/>
  <c r="H2866" i="30"/>
  <c r="H2868" i="30"/>
  <c r="H2870" i="30"/>
  <c r="H2872" i="30"/>
  <c r="H2874" i="30"/>
  <c r="H2876" i="30"/>
  <c r="H2878" i="30"/>
  <c r="H2880" i="30"/>
  <c r="H2882" i="30"/>
  <c r="H2884" i="30"/>
  <c r="H2886" i="30"/>
  <c r="H2888" i="30"/>
  <c r="H2890" i="30"/>
  <c r="H2892" i="30"/>
  <c r="H2894" i="30"/>
  <c r="H2896" i="30"/>
  <c r="H2898" i="30"/>
  <c r="H2900" i="30"/>
  <c r="H2902" i="30"/>
  <c r="H2904" i="30"/>
  <c r="H2906" i="30"/>
  <c r="H2908" i="30"/>
  <c r="H2910" i="30"/>
  <c r="H2912" i="30"/>
  <c r="H2914" i="30"/>
  <c r="H2916" i="30"/>
  <c r="H2918" i="30"/>
  <c r="H2920" i="30"/>
  <c r="H2922" i="30"/>
  <c r="H2924" i="30"/>
  <c r="H2926" i="30"/>
  <c r="H2928" i="30"/>
  <c r="H2930" i="30"/>
  <c r="H2932" i="30"/>
  <c r="H2934" i="30"/>
  <c r="H2936" i="30"/>
  <c r="H2938" i="30"/>
  <c r="H2940" i="30"/>
  <c r="H2942" i="30"/>
  <c r="H2944" i="30"/>
  <c r="H2946" i="30"/>
  <c r="H2948" i="30"/>
  <c r="H2950" i="30"/>
  <c r="H2952" i="30"/>
  <c r="H2954" i="30"/>
  <c r="H2956" i="30"/>
  <c r="H2958" i="30"/>
  <c r="H2960" i="30"/>
  <c r="H2962" i="30"/>
  <c r="H2964" i="30"/>
  <c r="H2966" i="30"/>
  <c r="H2968" i="30"/>
  <c r="H2970" i="30"/>
  <c r="H2972" i="30"/>
  <c r="H2974" i="30"/>
  <c r="H2976" i="30"/>
  <c r="H2978" i="30"/>
  <c r="H2980" i="30"/>
  <c r="H2982" i="30"/>
  <c r="H2984" i="30"/>
  <c r="H2986" i="30"/>
  <c r="H2988" i="30"/>
  <c r="H2990" i="30"/>
  <c r="H2992" i="30"/>
  <c r="H2994" i="30"/>
  <c r="H2996" i="30"/>
  <c r="H2998" i="30"/>
  <c r="H3000" i="30"/>
  <c r="H3002" i="30"/>
  <c r="H3004" i="30"/>
  <c r="H3006" i="30"/>
  <c r="H3008" i="30"/>
  <c r="H3010" i="30"/>
  <c r="H3012" i="30"/>
  <c r="H3014" i="30"/>
  <c r="H3016" i="30"/>
  <c r="H3018" i="30"/>
  <c r="H3020" i="30"/>
  <c r="H3022" i="30"/>
  <c r="H3024" i="30"/>
  <c r="H3026" i="30"/>
  <c r="H3028" i="30"/>
  <c r="H3030" i="30"/>
  <c r="H3032" i="30"/>
  <c r="H3034" i="30"/>
  <c r="H3036" i="30"/>
  <c r="H3038" i="30"/>
  <c r="H3040" i="30"/>
  <c r="H3042" i="30"/>
  <c r="H3044" i="30"/>
  <c r="H3046" i="30"/>
  <c r="H3048" i="30"/>
  <c r="H3050" i="30"/>
  <c r="H3052" i="30"/>
  <c r="H3054" i="30"/>
  <c r="H3056" i="30"/>
  <c r="H3058" i="30"/>
  <c r="H3060" i="30"/>
  <c r="H3062" i="30"/>
  <c r="H3064" i="30"/>
  <c r="H3066" i="30"/>
  <c r="H3068" i="30"/>
  <c r="H3070" i="30"/>
  <c r="H3072" i="30"/>
  <c r="H3074" i="30"/>
  <c r="H3076" i="30"/>
  <c r="H3078" i="30"/>
  <c r="H3080" i="30"/>
  <c r="H3082" i="30"/>
  <c r="H3084" i="30"/>
  <c r="H3086" i="30"/>
  <c r="H3088" i="30"/>
  <c r="H3090" i="30"/>
  <c r="H3092" i="30"/>
  <c r="H3094" i="30"/>
  <c r="H3096" i="30"/>
  <c r="H3098" i="30"/>
  <c r="H3100" i="30"/>
  <c r="H3102" i="30"/>
  <c r="H3104" i="30"/>
  <c r="H3106" i="30"/>
  <c r="H3108" i="30"/>
  <c r="H3110" i="30"/>
  <c r="H3112" i="30"/>
  <c r="H3114" i="30"/>
  <c r="H3116" i="30"/>
  <c r="H3118" i="30"/>
  <c r="H3120" i="30"/>
  <c r="H3122" i="30"/>
  <c r="H3124" i="30"/>
  <c r="H3126" i="30"/>
  <c r="H3128" i="30"/>
  <c r="H3130" i="30"/>
  <c r="H3132" i="30"/>
  <c r="H3134" i="30"/>
  <c r="H3136" i="30"/>
  <c r="H3138" i="30"/>
  <c r="H3140" i="30"/>
  <c r="H3142" i="30"/>
  <c r="H3144" i="30"/>
  <c r="H3146" i="30"/>
  <c r="H3148" i="30"/>
  <c r="H3150" i="30"/>
  <c r="H3152" i="30"/>
  <c r="H3154" i="30"/>
  <c r="H3156" i="30"/>
  <c r="H3158" i="30"/>
  <c r="H3160" i="30"/>
  <c r="H3162" i="30"/>
  <c r="H3164" i="30"/>
  <c r="H3166" i="30"/>
  <c r="H3168" i="30"/>
  <c r="H3170" i="30"/>
  <c r="H3172" i="30"/>
  <c r="H3174" i="30"/>
  <c r="H3176" i="30"/>
  <c r="H3178" i="30"/>
  <c r="H3180" i="30"/>
  <c r="H3182" i="30"/>
  <c r="H3184" i="30"/>
  <c r="H3186" i="30"/>
  <c r="H3188" i="30"/>
  <c r="H3190" i="30"/>
  <c r="H3192" i="30"/>
  <c r="H3194" i="30"/>
  <c r="H3196" i="30"/>
  <c r="H3198" i="30"/>
  <c r="H3200" i="30"/>
  <c r="H3202" i="30"/>
  <c r="H3204" i="30"/>
  <c r="H3206" i="30"/>
  <c r="H3208" i="30"/>
  <c r="H3210" i="30"/>
  <c r="H3212" i="30"/>
  <c r="H3214" i="30"/>
  <c r="H3216" i="30"/>
  <c r="H3218" i="30"/>
  <c r="H3220" i="30"/>
  <c r="H3222" i="30"/>
  <c r="H3224" i="30"/>
  <c r="H3226" i="30"/>
  <c r="H3228" i="30"/>
  <c r="H3230" i="30"/>
  <c r="H3232" i="30"/>
  <c r="H3234" i="30"/>
  <c r="H3236" i="30"/>
  <c r="H3238" i="30"/>
  <c r="H3240" i="30"/>
  <c r="H3242" i="30"/>
  <c r="H3244" i="30"/>
  <c r="H3246" i="30"/>
  <c r="H3248" i="30"/>
  <c r="H3250" i="30"/>
  <c r="H3252" i="30"/>
  <c r="H3254" i="30"/>
  <c r="H3256" i="30"/>
  <c r="H3258" i="30"/>
  <c r="H3260" i="30"/>
  <c r="H3262" i="30"/>
  <c r="H3264" i="30"/>
  <c r="H3266" i="30"/>
  <c r="H3268" i="30"/>
  <c r="H3270" i="30"/>
  <c r="H3272" i="30"/>
  <c r="H3274" i="30"/>
  <c r="H3276" i="30"/>
  <c r="H3278" i="30"/>
  <c r="H3280" i="30"/>
  <c r="H3282" i="30"/>
  <c r="H3284" i="30"/>
  <c r="H3286" i="30"/>
  <c r="H3288" i="30"/>
  <c r="H3290" i="30"/>
  <c r="H3292" i="30"/>
  <c r="H3294" i="30"/>
  <c r="H3296" i="30"/>
  <c r="H3298" i="30"/>
  <c r="H3300" i="30"/>
  <c r="H3302" i="30"/>
  <c r="H3304" i="30"/>
  <c r="H3306" i="30"/>
  <c r="H3308" i="30"/>
  <c r="H3310" i="30"/>
  <c r="H3312" i="30"/>
  <c r="H3314" i="30"/>
  <c r="H3316" i="30"/>
  <c r="H3318" i="30"/>
  <c r="H3320" i="30"/>
  <c r="H3322" i="30"/>
  <c r="H3324" i="30"/>
  <c r="H3326" i="30"/>
  <c r="H3328" i="30"/>
  <c r="H3330" i="30"/>
  <c r="H3332" i="30"/>
  <c r="H3334" i="30"/>
  <c r="H3336" i="30"/>
  <c r="H3338" i="30"/>
  <c r="H3340" i="30"/>
  <c r="H3342" i="30"/>
  <c r="H3344" i="30"/>
  <c r="H3346" i="30"/>
  <c r="H3348" i="30"/>
  <c r="H3350" i="30"/>
  <c r="H3352" i="30"/>
  <c r="H3354" i="30"/>
  <c r="H3356" i="30"/>
  <c r="H3358" i="30"/>
  <c r="H3360" i="30"/>
  <c r="H3362" i="30"/>
  <c r="H3364" i="30"/>
  <c r="H3366" i="30"/>
  <c r="H3368" i="30"/>
  <c r="H3370" i="30"/>
  <c r="H3372" i="30"/>
  <c r="H3374" i="30"/>
  <c r="H3376" i="30"/>
  <c r="H3378" i="30"/>
  <c r="H3380" i="30"/>
  <c r="H3382" i="30"/>
  <c r="H3384" i="30"/>
  <c r="H3386" i="30"/>
  <c r="H3388" i="30"/>
  <c r="H3390" i="30"/>
  <c r="H3392" i="30"/>
  <c r="H3394" i="30"/>
  <c r="H3396" i="30"/>
  <c r="H3398" i="30"/>
  <c r="H3400" i="30"/>
  <c r="H3402" i="30"/>
  <c r="H3404" i="30"/>
  <c r="H3406" i="30"/>
  <c r="H3408" i="30"/>
  <c r="H3410" i="30"/>
  <c r="H3412" i="30"/>
  <c r="H3414" i="30"/>
  <c r="H3416" i="30"/>
  <c r="H3418" i="30"/>
  <c r="H3420" i="30"/>
  <c r="H3422" i="30"/>
  <c r="H3424" i="30"/>
  <c r="H3426" i="30"/>
  <c r="H3428" i="30"/>
  <c r="H3430" i="30"/>
  <c r="H3432" i="30"/>
  <c r="H3434" i="30"/>
  <c r="H3436" i="30"/>
  <c r="H3438" i="30"/>
  <c r="H3440" i="30"/>
  <c r="H3442" i="30"/>
  <c r="H3444" i="30"/>
  <c r="H3446" i="30"/>
  <c r="H3448" i="30"/>
  <c r="H3450" i="30"/>
  <c r="H3452" i="30"/>
  <c r="H3454" i="30"/>
  <c r="H3456" i="30"/>
  <c r="H3458" i="30"/>
  <c r="H3460" i="30"/>
  <c r="H3462" i="30"/>
  <c r="H3464" i="30"/>
  <c r="H3466" i="30"/>
  <c r="H3468" i="30"/>
  <c r="H3470" i="30"/>
  <c r="H3472" i="30"/>
  <c r="H3474" i="30"/>
  <c r="H3476" i="30"/>
  <c r="H3478" i="30"/>
  <c r="H3480" i="30"/>
  <c r="H3482" i="30"/>
  <c r="H3484" i="30"/>
  <c r="H3486" i="30"/>
  <c r="H3488" i="30"/>
  <c r="H3490" i="30"/>
  <c r="H3492" i="30"/>
  <c r="H3494" i="30"/>
  <c r="H3496" i="30"/>
  <c r="H3498" i="30"/>
  <c r="H3500" i="30"/>
  <c r="H3502" i="30"/>
  <c r="H3504" i="30"/>
  <c r="H3506" i="30"/>
  <c r="H3508" i="30"/>
  <c r="H3510" i="30"/>
  <c r="H3512" i="30"/>
  <c r="H3514" i="30"/>
  <c r="H3516" i="30"/>
  <c r="H3518" i="30"/>
  <c r="H3520" i="30"/>
  <c r="H3522" i="30"/>
  <c r="H3524" i="30"/>
  <c r="H3526" i="30"/>
  <c r="H3528" i="30"/>
  <c r="H3530" i="30"/>
  <c r="H3532" i="30"/>
  <c r="H3534" i="30"/>
  <c r="H3536" i="30"/>
  <c r="H3538" i="30"/>
  <c r="H3540" i="30"/>
  <c r="H3542" i="30"/>
  <c r="H3544" i="30"/>
  <c r="H3546" i="30"/>
  <c r="H3548" i="30"/>
  <c r="H3550" i="30"/>
  <c r="H3552" i="30"/>
  <c r="H3554" i="30"/>
  <c r="H3556" i="30"/>
  <c r="H3558" i="30"/>
  <c r="H3560" i="30"/>
  <c r="H3562" i="30"/>
  <c r="H3564" i="30"/>
  <c r="H3566" i="30"/>
  <c r="H3568" i="30"/>
  <c r="H3570" i="30"/>
  <c r="H3572" i="30"/>
  <c r="H3574" i="30"/>
  <c r="H3576" i="30"/>
  <c r="H3578" i="30"/>
  <c r="H3580" i="30"/>
  <c r="H3582" i="30"/>
  <c r="H3584" i="30"/>
  <c r="H3586" i="30"/>
  <c r="H3588" i="30"/>
  <c r="H3590" i="30"/>
  <c r="H3592" i="30"/>
  <c r="H3594" i="30"/>
  <c r="H3596" i="30"/>
  <c r="H3598" i="30"/>
  <c r="H3600" i="30"/>
  <c r="H3602" i="30"/>
  <c r="H3604" i="30"/>
  <c r="H3606" i="30"/>
  <c r="H3608" i="30"/>
  <c r="H3610" i="30"/>
  <c r="H3612" i="30"/>
  <c r="H3614" i="30"/>
  <c r="H3616" i="30"/>
  <c r="H3618" i="30"/>
  <c r="H3620" i="30"/>
  <c r="H3622" i="30"/>
  <c r="H3624" i="30"/>
  <c r="H3626" i="30"/>
  <c r="H3628" i="30"/>
  <c r="H3630" i="30"/>
  <c r="H3632" i="30"/>
  <c r="H3634" i="30"/>
  <c r="H3636" i="30"/>
  <c r="H3638" i="30"/>
  <c r="H3640" i="30"/>
  <c r="H3642" i="30"/>
  <c r="H3644" i="30"/>
  <c r="H3646" i="30"/>
  <c r="H3648" i="30"/>
  <c r="H3650" i="30"/>
  <c r="H3652" i="30"/>
  <c r="H3654" i="30"/>
  <c r="H3656" i="30"/>
  <c r="H3658" i="30"/>
  <c r="H3660" i="30"/>
  <c r="H3662" i="30"/>
  <c r="H3664" i="30"/>
  <c r="H3666" i="30"/>
  <c r="H3668" i="30"/>
  <c r="H3670" i="30"/>
  <c r="H3672" i="30"/>
  <c r="H3674" i="30"/>
  <c r="H3676" i="30"/>
  <c r="H3678" i="30"/>
  <c r="H3680" i="30"/>
  <c r="H3682" i="30"/>
  <c r="H3684" i="30"/>
  <c r="H3686" i="30"/>
  <c r="H3688" i="30"/>
  <c r="H3690" i="30"/>
  <c r="H3692" i="30"/>
  <c r="H3694" i="30"/>
  <c r="H3696" i="30"/>
  <c r="H3698" i="30"/>
  <c r="H3700" i="30"/>
  <c r="H3702" i="30"/>
  <c r="H3704" i="30"/>
  <c r="H3706" i="30"/>
  <c r="H3708" i="30"/>
  <c r="H3710" i="30"/>
  <c r="H3712" i="30"/>
  <c r="H3714" i="30"/>
  <c r="H3716" i="30"/>
  <c r="H3718" i="30"/>
  <c r="H3720" i="30"/>
  <c r="H3722" i="30"/>
  <c r="H3724" i="30"/>
  <c r="H3726" i="30"/>
  <c r="H3728" i="30"/>
  <c r="H3730" i="30"/>
  <c r="H3732" i="30"/>
  <c r="H3734" i="30"/>
  <c r="H3736" i="30"/>
  <c r="H3738" i="30"/>
  <c r="H3740" i="30"/>
  <c r="H3742" i="30"/>
  <c r="H3744" i="30"/>
  <c r="H3746" i="30"/>
  <c r="H3748" i="30"/>
  <c r="H3750" i="30"/>
  <c r="H3752" i="30"/>
  <c r="H3754" i="30"/>
  <c r="H3756" i="30"/>
  <c r="H3758" i="30"/>
  <c r="H3760" i="30"/>
  <c r="H3762" i="30"/>
  <c r="H3764" i="30"/>
  <c r="H3766" i="30"/>
  <c r="H3768" i="30"/>
  <c r="H3770" i="30"/>
  <c r="H3772" i="30"/>
  <c r="H3774" i="30"/>
  <c r="H3776" i="30"/>
  <c r="H3778" i="30"/>
  <c r="H3780" i="30"/>
  <c r="H3782" i="30"/>
  <c r="H3784" i="30"/>
  <c r="H3786" i="30"/>
  <c r="H3788" i="30"/>
  <c r="H3790" i="30"/>
  <c r="H3792" i="30"/>
  <c r="H3794" i="30"/>
  <c r="H3796" i="30"/>
  <c r="H3798" i="30"/>
  <c r="H3800" i="30"/>
  <c r="H3802" i="30"/>
  <c r="H3804" i="30"/>
  <c r="H3806" i="30"/>
  <c r="H3808" i="30"/>
  <c r="H3810" i="30"/>
  <c r="H3812" i="30"/>
  <c r="H3814" i="30"/>
  <c r="H3816" i="30"/>
  <c r="H3818" i="30"/>
  <c r="H3820" i="30"/>
  <c r="H3822" i="30"/>
  <c r="H3824" i="30"/>
  <c r="H3826" i="30"/>
  <c r="H3828" i="30"/>
  <c r="H3830" i="30"/>
  <c r="H3832" i="30"/>
  <c r="H3834" i="30"/>
  <c r="H3836" i="30"/>
  <c r="H3838" i="30"/>
  <c r="H3840" i="30"/>
  <c r="H3842" i="30"/>
  <c r="H3844" i="30"/>
  <c r="H3846" i="30"/>
  <c r="H3848" i="30"/>
  <c r="H3850" i="30"/>
  <c r="H3852" i="30"/>
  <c r="H3854" i="30"/>
  <c r="H3856" i="30"/>
  <c r="H3858" i="30"/>
  <c r="H3860" i="30"/>
  <c r="H3862" i="30"/>
  <c r="H3864" i="30"/>
  <c r="H3866" i="30"/>
  <c r="H3868" i="30"/>
  <c r="H3870" i="30"/>
  <c r="H3872" i="30"/>
  <c r="H3874" i="30"/>
  <c r="H3876" i="30"/>
  <c r="H3878" i="30"/>
  <c r="H3880" i="30"/>
  <c r="H3882" i="30"/>
  <c r="H3884" i="30"/>
  <c r="H3886" i="30"/>
  <c r="H3888" i="30"/>
  <c r="H3890" i="30"/>
  <c r="H3892" i="30"/>
  <c r="H3894" i="30"/>
  <c r="H3896" i="30"/>
  <c r="H3898" i="30"/>
  <c r="H3900" i="30"/>
  <c r="H3902" i="30"/>
  <c r="H3904" i="30"/>
  <c r="H3906" i="30"/>
  <c r="H3908" i="30"/>
  <c r="H3910" i="30"/>
  <c r="H3912" i="30"/>
  <c r="H3914" i="30"/>
  <c r="H3916" i="30"/>
  <c r="H3918" i="30"/>
  <c r="H3920" i="30"/>
  <c r="H3922" i="30"/>
  <c r="H3924" i="30"/>
  <c r="H3926" i="30"/>
  <c r="H3928" i="30"/>
  <c r="H3930" i="30"/>
  <c r="H3932" i="30"/>
  <c r="H3934" i="30"/>
  <c r="H3936" i="30"/>
  <c r="H3938" i="30"/>
  <c r="H3940" i="30"/>
  <c r="H3942" i="30"/>
  <c r="H3944" i="30"/>
  <c r="H3946" i="30"/>
  <c r="H3948" i="30"/>
  <c r="H3950" i="30"/>
  <c r="H3952" i="30"/>
  <c r="H3954" i="30"/>
  <c r="H3956" i="30"/>
  <c r="H3958" i="30"/>
  <c r="H3960" i="30"/>
  <c r="H3962" i="30"/>
  <c r="H3964" i="30"/>
  <c r="H3966" i="30"/>
  <c r="H3968" i="30"/>
  <c r="H3970" i="30"/>
  <c r="H3972" i="30"/>
  <c r="H3974" i="30"/>
  <c r="H3976" i="30"/>
  <c r="H3978" i="30"/>
  <c r="H3980" i="30"/>
  <c r="H3982" i="30"/>
  <c r="H3984" i="30"/>
  <c r="H3986" i="30"/>
  <c r="H3988" i="30"/>
  <c r="H3990" i="30"/>
  <c r="H3992" i="30"/>
  <c r="H3994" i="30"/>
  <c r="H3996" i="30"/>
  <c r="H3998" i="30"/>
  <c r="H4000" i="30"/>
  <c r="H4002" i="30"/>
  <c r="H4004" i="30"/>
  <c r="H4006" i="30"/>
  <c r="H4008" i="30"/>
  <c r="H4010" i="30"/>
  <c r="H4012" i="30"/>
  <c r="H4014" i="30"/>
  <c r="H4016" i="30"/>
  <c r="H4018" i="30"/>
  <c r="H43" i="30"/>
  <c r="H107" i="30"/>
  <c r="H171" i="30"/>
  <c r="H208" i="30"/>
  <c r="H240" i="30"/>
  <c r="H272" i="30"/>
  <c r="H304" i="30"/>
  <c r="H336" i="30"/>
  <c r="H368" i="30"/>
  <c r="H400" i="30"/>
  <c r="H432" i="30"/>
  <c r="H450" i="30"/>
  <c r="H466" i="30"/>
  <c r="H482" i="30"/>
  <c r="H498" i="30"/>
  <c r="H514" i="30"/>
  <c r="H530" i="30"/>
  <c r="H546" i="30"/>
  <c r="H562" i="30"/>
  <c r="H578" i="30"/>
  <c r="H594" i="30"/>
  <c r="H610" i="30"/>
  <c r="H626" i="30"/>
  <c r="H642" i="30"/>
  <c r="H658" i="30"/>
  <c r="H674" i="30"/>
  <c r="H690" i="30"/>
  <c r="H706" i="30"/>
  <c r="H722" i="30"/>
  <c r="H738" i="30"/>
  <c r="H754" i="30"/>
  <c r="H770" i="30"/>
  <c r="H786" i="30"/>
  <c r="H802" i="30"/>
  <c r="H818" i="30"/>
  <c r="H834" i="30"/>
  <c r="H850" i="30"/>
  <c r="H866" i="30"/>
  <c r="H882" i="30"/>
  <c r="H898" i="30"/>
  <c r="H914" i="30"/>
  <c r="H930" i="30"/>
  <c r="H946" i="30"/>
  <c r="H955" i="30"/>
  <c r="H963" i="30"/>
  <c r="H971" i="30"/>
  <c r="H979" i="30"/>
  <c r="H987" i="30"/>
  <c r="H995" i="30"/>
  <c r="H1003" i="30"/>
  <c r="H1011" i="30"/>
  <c r="H1019" i="30"/>
  <c r="H1027" i="30"/>
  <c r="H1035" i="30"/>
  <c r="H1043" i="30"/>
  <c r="H1051" i="30"/>
  <c r="H1059" i="30"/>
  <c r="H1067" i="30"/>
  <c r="H1075" i="30"/>
  <c r="H1083" i="30"/>
  <c r="H1091" i="30"/>
  <c r="H1099" i="30"/>
  <c r="H1107" i="30"/>
  <c r="H1115" i="30"/>
  <c r="H1123" i="30"/>
  <c r="H1131" i="30"/>
  <c r="H1139" i="30"/>
  <c r="H1147" i="30"/>
  <c r="H1155" i="30"/>
  <c r="H1163" i="30"/>
  <c r="H1171" i="30"/>
  <c r="H1179" i="30"/>
  <c r="H1187" i="30"/>
  <c r="H1195" i="30"/>
  <c r="H1203" i="30"/>
  <c r="H1211" i="30"/>
  <c r="H1219" i="30"/>
  <c r="H1227" i="30"/>
  <c r="H1235" i="30"/>
  <c r="H1243" i="30"/>
  <c r="H1251" i="30"/>
  <c r="H1259" i="30"/>
  <c r="H1267" i="30"/>
  <c r="H1275" i="30"/>
  <c r="H1283" i="30"/>
  <c r="H1291" i="30"/>
  <c r="H1299" i="30"/>
  <c r="H1307" i="30"/>
  <c r="H1315" i="30"/>
  <c r="H1323" i="30"/>
  <c r="H1331" i="30"/>
  <c r="H1339" i="30"/>
  <c r="H1347" i="30"/>
  <c r="H1355" i="30"/>
  <c r="H1363" i="30"/>
  <c r="H1371" i="30"/>
  <c r="H1379" i="30"/>
  <c r="H1387" i="30"/>
  <c r="H1395" i="30"/>
  <c r="H1403" i="30"/>
  <c r="H1411" i="30"/>
  <c r="H1419" i="30"/>
  <c r="H1427" i="30"/>
  <c r="H1435" i="30"/>
  <c r="H1443" i="30"/>
  <c r="H1451" i="30"/>
  <c r="H1459" i="30"/>
  <c r="H1467" i="30"/>
  <c r="H1475" i="30"/>
  <c r="H1483" i="30"/>
  <c r="H1491" i="30"/>
  <c r="H1499" i="30"/>
  <c r="H1507" i="30"/>
  <c r="H1515" i="30"/>
  <c r="H1523" i="30"/>
  <c r="H1531" i="30"/>
  <c r="H1539" i="30"/>
  <c r="H1547" i="30"/>
  <c r="H1555" i="30"/>
  <c r="H1563" i="30"/>
  <c r="H1571" i="30"/>
  <c r="H1579" i="30"/>
  <c r="H1587" i="30"/>
  <c r="H1595" i="30"/>
  <c r="H1603" i="30"/>
  <c r="H1611" i="30"/>
  <c r="H1619" i="30"/>
  <c r="H1627" i="30"/>
  <c r="H1635" i="30"/>
  <c r="H1643" i="30"/>
  <c r="H1651" i="30"/>
  <c r="H1659" i="30"/>
  <c r="H1667" i="30"/>
  <c r="H1675" i="30"/>
  <c r="H1683" i="30"/>
  <c r="H1691" i="30"/>
  <c r="H1699" i="30"/>
  <c r="H1707" i="30"/>
  <c r="H1715" i="30"/>
  <c r="H1723" i="30"/>
  <c r="H1731" i="30"/>
  <c r="H1739" i="30"/>
  <c r="H1747" i="30"/>
  <c r="H1755" i="30"/>
  <c r="H1763" i="30"/>
  <c r="H1771" i="30"/>
  <c r="H1779" i="30"/>
  <c r="H1787" i="30"/>
  <c r="H1795" i="30"/>
  <c r="H1803" i="30"/>
  <c r="H1811" i="30"/>
  <c r="H1819" i="30"/>
  <c r="H1827" i="30"/>
  <c r="H1835" i="30"/>
  <c r="H1843" i="30"/>
  <c r="H1851" i="30"/>
  <c r="H1859" i="30"/>
  <c r="H1867" i="30"/>
  <c r="H1875" i="30"/>
  <c r="H1883" i="30"/>
  <c r="H1891" i="30"/>
  <c r="H1899" i="30"/>
  <c r="H1907" i="30"/>
  <c r="H1915" i="30"/>
  <c r="H1923" i="30"/>
  <c r="H1931" i="30"/>
  <c r="H1939" i="30"/>
  <c r="H1947" i="30"/>
  <c r="H1955" i="30"/>
  <c r="H1963" i="30"/>
  <c r="H1971" i="30"/>
  <c r="H1975" i="30"/>
  <c r="H1979" i="30"/>
  <c r="H1983" i="30"/>
  <c r="H1987" i="30"/>
  <c r="H1991" i="30"/>
  <c r="H1995" i="30"/>
  <c r="H1999" i="30"/>
  <c r="H2003" i="30"/>
  <c r="H2007" i="30"/>
  <c r="H2011" i="30"/>
  <c r="H2015" i="30"/>
  <c r="H2019" i="30"/>
  <c r="H2023" i="30"/>
  <c r="H2027" i="30"/>
  <c r="H2031" i="30"/>
  <c r="H2035" i="30"/>
  <c r="H2039" i="30"/>
  <c r="H2043" i="30"/>
  <c r="H2047" i="30"/>
  <c r="H2051" i="30"/>
  <c r="H2055" i="30"/>
  <c r="H2059" i="30"/>
  <c r="H2063" i="30"/>
  <c r="H2067" i="30"/>
  <c r="H2071" i="30"/>
  <c r="H2075" i="30"/>
  <c r="H2079" i="30"/>
  <c r="H2083" i="30"/>
  <c r="H2087" i="30"/>
  <c r="H2091" i="30"/>
  <c r="H2095" i="30"/>
  <c r="H2099" i="30"/>
  <c r="H2103" i="30"/>
  <c r="H2107" i="30"/>
  <c r="H2111" i="30"/>
  <c r="H2115" i="30"/>
  <c r="H2119" i="30"/>
  <c r="H2123" i="30"/>
  <c r="H2127" i="30"/>
  <c r="H2131" i="30"/>
  <c r="H2135" i="30"/>
  <c r="H2139" i="30"/>
  <c r="H2143" i="30"/>
  <c r="H2147" i="30"/>
  <c r="H2151" i="30"/>
  <c r="H2155" i="30"/>
  <c r="H2159" i="30"/>
  <c r="H2163" i="30"/>
  <c r="H2167" i="30"/>
  <c r="H2171" i="30"/>
  <c r="H2175" i="30"/>
  <c r="H2179" i="30"/>
  <c r="H2183" i="30"/>
  <c r="H2187" i="30"/>
  <c r="H2191" i="30"/>
  <c r="H2195" i="30"/>
  <c r="H2199" i="30"/>
  <c r="H2203" i="30"/>
  <c r="H2207" i="30"/>
  <c r="H2211" i="30"/>
  <c r="H2215" i="30"/>
  <c r="H2219" i="30"/>
  <c r="H2223" i="30"/>
  <c r="H2227" i="30"/>
  <c r="H2231" i="30"/>
  <c r="H2235" i="30"/>
  <c r="H2239" i="30"/>
  <c r="H2243" i="30"/>
  <c r="H2247" i="30"/>
  <c r="H2251" i="30"/>
  <c r="H2255" i="30"/>
  <c r="H2259" i="30"/>
  <c r="H2263" i="30"/>
  <c r="H2267" i="30"/>
  <c r="H2271" i="30"/>
  <c r="H2275" i="30"/>
  <c r="H2279" i="30"/>
  <c r="H2283" i="30"/>
  <c r="H2287" i="30"/>
  <c r="H2291" i="30"/>
  <c r="H2295" i="30"/>
  <c r="H2299" i="30"/>
  <c r="H2303" i="30"/>
  <c r="H2307" i="30"/>
  <c r="H2311" i="30"/>
  <c r="H2315" i="30"/>
  <c r="H2319" i="30"/>
  <c r="H2323" i="30"/>
  <c r="H2327" i="30"/>
  <c r="H2331" i="30"/>
  <c r="H2335" i="30"/>
  <c r="H2339" i="30"/>
  <c r="H2343" i="30"/>
  <c r="H2347" i="30"/>
  <c r="H2351" i="30"/>
  <c r="H2355" i="30"/>
  <c r="H2359" i="30"/>
  <c r="H2363" i="30"/>
  <c r="H2367" i="30"/>
  <c r="H2371" i="30"/>
  <c r="H2375" i="30"/>
  <c r="H2379" i="30"/>
  <c r="H2383" i="30"/>
  <c r="H2387" i="30"/>
  <c r="H2391" i="30"/>
  <c r="H2395" i="30"/>
  <c r="H2399" i="30"/>
  <c r="H2403" i="30"/>
  <c r="H2407" i="30"/>
  <c r="H2411" i="30"/>
  <c r="H2415" i="30"/>
  <c r="H2419" i="30"/>
  <c r="H2423" i="30"/>
  <c r="H2427" i="30"/>
  <c r="H2431" i="30"/>
  <c r="H2435" i="30"/>
  <c r="H2439" i="30"/>
  <c r="H2443" i="30"/>
  <c r="H2447" i="30"/>
  <c r="H2451" i="30"/>
  <c r="H2455" i="30"/>
  <c r="H2459" i="30"/>
  <c r="H2463" i="30"/>
  <c r="H2467" i="30"/>
  <c r="H2471" i="30"/>
  <c r="H2475" i="30"/>
  <c r="H2479" i="30"/>
  <c r="H2483" i="30"/>
  <c r="H2487" i="30"/>
  <c r="H2491" i="30"/>
  <c r="H2495" i="30"/>
  <c r="H2499" i="30"/>
  <c r="H2503" i="30"/>
  <c r="H2507" i="30"/>
  <c r="H2511" i="30"/>
  <c r="H2515" i="30"/>
  <c r="H2519" i="30"/>
  <c r="H2523" i="30"/>
  <c r="H2527" i="30"/>
  <c r="H2531" i="30"/>
  <c r="H2535" i="30"/>
  <c r="H2539" i="30"/>
  <c r="H2543" i="30"/>
  <c r="H2547" i="30"/>
  <c r="H2551" i="30"/>
  <c r="H2555" i="30"/>
  <c r="H2559" i="30"/>
  <c r="H2563" i="30"/>
  <c r="H2567" i="30"/>
  <c r="H2571" i="30"/>
  <c r="H2575" i="30"/>
  <c r="H2579" i="30"/>
  <c r="H2583" i="30"/>
  <c r="H2587" i="30"/>
  <c r="H2591" i="30"/>
  <c r="H2595" i="30"/>
  <c r="H2599" i="30"/>
  <c r="H2603" i="30"/>
  <c r="H2607" i="30"/>
  <c r="H2611" i="30"/>
  <c r="H2615" i="30"/>
  <c r="H2619" i="30"/>
  <c r="H2623" i="30"/>
  <c r="H2627" i="30"/>
  <c r="H2631" i="30"/>
  <c r="H2635" i="30"/>
  <c r="H2639" i="30"/>
  <c r="H2643" i="30"/>
  <c r="H2647" i="30"/>
  <c r="H2651" i="30"/>
  <c r="H2655" i="30"/>
  <c r="H2659" i="30"/>
  <c r="H2663" i="30"/>
  <c r="H2667" i="30"/>
  <c r="H2671" i="30"/>
  <c r="H2675" i="30"/>
  <c r="H2679" i="30"/>
  <c r="H2683" i="30"/>
  <c r="H2687" i="30"/>
  <c r="H2691" i="30"/>
  <c r="H2695" i="30"/>
  <c r="H2699" i="30"/>
  <c r="H2703" i="30"/>
  <c r="H2707" i="30"/>
  <c r="H2711" i="30"/>
  <c r="H2715" i="30"/>
  <c r="H2719" i="30"/>
  <c r="H2723" i="30"/>
  <c r="H2727" i="30"/>
  <c r="H2731" i="30"/>
  <c r="H2735" i="30"/>
  <c r="H2739" i="30"/>
  <c r="H2743" i="30"/>
  <c r="H2747" i="30"/>
  <c r="H2751" i="30"/>
  <c r="H2755" i="30"/>
  <c r="H2759" i="30"/>
  <c r="H2763" i="30"/>
  <c r="H2767" i="30"/>
  <c r="H2771" i="30"/>
  <c r="H2775" i="30"/>
  <c r="H2779" i="30"/>
  <c r="H2783" i="30"/>
  <c r="H2787" i="30"/>
  <c r="H2791" i="30"/>
  <c r="H2795" i="30"/>
  <c r="H2799" i="30"/>
  <c r="H2803" i="30"/>
  <c r="H2807" i="30"/>
  <c r="H2811" i="30"/>
  <c r="H2815" i="30"/>
  <c r="H2819" i="30"/>
  <c r="H2823" i="30"/>
  <c r="H2827" i="30"/>
  <c r="H2831" i="30"/>
  <c r="H2835" i="30"/>
  <c r="H2839" i="30"/>
  <c r="H2843" i="30"/>
  <c r="H2847" i="30"/>
  <c r="H2851" i="30"/>
  <c r="H2855" i="30"/>
  <c r="H2859" i="30"/>
  <c r="H2863" i="30"/>
  <c r="H2867" i="30"/>
  <c r="H2871" i="30"/>
  <c r="H2875" i="30"/>
  <c r="H2879" i="30"/>
  <c r="H2883" i="30"/>
  <c r="H2887" i="30"/>
  <c r="H2891" i="30"/>
  <c r="H2895" i="30"/>
  <c r="H2899" i="30"/>
  <c r="H2903" i="30"/>
  <c r="H2907" i="30"/>
  <c r="H2911" i="30"/>
  <c r="H2915" i="30"/>
  <c r="H2919" i="30"/>
  <c r="H2923" i="30"/>
  <c r="H2927" i="30"/>
  <c r="H2931" i="30"/>
  <c r="H2935" i="30"/>
  <c r="H2939" i="30"/>
  <c r="H2943" i="30"/>
  <c r="H2947" i="30"/>
  <c r="H2951" i="30"/>
  <c r="H2955" i="30"/>
  <c r="H2959" i="30"/>
  <c r="H2963" i="30"/>
  <c r="H2967" i="30"/>
  <c r="H2971" i="30"/>
  <c r="H2975" i="30"/>
  <c r="H2979" i="30"/>
  <c r="H2983" i="30"/>
  <c r="H2987" i="30"/>
  <c r="H2991" i="30"/>
  <c r="H2995" i="30"/>
  <c r="H2999" i="30"/>
  <c r="H3003" i="30"/>
  <c r="H3007" i="30"/>
  <c r="H3011" i="30"/>
  <c r="H3015" i="30"/>
  <c r="H3019" i="30"/>
  <c r="H3023" i="30"/>
  <c r="H3027" i="30"/>
  <c r="H3031" i="30"/>
  <c r="H3035" i="30"/>
  <c r="H3039" i="30"/>
  <c r="H3043" i="30"/>
  <c r="H3047" i="30"/>
  <c r="H3051" i="30"/>
  <c r="H3055" i="30"/>
  <c r="H3059" i="30"/>
  <c r="H3063" i="30"/>
  <c r="H3067" i="30"/>
  <c r="H3071" i="30"/>
  <c r="H3075" i="30"/>
  <c r="H3079" i="30"/>
  <c r="H3083" i="30"/>
  <c r="H3087" i="30"/>
  <c r="H3091" i="30"/>
  <c r="H3095" i="30"/>
  <c r="H3099" i="30"/>
  <c r="H3103" i="30"/>
  <c r="H3107" i="30"/>
  <c r="H3111" i="30"/>
  <c r="H3115" i="30"/>
  <c r="H3119" i="30"/>
  <c r="H3123" i="30"/>
  <c r="H3127" i="30"/>
  <c r="H3131" i="30"/>
  <c r="H3135" i="30"/>
  <c r="H3139" i="30"/>
  <c r="H3143" i="30"/>
  <c r="H3147" i="30"/>
  <c r="H3151" i="30"/>
  <c r="H3155" i="30"/>
  <c r="H3159" i="30"/>
  <c r="H3163" i="30"/>
  <c r="H3167" i="30"/>
  <c r="H3171" i="30"/>
  <c r="H3175" i="30"/>
  <c r="H3179" i="30"/>
  <c r="H3183" i="30"/>
  <c r="H3187" i="30"/>
  <c r="H3191" i="30"/>
  <c r="H3195" i="30"/>
  <c r="H3199" i="30"/>
  <c r="H3203" i="30"/>
  <c r="H3207" i="30"/>
  <c r="H3211" i="30"/>
  <c r="H3215" i="30"/>
  <c r="H3219" i="30"/>
  <c r="H3223" i="30"/>
  <c r="H3227" i="30"/>
  <c r="H3231" i="30"/>
  <c r="H3235" i="30"/>
  <c r="H3239" i="30"/>
  <c r="H3243" i="30"/>
  <c r="H3247" i="30"/>
  <c r="H3251" i="30"/>
  <c r="H3255" i="30"/>
  <c r="H3259" i="30"/>
  <c r="H3263" i="30"/>
  <c r="H3267" i="30"/>
  <c r="H3271" i="30"/>
  <c r="H3275" i="30"/>
  <c r="H3279" i="30"/>
  <c r="H3283" i="30"/>
  <c r="H3287" i="30"/>
  <c r="H3291" i="30"/>
  <c r="H3295" i="30"/>
  <c r="H3299" i="30"/>
  <c r="H3303" i="30"/>
  <c r="H3307" i="30"/>
  <c r="H3311" i="30"/>
  <c r="H3315" i="30"/>
  <c r="H3319" i="30"/>
  <c r="H3323" i="30"/>
  <c r="H3327" i="30"/>
  <c r="H3331" i="30"/>
  <c r="H3335" i="30"/>
  <c r="H3339" i="30"/>
  <c r="H3343" i="30"/>
  <c r="H3347" i="30"/>
  <c r="H3351" i="30"/>
  <c r="H3355" i="30"/>
  <c r="H3359" i="30"/>
  <c r="H3363" i="30"/>
  <c r="H3367" i="30"/>
  <c r="H3371" i="30"/>
  <c r="H3375" i="30"/>
  <c r="H3379" i="30"/>
  <c r="H3383" i="30"/>
  <c r="H3387" i="30"/>
  <c r="H3391" i="30"/>
  <c r="H3395" i="30"/>
  <c r="H3399" i="30"/>
  <c r="H3403" i="30"/>
  <c r="H3407" i="30"/>
  <c r="H3411" i="30"/>
  <c r="H3415" i="30"/>
  <c r="H3419" i="30"/>
  <c r="H3423" i="30"/>
  <c r="H3427" i="30"/>
  <c r="H3431" i="30"/>
  <c r="H3435" i="30"/>
  <c r="H3439" i="30"/>
  <c r="H3443" i="30"/>
  <c r="H3447" i="30"/>
  <c r="H3451" i="30"/>
  <c r="H3455" i="30"/>
  <c r="H3459" i="30"/>
  <c r="H3463" i="30"/>
  <c r="H3467" i="30"/>
  <c r="H3471" i="30"/>
  <c r="H3475" i="30"/>
  <c r="H3479" i="30"/>
  <c r="H3483" i="30"/>
  <c r="H3487" i="30"/>
  <c r="H3491" i="30"/>
  <c r="H3495" i="30"/>
  <c r="H3499" i="30"/>
  <c r="H3503" i="30"/>
  <c r="H3507" i="30"/>
  <c r="H3511" i="30"/>
  <c r="H3515" i="30"/>
  <c r="H3519" i="30"/>
  <c r="H3523" i="30"/>
  <c r="H3527" i="30"/>
  <c r="H3531" i="30"/>
  <c r="H3535" i="30"/>
  <c r="H3539" i="30"/>
  <c r="H3543" i="30"/>
  <c r="H3547" i="30"/>
  <c r="H3551" i="30"/>
  <c r="H3555" i="30"/>
  <c r="H3559" i="30"/>
  <c r="H3563" i="30"/>
  <c r="H3567" i="30"/>
  <c r="H3571" i="30"/>
  <c r="H3575" i="30"/>
  <c r="H3579" i="30"/>
  <c r="H3583" i="30"/>
  <c r="H3587" i="30"/>
  <c r="H3591" i="30"/>
  <c r="H3595" i="30"/>
  <c r="H3599" i="30"/>
  <c r="H3603" i="30"/>
  <c r="H3607" i="30"/>
  <c r="H3611" i="30"/>
  <c r="H3615" i="30"/>
  <c r="H3619" i="30"/>
  <c r="H3623" i="30"/>
  <c r="H3627" i="30"/>
  <c r="H3631" i="30"/>
  <c r="H3635" i="30"/>
  <c r="H3639" i="30"/>
  <c r="H3643" i="30"/>
  <c r="H3647" i="30"/>
  <c r="H3651" i="30"/>
  <c r="H3655" i="30"/>
  <c r="H3659" i="30"/>
  <c r="H3663" i="30"/>
  <c r="H3667" i="30"/>
  <c r="H3671" i="30"/>
  <c r="H3675" i="30"/>
  <c r="H3679" i="30"/>
  <c r="H3683" i="30"/>
  <c r="H3687" i="30"/>
  <c r="H3691" i="30"/>
  <c r="H3695" i="30"/>
  <c r="H3699" i="30"/>
  <c r="H3703" i="30"/>
  <c r="H3707" i="30"/>
  <c r="H3711" i="30"/>
  <c r="H3715" i="30"/>
  <c r="H3719" i="30"/>
  <c r="H3723" i="30"/>
  <c r="H3727" i="30"/>
  <c r="H3731" i="30"/>
  <c r="H3735" i="30"/>
  <c r="H3739" i="30"/>
  <c r="H3743" i="30"/>
  <c r="H3747" i="30"/>
  <c r="H3751" i="30"/>
  <c r="H3755" i="30"/>
  <c r="H3759" i="30"/>
  <c r="H3763" i="30"/>
  <c r="H3767" i="30"/>
  <c r="H3771" i="30"/>
  <c r="H3775" i="30"/>
  <c r="H3779" i="30"/>
  <c r="H3783" i="30"/>
  <c r="H3787" i="30"/>
  <c r="H3791" i="30"/>
  <c r="H3795" i="30"/>
  <c r="H3799" i="30"/>
  <c r="H3803" i="30"/>
  <c r="H3807" i="30"/>
  <c r="H3811" i="30"/>
  <c r="H3815" i="30"/>
  <c r="H3819" i="30"/>
  <c r="H3823" i="30"/>
  <c r="H3827" i="30"/>
  <c r="H3831" i="30"/>
  <c r="H3835" i="30"/>
  <c r="H3839" i="30"/>
  <c r="H3843" i="30"/>
  <c r="H3847" i="30"/>
  <c r="H3851" i="30"/>
  <c r="H3855" i="30"/>
  <c r="H3859" i="30"/>
  <c r="H3863" i="30"/>
  <c r="H3867" i="30"/>
  <c r="H3871" i="30"/>
  <c r="H3875" i="30"/>
  <c r="H3879" i="30"/>
  <c r="H3883" i="30"/>
  <c r="H3887" i="30"/>
  <c r="H3891" i="30"/>
  <c r="H3895" i="30"/>
  <c r="H3899" i="30"/>
  <c r="H3903" i="30"/>
  <c r="H3907" i="30"/>
  <c r="H3911" i="30"/>
  <c r="H3915" i="30"/>
  <c r="H3919" i="30"/>
  <c r="H3923" i="30"/>
  <c r="H3927" i="30"/>
  <c r="H3931" i="30"/>
  <c r="H3935" i="30"/>
  <c r="H3939" i="30"/>
  <c r="H3943" i="30"/>
  <c r="H3947" i="30"/>
  <c r="H3951" i="30"/>
  <c r="H3955" i="30"/>
  <c r="H3959" i="30"/>
  <c r="H3963" i="30"/>
  <c r="H3967" i="30"/>
  <c r="H3971" i="30"/>
  <c r="H3975" i="30"/>
  <c r="H3979" i="30"/>
  <c r="H3983" i="30"/>
  <c r="H3987" i="30"/>
  <c r="H3991" i="30"/>
  <c r="H3995" i="30"/>
  <c r="H3999" i="30"/>
  <c r="H4003" i="30"/>
  <c r="H4007" i="30"/>
  <c r="H4011" i="30"/>
  <c r="H4015" i="30"/>
  <c r="H4019" i="30"/>
  <c r="H4021" i="30"/>
  <c r="H4023" i="30"/>
  <c r="H4025" i="30"/>
  <c r="H4027" i="30"/>
  <c r="H4029" i="30"/>
  <c r="H4031" i="30"/>
  <c r="H4033" i="30"/>
  <c r="H4035" i="30"/>
  <c r="H4037" i="30"/>
  <c r="H4039" i="30"/>
  <c r="H4041" i="30"/>
  <c r="H4043" i="30"/>
  <c r="H4045" i="30"/>
  <c r="H4047" i="30"/>
  <c r="H4049" i="30"/>
  <c r="H4051" i="30"/>
  <c r="H4053" i="30"/>
  <c r="H4055" i="30"/>
  <c r="H4057" i="30"/>
  <c r="H4059" i="30"/>
  <c r="H4061" i="30"/>
  <c r="H4063" i="30"/>
  <c r="H4065" i="30"/>
  <c r="H4067" i="30"/>
  <c r="H4069" i="30"/>
  <c r="H4071" i="30"/>
  <c r="H4073" i="30"/>
  <c r="H4075" i="30"/>
  <c r="H4077" i="30"/>
  <c r="H4079" i="30"/>
  <c r="H4081" i="30"/>
  <c r="H4083" i="30"/>
  <c r="H4085" i="30"/>
  <c r="H4087" i="30"/>
  <c r="H4089" i="30"/>
  <c r="H4091" i="30"/>
  <c r="H4093" i="30"/>
  <c r="H4095" i="30"/>
  <c r="H4097" i="30"/>
  <c r="H4099" i="30"/>
  <c r="H4101" i="30"/>
  <c r="H4103" i="30"/>
  <c r="H4105" i="30"/>
  <c r="H4107" i="30"/>
  <c r="H4109" i="30"/>
  <c r="H4111" i="30"/>
  <c r="H4113" i="30"/>
  <c r="H4115" i="30"/>
  <c r="H4117" i="30"/>
  <c r="H4119" i="30"/>
  <c r="H4121" i="30"/>
  <c r="H4123" i="30"/>
  <c r="H4125" i="30"/>
  <c r="H4127" i="30"/>
  <c r="H4129" i="30"/>
  <c r="H4131" i="30"/>
  <c r="H4133" i="30"/>
  <c r="H4135" i="30"/>
  <c r="H4137" i="30"/>
  <c r="H4139" i="30"/>
  <c r="H4141" i="30"/>
  <c r="H4143" i="30"/>
  <c r="H4145" i="30"/>
  <c r="H4147" i="30"/>
  <c r="H4149" i="30"/>
  <c r="H4151" i="30"/>
  <c r="H4153" i="30"/>
  <c r="H4155" i="30"/>
  <c r="H4157" i="30"/>
  <c r="H4159" i="30"/>
  <c r="H4161" i="30"/>
  <c r="H4163" i="30"/>
  <c r="H4165" i="30"/>
  <c r="H4167" i="30"/>
  <c r="H4169" i="30"/>
  <c r="H4171" i="30"/>
  <c r="H4173" i="30"/>
  <c r="H4175" i="30"/>
  <c r="H4177" i="30"/>
  <c r="H4179" i="30"/>
  <c r="H4181" i="30"/>
  <c r="H4183" i="30"/>
  <c r="H4185" i="30"/>
  <c r="H4187" i="30"/>
  <c r="H4189" i="30"/>
  <c r="H4191" i="30"/>
  <c r="H4193" i="30"/>
  <c r="H4195" i="30"/>
  <c r="H4197" i="30"/>
  <c r="H4199" i="30"/>
  <c r="H4201" i="30"/>
  <c r="H4203" i="30"/>
  <c r="H4205" i="30"/>
  <c r="H4207" i="30"/>
  <c r="H4209" i="30"/>
  <c r="H4211" i="30"/>
  <c r="H4213" i="30"/>
  <c r="H4215" i="30"/>
  <c r="H4217" i="30"/>
  <c r="H4219" i="30"/>
  <c r="H4221" i="30"/>
  <c r="H4223" i="30"/>
  <c r="H4225" i="30"/>
  <c r="H4227" i="30"/>
  <c r="H4229" i="30"/>
  <c r="H4231" i="30"/>
  <c r="H4233" i="30"/>
  <c r="H4235" i="30"/>
  <c r="H4237" i="30"/>
  <c r="H4239" i="30"/>
  <c r="H4241" i="30"/>
  <c r="H4243" i="30"/>
  <c r="H4245" i="30"/>
  <c r="H4247" i="30"/>
  <c r="H4249" i="30"/>
  <c r="H4251" i="30"/>
  <c r="H4253" i="30"/>
  <c r="H4255" i="30"/>
  <c r="H4257" i="30"/>
  <c r="H4259" i="30"/>
  <c r="H4261" i="30"/>
  <c r="H4263" i="30"/>
  <c r="H4265" i="30"/>
  <c r="H4267" i="30"/>
  <c r="H4269" i="30"/>
  <c r="H4271" i="30"/>
  <c r="H4273" i="30"/>
  <c r="H4275" i="30"/>
  <c r="H4277" i="30"/>
  <c r="H4279" i="30"/>
  <c r="H4281" i="30"/>
  <c r="H4283" i="30"/>
  <c r="H4285" i="30"/>
  <c r="H4287" i="30"/>
  <c r="H4289" i="30"/>
  <c r="H4291" i="30"/>
  <c r="H4293" i="30"/>
  <c r="H4295" i="30"/>
  <c r="H4297" i="30"/>
  <c r="H4299" i="30"/>
  <c r="H4301" i="30"/>
  <c r="H4303" i="30"/>
  <c r="H4305" i="30"/>
  <c r="H4307" i="30"/>
  <c r="H4309" i="30"/>
  <c r="H4311" i="30"/>
  <c r="H4313" i="30"/>
  <c r="H4315" i="30"/>
  <c r="H4317" i="30"/>
  <c r="H4319" i="30"/>
  <c r="H4321" i="30"/>
  <c r="H4323" i="30"/>
  <c r="H4325" i="30"/>
  <c r="H4327" i="30"/>
  <c r="H4329" i="30"/>
  <c r="H4331" i="30"/>
  <c r="H4333" i="30"/>
  <c r="H4335" i="30"/>
  <c r="H4337" i="30"/>
  <c r="H4339" i="30"/>
  <c r="H4341" i="30"/>
  <c r="H4343" i="30"/>
  <c r="H4345" i="30"/>
  <c r="H4347" i="30"/>
  <c r="H4349" i="30"/>
  <c r="H4351" i="30"/>
  <c r="H4353" i="30"/>
  <c r="H4355" i="30"/>
  <c r="H4357" i="30"/>
  <c r="H4359" i="30"/>
  <c r="H4361" i="30"/>
  <c r="H4363" i="30"/>
  <c r="H4365" i="30"/>
  <c r="H4367" i="30"/>
  <c r="H4369" i="30"/>
  <c r="H4371" i="30"/>
  <c r="H4373" i="30"/>
  <c r="H4375" i="30"/>
  <c r="H4377" i="30"/>
  <c r="H4379" i="30"/>
  <c r="H4381" i="30"/>
  <c r="H4383" i="30"/>
  <c r="H4385" i="30"/>
  <c r="H4387" i="30"/>
  <c r="H4389" i="30"/>
  <c r="H4391" i="30"/>
  <c r="H4393" i="30"/>
  <c r="H4395" i="30"/>
  <c r="H4397" i="30"/>
  <c r="H4399" i="30"/>
  <c r="H4401" i="30"/>
  <c r="H4403" i="30"/>
  <c r="H4405" i="30"/>
  <c r="H4407" i="30"/>
  <c r="H4409" i="30"/>
  <c r="H4411" i="30"/>
  <c r="H4413" i="30"/>
  <c r="H4415" i="30"/>
  <c r="H4417" i="30"/>
  <c r="H4419" i="30"/>
  <c r="H4421" i="30"/>
  <c r="H4423" i="30"/>
  <c r="H4425" i="30"/>
  <c r="H4427" i="30"/>
  <c r="H4429" i="30"/>
  <c r="H4431" i="30"/>
  <c r="H4433" i="30"/>
  <c r="H4435" i="30"/>
  <c r="H4437" i="30"/>
  <c r="H4439" i="30"/>
  <c r="H4441" i="30"/>
  <c r="H4443" i="30"/>
  <c r="H4445" i="30"/>
  <c r="H4447" i="30"/>
  <c r="H4449" i="30"/>
  <c r="H4451" i="30"/>
  <c r="H4453" i="30"/>
  <c r="H4455" i="30"/>
  <c r="H4457" i="30"/>
  <c r="H4459" i="30"/>
  <c r="H4461" i="30"/>
  <c r="H4463" i="30"/>
  <c r="H4465" i="30"/>
  <c r="H4467" i="30"/>
  <c r="H4469" i="30"/>
  <c r="H4471" i="30"/>
  <c r="H4473" i="30"/>
  <c r="H4475" i="30"/>
  <c r="H4477" i="30"/>
  <c r="H4479" i="30"/>
  <c r="H4481" i="30"/>
  <c r="H4483" i="30"/>
  <c r="H4485" i="30"/>
  <c r="H4487" i="30"/>
  <c r="H4489" i="30"/>
  <c r="H4491" i="30"/>
  <c r="H4493" i="30"/>
  <c r="H4495" i="30"/>
  <c r="H4497" i="30"/>
  <c r="H4499" i="30"/>
  <c r="H4501" i="30"/>
  <c r="H4503" i="30"/>
  <c r="H4505" i="30"/>
  <c r="H4507" i="30"/>
  <c r="H4509" i="30"/>
  <c r="H4511" i="30"/>
  <c r="H4513" i="30"/>
  <c r="H4515" i="30"/>
  <c r="H4517" i="30"/>
  <c r="H4519" i="30"/>
  <c r="H4521" i="30"/>
  <c r="H4523" i="30"/>
  <c r="H4525" i="30"/>
  <c r="H4527" i="30"/>
  <c r="H4529" i="30"/>
  <c r="H4531" i="30"/>
  <c r="H4533" i="30"/>
  <c r="H4535" i="30"/>
  <c r="H4537" i="30"/>
  <c r="H4539" i="30"/>
  <c r="H4541" i="30"/>
  <c r="H4543" i="30"/>
  <c r="H4545" i="30"/>
  <c r="H4547" i="30"/>
  <c r="H4549" i="30"/>
  <c r="H4551" i="30"/>
  <c r="H4553" i="30"/>
  <c r="H4555" i="30"/>
  <c r="H4557" i="30"/>
  <c r="H4559" i="30"/>
  <c r="H4561" i="30"/>
  <c r="H4563" i="30"/>
  <c r="H4565" i="30"/>
  <c r="H4567" i="30"/>
  <c r="H4569" i="30"/>
  <c r="H4571" i="30"/>
  <c r="H4573" i="30"/>
  <c r="H4575" i="30"/>
  <c r="H4577" i="30"/>
  <c r="H4579" i="30"/>
  <c r="H4581" i="30"/>
  <c r="H4583" i="30"/>
  <c r="H4585" i="30"/>
  <c r="H4587" i="30"/>
  <c r="H4589" i="30"/>
  <c r="H4591" i="30"/>
  <c r="H4593" i="30"/>
  <c r="H4595" i="30"/>
  <c r="H4597" i="30"/>
  <c r="H4599" i="30"/>
  <c r="H4601" i="30"/>
  <c r="H4603" i="30"/>
  <c r="H4605" i="30"/>
  <c r="H4607" i="30"/>
  <c r="H4609" i="30"/>
  <c r="H4611" i="30"/>
  <c r="H4613" i="30"/>
  <c r="H4615" i="30"/>
  <c r="H4617" i="30"/>
  <c r="H4619" i="30"/>
  <c r="H4621" i="30"/>
  <c r="H4623" i="30"/>
  <c r="H4625" i="30"/>
  <c r="H4627" i="30"/>
  <c r="H4629" i="30"/>
  <c r="H4631" i="30"/>
  <c r="H4633" i="30"/>
  <c r="H4635" i="30"/>
  <c r="H4637" i="30"/>
  <c r="H4639" i="30"/>
  <c r="H4641" i="30"/>
  <c r="H4643" i="30"/>
  <c r="H4645" i="30"/>
  <c r="H4647" i="30"/>
  <c r="H4649" i="30"/>
  <c r="H4651" i="30"/>
  <c r="H4653" i="30"/>
  <c r="H4655" i="30"/>
  <c r="H4657" i="30"/>
  <c r="H4659" i="30"/>
  <c r="H4661" i="30"/>
  <c r="H4663" i="30"/>
  <c r="H4665" i="30"/>
  <c r="H4667" i="30"/>
  <c r="H4669" i="30"/>
  <c r="H4671" i="30"/>
  <c r="H4673" i="30"/>
  <c r="H4675" i="30"/>
  <c r="H4677" i="30"/>
  <c r="H4679" i="30"/>
  <c r="H4681" i="30"/>
  <c r="H4683" i="30"/>
  <c r="H4685" i="30"/>
  <c r="H4687" i="30"/>
  <c r="H4689" i="30"/>
  <c r="H4691" i="30"/>
  <c r="H4693" i="30"/>
  <c r="H4695" i="30"/>
  <c r="H4697" i="30"/>
  <c r="H4699" i="30"/>
  <c r="H4701" i="30"/>
  <c r="H4703" i="30"/>
  <c r="H4705" i="30"/>
  <c r="H4707" i="30"/>
  <c r="H4709" i="30"/>
  <c r="H4711" i="30"/>
  <c r="H4713" i="30"/>
  <c r="H4715" i="30"/>
  <c r="H4717" i="30"/>
  <c r="H4719" i="30"/>
  <c r="H4721" i="30"/>
  <c r="H4723" i="30"/>
  <c r="H4725" i="30"/>
  <c r="H4727" i="30"/>
  <c r="H4729" i="30"/>
  <c r="H4731" i="30"/>
  <c r="H4733" i="30"/>
  <c r="H4735" i="30"/>
  <c r="H4737" i="30"/>
  <c r="H4739" i="30"/>
  <c r="H4741" i="30"/>
  <c r="H4743" i="30"/>
  <c r="H4745" i="30"/>
  <c r="H4747" i="30"/>
  <c r="H4749" i="30"/>
  <c r="H4751" i="30"/>
  <c r="H4753" i="30"/>
  <c r="H4755" i="30"/>
  <c r="H4757" i="30"/>
  <c r="H4759" i="30"/>
  <c r="H4761" i="30"/>
  <c r="H4763" i="30"/>
  <c r="H4765" i="30"/>
  <c r="H4767" i="30"/>
  <c r="H4769" i="30"/>
  <c r="H4771" i="30"/>
  <c r="H4773" i="30"/>
  <c r="H4775" i="30"/>
  <c r="H4777" i="30"/>
  <c r="H4779" i="30"/>
  <c r="H4781" i="30"/>
  <c r="H4783" i="30"/>
  <c r="H4785" i="30"/>
  <c r="H4787" i="30"/>
  <c r="H4789" i="30"/>
  <c r="H4791" i="30"/>
  <c r="H4793" i="30"/>
  <c r="H4795" i="30"/>
  <c r="H4797" i="30"/>
  <c r="H4799" i="30"/>
  <c r="H4801" i="30"/>
  <c r="H4803" i="30"/>
  <c r="H4805" i="30"/>
  <c r="H4807" i="30"/>
  <c r="H4809" i="30"/>
  <c r="H4811" i="30"/>
  <c r="H4813" i="30"/>
  <c r="H4815" i="30"/>
  <c r="H4817" i="30"/>
  <c r="H4819" i="30"/>
  <c r="H4821" i="30"/>
  <c r="H4823" i="30"/>
  <c r="H4825" i="30"/>
  <c r="H4827" i="30"/>
  <c r="H4829" i="30"/>
  <c r="H4831" i="30"/>
  <c r="H4833" i="30"/>
  <c r="H4835" i="30"/>
  <c r="H4837" i="30"/>
  <c r="H4839" i="30"/>
  <c r="H4841" i="30"/>
  <c r="H4843" i="30"/>
  <c r="H4845" i="30"/>
  <c r="H4847" i="30"/>
  <c r="H4849" i="30"/>
  <c r="H4851" i="30"/>
  <c r="H4853" i="30"/>
  <c r="H4855" i="30"/>
  <c r="H4857" i="30"/>
  <c r="H4859" i="30"/>
  <c r="H4861" i="30"/>
  <c r="H4863" i="30"/>
  <c r="H4865" i="30"/>
  <c r="H4867" i="30"/>
  <c r="H4869" i="30"/>
  <c r="H4871" i="30"/>
  <c r="H4873" i="30"/>
  <c r="H4875" i="30"/>
  <c r="H4877" i="30"/>
  <c r="H4879" i="30"/>
  <c r="H4881" i="30"/>
  <c r="H4883" i="30"/>
  <c r="H4885" i="30"/>
  <c r="H4887" i="30"/>
  <c r="H4889" i="30"/>
  <c r="H4891" i="30"/>
  <c r="H4893" i="30"/>
  <c r="H4895" i="30"/>
  <c r="H4897" i="30"/>
  <c r="H4899" i="30"/>
  <c r="H4901" i="30"/>
  <c r="H4903" i="30"/>
  <c r="H4905" i="30"/>
  <c r="H4907" i="30"/>
  <c r="H4909" i="30"/>
  <c r="H4911" i="30"/>
  <c r="H4913" i="30"/>
  <c r="H4915" i="30"/>
  <c r="H4917" i="30"/>
  <c r="H4919" i="30"/>
  <c r="H4921" i="30"/>
  <c r="H4923" i="30"/>
  <c r="H4925" i="30"/>
  <c r="H4927" i="30"/>
  <c r="H4929" i="30"/>
  <c r="H4931" i="30"/>
  <c r="H4933" i="30"/>
  <c r="H4935" i="30"/>
  <c r="H4937" i="30"/>
  <c r="H4939" i="30"/>
  <c r="H4941" i="30"/>
  <c r="H4943" i="30"/>
  <c r="H4945" i="30"/>
  <c r="H4947" i="30"/>
  <c r="H4949" i="30"/>
  <c r="H4951" i="30"/>
  <c r="H4953" i="30"/>
  <c r="H4955" i="30"/>
  <c r="H4957" i="30"/>
  <c r="H4959" i="30"/>
  <c r="H4961" i="30"/>
  <c r="H4963" i="30"/>
  <c r="H4965" i="30"/>
  <c r="H4967" i="30"/>
  <c r="H4969" i="30"/>
  <c r="H4971" i="30"/>
  <c r="H4973" i="30"/>
  <c r="H4975" i="30"/>
  <c r="H4977" i="30"/>
  <c r="H4979" i="30"/>
  <c r="H4981" i="30"/>
  <c r="H4983" i="30"/>
  <c r="H4985" i="30"/>
  <c r="H4987" i="30"/>
  <c r="H4989" i="30"/>
  <c r="H4991" i="30"/>
  <c r="H4993" i="30"/>
  <c r="H4995" i="30"/>
  <c r="H4997" i="30"/>
  <c r="H4999" i="30"/>
  <c r="H5001" i="30"/>
  <c r="H5003" i="30"/>
  <c r="H5005" i="30"/>
  <c r="H5007" i="30"/>
  <c r="H5009" i="30"/>
  <c r="H5011" i="30"/>
  <c r="H5013" i="30"/>
  <c r="H5015" i="30"/>
  <c r="H5017" i="30"/>
  <c r="H5019" i="30"/>
  <c r="H5021" i="30"/>
  <c r="H5023" i="30"/>
  <c r="H5025" i="30"/>
  <c r="H5027" i="30"/>
  <c r="H5029" i="30"/>
  <c r="H5031" i="30"/>
  <c r="H5033" i="30"/>
  <c r="H5035" i="30"/>
  <c r="H5037" i="30"/>
  <c r="H5039" i="30"/>
  <c r="H5041" i="30"/>
  <c r="H5043" i="30"/>
  <c r="H5045" i="30"/>
  <c r="H5047" i="30"/>
  <c r="H5049" i="30"/>
  <c r="H5051" i="30"/>
  <c r="H5053" i="30"/>
  <c r="H5055" i="30"/>
  <c r="H5057" i="30"/>
  <c r="H5059" i="30"/>
  <c r="H5061" i="30"/>
  <c r="H5063" i="30"/>
  <c r="H5065" i="30"/>
  <c r="H5067" i="30"/>
  <c r="H5069" i="30"/>
  <c r="H5071" i="30"/>
  <c r="H5073" i="30"/>
  <c r="H5075" i="30"/>
  <c r="H5077" i="30"/>
  <c r="H5079" i="30"/>
  <c r="H5081" i="30"/>
  <c r="H5083" i="30"/>
  <c r="H5085" i="30"/>
  <c r="H5087" i="30"/>
  <c r="H5089" i="30"/>
  <c r="H5091" i="30"/>
  <c r="H5093" i="30"/>
  <c r="H5095" i="30"/>
  <c r="H5097" i="30"/>
  <c r="H5099" i="30"/>
  <c r="H5101" i="30"/>
  <c r="H5103" i="30"/>
  <c r="H5105" i="30"/>
  <c r="H5107" i="30"/>
  <c r="H5109" i="30"/>
  <c r="H5111" i="30"/>
  <c r="H5113" i="30"/>
  <c r="H5115" i="30"/>
  <c r="H5117" i="30"/>
  <c r="H5119" i="30"/>
  <c r="H5121" i="30"/>
  <c r="H5123" i="30"/>
  <c r="H5125" i="30"/>
  <c r="H5127" i="30"/>
  <c r="H5129" i="30"/>
  <c r="H5131" i="30"/>
  <c r="H5133" i="30"/>
  <c r="H5135" i="30"/>
  <c r="H5137" i="30"/>
  <c r="H5139" i="30"/>
  <c r="H5141" i="30"/>
  <c r="H5143" i="30"/>
  <c r="H5145" i="30"/>
  <c r="H5147" i="30"/>
  <c r="H5149" i="30"/>
  <c r="H5151" i="30"/>
  <c r="H5153" i="30"/>
  <c r="H5155" i="30"/>
  <c r="H5157" i="30"/>
  <c r="H5159" i="30"/>
  <c r="H5161" i="30"/>
  <c r="H5163" i="30"/>
  <c r="H5165" i="30"/>
  <c r="H5167" i="30"/>
  <c r="H5169" i="30"/>
  <c r="H5171" i="30"/>
  <c r="H5173" i="30"/>
  <c r="H5175" i="30"/>
  <c r="H5177" i="30"/>
  <c r="H5179" i="30"/>
  <c r="H5181" i="30"/>
  <c r="H5183" i="30"/>
  <c r="H5185" i="30"/>
  <c r="H5187" i="30"/>
  <c r="H5189" i="30"/>
  <c r="H5191" i="30"/>
  <c r="H5193" i="30"/>
  <c r="H5195" i="30"/>
  <c r="H5197" i="30"/>
  <c r="H5199" i="30"/>
  <c r="H5201" i="30"/>
  <c r="H5203" i="30"/>
  <c r="H5205" i="30"/>
  <c r="H5207" i="30"/>
  <c r="H5209" i="30"/>
  <c r="H5211" i="30"/>
  <c r="H5213" i="30"/>
  <c r="H5215" i="30"/>
  <c r="H5217" i="30"/>
  <c r="H5219" i="30"/>
  <c r="H5221" i="30"/>
  <c r="H5223" i="30"/>
  <c r="H5225" i="30"/>
  <c r="H5227" i="30"/>
  <c r="H5229" i="30"/>
  <c r="H5231" i="30"/>
  <c r="H5233" i="30"/>
  <c r="H5235" i="30"/>
  <c r="H5237" i="30"/>
  <c r="H5239" i="30"/>
  <c r="H5241" i="30"/>
  <c r="H5243" i="30"/>
  <c r="H5245" i="30"/>
  <c r="H5247" i="30"/>
  <c r="H5249" i="30"/>
  <c r="H5251" i="30"/>
  <c r="H5253" i="30"/>
  <c r="H5255" i="30"/>
  <c r="H5257" i="30"/>
  <c r="H5259" i="30"/>
  <c r="H5261" i="30"/>
  <c r="H5263" i="30"/>
  <c r="H5265" i="30"/>
  <c r="H5267" i="30"/>
  <c r="H5269" i="30"/>
  <c r="H5271" i="30"/>
  <c r="H5273" i="30"/>
  <c r="H5275" i="30"/>
  <c r="H5277" i="30"/>
  <c r="H5279" i="30"/>
  <c r="H5281" i="30"/>
  <c r="H5283" i="30"/>
  <c r="H5285" i="30"/>
  <c r="H5287" i="30"/>
  <c r="H5289" i="30"/>
  <c r="H5291" i="30"/>
  <c r="H5293" i="30"/>
  <c r="H5295" i="30"/>
  <c r="H5297" i="30"/>
  <c r="H5299" i="30"/>
  <c r="H5301" i="30"/>
  <c r="H5303" i="30"/>
  <c r="H5305" i="30"/>
  <c r="H5307" i="30"/>
  <c r="H5309" i="30"/>
  <c r="H5311" i="30"/>
  <c r="H5313" i="30"/>
  <c r="H5315" i="30"/>
  <c r="H5317" i="30"/>
  <c r="H5319" i="30"/>
  <c r="H5321" i="30"/>
  <c r="H5323" i="30"/>
  <c r="H5325" i="30"/>
  <c r="H5327" i="30"/>
  <c r="H5329" i="30"/>
  <c r="H5331" i="30"/>
  <c r="H5333" i="30"/>
  <c r="H5335" i="30"/>
  <c r="H5337" i="30"/>
  <c r="H5339" i="30"/>
  <c r="H5341" i="30"/>
  <c r="H5343" i="30"/>
  <c r="H5345" i="30"/>
  <c r="H5347" i="30"/>
  <c r="H5349" i="30"/>
  <c r="H5351" i="30"/>
  <c r="H5353" i="30"/>
  <c r="H5355" i="30"/>
  <c r="H5357" i="30"/>
  <c r="H5359" i="30"/>
  <c r="H5361" i="30"/>
  <c r="H5363" i="30"/>
  <c r="H5365" i="30"/>
  <c r="H5367" i="30"/>
  <c r="H5369" i="30"/>
  <c r="H5371" i="30"/>
  <c r="H5373" i="30"/>
  <c r="H5375" i="30"/>
  <c r="H5377" i="30"/>
  <c r="H5379" i="30"/>
  <c r="H5381" i="30"/>
  <c r="H5383" i="30"/>
  <c r="H5385" i="30"/>
  <c r="H5387" i="30"/>
  <c r="H5389" i="30"/>
  <c r="H5391" i="30"/>
  <c r="H5393" i="30"/>
  <c r="H5395" i="30"/>
  <c r="H5397" i="30"/>
  <c r="H5399" i="30"/>
  <c r="H5401" i="30"/>
  <c r="H5403" i="30"/>
  <c r="H5405" i="30"/>
  <c r="H5407" i="30"/>
  <c r="H5409" i="30"/>
  <c r="H5411" i="30"/>
  <c r="H5413" i="30"/>
  <c r="H5415" i="30"/>
  <c r="H5417" i="30"/>
  <c r="H5419" i="30"/>
  <c r="H5421" i="30"/>
  <c r="H5423" i="30"/>
  <c r="H5425" i="30"/>
  <c r="H5427" i="30"/>
  <c r="H5429" i="30"/>
  <c r="H5431" i="30"/>
  <c r="H5433" i="30"/>
  <c r="H5435" i="30"/>
  <c r="H5437" i="30"/>
  <c r="H5439" i="30"/>
  <c r="H5441" i="30"/>
  <c r="H5443" i="30"/>
  <c r="H5445" i="30"/>
  <c r="H5447" i="30"/>
  <c r="H5449" i="30"/>
  <c r="H5451" i="30"/>
  <c r="H5453" i="30"/>
  <c r="H5455" i="30"/>
  <c r="H5457" i="30"/>
  <c r="H5459" i="30"/>
  <c r="H5461" i="30"/>
  <c r="H5463" i="30"/>
  <c r="H5465" i="30"/>
  <c r="H5467" i="30"/>
  <c r="H5469" i="30"/>
  <c r="H5471" i="30"/>
  <c r="H5473" i="30"/>
  <c r="H5475" i="30"/>
  <c r="H5477" i="30"/>
  <c r="H5479" i="30"/>
  <c r="H5481" i="30"/>
  <c r="H5483" i="30"/>
  <c r="H5485" i="30"/>
  <c r="H5487" i="30"/>
  <c r="H5489" i="30"/>
  <c r="H5491" i="30"/>
  <c r="H5493" i="30"/>
  <c r="H5495" i="30"/>
  <c r="H5497" i="30"/>
  <c r="H5499" i="30"/>
  <c r="H5501" i="30"/>
  <c r="H5503" i="30"/>
  <c r="H5505" i="30"/>
  <c r="H5507" i="30"/>
  <c r="H5509" i="30"/>
  <c r="H5511" i="30"/>
  <c r="H5513" i="30"/>
  <c r="H5515" i="30"/>
  <c r="H5517" i="30"/>
  <c r="H5519" i="30"/>
  <c r="H5521" i="30"/>
  <c r="H5523" i="30"/>
  <c r="H5525" i="30"/>
  <c r="H5527" i="30"/>
  <c r="H5529" i="30"/>
  <c r="H5531" i="30"/>
  <c r="H5533" i="30"/>
  <c r="H5535" i="30"/>
  <c r="H5537" i="30"/>
  <c r="H5539" i="30"/>
  <c r="H5541" i="30"/>
  <c r="H5543" i="30"/>
  <c r="H5545" i="30"/>
  <c r="H5547" i="30"/>
  <c r="H5549" i="30"/>
  <c r="H5551" i="30"/>
  <c r="H5553" i="30"/>
  <c r="H5555" i="30"/>
  <c r="H5557" i="30"/>
  <c r="H5559" i="30"/>
  <c r="H5561" i="30"/>
  <c r="H5563" i="30"/>
  <c r="H5565" i="30"/>
  <c r="H5567" i="30"/>
  <c r="H5569" i="30"/>
  <c r="H5571" i="30"/>
  <c r="H5573" i="30"/>
  <c r="H5575" i="30"/>
  <c r="H5577" i="30"/>
  <c r="H5579" i="30"/>
  <c r="H5581" i="30"/>
  <c r="H5583" i="30"/>
  <c r="H5585" i="30"/>
  <c r="H5587" i="30"/>
  <c r="H5589" i="30"/>
  <c r="H5591" i="30"/>
  <c r="H5593" i="30"/>
  <c r="H5595" i="30"/>
  <c r="H5597" i="30"/>
  <c r="H5599" i="30"/>
  <c r="H5601" i="30"/>
  <c r="H5603" i="30"/>
  <c r="H5605" i="30"/>
  <c r="H5607" i="30"/>
  <c r="H5609" i="30"/>
  <c r="H5611" i="30"/>
  <c r="H5613" i="30"/>
  <c r="H5615" i="30"/>
  <c r="H5617" i="30"/>
  <c r="H5619" i="30"/>
  <c r="H5621" i="30"/>
  <c r="H5623" i="30"/>
  <c r="H5625" i="30"/>
  <c r="H5627" i="30"/>
  <c r="H5629" i="30"/>
  <c r="H5631" i="30"/>
  <c r="H5633" i="30"/>
  <c r="H5635" i="30"/>
  <c r="H5637" i="30"/>
  <c r="H5639" i="30"/>
  <c r="H5641" i="30"/>
  <c r="H5643" i="30"/>
  <c r="H5645" i="30"/>
  <c r="H5647" i="30"/>
  <c r="H5649" i="30"/>
  <c r="H5651" i="30"/>
  <c r="H5653" i="30"/>
  <c r="H5655" i="30"/>
  <c r="H5657" i="30"/>
  <c r="H5659" i="30"/>
  <c r="H5661" i="30"/>
  <c r="H5663" i="30"/>
  <c r="H5665" i="30"/>
  <c r="H5667" i="30"/>
  <c r="H5669" i="30"/>
  <c r="H5671" i="30"/>
  <c r="H5673" i="30"/>
  <c r="H5675" i="30"/>
  <c r="H5677" i="30"/>
  <c r="H5679" i="30"/>
  <c r="H5681" i="30"/>
  <c r="H5683" i="30"/>
  <c r="H5685" i="30"/>
  <c r="H5687" i="30"/>
  <c r="H5689" i="30"/>
  <c r="H5691" i="30"/>
  <c r="H5693" i="30"/>
  <c r="H5695" i="30"/>
  <c r="H5697" i="30"/>
  <c r="H5699" i="30"/>
  <c r="H5701" i="30"/>
  <c r="H5703" i="30"/>
  <c r="H5705" i="30"/>
  <c r="H5707" i="30"/>
  <c r="H5709" i="30"/>
  <c r="H5711" i="30"/>
  <c r="H5713" i="30"/>
  <c r="H5715" i="30"/>
  <c r="H5717" i="30"/>
  <c r="H5719" i="30"/>
  <c r="H5721" i="30"/>
  <c r="H5723" i="30"/>
  <c r="H5725" i="30"/>
  <c r="H5727" i="30"/>
  <c r="H5729" i="30"/>
  <c r="H5731" i="30"/>
  <c r="H5733" i="30"/>
  <c r="H5735" i="30"/>
  <c r="H5737" i="30"/>
  <c r="H5739" i="30"/>
  <c r="H5741" i="30"/>
  <c r="H5743" i="30"/>
  <c r="H5745" i="30"/>
  <c r="H5747" i="30"/>
  <c r="H5749" i="30"/>
  <c r="H5751" i="30"/>
  <c r="H5753" i="30"/>
  <c r="H5755" i="30"/>
  <c r="H5757" i="30"/>
  <c r="H5759" i="30"/>
  <c r="H5761" i="30"/>
  <c r="H5763" i="30"/>
  <c r="H5765" i="30"/>
  <c r="H5767" i="30"/>
  <c r="H5769" i="30"/>
  <c r="H5771" i="30"/>
  <c r="H5773" i="30"/>
  <c r="H5775" i="30"/>
  <c r="H5777" i="30"/>
  <c r="H5779" i="30"/>
  <c r="H5781" i="30"/>
  <c r="H5783" i="30"/>
  <c r="H5785" i="30"/>
  <c r="H5787" i="30"/>
  <c r="H5789" i="30"/>
  <c r="H5791" i="30"/>
  <c r="H5793" i="30"/>
  <c r="H5795" i="30"/>
  <c r="H5797" i="30"/>
  <c r="H5799" i="30"/>
  <c r="H5801" i="30"/>
  <c r="H5803" i="30"/>
  <c r="H5805" i="30"/>
  <c r="H5807" i="30"/>
  <c r="H5809" i="30"/>
  <c r="H5811" i="30"/>
  <c r="H5813" i="30"/>
  <c r="H5815" i="30"/>
  <c r="H5817" i="30"/>
  <c r="H5819" i="30"/>
  <c r="H5821" i="30"/>
  <c r="H5823" i="30"/>
  <c r="H5825" i="30"/>
  <c r="H5827" i="30"/>
  <c r="H5829" i="30"/>
  <c r="H5831" i="30"/>
  <c r="H5833" i="30"/>
  <c r="H5835" i="30"/>
  <c r="H5837" i="30"/>
  <c r="H5839" i="30"/>
  <c r="H5841" i="30"/>
  <c r="H5843" i="30"/>
  <c r="H5845" i="30"/>
  <c r="H5847" i="30"/>
  <c r="H5849" i="30"/>
  <c r="H5851" i="30"/>
  <c r="H5853" i="30"/>
  <c r="H5855" i="30"/>
  <c r="H5857" i="30"/>
  <c r="H5859" i="30"/>
  <c r="H5861" i="30"/>
  <c r="H5863" i="30"/>
  <c r="H5865" i="30"/>
  <c r="H5867" i="30"/>
  <c r="H5869" i="30"/>
  <c r="H5871" i="30"/>
  <c r="H5873" i="30"/>
  <c r="H5875" i="30"/>
  <c r="H5877" i="30"/>
  <c r="H5879" i="30"/>
  <c r="H5881" i="30"/>
  <c r="H5883" i="30"/>
  <c r="H5885" i="30"/>
  <c r="H5887" i="30"/>
  <c r="H5889" i="30"/>
  <c r="H5891" i="30"/>
  <c r="H5893" i="30"/>
  <c r="H5895" i="30"/>
  <c r="H5897" i="30"/>
  <c r="H5899" i="30"/>
  <c r="H5901" i="30"/>
  <c r="H5903" i="30"/>
  <c r="H5905" i="30"/>
  <c r="H5907" i="30"/>
  <c r="H5909" i="30"/>
  <c r="H5911" i="30"/>
  <c r="H5913" i="30"/>
  <c r="H5915" i="30"/>
  <c r="H5917" i="30"/>
  <c r="H5919" i="30"/>
  <c r="H5921" i="30"/>
  <c r="H5923" i="30"/>
  <c r="H5925" i="30"/>
  <c r="H5927" i="30"/>
  <c r="H5929" i="30"/>
  <c r="H5931" i="30"/>
  <c r="H5933" i="30"/>
  <c r="H5935" i="30"/>
  <c r="H5937" i="30"/>
  <c r="H5939" i="30"/>
  <c r="H5941" i="30"/>
  <c r="H5943" i="30"/>
  <c r="H5945" i="30"/>
  <c r="H5947" i="30"/>
  <c r="H5949" i="30"/>
  <c r="H5951" i="30"/>
  <c r="H5953" i="30"/>
  <c r="H5955" i="30"/>
  <c r="H5957" i="30"/>
  <c r="H5959" i="30"/>
  <c r="H5961" i="30"/>
  <c r="H5963" i="30"/>
  <c r="H5965" i="30"/>
  <c r="H5967" i="30"/>
  <c r="H5969" i="30"/>
  <c r="H5971" i="30"/>
  <c r="H5973" i="30"/>
  <c r="H5975" i="30"/>
  <c r="H5977" i="30"/>
  <c r="H5979" i="30"/>
  <c r="H5981" i="30"/>
  <c r="H5983" i="30"/>
  <c r="H5985" i="30"/>
  <c r="H5987" i="30"/>
  <c r="H5989" i="30"/>
  <c r="H5991" i="30"/>
  <c r="H5993" i="30"/>
  <c r="H5995" i="30"/>
  <c r="H5997" i="30"/>
  <c r="H5999" i="30"/>
  <c r="H6001" i="30"/>
  <c r="H6003" i="30"/>
  <c r="H6005" i="30"/>
  <c r="H6007" i="30"/>
  <c r="H6009" i="30"/>
  <c r="H6011" i="30"/>
  <c r="H6013" i="30"/>
  <c r="H6015" i="30"/>
  <c r="H6017" i="30"/>
  <c r="H6019" i="30"/>
  <c r="H6021" i="30"/>
  <c r="H6023" i="30"/>
  <c r="H6025" i="30"/>
  <c r="H6027" i="30"/>
  <c r="H6029" i="30"/>
  <c r="H6031" i="30"/>
  <c r="H6033" i="30"/>
  <c r="H6035" i="30"/>
  <c r="H6037" i="30"/>
  <c r="H6039" i="30"/>
  <c r="H6041" i="30"/>
  <c r="H6043" i="30"/>
  <c r="H6045" i="30"/>
  <c r="H6047" i="30"/>
  <c r="H6049" i="30"/>
  <c r="H6051" i="30"/>
  <c r="H6053" i="30"/>
  <c r="H6055" i="30"/>
  <c r="H6057" i="30"/>
  <c r="H6059" i="30"/>
  <c r="H6061" i="30"/>
  <c r="H6063" i="30"/>
  <c r="H6065" i="30"/>
  <c r="H6067" i="30"/>
  <c r="H6069" i="30"/>
  <c r="H6071" i="30"/>
  <c r="H6073" i="30"/>
  <c r="H6075" i="30"/>
  <c r="H6077" i="30"/>
  <c r="H6079" i="30"/>
  <c r="H6081" i="30"/>
  <c r="H6083" i="30"/>
  <c r="H6085" i="30"/>
  <c r="H6087" i="30"/>
  <c r="H6089" i="30"/>
  <c r="H6091" i="30"/>
  <c r="H6093" i="30"/>
  <c r="H6095" i="30"/>
  <c r="H6097" i="30"/>
  <c r="H6099" i="30"/>
  <c r="H6101" i="30"/>
  <c r="H6103" i="30"/>
  <c r="H6105" i="30"/>
  <c r="H6107" i="30"/>
  <c r="H6109" i="30"/>
  <c r="H6111" i="30"/>
  <c r="H6113" i="30"/>
  <c r="H6115" i="30"/>
  <c r="H6117" i="30"/>
  <c r="H6119" i="30"/>
  <c r="H6121" i="30"/>
  <c r="H6123" i="30"/>
  <c r="H6125" i="30"/>
  <c r="H6127" i="30"/>
  <c r="H6129" i="30"/>
  <c r="H6131" i="30"/>
  <c r="H6133" i="30"/>
  <c r="H6135" i="30"/>
  <c r="H6137" i="30"/>
  <c r="H6139" i="30"/>
  <c r="H6141" i="30"/>
  <c r="H6143" i="30"/>
  <c r="H6145" i="30"/>
  <c r="H6147" i="30"/>
  <c r="H6149" i="30"/>
  <c r="H6151" i="30"/>
  <c r="H6153" i="30"/>
  <c r="H6155" i="30"/>
  <c r="H6157" i="30"/>
  <c r="H6159" i="30"/>
  <c r="H6161" i="30"/>
  <c r="H6163" i="30"/>
  <c r="H6165" i="30"/>
  <c r="H6167" i="30"/>
  <c r="H6169" i="30"/>
  <c r="H6171" i="30"/>
  <c r="H6173" i="30"/>
  <c r="H6175" i="30"/>
  <c r="H6177" i="30"/>
  <c r="H6179" i="30"/>
  <c r="H6181" i="30"/>
  <c r="H6183" i="30"/>
  <c r="H6185" i="30"/>
  <c r="H6187" i="30"/>
  <c r="H6189" i="30"/>
  <c r="H6191" i="30"/>
  <c r="H6193" i="30"/>
  <c r="H6195" i="30"/>
  <c r="H6197" i="30"/>
  <c r="H6199" i="30"/>
  <c r="H6201" i="30"/>
  <c r="H6203" i="30"/>
  <c r="H6205" i="30"/>
  <c r="H6207" i="30"/>
  <c r="H6209" i="30"/>
  <c r="H6211" i="30"/>
  <c r="H6213" i="30"/>
  <c r="H6215" i="30"/>
  <c r="H6217" i="30"/>
  <c r="H6219" i="30"/>
  <c r="H6221" i="30"/>
  <c r="H6223" i="30"/>
  <c r="H6225" i="30"/>
  <c r="H6227" i="30"/>
  <c r="H6229" i="30"/>
  <c r="H6231" i="30"/>
  <c r="H6233" i="30"/>
  <c r="H6235" i="30"/>
  <c r="H6237" i="30"/>
  <c r="H6239" i="30"/>
  <c r="H6241" i="30"/>
  <c r="H6243" i="30"/>
  <c r="H6245" i="30"/>
  <c r="H6247" i="30"/>
  <c r="H6249" i="30"/>
  <c r="H6251" i="30"/>
  <c r="H6253" i="30"/>
  <c r="H6255" i="30"/>
  <c r="H6257" i="30"/>
  <c r="H6259" i="30"/>
  <c r="H6261" i="30"/>
  <c r="H6263" i="30"/>
  <c r="H6265" i="30"/>
  <c r="H6267" i="30"/>
  <c r="H6269" i="30"/>
  <c r="H6271" i="30"/>
  <c r="H6273" i="30"/>
  <c r="H6275" i="30"/>
  <c r="H6277" i="30"/>
  <c r="H6279" i="30"/>
  <c r="H6281" i="30"/>
  <c r="H6283" i="30"/>
  <c r="H6285" i="30"/>
  <c r="H6287" i="30"/>
  <c r="H6289" i="30"/>
  <c r="H6291" i="30"/>
  <c r="H6293" i="30"/>
  <c r="H6295" i="30"/>
  <c r="H6297" i="30"/>
  <c r="H6299" i="30"/>
  <c r="H6301" i="30"/>
  <c r="H6303" i="30"/>
  <c r="H6305" i="30"/>
  <c r="H6307" i="30"/>
  <c r="H6309" i="30"/>
  <c r="H6311" i="30"/>
  <c r="H6313" i="30"/>
  <c r="H6315" i="30"/>
  <c r="H6317" i="30"/>
  <c r="H6319" i="30"/>
  <c r="H6321" i="30"/>
  <c r="H6323" i="30"/>
  <c r="H6325" i="30"/>
  <c r="H6327" i="30"/>
  <c r="H6329" i="30"/>
  <c r="H6331" i="30"/>
  <c r="H6333" i="30"/>
  <c r="H6335" i="30"/>
  <c r="H6337" i="30"/>
  <c r="H6339" i="30"/>
  <c r="H6341" i="30"/>
  <c r="H6343" i="30"/>
  <c r="H6345" i="30"/>
  <c r="H6347" i="30"/>
  <c r="H6349" i="30"/>
  <c r="H6351" i="30"/>
  <c r="H6353" i="30"/>
  <c r="H6355" i="30"/>
  <c r="H6357" i="30"/>
  <c r="H6359" i="30"/>
  <c r="H6361" i="30"/>
  <c r="H6363" i="30"/>
  <c r="H6365" i="30"/>
  <c r="H6367" i="30"/>
  <c r="H6369" i="30"/>
  <c r="H6371" i="30"/>
  <c r="H6373" i="30"/>
  <c r="H6375" i="30"/>
  <c r="H6377" i="30"/>
  <c r="H6379" i="30"/>
  <c r="H6381" i="30"/>
  <c r="H6383" i="30"/>
  <c r="H6385" i="30"/>
  <c r="H6387" i="30"/>
  <c r="H6389" i="30"/>
  <c r="H6391" i="30"/>
  <c r="H6393" i="30"/>
  <c r="H6395" i="30"/>
  <c r="H6397" i="30"/>
  <c r="H6399" i="30"/>
  <c r="H6401" i="30"/>
  <c r="H6403" i="30"/>
  <c r="H6405" i="30"/>
  <c r="H6407" i="30"/>
  <c r="H6409" i="30"/>
  <c r="H6411" i="30"/>
  <c r="H6413" i="30"/>
  <c r="H6415" i="30"/>
  <c r="H6417" i="30"/>
  <c r="H6419" i="30"/>
  <c r="H6421" i="30"/>
  <c r="H6423" i="30"/>
  <c r="H6425" i="30"/>
  <c r="H6427" i="30"/>
  <c r="H6429" i="30"/>
  <c r="H6431" i="30"/>
  <c r="H6433" i="30"/>
  <c r="H6435" i="30"/>
  <c r="H6437" i="30"/>
  <c r="H6439" i="30"/>
  <c r="H6441" i="30"/>
  <c r="H6443" i="30"/>
  <c r="H6445" i="30"/>
  <c r="H6447" i="30"/>
  <c r="H6449" i="30"/>
  <c r="H6451" i="30"/>
  <c r="H6453" i="30"/>
  <c r="H6455" i="30"/>
  <c r="H6457" i="30"/>
  <c r="H6459" i="30"/>
  <c r="H6461" i="30"/>
  <c r="H6463" i="30"/>
  <c r="H6465" i="30"/>
  <c r="H6467" i="30"/>
  <c r="H6469" i="30"/>
  <c r="H6471" i="30"/>
  <c r="H6473" i="30"/>
  <c r="H6475" i="30"/>
  <c r="H6477" i="30"/>
  <c r="H6479" i="30"/>
  <c r="H6481" i="30"/>
  <c r="H6483" i="30"/>
  <c r="H6485" i="30"/>
  <c r="H6487" i="30"/>
  <c r="H6489" i="30"/>
  <c r="H6491" i="30"/>
  <c r="H6493" i="30"/>
  <c r="H6495" i="30"/>
  <c r="H6497" i="30"/>
  <c r="H6499" i="30"/>
  <c r="H6501" i="30"/>
  <c r="H6503" i="30"/>
  <c r="H6505" i="30"/>
  <c r="H6507" i="30"/>
  <c r="H6509" i="30"/>
  <c r="H6511" i="30"/>
  <c r="H6513" i="30"/>
  <c r="H6515" i="30"/>
  <c r="H6517" i="30"/>
  <c r="H6519" i="30"/>
  <c r="H6521" i="30"/>
  <c r="H6523" i="30"/>
  <c r="H6525" i="30"/>
  <c r="H6527" i="30"/>
  <c r="H6529" i="30"/>
  <c r="H6531" i="30"/>
  <c r="H6533" i="30"/>
  <c r="H6535" i="30"/>
  <c r="H6537" i="30"/>
  <c r="H6539" i="30"/>
  <c r="H6541" i="30"/>
  <c r="H6543" i="30"/>
  <c r="H6545" i="30"/>
  <c r="H6547" i="30"/>
  <c r="H6549" i="30"/>
  <c r="H6551" i="30"/>
  <c r="H6553" i="30"/>
  <c r="H6555" i="30"/>
  <c r="H6557" i="30"/>
  <c r="H6559" i="30"/>
  <c r="H6561" i="30"/>
  <c r="H6563" i="30"/>
  <c r="H6565" i="30"/>
  <c r="H6567" i="30"/>
  <c r="H6569" i="30"/>
  <c r="H6571" i="30"/>
  <c r="H6573" i="30"/>
  <c r="H6575" i="30"/>
  <c r="H6577" i="30"/>
  <c r="H6579" i="30"/>
  <c r="H6581" i="30"/>
  <c r="H6583" i="30"/>
  <c r="H6585" i="30"/>
  <c r="H6587" i="30"/>
  <c r="H6589" i="30"/>
  <c r="H6591" i="30"/>
  <c r="H6593" i="30"/>
  <c r="H6595" i="30"/>
  <c r="H6597" i="30"/>
  <c r="H6599" i="30"/>
  <c r="H6601" i="30"/>
  <c r="H6603" i="30"/>
  <c r="H6605" i="30"/>
  <c r="H6607" i="30"/>
  <c r="H6609" i="30"/>
  <c r="H6611" i="30"/>
  <c r="H6613" i="30"/>
  <c r="H6615" i="30"/>
  <c r="H6617" i="30"/>
  <c r="H6619" i="30"/>
  <c r="H6621" i="30"/>
  <c r="H6623" i="30"/>
  <c r="H6625" i="30"/>
  <c r="H6627" i="30"/>
  <c r="H6629" i="30"/>
  <c r="H6631" i="30"/>
  <c r="H6633" i="30"/>
  <c r="H6635" i="30"/>
  <c r="H6637" i="30"/>
  <c r="H6639" i="30"/>
  <c r="H6641" i="30"/>
  <c r="H6643" i="30"/>
  <c r="H6645" i="30"/>
  <c r="H6647" i="30"/>
  <c r="H6649" i="30"/>
  <c r="H6651" i="30"/>
  <c r="H6653" i="30"/>
  <c r="H6655" i="30"/>
  <c r="H6657" i="30"/>
  <c r="H6659" i="30"/>
  <c r="H6661" i="30"/>
  <c r="H6663" i="30"/>
  <c r="H6665" i="30"/>
  <c r="H6667" i="30"/>
  <c r="H6669" i="30"/>
  <c r="H6671" i="30"/>
  <c r="H6673" i="30"/>
  <c r="H6675" i="30"/>
  <c r="H6677" i="30"/>
  <c r="H6679" i="30"/>
  <c r="H6681" i="30"/>
  <c r="H6683" i="30"/>
  <c r="H6685" i="30"/>
  <c r="H6687" i="30"/>
  <c r="H6689" i="30"/>
  <c r="H6691" i="30"/>
  <c r="H6693" i="30"/>
  <c r="H6695" i="30"/>
  <c r="H6697" i="30"/>
  <c r="H6699" i="30"/>
  <c r="H6701" i="30"/>
  <c r="H6703" i="30"/>
  <c r="H6705" i="30"/>
  <c r="H6707" i="30"/>
  <c r="H6709" i="30"/>
  <c r="H6711" i="30"/>
  <c r="H6713" i="30"/>
  <c r="H6715" i="30"/>
  <c r="H6717" i="30"/>
  <c r="H6719" i="30"/>
  <c r="H6721" i="30"/>
  <c r="H6723" i="30"/>
  <c r="H6725" i="30"/>
  <c r="H6727" i="30"/>
  <c r="H6729" i="30"/>
  <c r="H6731" i="30"/>
  <c r="H6733" i="30"/>
  <c r="H6735" i="30"/>
  <c r="H6737" i="30"/>
  <c r="H6739" i="30"/>
  <c r="H6741" i="30"/>
  <c r="H6743" i="30"/>
  <c r="H6745" i="30"/>
  <c r="H6747" i="30"/>
  <c r="H6749" i="30"/>
  <c r="H6751" i="30"/>
  <c r="H6753" i="30"/>
  <c r="H6755" i="30"/>
  <c r="H6757" i="30"/>
  <c r="H6759" i="30"/>
  <c r="H6761" i="30"/>
  <c r="H6763" i="30"/>
  <c r="H6765" i="30"/>
  <c r="H6767" i="30"/>
  <c r="H6769" i="30"/>
  <c r="H6771" i="30"/>
  <c r="H6773" i="30"/>
  <c r="H6775" i="30"/>
  <c r="H6777" i="30"/>
  <c r="H6779" i="30"/>
  <c r="H6781" i="30"/>
  <c r="H6783" i="30"/>
  <c r="H6785" i="30"/>
  <c r="H6787" i="30"/>
  <c r="H6789" i="30"/>
  <c r="H6791" i="30"/>
  <c r="H6793" i="30"/>
  <c r="H6795" i="30"/>
  <c r="H6797" i="30"/>
  <c r="H6799" i="30"/>
  <c r="H6801" i="30"/>
  <c r="H6803" i="30"/>
  <c r="H6805" i="30"/>
  <c r="H6807" i="30"/>
  <c r="H6809" i="30"/>
  <c r="H6811" i="30"/>
  <c r="H6813" i="30"/>
  <c r="H6815" i="30"/>
  <c r="H6817" i="30"/>
  <c r="H6819" i="30"/>
  <c r="H6821" i="30"/>
  <c r="H6823" i="30"/>
  <c r="H6825" i="30"/>
  <c r="H6827" i="30"/>
  <c r="H6829" i="30"/>
  <c r="H6831" i="30"/>
  <c r="H6833" i="30"/>
  <c r="H6835" i="30"/>
  <c r="H6837" i="30"/>
  <c r="H6839" i="30"/>
  <c r="H6841" i="30"/>
  <c r="H6843" i="30"/>
  <c r="H6845" i="30"/>
  <c r="H6847" i="30"/>
  <c r="H6849" i="30"/>
  <c r="H6851" i="30"/>
  <c r="H6853" i="30"/>
  <c r="H6855" i="30"/>
  <c r="H6857" i="30"/>
  <c r="H6859" i="30"/>
  <c r="H6861" i="30"/>
  <c r="H6863" i="30"/>
  <c r="H6865" i="30"/>
  <c r="H6867" i="30"/>
  <c r="H6869" i="30"/>
  <c r="H6871" i="30"/>
  <c r="H6873" i="30"/>
  <c r="H6875" i="30"/>
  <c r="H6877" i="30"/>
  <c r="H6879" i="30"/>
  <c r="H6881" i="30"/>
  <c r="H6883" i="30"/>
  <c r="H6885" i="30"/>
  <c r="H6887" i="30"/>
  <c r="H6889" i="30"/>
  <c r="H6891" i="30"/>
  <c r="H6893" i="30"/>
  <c r="H6895" i="30"/>
  <c r="H6897" i="30"/>
  <c r="H6899" i="30"/>
  <c r="H6901" i="30"/>
  <c r="H6903" i="30"/>
  <c r="H6905" i="30"/>
  <c r="H6907" i="30"/>
  <c r="H6909" i="30"/>
  <c r="H6911" i="30"/>
  <c r="H6913" i="30"/>
  <c r="H6915" i="30"/>
  <c r="H6917" i="30"/>
  <c r="H6919" i="30"/>
  <c r="H6921" i="30"/>
  <c r="H6923" i="30"/>
  <c r="H6925" i="30"/>
  <c r="H6927" i="30"/>
  <c r="H6929" i="30"/>
  <c r="H6931" i="30"/>
  <c r="H6933" i="30"/>
  <c r="H6935" i="30"/>
  <c r="H6937" i="30"/>
  <c r="H6939" i="30"/>
  <c r="H6941" i="30"/>
  <c r="H6943" i="30"/>
  <c r="H6945" i="30"/>
  <c r="H6947" i="30"/>
  <c r="H6949" i="30"/>
  <c r="H6951" i="30"/>
  <c r="H6953" i="30"/>
  <c r="H6955" i="30"/>
  <c r="H6957" i="30"/>
  <c r="H6959" i="30"/>
  <c r="H6961" i="30"/>
  <c r="H6963" i="30"/>
  <c r="H6965" i="30"/>
  <c r="H6967" i="30"/>
  <c r="H6969" i="30"/>
  <c r="H6971" i="30"/>
  <c r="H6973" i="30"/>
  <c r="H6975" i="30"/>
  <c r="H6977" i="30"/>
  <c r="H6979" i="30"/>
  <c r="H6981" i="30"/>
  <c r="H6983" i="30"/>
  <c r="H6985" i="30"/>
  <c r="H6987" i="30"/>
  <c r="H6989" i="30"/>
  <c r="H6991" i="30"/>
  <c r="H6993" i="30"/>
  <c r="H6995" i="30"/>
  <c r="H6997" i="30"/>
  <c r="H6999" i="30"/>
  <c r="H7001" i="30"/>
  <c r="H7003" i="30"/>
  <c r="H7005" i="30"/>
  <c r="H7007" i="30"/>
  <c r="H7009" i="30"/>
  <c r="H7011" i="30"/>
  <c r="H7013" i="30"/>
  <c r="H7015" i="30"/>
  <c r="H7017" i="30"/>
  <c r="H7019" i="30"/>
  <c r="H7021" i="30"/>
  <c r="H7023" i="30"/>
  <c r="H7025" i="30"/>
  <c r="H7027" i="30"/>
  <c r="H7029" i="30"/>
  <c r="H7031" i="30"/>
  <c r="H7033" i="30"/>
  <c r="H7035" i="30"/>
  <c r="H7037" i="30"/>
  <c r="H7039" i="30"/>
  <c r="H7041" i="30"/>
  <c r="H7043" i="30"/>
  <c r="H7045" i="30"/>
  <c r="H7047" i="30"/>
  <c r="H7049" i="30"/>
  <c r="H7051" i="30"/>
  <c r="H7053" i="30"/>
  <c r="H7055" i="30"/>
  <c r="H7057" i="30"/>
  <c r="H7059" i="30"/>
  <c r="H7061" i="30"/>
  <c r="H7063" i="30"/>
  <c r="H7065" i="30"/>
  <c r="H7067" i="30"/>
  <c r="H7069" i="30"/>
  <c r="H7071" i="30"/>
  <c r="H7073" i="30"/>
  <c r="H7075" i="30"/>
  <c r="H7077" i="30"/>
  <c r="H7079" i="30"/>
  <c r="H7081" i="30"/>
  <c r="H7083" i="30"/>
  <c r="H7085" i="30"/>
  <c r="H7087" i="30"/>
  <c r="H7089" i="30"/>
  <c r="H7091" i="30"/>
  <c r="H7093" i="30"/>
  <c r="H7095" i="30"/>
  <c r="H7097" i="30"/>
  <c r="H7099" i="30"/>
  <c r="H7101" i="30"/>
  <c r="H7103" i="30"/>
  <c r="H7105" i="30"/>
  <c r="H7107" i="30"/>
  <c r="H7109" i="30"/>
  <c r="H7111" i="30"/>
  <c r="H7113" i="30"/>
  <c r="H7115" i="30"/>
  <c r="H7117" i="30"/>
  <c r="H7119" i="30"/>
  <c r="H7121" i="30"/>
  <c r="H7123" i="30"/>
  <c r="H7125" i="30"/>
  <c r="H7127" i="30"/>
  <c r="H7129" i="30"/>
  <c r="H7131" i="30"/>
  <c r="H7133" i="30"/>
  <c r="H7135" i="30"/>
  <c r="H7137" i="30"/>
  <c r="H7139" i="30"/>
  <c r="H7141" i="30"/>
  <c r="H7143" i="30"/>
  <c r="H7145" i="30"/>
  <c r="H7147" i="30"/>
  <c r="H7149" i="30"/>
  <c r="H7151" i="30"/>
  <c r="H7153" i="30"/>
  <c r="H7155" i="30"/>
  <c r="H7157" i="30"/>
  <c r="H7159" i="30"/>
  <c r="H7161" i="30"/>
  <c r="H7163" i="30"/>
  <c r="H7165" i="30"/>
  <c r="H7167" i="30"/>
  <c r="H7169" i="30"/>
  <c r="H7171" i="30"/>
  <c r="H7173" i="30"/>
  <c r="H7175" i="30"/>
  <c r="H7177" i="30"/>
  <c r="H7179" i="30"/>
  <c r="H7181" i="30"/>
  <c r="H7183" i="30"/>
  <c r="H7185" i="30"/>
  <c r="H7187" i="30"/>
  <c r="H7189" i="30"/>
  <c r="H7191" i="30"/>
  <c r="H7193" i="30"/>
  <c r="H7195" i="30"/>
  <c r="H7197" i="30"/>
  <c r="H7199" i="30"/>
  <c r="H7201" i="30"/>
  <c r="H7203" i="30"/>
  <c r="H7205" i="30"/>
  <c r="H7207" i="30"/>
  <c r="H7209" i="30"/>
  <c r="H7211" i="30"/>
  <c r="H7213" i="30"/>
  <c r="H7215" i="30"/>
  <c r="H7217" i="30"/>
  <c r="H7219" i="30"/>
  <c r="H7221" i="30"/>
  <c r="H7223" i="30"/>
  <c r="H7225" i="30"/>
  <c r="H7227" i="30"/>
  <c r="H7229" i="30"/>
  <c r="H7231" i="30"/>
  <c r="H7233" i="30"/>
  <c r="H7235" i="30"/>
  <c r="H7237" i="30"/>
  <c r="H7239" i="30"/>
  <c r="H7241" i="30"/>
  <c r="H7243" i="30"/>
  <c r="H7245" i="30"/>
  <c r="H7247" i="30"/>
  <c r="H7249" i="30"/>
  <c r="H7251" i="30"/>
  <c r="H7253" i="30"/>
  <c r="H7255" i="30"/>
  <c r="H7257" i="30"/>
  <c r="H7259" i="30"/>
  <c r="H7261" i="30"/>
  <c r="H7263" i="30"/>
  <c r="H7265" i="30"/>
  <c r="H7267" i="30"/>
  <c r="H7269" i="30"/>
  <c r="H7271" i="30"/>
  <c r="H7273" i="30"/>
  <c r="H7275" i="30"/>
  <c r="H7277" i="30"/>
  <c r="H7279" i="30"/>
  <c r="H7281" i="30"/>
  <c r="H7283" i="30"/>
  <c r="H7285" i="30"/>
  <c r="H7287" i="30"/>
  <c r="H7289" i="30"/>
  <c r="H7291" i="30"/>
  <c r="H7293" i="30"/>
  <c r="H7295" i="30"/>
  <c r="H7297" i="30"/>
  <c r="H7299" i="30"/>
  <c r="H7301" i="30"/>
  <c r="H7303" i="30"/>
  <c r="H7305" i="30"/>
  <c r="H7307" i="30"/>
  <c r="H7309" i="30"/>
  <c r="H7311" i="30"/>
  <c r="H7313" i="30"/>
  <c r="H7315" i="30"/>
  <c r="H7317" i="30"/>
  <c r="H7319" i="30"/>
  <c r="H7321" i="30"/>
  <c r="H7323" i="30"/>
  <c r="H7325" i="30"/>
  <c r="H7327" i="30"/>
  <c r="H7329" i="30"/>
  <c r="H7331" i="30"/>
  <c r="H7333" i="30"/>
  <c r="H7335" i="30"/>
  <c r="H7337" i="30"/>
  <c r="H7339" i="30"/>
  <c r="H7341" i="30"/>
  <c r="H7343" i="30"/>
  <c r="H7345" i="30"/>
  <c r="H7347" i="30"/>
  <c r="H7349" i="30"/>
  <c r="H7351" i="30"/>
  <c r="H7353" i="30"/>
  <c r="H7355" i="30"/>
  <c r="H7357" i="30"/>
  <c r="H7359" i="30"/>
  <c r="H7361" i="30"/>
  <c r="H7363" i="30"/>
  <c r="H7365" i="30"/>
  <c r="H7367" i="30"/>
  <c r="H7369" i="30"/>
  <c r="H7371" i="30"/>
  <c r="H7373" i="30"/>
  <c r="H7375" i="30"/>
  <c r="H7377" i="30"/>
  <c r="H7379" i="30"/>
  <c r="H7381" i="30"/>
  <c r="H7383" i="30"/>
  <c r="H7385" i="30"/>
  <c r="H7387" i="30"/>
  <c r="H7389" i="30"/>
  <c r="H7391" i="30"/>
  <c r="H7393" i="30"/>
  <c r="H7395" i="30"/>
  <c r="H7397" i="30"/>
  <c r="H7399" i="30"/>
  <c r="H7401" i="30"/>
  <c r="H7403" i="30"/>
  <c r="H7405" i="30"/>
  <c r="H7407" i="30"/>
  <c r="H7409" i="30"/>
  <c r="H7411" i="30"/>
  <c r="H7413" i="30"/>
  <c r="H7415" i="30"/>
  <c r="H7417" i="30"/>
  <c r="H7419" i="30"/>
  <c r="H7421" i="30"/>
  <c r="H7423" i="30"/>
  <c r="H7425" i="30"/>
  <c r="H7427" i="30"/>
  <c r="H7429" i="30"/>
  <c r="H7431" i="30"/>
  <c r="H7433" i="30"/>
  <c r="H7435" i="30"/>
  <c r="H7437" i="30"/>
  <c r="H7439" i="30"/>
  <c r="H7441" i="30"/>
  <c r="H7443" i="30"/>
  <c r="H7445" i="30"/>
  <c r="H7447" i="30"/>
  <c r="H7449" i="30"/>
  <c r="H7451" i="30"/>
  <c r="H7453" i="30"/>
  <c r="H7455" i="30"/>
  <c r="H7457" i="30"/>
  <c r="H7459" i="30"/>
  <c r="H7461" i="30"/>
  <c r="H7463" i="30"/>
  <c r="H7465" i="30"/>
  <c r="H7467" i="30"/>
  <c r="H7469" i="30"/>
  <c r="H7471" i="30"/>
  <c r="H7473" i="30"/>
  <c r="H7475" i="30"/>
  <c r="H7477" i="30"/>
  <c r="H7479" i="30"/>
  <c r="H7481" i="30"/>
  <c r="H7483" i="30"/>
  <c r="H7485" i="30"/>
  <c r="H7487" i="30"/>
  <c r="H7489" i="30"/>
  <c r="H7491" i="30"/>
  <c r="H7493" i="30"/>
  <c r="H7495" i="30"/>
  <c r="H7497" i="30"/>
  <c r="H7499" i="30"/>
  <c r="H7501" i="30"/>
  <c r="H7503" i="30"/>
  <c r="H7505" i="30"/>
  <c r="H7507" i="30"/>
  <c r="H7509" i="30"/>
  <c r="H7511" i="30"/>
  <c r="H7513" i="30"/>
  <c r="H7515" i="30"/>
  <c r="H7517" i="30"/>
  <c r="H7519" i="30"/>
  <c r="H7521" i="30"/>
  <c r="H7523" i="30"/>
  <c r="H7525" i="30"/>
  <c r="H7527" i="30"/>
  <c r="H7529" i="30"/>
  <c r="H7531" i="30"/>
  <c r="H7533" i="30"/>
  <c r="H7535" i="30"/>
  <c r="H7537" i="30"/>
  <c r="H7539" i="30"/>
  <c r="H7541" i="30"/>
  <c r="H7543" i="30"/>
  <c r="H7545" i="30"/>
  <c r="H7547" i="30"/>
  <c r="H7549" i="30"/>
  <c r="H7551" i="30"/>
  <c r="H7553" i="30"/>
  <c r="H7555" i="30"/>
  <c r="H7557" i="30"/>
  <c r="H7559" i="30"/>
  <c r="H7561" i="30"/>
  <c r="H7563" i="30"/>
  <c r="H7565" i="30"/>
  <c r="H7567" i="30"/>
  <c r="H7569" i="30"/>
  <c r="H7571" i="30"/>
  <c r="H7573" i="30"/>
  <c r="H7575" i="30"/>
  <c r="H7577" i="30"/>
  <c r="H7579" i="30"/>
  <c r="H7581" i="30"/>
  <c r="H7583" i="30"/>
  <c r="H7585" i="30"/>
  <c r="H7587" i="30"/>
  <c r="H7589" i="30"/>
  <c r="H7591" i="30"/>
  <c r="H7593" i="30"/>
  <c r="H7595" i="30"/>
  <c r="H7597" i="30"/>
  <c r="H7599" i="30"/>
  <c r="H7601" i="30"/>
  <c r="H7603" i="30"/>
  <c r="H7605" i="30"/>
  <c r="H7607" i="30"/>
  <c r="H7609" i="30"/>
  <c r="H7611" i="30"/>
  <c r="H7613" i="30"/>
  <c r="H7615" i="30"/>
  <c r="H7617" i="30"/>
  <c r="H7619" i="30"/>
  <c r="H7621" i="30"/>
  <c r="H7623" i="30"/>
  <c r="H7625" i="30"/>
  <c r="H7627" i="30"/>
  <c r="H7629" i="30"/>
  <c r="H7631" i="30"/>
  <c r="H7633" i="30"/>
  <c r="H7635" i="30"/>
  <c r="H7637" i="30"/>
  <c r="H7639" i="30"/>
  <c r="H7641" i="30"/>
  <c r="H7643" i="30"/>
  <c r="H7645" i="30"/>
  <c r="H7647" i="30"/>
  <c r="H7649" i="30"/>
  <c r="H7651" i="30"/>
  <c r="H7653" i="30"/>
  <c r="H7655" i="30"/>
  <c r="H7657" i="30"/>
  <c r="H7659" i="30"/>
  <c r="H7661" i="30"/>
  <c r="H7663" i="30"/>
  <c r="H7665" i="30"/>
  <c r="H7667" i="30"/>
  <c r="H7669" i="30"/>
  <c r="H7671" i="30"/>
  <c r="H7673" i="30"/>
  <c r="H7675" i="30"/>
  <c r="H7677" i="30"/>
  <c r="H7679" i="30"/>
  <c r="H7681" i="30"/>
  <c r="H7683" i="30"/>
  <c r="H7685" i="30"/>
  <c r="H7687" i="30"/>
  <c r="H7689" i="30"/>
  <c r="H7691" i="30"/>
  <c r="H7693" i="30"/>
  <c r="H7695" i="30"/>
  <c r="H7697" i="30"/>
  <c r="H7699" i="30"/>
  <c r="H7701" i="30"/>
  <c r="H7703" i="30"/>
  <c r="H7705" i="30"/>
  <c r="H7707" i="30"/>
  <c r="H7709" i="30"/>
  <c r="H7711" i="30"/>
  <c r="H7713" i="30"/>
  <c r="H7715" i="30"/>
  <c r="H7717" i="30"/>
  <c r="H7719" i="30"/>
  <c r="H7721" i="30"/>
  <c r="H7723" i="30"/>
  <c r="H7725" i="30"/>
  <c r="H7727" i="30"/>
  <c r="H7729" i="30"/>
  <c r="H7731" i="30"/>
  <c r="H7733" i="30"/>
  <c r="H7735" i="30"/>
  <c r="H7737" i="30"/>
  <c r="H7739" i="30"/>
  <c r="H7741" i="30"/>
  <c r="H7743" i="30"/>
  <c r="H7745" i="30"/>
  <c r="H7747" i="30"/>
  <c r="H7749" i="30"/>
  <c r="H7751" i="30"/>
  <c r="H7753" i="30"/>
  <c r="H7755" i="30"/>
  <c r="H7757" i="30"/>
  <c r="H7759" i="30"/>
  <c r="H7761" i="30"/>
  <c r="H7763" i="30"/>
  <c r="H7765" i="30"/>
  <c r="H7767" i="30"/>
  <c r="H7769" i="30"/>
  <c r="H7771" i="30"/>
  <c r="H7773" i="30"/>
  <c r="H7775" i="30"/>
  <c r="H7777" i="30"/>
  <c r="H7779" i="30"/>
  <c r="H7781" i="30"/>
  <c r="H7783" i="30"/>
  <c r="H7785" i="30"/>
  <c r="H7787" i="30"/>
  <c r="H7789" i="30"/>
  <c r="H7791" i="30"/>
  <c r="H7793" i="30"/>
  <c r="H7795" i="30"/>
  <c r="H7797" i="30"/>
  <c r="H7799" i="30"/>
  <c r="H7801" i="30"/>
  <c r="H7803" i="30"/>
  <c r="H7805" i="30"/>
  <c r="H7807" i="30"/>
  <c r="H7809" i="30"/>
  <c r="H7811" i="30"/>
  <c r="H7813" i="30"/>
  <c r="H7815" i="30"/>
  <c r="H7817" i="30"/>
  <c r="H7819" i="30"/>
  <c r="H7821" i="30"/>
  <c r="H7823" i="30"/>
  <c r="H7825" i="30"/>
  <c r="H7827" i="30"/>
  <c r="H7829" i="30"/>
  <c r="H7831" i="30"/>
  <c r="H7833" i="30"/>
  <c r="H7835" i="30"/>
  <c r="H7837" i="30"/>
  <c r="H7839" i="30"/>
  <c r="H7841" i="30"/>
  <c r="H7843" i="30"/>
  <c r="H7845" i="30"/>
  <c r="H7847" i="30"/>
  <c r="H7849" i="30"/>
  <c r="H7851" i="30"/>
  <c r="H7853" i="30"/>
  <c r="H7855" i="30"/>
  <c r="H7857" i="30"/>
  <c r="H7859" i="30"/>
  <c r="H7861" i="30"/>
  <c r="H7863" i="30"/>
  <c r="H7865" i="30"/>
  <c r="H7867" i="30"/>
  <c r="H7869" i="30"/>
  <c r="H7871" i="30"/>
  <c r="H7873" i="30"/>
  <c r="H7875" i="30"/>
  <c r="H7877" i="30"/>
  <c r="H7879" i="30"/>
  <c r="H7881" i="30"/>
  <c r="H7883" i="30"/>
  <c r="H7885" i="30"/>
  <c r="H7887" i="30"/>
  <c r="H7889" i="30"/>
  <c r="H7891" i="30"/>
  <c r="H7893" i="30"/>
  <c r="H7895" i="30"/>
  <c r="H7897" i="30"/>
  <c r="H7899" i="30"/>
  <c r="H7901" i="30"/>
  <c r="H7903" i="30"/>
  <c r="H7905" i="30"/>
  <c r="H7907" i="30"/>
  <c r="H7909" i="30"/>
  <c r="H7911" i="30"/>
  <c r="H7913" i="30"/>
  <c r="H7915" i="30"/>
  <c r="H7917" i="30"/>
  <c r="H7919" i="30"/>
  <c r="H7921" i="30"/>
  <c r="H7923" i="30"/>
  <c r="H7925" i="30"/>
  <c r="H7927" i="30"/>
  <c r="H7929" i="30"/>
  <c r="H7931" i="30"/>
  <c r="H7933" i="30"/>
  <c r="H7935" i="30"/>
  <c r="H7937" i="30"/>
  <c r="H7939" i="30"/>
  <c r="H7941" i="30"/>
  <c r="H7943" i="30"/>
  <c r="H7945" i="30"/>
  <c r="H7947" i="30"/>
  <c r="H7949" i="30"/>
  <c r="H7951" i="30"/>
  <c r="H7953" i="30"/>
  <c r="H7955" i="30"/>
  <c r="H7957" i="30"/>
  <c r="H7959" i="30"/>
  <c r="H7961" i="30"/>
  <c r="H7963" i="30"/>
  <c r="H7965" i="30"/>
  <c r="H7967" i="30"/>
  <c r="H7969" i="30"/>
  <c r="H7971" i="30"/>
  <c r="H7973" i="30"/>
  <c r="H7975" i="30"/>
  <c r="H7977" i="30"/>
  <c r="H7979" i="30"/>
  <c r="H7981" i="30"/>
  <c r="H7983" i="30"/>
  <c r="H7985" i="30"/>
  <c r="H7987" i="30"/>
  <c r="H7989" i="30"/>
  <c r="H7991" i="30"/>
  <c r="H7993" i="30"/>
  <c r="H7995" i="30"/>
  <c r="H7997" i="30"/>
  <c r="H7999" i="30"/>
  <c r="H8001" i="30"/>
  <c r="H8003" i="30"/>
  <c r="H8005" i="30"/>
  <c r="H8007" i="30"/>
  <c r="H8009" i="30"/>
  <c r="H8011" i="30"/>
  <c r="H8013" i="30"/>
  <c r="H8015" i="30"/>
  <c r="H8017" i="30"/>
  <c r="H8019" i="30"/>
  <c r="H8021" i="30"/>
  <c r="H8023" i="30"/>
  <c r="H8025" i="30"/>
  <c r="H8027" i="30"/>
  <c r="H8029" i="30"/>
  <c r="H8031" i="30"/>
  <c r="H8033" i="30"/>
  <c r="H8035" i="30"/>
  <c r="H8037" i="30"/>
  <c r="H8039" i="30"/>
  <c r="H8041" i="30"/>
  <c r="H8043" i="30"/>
  <c r="H8045" i="30"/>
  <c r="H8047" i="30"/>
  <c r="H8049" i="30"/>
  <c r="H8051" i="30"/>
  <c r="H8053" i="30"/>
  <c r="H8055" i="30"/>
  <c r="H8057" i="30"/>
  <c r="H8059" i="30"/>
  <c r="H8061" i="30"/>
  <c r="H8063" i="30"/>
  <c r="H8065" i="30"/>
  <c r="H8067" i="30"/>
  <c r="H8069" i="30"/>
  <c r="H8071" i="30"/>
  <c r="H8073" i="30"/>
  <c r="H8075" i="30"/>
  <c r="H8077" i="30"/>
  <c r="H8079" i="30"/>
  <c r="H8081" i="30"/>
  <c r="H8083" i="30"/>
  <c r="H8085" i="30"/>
  <c r="H8087" i="30"/>
  <c r="H8089" i="30"/>
  <c r="H8091" i="30"/>
  <c r="H8093" i="30"/>
  <c r="H8095" i="30"/>
  <c r="H8097" i="30"/>
  <c r="H8099" i="30"/>
  <c r="H8101" i="30"/>
  <c r="H8103" i="30"/>
  <c r="H8105" i="30"/>
  <c r="H8107" i="30"/>
  <c r="H8109" i="30"/>
  <c r="H8111" i="30"/>
  <c r="H8113" i="30"/>
  <c r="H10010" i="30"/>
  <c r="H10008" i="30"/>
  <c r="H10006" i="30"/>
  <c r="H10004" i="30"/>
  <c r="H10002" i="30"/>
  <c r="H10000" i="30"/>
  <c r="H9998" i="30"/>
  <c r="H9996" i="30"/>
  <c r="H9994" i="30"/>
  <c r="H9992" i="30"/>
  <c r="H9990" i="30"/>
  <c r="H9988" i="30"/>
  <c r="H9986" i="30"/>
  <c r="H9984" i="30"/>
  <c r="H9982" i="30"/>
  <c r="H9980" i="30"/>
  <c r="H9978" i="30"/>
  <c r="H9976" i="30"/>
  <c r="H9974" i="30"/>
  <c r="H9972" i="30"/>
  <c r="H9970" i="30"/>
  <c r="H9968" i="30"/>
  <c r="H9966" i="30"/>
  <c r="H9964" i="30"/>
  <c r="H9962" i="30"/>
  <c r="H9960" i="30"/>
  <c r="H9958" i="30"/>
  <c r="H9956" i="30"/>
  <c r="H9954" i="30"/>
  <c r="H9952" i="30"/>
  <c r="H9950" i="30"/>
  <c r="H9948" i="30"/>
  <c r="H9946" i="30"/>
  <c r="H9944" i="30"/>
  <c r="H9942" i="30"/>
  <c r="H9940" i="30"/>
  <c r="H9938" i="30"/>
  <c r="H9936" i="30"/>
  <c r="H9934" i="30"/>
  <c r="H9932" i="30"/>
  <c r="H9930" i="30"/>
  <c r="H9928" i="30"/>
  <c r="H9926" i="30"/>
  <c r="H9924" i="30"/>
  <c r="H9922" i="30"/>
  <c r="H9920" i="30"/>
  <c r="H9918" i="30"/>
  <c r="H9916" i="30"/>
  <c r="H9914" i="30"/>
  <c r="H9912" i="30"/>
  <c r="H9910" i="30"/>
  <c r="H9908" i="30"/>
  <c r="H9906" i="30"/>
  <c r="H9904" i="30"/>
  <c r="H9902" i="30"/>
  <c r="H9900" i="30"/>
  <c r="H9898" i="30"/>
  <c r="H9896" i="30"/>
  <c r="H9894" i="30"/>
  <c r="H9892" i="30"/>
  <c r="H9890" i="30"/>
  <c r="H9888" i="30"/>
  <c r="H9886" i="30"/>
  <c r="H9884" i="30"/>
  <c r="H9882" i="30"/>
  <c r="H9880" i="30"/>
  <c r="H9878" i="30"/>
  <c r="H9876" i="30"/>
  <c r="H9874" i="30"/>
  <c r="H9872" i="30"/>
  <c r="H9870" i="30"/>
  <c r="H9868" i="30"/>
  <c r="H9866" i="30"/>
  <c r="H9864" i="30"/>
  <c r="H9862" i="30"/>
  <c r="H9860" i="30"/>
  <c r="H9858" i="30"/>
  <c r="H9856" i="30"/>
  <c r="H9854" i="30"/>
  <c r="H9852" i="30"/>
  <c r="H9850" i="30"/>
  <c r="H9848" i="30"/>
  <c r="H9846" i="30"/>
  <c r="H9844" i="30"/>
  <c r="H9842" i="30"/>
  <c r="H9840" i="30"/>
  <c r="H9838" i="30"/>
  <c r="H9836" i="30"/>
  <c r="H9834" i="30"/>
  <c r="H9832" i="30"/>
  <c r="H9830" i="30"/>
  <c r="H9828" i="30"/>
  <c r="H9826" i="30"/>
  <c r="H9824" i="30"/>
  <c r="H9822" i="30"/>
  <c r="H9820" i="30"/>
  <c r="H9818" i="30"/>
  <c r="H9816" i="30"/>
  <c r="H9814" i="30"/>
  <c r="H9812" i="30"/>
  <c r="H9810" i="30"/>
  <c r="H9808" i="30"/>
  <c r="H9806" i="30"/>
  <c r="H9804" i="30"/>
  <c r="H9802" i="30"/>
  <c r="H9800" i="30"/>
  <c r="H9798" i="30"/>
  <c r="H9796" i="30"/>
  <c r="H9794" i="30"/>
  <c r="H9792" i="30"/>
  <c r="H9790" i="30"/>
  <c r="H9788" i="30"/>
  <c r="H9786" i="30"/>
  <c r="H9784" i="30"/>
  <c r="H9782" i="30"/>
  <c r="H9780" i="30"/>
  <c r="H9778" i="30"/>
  <c r="H9776" i="30"/>
  <c r="H9774" i="30"/>
  <c r="H9772" i="30"/>
  <c r="H9770" i="30"/>
  <c r="H9768" i="30"/>
  <c r="H9766" i="30"/>
  <c r="H9764" i="30"/>
  <c r="H9762" i="30"/>
  <c r="H9760" i="30"/>
  <c r="H9758" i="30"/>
  <c r="H9756" i="30"/>
  <c r="H9754" i="30"/>
  <c r="H9752" i="30"/>
  <c r="H9750" i="30"/>
  <c r="H9748" i="30"/>
  <c r="H9746" i="30"/>
  <c r="H9744" i="30"/>
  <c r="H9742" i="30"/>
  <c r="H9740" i="30"/>
  <c r="H9738" i="30"/>
  <c r="H9736" i="30"/>
  <c r="H9734" i="30"/>
  <c r="H9732" i="30"/>
  <c r="H9730" i="30"/>
  <c r="H9728" i="30"/>
  <c r="H9726" i="30"/>
  <c r="H9724" i="30"/>
  <c r="H9722" i="30"/>
  <c r="H9720" i="30"/>
  <c r="H9718" i="30"/>
  <c r="H9716" i="30"/>
  <c r="H9714" i="30"/>
  <c r="H9712" i="30"/>
  <c r="H9710" i="30"/>
  <c r="H9708" i="30"/>
  <c r="H9706" i="30"/>
  <c r="H9704" i="30"/>
  <c r="H9702" i="30"/>
  <c r="H9700" i="30"/>
  <c r="H9698" i="30"/>
  <c r="H9696" i="30"/>
  <c r="H9694" i="30"/>
  <c r="H9692" i="30"/>
  <c r="H9690" i="30"/>
  <c r="H9688" i="30"/>
  <c r="H9686" i="30"/>
  <c r="H9684" i="30"/>
  <c r="H9682" i="30"/>
  <c r="H9680" i="30"/>
  <c r="H9678" i="30"/>
  <c r="H9676" i="30"/>
  <c r="H9674" i="30"/>
  <c r="H9672" i="30"/>
  <c r="H9670" i="30"/>
  <c r="H9668" i="30"/>
  <c r="H9666" i="30"/>
  <c r="H9664" i="30"/>
  <c r="H9662" i="30"/>
  <c r="H9660" i="30"/>
  <c r="H9658" i="30"/>
  <c r="H9656" i="30"/>
  <c r="H9654" i="30"/>
  <c r="H9652" i="30"/>
  <c r="H9650" i="30"/>
  <c r="H9648" i="30"/>
  <c r="H9646" i="30"/>
  <c r="H9644" i="30"/>
  <c r="H9642" i="30"/>
  <c r="H9640" i="30"/>
  <c r="H9638" i="30"/>
  <c r="H9636" i="30"/>
  <c r="H9634" i="30"/>
  <c r="H9632" i="30"/>
  <c r="H9630" i="30"/>
  <c r="H9628" i="30"/>
  <c r="H9626" i="30"/>
  <c r="H9624" i="30"/>
  <c r="H9622" i="30"/>
  <c r="H9620" i="30"/>
  <c r="H9618" i="30"/>
  <c r="H9616" i="30"/>
  <c r="H9614" i="30"/>
  <c r="H9612" i="30"/>
  <c r="H9610" i="30"/>
  <c r="H9608" i="30"/>
  <c r="H9606" i="30"/>
  <c r="H9604" i="30"/>
  <c r="H9602" i="30"/>
  <c r="H9600" i="30"/>
  <c r="H9598" i="30"/>
  <c r="H9596" i="30"/>
  <c r="H9594" i="30"/>
  <c r="H9592" i="30"/>
  <c r="H9590" i="30"/>
  <c r="H9588" i="30"/>
  <c r="H9586" i="30"/>
  <c r="H9584" i="30"/>
  <c r="H9582" i="30"/>
  <c r="H9580" i="30"/>
  <c r="H9578" i="30"/>
  <c r="H9576" i="30"/>
  <c r="H9574" i="30"/>
  <c r="H9572" i="30"/>
  <c r="H9570" i="30"/>
  <c r="H9568" i="30"/>
  <c r="H9566" i="30"/>
  <c r="H9564" i="30"/>
  <c r="H9562" i="30"/>
  <c r="H9560" i="30"/>
  <c r="H9558" i="30"/>
  <c r="H9556" i="30"/>
  <c r="H9554" i="30"/>
  <c r="H9552" i="30"/>
  <c r="H9550" i="30"/>
  <c r="H9548" i="30"/>
  <c r="H9546" i="30"/>
  <c r="H9544" i="30"/>
  <c r="H9542" i="30"/>
  <c r="H9540" i="30"/>
  <c r="H9538" i="30"/>
  <c r="H9536" i="30"/>
  <c r="H9534" i="30"/>
  <c r="H9532" i="30"/>
  <c r="H9530" i="30"/>
  <c r="H9528" i="30"/>
  <c r="H9526" i="30"/>
  <c r="H9524" i="30"/>
  <c r="H9522" i="30"/>
  <c r="H9520" i="30"/>
  <c r="H9518" i="30"/>
  <c r="H9516" i="30"/>
  <c r="H9514" i="30"/>
  <c r="H9512" i="30"/>
  <c r="H9510" i="30"/>
  <c r="H9508" i="30"/>
  <c r="H9506" i="30"/>
  <c r="H9504" i="30"/>
  <c r="H9502" i="30"/>
  <c r="H9500" i="30"/>
  <c r="H9498" i="30"/>
  <c r="H9496" i="30"/>
  <c r="H9494" i="30"/>
  <c r="H9492" i="30"/>
  <c r="H9490" i="30"/>
  <c r="H9488" i="30"/>
  <c r="H9486" i="30"/>
  <c r="H9484" i="30"/>
  <c r="H9482" i="30"/>
  <c r="H9480" i="30"/>
  <c r="H9478" i="30"/>
  <c r="H9476" i="30"/>
  <c r="H9474" i="30"/>
  <c r="H9472" i="30"/>
  <c r="H9470" i="30"/>
  <c r="H9468" i="30"/>
  <c r="H9466" i="30"/>
  <c r="H9464" i="30"/>
  <c r="H9462" i="30"/>
  <c r="H9460" i="30"/>
  <c r="H9458" i="30"/>
  <c r="H9456" i="30"/>
  <c r="H9454" i="30"/>
  <c r="H9452" i="30"/>
  <c r="H9450" i="30"/>
  <c r="H9448" i="30"/>
  <c r="H9446" i="30"/>
  <c r="H9444" i="30"/>
  <c r="H9442" i="30"/>
  <c r="H9440" i="30"/>
  <c r="H9438" i="30"/>
  <c r="H9436" i="30"/>
  <c r="H9434" i="30"/>
  <c r="H9432" i="30"/>
  <c r="H9430" i="30"/>
  <c r="H9428" i="30"/>
  <c r="H9426" i="30"/>
  <c r="H9424" i="30"/>
  <c r="H9422" i="30"/>
  <c r="H9420" i="30"/>
  <c r="H9418" i="30"/>
  <c r="H9416" i="30"/>
  <c r="H9414" i="30"/>
  <c r="H9412" i="30"/>
  <c r="H9410" i="30"/>
  <c r="H9408" i="30"/>
  <c r="H9406" i="30"/>
  <c r="H9404" i="30"/>
  <c r="H9402" i="30"/>
  <c r="H9400" i="30"/>
  <c r="H9398" i="30"/>
  <c r="H9396" i="30"/>
  <c r="H9394" i="30"/>
  <c r="H9392" i="30"/>
  <c r="H9390" i="30"/>
  <c r="H9388" i="30"/>
  <c r="H9386" i="30"/>
  <c r="H9384" i="30"/>
  <c r="H9382" i="30"/>
  <c r="H9380" i="30"/>
  <c r="H9378" i="30"/>
  <c r="H9376" i="30"/>
  <c r="H9374" i="30"/>
  <c r="H9372" i="30"/>
  <c r="H9370" i="30"/>
  <c r="H9368" i="30"/>
  <c r="H9366" i="30"/>
  <c r="H9364" i="30"/>
  <c r="H9362" i="30"/>
  <c r="H9360" i="30"/>
  <c r="H9358" i="30"/>
  <c r="H9356" i="30"/>
  <c r="H9354" i="30"/>
  <c r="H9352" i="30"/>
  <c r="H9350" i="30"/>
  <c r="H9348" i="30"/>
  <c r="H9346" i="30"/>
  <c r="H9344" i="30"/>
  <c r="H9342" i="30"/>
  <c r="H9340" i="30"/>
  <c r="H9338" i="30"/>
  <c r="H9336" i="30"/>
  <c r="H9334" i="30"/>
  <c r="H9332" i="30"/>
  <c r="H9330" i="30"/>
  <c r="H9328" i="30"/>
  <c r="H9326" i="30"/>
  <c r="H9324" i="30"/>
  <c r="H9322" i="30"/>
  <c r="H9320" i="30"/>
  <c r="H9318" i="30"/>
  <c r="H9316" i="30"/>
  <c r="H9314" i="30"/>
  <c r="H9312" i="30"/>
  <c r="H9310" i="30"/>
  <c r="H9308" i="30"/>
  <c r="H9306" i="30"/>
  <c r="H9304" i="30"/>
  <c r="H9302" i="30"/>
  <c r="H9300" i="30"/>
  <c r="H9298" i="30"/>
  <c r="H9296" i="30"/>
  <c r="H9294" i="30"/>
  <c r="H9292" i="30"/>
  <c r="H9290" i="30"/>
  <c r="H9288" i="30"/>
  <c r="H9286" i="30"/>
  <c r="H9284" i="30"/>
  <c r="H9282" i="30"/>
  <c r="H9280" i="30"/>
  <c r="H9278" i="30"/>
  <c r="H9276" i="30"/>
  <c r="H9274" i="30"/>
  <c r="H9272" i="30"/>
  <c r="H9270" i="30"/>
  <c r="H9268" i="30"/>
  <c r="H9266" i="30"/>
  <c r="H9264" i="30"/>
  <c r="H9262" i="30"/>
  <c r="H9260" i="30"/>
  <c r="H9258" i="30"/>
  <c r="H9256" i="30"/>
  <c r="H9254" i="30"/>
  <c r="H9252" i="30"/>
  <c r="H9250" i="30"/>
  <c r="H9248" i="30"/>
  <c r="H9246" i="30"/>
  <c r="H9244" i="30"/>
  <c r="H9242" i="30"/>
  <c r="H9240" i="30"/>
  <c r="H9238" i="30"/>
  <c r="H9236" i="30"/>
  <c r="H9234" i="30"/>
  <c r="H9232" i="30"/>
  <c r="H9230" i="30"/>
  <c r="H9228" i="30"/>
  <c r="H9226" i="30"/>
  <c r="H9224" i="30"/>
  <c r="H9222" i="30"/>
  <c r="H9220" i="30"/>
  <c r="H9218" i="30"/>
  <c r="H9216" i="30"/>
  <c r="H9214" i="30"/>
  <c r="H9212" i="30"/>
  <c r="H9210" i="30"/>
  <c r="H9208" i="30"/>
  <c r="H9206" i="30"/>
  <c r="H9204" i="30"/>
  <c r="H9202" i="30"/>
  <c r="H9200" i="30"/>
  <c r="H9198" i="30"/>
  <c r="H9196" i="30"/>
  <c r="H9194" i="30"/>
  <c r="H9192" i="30"/>
  <c r="H9190" i="30"/>
  <c r="H9188" i="30"/>
  <c r="H9186" i="30"/>
  <c r="H9184" i="30"/>
  <c r="H9182" i="30"/>
  <c r="H9180" i="30"/>
  <c r="H9178" i="30"/>
  <c r="H9176" i="30"/>
  <c r="H9174" i="30"/>
  <c r="H9172" i="30"/>
  <c r="H9170" i="30"/>
  <c r="H9168" i="30"/>
  <c r="H9166" i="30"/>
  <c r="H9164" i="30"/>
  <c r="H9162" i="30"/>
  <c r="H9160" i="30"/>
  <c r="H9158" i="30"/>
  <c r="H9156" i="30"/>
  <c r="H9154" i="30"/>
  <c r="H9152" i="30"/>
  <c r="H9150" i="30"/>
  <c r="H9148" i="30"/>
  <c r="H9146" i="30"/>
  <c r="H9144" i="30"/>
  <c r="H9142" i="30"/>
  <c r="H9140" i="30"/>
  <c r="H9138" i="30"/>
  <c r="H9136" i="30"/>
  <c r="H9134" i="30"/>
  <c r="H9132" i="30"/>
  <c r="H9130" i="30"/>
  <c r="H9128" i="30"/>
  <c r="H9126" i="30"/>
  <c r="H9124" i="30"/>
  <c r="H9122" i="30"/>
  <c r="H9120" i="30"/>
  <c r="H9118" i="30"/>
  <c r="H9116" i="30"/>
  <c r="H9114" i="30"/>
  <c r="H9112" i="30"/>
  <c r="H9110" i="30"/>
  <c r="H9108" i="30"/>
  <c r="H9106" i="30"/>
  <c r="H9104" i="30"/>
  <c r="H9102" i="30"/>
  <c r="H9100" i="30"/>
  <c r="H9098" i="30"/>
  <c r="H9096" i="30"/>
  <c r="H9094" i="30"/>
  <c r="H9092" i="30"/>
  <c r="H9090" i="30"/>
  <c r="H9088" i="30"/>
  <c r="H9086" i="30"/>
  <c r="H9084" i="30"/>
  <c r="H9082" i="30"/>
  <c r="H9080" i="30"/>
  <c r="H9078" i="30"/>
  <c r="H9076" i="30"/>
  <c r="H9074" i="30"/>
  <c r="H9072" i="30"/>
  <c r="H9070" i="30"/>
  <c r="H9068" i="30"/>
  <c r="H9066" i="30"/>
  <c r="H9064" i="30"/>
  <c r="H9062" i="30"/>
  <c r="H9060" i="30"/>
  <c r="H9058" i="30"/>
  <c r="H9056" i="30"/>
  <c r="H9054" i="30"/>
  <c r="H9052" i="30"/>
  <c r="H9050" i="30"/>
  <c r="H9048" i="30"/>
  <c r="H9046" i="30"/>
  <c r="H9044" i="30"/>
  <c r="H9042" i="30"/>
  <c r="H9040" i="30"/>
  <c r="H9038" i="30"/>
  <c r="H9036" i="30"/>
  <c r="H9034" i="30"/>
  <c r="H9032" i="30"/>
  <c r="H9030" i="30"/>
  <c r="H9028" i="30"/>
  <c r="H9026" i="30"/>
  <c r="H9024" i="30"/>
  <c r="H9022" i="30"/>
  <c r="H9020" i="30"/>
  <c r="H9018" i="30"/>
  <c r="H9016" i="30"/>
  <c r="H9014" i="30"/>
  <c r="H9012" i="30"/>
  <c r="H9010" i="30"/>
  <c r="H9008" i="30"/>
  <c r="H9006" i="30"/>
  <c r="H9004" i="30"/>
  <c r="H9002" i="30"/>
  <c r="H9000" i="30"/>
  <c r="H8998" i="30"/>
  <c r="H8996" i="30"/>
  <c r="H8994" i="30"/>
  <c r="H8992" i="30"/>
  <c r="H8990" i="30"/>
  <c r="H8988" i="30"/>
  <c r="H8986" i="30"/>
  <c r="H8984" i="30"/>
  <c r="H8982" i="30"/>
  <c r="H8980" i="30"/>
  <c r="H8978" i="30"/>
  <c r="H8976" i="30"/>
  <c r="H8974" i="30"/>
  <c r="H8972" i="30"/>
  <c r="H8970" i="30"/>
  <c r="H8968" i="30"/>
  <c r="H8966" i="30"/>
  <c r="H8964" i="30"/>
  <c r="H8962" i="30"/>
  <c r="H8960" i="30"/>
  <c r="H8958" i="30"/>
  <c r="H8956" i="30"/>
  <c r="H8954" i="30"/>
  <c r="H8952" i="30"/>
  <c r="H8950" i="30"/>
  <c r="H8948" i="30"/>
  <c r="H8946" i="30"/>
  <c r="H8944" i="30"/>
  <c r="H8942" i="30"/>
  <c r="H8940" i="30"/>
  <c r="H8938" i="30"/>
  <c r="H8936" i="30"/>
  <c r="H8934" i="30"/>
  <c r="H8932" i="30"/>
  <c r="H8930" i="30"/>
  <c r="H8928" i="30"/>
  <c r="H8926" i="30"/>
  <c r="H8924" i="30"/>
  <c r="H8922" i="30"/>
  <c r="H8920" i="30"/>
  <c r="H8918" i="30"/>
  <c r="H8916" i="30"/>
  <c r="H8914" i="30"/>
  <c r="H8912" i="30"/>
  <c r="H8910" i="30"/>
  <c r="H8908" i="30"/>
  <c r="H8906" i="30"/>
  <c r="H8904" i="30"/>
  <c r="H8902" i="30"/>
  <c r="H8900" i="30"/>
  <c r="H8898" i="30"/>
  <c r="H8896" i="30"/>
  <c r="H8894" i="30"/>
  <c r="H8892" i="30"/>
  <c r="H8890" i="30"/>
  <c r="H8888" i="30"/>
  <c r="H8886" i="30"/>
  <c r="H8884" i="30"/>
  <c r="H8882" i="30"/>
  <c r="H8880" i="30"/>
  <c r="H8878" i="30"/>
  <c r="H8876" i="30"/>
  <c r="H8874" i="30"/>
  <c r="H8872" i="30"/>
  <c r="H8870" i="30"/>
  <c r="H8868" i="30"/>
  <c r="H8866" i="30"/>
  <c r="H8864" i="30"/>
  <c r="H8862" i="30"/>
  <c r="H8860" i="30"/>
  <c r="H8858" i="30"/>
  <c r="H8856" i="30"/>
  <c r="H8854" i="30"/>
  <c r="H8852" i="30"/>
  <c r="H8850" i="30"/>
  <c r="H8848" i="30"/>
  <c r="H8846" i="30"/>
  <c r="H8844" i="30"/>
  <c r="H8842" i="30"/>
  <c r="H8840" i="30"/>
  <c r="H8838" i="30"/>
  <c r="H8836" i="30"/>
  <c r="H8834" i="30"/>
  <c r="H8832" i="30"/>
  <c r="H8830" i="30"/>
  <c r="H8828" i="30"/>
  <c r="H8826" i="30"/>
  <c r="H8824" i="30"/>
  <c r="H8822" i="30"/>
  <c r="H8820" i="30"/>
  <c r="H8818" i="30"/>
  <c r="H8816" i="30"/>
  <c r="H8814" i="30"/>
  <c r="H8812" i="30"/>
  <c r="H8810" i="30"/>
  <c r="H8808" i="30"/>
  <c r="H8806" i="30"/>
  <c r="H8804" i="30"/>
  <c r="H8802" i="30"/>
  <c r="H8800" i="30"/>
  <c r="H8798" i="30"/>
  <c r="H8796" i="30"/>
  <c r="H8794" i="30"/>
  <c r="H8792" i="30"/>
  <c r="H8790" i="30"/>
  <c r="H8788" i="30"/>
  <c r="H8786" i="30"/>
  <c r="H8784" i="30"/>
  <c r="H8782" i="30"/>
  <c r="H8780" i="30"/>
  <c r="H8778" i="30"/>
  <c r="H8776" i="30"/>
  <c r="H8774" i="30"/>
  <c r="H8772" i="30"/>
  <c r="H8770" i="30"/>
  <c r="H8768" i="30"/>
  <c r="H8766" i="30"/>
  <c r="H8764" i="30"/>
  <c r="H8762" i="30"/>
  <c r="H8760" i="30"/>
  <c r="H8758" i="30"/>
  <c r="H8756" i="30"/>
  <c r="H8754" i="30"/>
  <c r="H8752" i="30"/>
  <c r="H8750" i="30"/>
  <c r="H8748" i="30"/>
  <c r="H8746" i="30"/>
  <c r="H8744" i="30"/>
  <c r="H8742" i="30"/>
  <c r="H8740" i="30"/>
  <c r="H8738" i="30"/>
  <c r="H8736" i="30"/>
  <c r="H8734" i="30"/>
  <c r="H8732" i="30"/>
  <c r="H8730" i="30"/>
  <c r="H8728" i="30"/>
  <c r="H8726" i="30"/>
  <c r="H8724" i="30"/>
  <c r="H8722" i="30"/>
  <c r="H8720" i="30"/>
  <c r="H8718" i="30"/>
  <c r="H8716" i="30"/>
  <c r="H8714" i="30"/>
  <c r="H8712" i="30"/>
  <c r="H8710" i="30"/>
  <c r="H8708" i="30"/>
  <c r="H8706" i="30"/>
  <c r="H8704" i="30"/>
  <c r="H8702" i="30"/>
  <c r="H8700" i="30"/>
  <c r="H8698" i="30"/>
  <c r="H8696" i="30"/>
  <c r="H8694" i="30"/>
  <c r="H8692" i="30"/>
  <c r="H8690" i="30"/>
  <c r="H8688" i="30"/>
  <c r="H8686" i="30"/>
  <c r="H8684" i="30"/>
  <c r="H8682" i="30"/>
  <c r="H8680" i="30"/>
  <c r="H8678" i="30"/>
  <c r="H8676" i="30"/>
  <c r="H8674" i="30"/>
  <c r="H8672" i="30"/>
  <c r="H8670" i="30"/>
  <c r="H8668" i="30"/>
  <c r="H8666" i="30"/>
  <c r="H8664" i="30"/>
  <c r="H8662" i="30"/>
  <c r="H8660" i="30"/>
  <c r="H8658" i="30"/>
  <c r="H8656" i="30"/>
  <c r="H8654" i="30"/>
  <c r="H8652" i="30"/>
  <c r="H8650" i="30"/>
  <c r="H8648" i="30"/>
  <c r="H8646" i="30"/>
  <c r="H8644" i="30"/>
  <c r="H8642" i="30"/>
  <c r="H8640" i="30"/>
  <c r="H8638" i="30"/>
  <c r="H8636" i="30"/>
  <c r="H8634" i="30"/>
  <c r="H8632" i="30"/>
  <c r="H8630" i="30"/>
  <c r="H8628" i="30"/>
  <c r="H8626" i="30"/>
  <c r="H8624" i="30"/>
  <c r="H8622" i="30"/>
  <c r="H8620" i="30"/>
  <c r="H8618" i="30"/>
  <c r="H8616" i="30"/>
  <c r="H8614" i="30"/>
  <c r="H8612" i="30"/>
  <c r="H8610" i="30"/>
  <c r="H8608" i="30"/>
  <c r="H8606" i="30"/>
  <c r="H8604" i="30"/>
  <c r="H8602" i="30"/>
  <c r="H8600" i="30"/>
  <c r="H8598" i="30"/>
  <c r="H8596" i="30"/>
  <c r="H8594" i="30"/>
  <c r="H8592" i="30"/>
  <c r="H8590" i="30"/>
  <c r="H8588" i="30"/>
  <c r="H8586" i="30"/>
  <c r="H8584" i="30"/>
  <c r="H8582" i="30"/>
  <c r="H8580" i="30"/>
  <c r="H8578" i="30"/>
  <c r="H8576" i="30"/>
  <c r="H8574" i="30"/>
  <c r="H8572" i="30"/>
  <c r="H8570" i="30"/>
  <c r="H8568" i="30"/>
  <c r="H8566" i="30"/>
  <c r="H8564" i="30"/>
  <c r="H8562" i="30"/>
  <c r="H8560" i="30"/>
  <c r="H8558" i="30"/>
  <c r="H8556" i="30"/>
  <c r="H8554" i="30"/>
  <c r="H8552" i="30"/>
  <c r="H8550" i="30"/>
  <c r="H8548" i="30"/>
  <c r="H8546" i="30"/>
  <c r="H8544" i="30"/>
  <c r="H8542" i="30"/>
  <c r="H8540" i="30"/>
  <c r="H8538" i="30"/>
  <c r="H8536" i="30"/>
  <c r="H8534" i="30"/>
  <c r="H8532" i="30"/>
  <c r="H8530" i="30"/>
  <c r="H8528" i="30"/>
  <c r="H8526" i="30"/>
  <c r="H8524" i="30"/>
  <c r="H8522" i="30"/>
  <c r="H8520" i="30"/>
  <c r="H8518" i="30"/>
  <c r="H8516" i="30"/>
  <c r="H8514" i="30"/>
  <c r="H8512" i="30"/>
  <c r="H8510" i="30"/>
  <c r="H8508" i="30"/>
  <c r="H8506" i="30"/>
  <c r="H8504" i="30"/>
  <c r="H8502" i="30"/>
  <c r="H8500" i="30"/>
  <c r="H8498" i="30"/>
  <c r="H8496" i="30"/>
  <c r="H8494" i="30"/>
  <c r="H8492" i="30"/>
  <c r="H8490" i="30"/>
  <c r="H8488" i="30"/>
  <c r="H8486" i="30"/>
  <c r="H8484" i="30"/>
  <c r="H8482" i="30"/>
  <c r="H8480" i="30"/>
  <c r="H8478" i="30"/>
  <c r="H8476" i="30"/>
  <c r="H8474" i="30"/>
  <c r="H8472" i="30"/>
  <c r="H8470" i="30"/>
  <c r="H8468" i="30"/>
  <c r="H8466" i="30"/>
  <c r="H8464" i="30"/>
  <c r="H8462" i="30"/>
  <c r="H8460" i="30"/>
  <c r="H8458" i="30"/>
  <c r="H8456" i="30"/>
  <c r="H8454" i="30"/>
  <c r="H8452" i="30"/>
  <c r="H8450" i="30"/>
  <c r="H8448" i="30"/>
  <c r="H8446" i="30"/>
  <c r="H8444" i="30"/>
  <c r="H8442" i="30"/>
  <c r="H8440" i="30"/>
  <c r="H8438" i="30"/>
  <c r="H8436" i="30"/>
  <c r="H8434" i="30"/>
  <c r="H8432" i="30"/>
  <c r="H8430" i="30"/>
  <c r="H8428" i="30"/>
  <c r="H8426" i="30"/>
  <c r="H8424" i="30"/>
  <c r="H8422" i="30"/>
  <c r="H8420" i="30"/>
  <c r="H8418" i="30"/>
  <c r="H8416" i="30"/>
  <c r="H8414" i="30"/>
  <c r="H8412" i="30"/>
  <c r="H8410" i="30"/>
  <c r="H8408" i="30"/>
  <c r="H8406" i="30"/>
  <c r="H8404" i="30"/>
  <c r="H8402" i="30"/>
  <c r="H8400" i="30"/>
  <c r="H8398" i="30"/>
  <c r="H8396" i="30"/>
  <c r="H8394" i="30"/>
  <c r="H8392" i="30"/>
  <c r="H8390" i="30"/>
  <c r="H8388" i="30"/>
  <c r="H8386" i="30"/>
  <c r="H8384" i="30"/>
  <c r="H8382" i="30"/>
  <c r="H8380" i="30"/>
  <c r="H8378" i="30"/>
  <c r="H8376" i="30"/>
  <c r="H8374" i="30"/>
  <c r="H8372" i="30"/>
  <c r="H8370" i="30"/>
  <c r="H8368" i="30"/>
  <c r="H8366" i="30"/>
  <c r="H8364" i="30"/>
  <c r="H8362" i="30"/>
  <c r="H8360" i="30"/>
  <c r="H8358" i="30"/>
  <c r="H8356" i="30"/>
  <c r="H8354" i="30"/>
  <c r="H8352" i="30"/>
  <c r="H8350" i="30"/>
  <c r="H8348" i="30"/>
  <c r="H8346" i="30"/>
  <c r="H8344" i="30"/>
  <c r="H8342" i="30"/>
  <c r="H8340" i="30"/>
  <c r="H8338" i="30"/>
  <c r="H8336" i="30"/>
  <c r="H8334" i="30"/>
  <c r="H8332" i="30"/>
  <c r="H8330" i="30"/>
  <c r="H8328" i="30"/>
  <c r="H8326" i="30"/>
  <c r="H8324" i="30"/>
  <c r="H8322" i="30"/>
  <c r="H8320" i="30"/>
  <c r="H8318" i="30"/>
  <c r="H8316" i="30"/>
  <c r="H8314" i="30"/>
  <c r="H8312" i="30"/>
  <c r="H8310" i="30"/>
  <c r="H8308" i="30"/>
  <c r="H8306" i="30"/>
  <c r="H8304" i="30"/>
  <c r="H8302" i="30"/>
  <c r="H8300" i="30"/>
  <c r="H8298" i="30"/>
  <c r="H8296" i="30"/>
  <c r="H8294" i="30"/>
  <c r="H8292" i="30"/>
  <c r="H8290" i="30"/>
  <c r="H8288" i="30"/>
  <c r="H8286" i="30"/>
  <c r="H8284" i="30"/>
  <c r="H8282" i="30"/>
  <c r="H8280" i="30"/>
  <c r="H8278" i="30"/>
  <c r="H8276" i="30"/>
  <c r="H8274" i="30"/>
  <c r="H8272" i="30"/>
  <c r="H8270" i="30"/>
  <c r="H8268" i="30"/>
  <c r="H8266" i="30"/>
  <c r="H8264" i="30"/>
  <c r="H8262" i="30"/>
  <c r="H8260" i="30"/>
  <c r="H8258" i="30"/>
  <c r="H8256" i="30"/>
  <c r="H8254" i="30"/>
  <c r="H8252" i="30"/>
  <c r="H8250" i="30"/>
  <c r="H8248" i="30"/>
  <c r="H8246" i="30"/>
  <c r="H8244" i="30"/>
  <c r="H8242" i="30"/>
  <c r="H8240" i="30"/>
  <c r="H8238" i="30"/>
  <c r="H8236" i="30"/>
  <c r="H8234" i="30"/>
  <c r="H8232" i="30"/>
  <c r="H8230" i="30"/>
  <c r="H8228" i="30"/>
  <c r="H8226" i="30"/>
  <c r="H8224" i="30"/>
  <c r="H8222" i="30"/>
  <c r="H8220" i="30"/>
  <c r="H8218" i="30"/>
  <c r="H8216" i="30"/>
  <c r="H8214" i="30"/>
  <c r="H8212" i="30"/>
  <c r="H8210" i="30"/>
  <c r="H8208" i="30"/>
  <c r="H8206" i="30"/>
  <c r="H8204" i="30"/>
  <c r="H8202" i="30"/>
  <c r="H8200" i="30"/>
  <c r="H8198" i="30"/>
  <c r="H8196" i="30"/>
  <c r="H8194" i="30"/>
  <c r="H8192" i="30"/>
  <c r="H8190" i="30"/>
  <c r="H8188" i="30"/>
  <c r="H8186" i="30"/>
  <c r="H8184" i="30"/>
  <c r="H8182" i="30"/>
  <c r="H8180" i="30"/>
  <c r="H8178" i="30"/>
  <c r="H8176" i="30"/>
  <c r="H8174" i="30"/>
  <c r="H8172" i="30"/>
  <c r="H8170" i="30"/>
  <c r="H8168" i="30"/>
  <c r="H8166" i="30"/>
  <c r="H8164" i="30"/>
  <c r="H8162" i="30"/>
  <c r="H8160" i="30"/>
  <c r="H8158" i="30"/>
  <c r="H8156" i="30"/>
  <c r="H8154" i="30"/>
  <c r="H8152" i="30"/>
  <c r="H8150" i="30"/>
  <c r="H8148" i="30"/>
  <c r="H8146" i="30"/>
  <c r="H8144" i="30"/>
  <c r="H8142" i="30"/>
  <c r="H8140" i="30"/>
  <c r="H8138" i="30"/>
  <c r="H8136" i="30"/>
  <c r="H8134" i="30"/>
  <c r="H8132" i="30"/>
  <c r="H8130" i="30"/>
  <c r="H8128" i="30"/>
  <c r="H8126" i="30"/>
  <c r="H8124" i="30"/>
  <c r="H8122" i="30"/>
  <c r="H8120" i="30"/>
  <c r="H8118" i="30"/>
  <c r="H8116" i="30"/>
  <c r="H8114" i="30"/>
  <c r="H8110" i="30"/>
  <c r="H8106" i="30"/>
  <c r="H8102" i="30"/>
  <c r="H8098" i="30"/>
  <c r="H8094" i="30"/>
  <c r="H8090" i="30"/>
  <c r="H8086" i="30"/>
  <c r="H8082" i="30"/>
  <c r="H8078" i="30"/>
  <c r="H8074" i="30"/>
  <c r="H8070" i="30"/>
  <c r="H8066" i="30"/>
  <c r="H8062" i="30"/>
  <c r="H8058" i="30"/>
  <c r="H8054" i="30"/>
  <c r="H8050" i="30"/>
  <c r="H8046" i="30"/>
  <c r="H8042" i="30"/>
  <c r="H8038" i="30"/>
  <c r="H8034" i="30"/>
  <c r="H8030" i="30"/>
  <c r="H8026" i="30"/>
  <c r="H8022" i="30"/>
  <c r="H8018" i="30"/>
  <c r="H8014" i="30"/>
  <c r="H8010" i="30"/>
  <c r="H8006" i="30"/>
  <c r="H8002" i="30"/>
  <c r="H7998" i="30"/>
  <c r="H7994" i="30"/>
  <c r="H7990" i="30"/>
  <c r="H7986" i="30"/>
  <c r="H7982" i="30"/>
  <c r="H7978" i="30"/>
  <c r="H7974" i="30"/>
  <c r="H7970" i="30"/>
  <c r="H7966" i="30"/>
  <c r="H7962" i="30"/>
  <c r="H7958" i="30"/>
  <c r="H7954" i="30"/>
  <c r="H7950" i="30"/>
  <c r="H7946" i="30"/>
  <c r="H7942" i="30"/>
  <c r="H7938" i="30"/>
  <c r="H7934" i="30"/>
  <c r="H7930" i="30"/>
  <c r="H7926" i="30"/>
  <c r="H7922" i="30"/>
  <c r="H7918" i="30"/>
  <c r="H7914" i="30"/>
  <c r="H7910" i="30"/>
  <c r="H7906" i="30"/>
  <c r="H7902" i="30"/>
  <c r="H7898" i="30"/>
  <c r="H7894" i="30"/>
  <c r="H7890" i="30"/>
  <c r="H7886" i="30"/>
  <c r="H7882" i="30"/>
  <c r="H7878" i="30"/>
  <c r="H7874" i="30"/>
  <c r="H7870" i="30"/>
  <c r="H7866" i="30"/>
  <c r="H7862" i="30"/>
  <c r="H7858" i="30"/>
  <c r="H7854" i="30"/>
  <c r="H7850" i="30"/>
  <c r="H7846" i="30"/>
  <c r="H7842" i="30"/>
  <c r="H7838" i="30"/>
  <c r="H7834" i="30"/>
  <c r="H7830" i="30"/>
  <c r="H7826" i="30"/>
  <c r="H7822" i="30"/>
  <c r="H7818" i="30"/>
  <c r="H7814" i="30"/>
  <c r="H7810" i="30"/>
  <c r="H7806" i="30"/>
  <c r="H7802" i="30"/>
  <c r="H7798" i="30"/>
  <c r="H7794" i="30"/>
  <c r="H7790" i="30"/>
  <c r="H7786" i="30"/>
  <c r="H7782" i="30"/>
  <c r="H7778" i="30"/>
  <c r="H7774" i="30"/>
  <c r="H7770" i="30"/>
  <c r="H7766" i="30"/>
  <c r="H7762" i="30"/>
  <c r="H7758" i="30"/>
  <c r="H7754" i="30"/>
  <c r="H7750" i="30"/>
  <c r="H7746" i="30"/>
  <c r="H7742" i="30"/>
  <c r="H7738" i="30"/>
  <c r="H7734" i="30"/>
  <c r="H7730" i="30"/>
  <c r="H7726" i="30"/>
  <c r="H7722" i="30"/>
  <c r="H7718" i="30"/>
  <c r="H7714" i="30"/>
  <c r="H7710" i="30"/>
  <c r="H7706" i="30"/>
  <c r="H7702" i="30"/>
  <c r="H7698" i="30"/>
  <c r="H7694" i="30"/>
  <c r="H7690" i="30"/>
  <c r="H7686" i="30"/>
  <c r="H7682" i="30"/>
  <c r="H7678" i="30"/>
  <c r="H7674" i="30"/>
  <c r="H7670" i="30"/>
  <c r="H7666" i="30"/>
  <c r="H7662" i="30"/>
  <c r="H7658" i="30"/>
  <c r="H7654" i="30"/>
  <c r="H7650" i="30"/>
  <c r="H7646" i="30"/>
  <c r="H7642" i="30"/>
  <c r="H7638" i="30"/>
  <c r="H7634" i="30"/>
  <c r="H7630" i="30"/>
  <c r="H7626" i="30"/>
  <c r="H7622" i="30"/>
  <c r="H7618" i="30"/>
  <c r="H7614" i="30"/>
  <c r="H7610" i="30"/>
  <c r="H7606" i="30"/>
  <c r="H7602" i="30"/>
  <c r="H7598" i="30"/>
  <c r="H7594" i="30"/>
  <c r="H7590" i="30"/>
  <c r="H7586" i="30"/>
  <c r="H7582" i="30"/>
  <c r="H7578" i="30"/>
  <c r="H7574" i="30"/>
  <c r="H7570" i="30"/>
  <c r="H7566" i="30"/>
  <c r="H7562" i="30"/>
  <c r="H7558" i="30"/>
  <c r="H7554" i="30"/>
  <c r="H7550" i="30"/>
  <c r="H7546" i="30"/>
  <c r="H7542" i="30"/>
  <c r="H7538" i="30"/>
  <c r="H7534" i="30"/>
  <c r="H7530" i="30"/>
  <c r="H7526" i="30"/>
  <c r="H7522" i="30"/>
  <c r="H7518" i="30"/>
  <c r="H7514" i="30"/>
  <c r="H7510" i="30"/>
  <c r="H7506" i="30"/>
  <c r="H7502" i="30"/>
  <c r="H7498" i="30"/>
  <c r="H7494" i="30"/>
  <c r="H7490" i="30"/>
  <c r="H7486" i="30"/>
  <c r="H7482" i="30"/>
  <c r="H7478" i="30"/>
  <c r="H7474" i="30"/>
  <c r="H7470" i="30"/>
  <c r="H7466" i="30"/>
  <c r="H7462" i="30"/>
  <c r="H7458" i="30"/>
  <c r="H7454" i="30"/>
  <c r="H7450" i="30"/>
  <c r="H7446" i="30"/>
  <c r="H7442" i="30"/>
  <c r="H7438" i="30"/>
  <c r="H7434" i="30"/>
  <c r="H7430" i="30"/>
  <c r="H7426" i="30"/>
  <c r="H7422" i="30"/>
  <c r="H7418" i="30"/>
  <c r="H7414" i="30"/>
  <c r="H7410" i="30"/>
  <c r="H7406" i="30"/>
  <c r="H7402" i="30"/>
  <c r="H7398" i="30"/>
  <c r="H7394" i="30"/>
  <c r="H7390" i="30"/>
  <c r="H7386" i="30"/>
  <c r="H7382" i="30"/>
  <c r="H7378" i="30"/>
  <c r="H7374" i="30"/>
  <c r="H7370" i="30"/>
  <c r="H7366" i="30"/>
  <c r="H7362" i="30"/>
  <c r="H7358" i="30"/>
  <c r="H7354" i="30"/>
  <c r="H7350" i="30"/>
  <c r="H7346" i="30"/>
  <c r="H7342" i="30"/>
  <c r="H7338" i="30"/>
  <c r="H7334" i="30"/>
  <c r="H7330" i="30"/>
  <c r="H7326" i="30"/>
  <c r="H7322" i="30"/>
  <c r="H7318" i="30"/>
  <c r="H7314" i="30"/>
  <c r="H7310" i="30"/>
  <c r="H7306" i="30"/>
  <c r="H7302" i="30"/>
  <c r="H7298" i="30"/>
  <c r="H7294" i="30"/>
  <c r="H7290" i="30"/>
  <c r="H7286" i="30"/>
  <c r="H7282" i="30"/>
  <c r="H7278" i="30"/>
  <c r="H7274" i="30"/>
  <c r="H7270" i="30"/>
  <c r="H7266" i="30"/>
  <c r="H7262" i="30"/>
  <c r="H7258" i="30"/>
  <c r="H7254" i="30"/>
  <c r="H7250" i="30"/>
  <c r="H7246" i="30"/>
  <c r="H7242" i="30"/>
  <c r="H7238" i="30"/>
  <c r="H7234" i="30"/>
  <c r="H7230" i="30"/>
  <c r="H7226" i="30"/>
  <c r="H7222" i="30"/>
  <c r="H7218" i="30"/>
  <c r="H7214" i="30"/>
  <c r="H7210" i="30"/>
  <c r="H7206" i="30"/>
  <c r="H7202" i="30"/>
  <c r="H7198" i="30"/>
  <c r="H7194" i="30"/>
  <c r="H7190" i="30"/>
  <c r="H7186" i="30"/>
  <c r="H7182" i="30"/>
  <c r="H7178" i="30"/>
  <c r="H7174" i="30"/>
  <c r="H7170" i="30"/>
  <c r="H7166" i="30"/>
  <c r="H7162" i="30"/>
  <c r="H7158" i="30"/>
  <c r="H7154" i="30"/>
  <c r="H7150" i="30"/>
  <c r="H7146" i="30"/>
  <c r="H7142" i="30"/>
  <c r="H7138" i="30"/>
  <c r="H7134" i="30"/>
  <c r="H7130" i="30"/>
  <c r="H7126" i="30"/>
  <c r="H7122" i="30"/>
  <c r="H7118" i="30"/>
  <c r="H7114" i="30"/>
  <c r="H7110" i="30"/>
  <c r="H7106" i="30"/>
  <c r="H7102" i="30"/>
  <c r="H7098" i="30"/>
  <c r="H7094" i="30"/>
  <c r="H7090" i="30"/>
  <c r="H7086" i="30"/>
  <c r="H7082" i="30"/>
  <c r="H7078" i="30"/>
  <c r="H7074" i="30"/>
  <c r="H7070" i="30"/>
  <c r="H7066" i="30"/>
  <c r="H7062" i="30"/>
  <c r="H7058" i="30"/>
  <c r="H7054" i="30"/>
  <c r="H7050" i="30"/>
  <c r="H7046" i="30"/>
  <c r="H7042" i="30"/>
  <c r="H7038" i="30"/>
  <c r="H7034" i="30"/>
  <c r="H7030" i="30"/>
  <c r="H7026" i="30"/>
  <c r="H7022" i="30"/>
  <c r="H7018" i="30"/>
  <c r="H7014" i="30"/>
  <c r="H7010" i="30"/>
  <c r="H7006" i="30"/>
  <c r="H7002" i="30"/>
  <c r="H6998" i="30"/>
  <c r="H6994" i="30"/>
  <c r="H6990" i="30"/>
  <c r="H6986" i="30"/>
  <c r="H6982" i="30"/>
  <c r="H6978" i="30"/>
  <c r="H6974" i="30"/>
  <c r="H6970" i="30"/>
  <c r="H6966" i="30"/>
  <c r="H6962" i="30"/>
  <c r="H6958" i="30"/>
  <c r="H6954" i="30"/>
  <c r="H6950" i="30"/>
  <c r="H6946" i="30"/>
  <c r="H6942" i="30"/>
  <c r="H6938" i="30"/>
  <c r="H6934" i="30"/>
  <c r="H6930" i="30"/>
  <c r="H6926" i="30"/>
  <c r="H6922" i="30"/>
  <c r="H6918" i="30"/>
  <c r="H6914" i="30"/>
  <c r="H6910" i="30"/>
  <c r="H6906" i="30"/>
  <c r="H6902" i="30"/>
  <c r="H6898" i="30"/>
  <c r="H6894" i="30"/>
  <c r="H6890" i="30"/>
  <c r="H6886" i="30"/>
  <c r="H6882" i="30"/>
  <c r="H6878" i="30"/>
  <c r="H6874" i="30"/>
  <c r="H6870" i="30"/>
  <c r="H6866" i="30"/>
  <c r="H6862" i="30"/>
  <c r="H6858" i="30"/>
  <c r="H6854" i="30"/>
  <c r="H6850" i="30"/>
  <c r="H6846" i="30"/>
  <c r="H6842" i="30"/>
  <c r="H6838" i="30"/>
  <c r="H6834" i="30"/>
  <c r="H6830" i="30"/>
  <c r="H6826" i="30"/>
  <c r="H6822" i="30"/>
  <c r="H6818" i="30"/>
  <c r="H6814" i="30"/>
  <c r="H6810" i="30"/>
  <c r="H6806" i="30"/>
  <c r="H6802" i="30"/>
  <c r="H6798" i="30"/>
  <c r="H6794" i="30"/>
  <c r="H6790" i="30"/>
  <c r="H6786" i="30"/>
  <c r="H6782" i="30"/>
  <c r="H6778" i="30"/>
  <c r="H6774" i="30"/>
  <c r="H6770" i="30"/>
  <c r="H6766" i="30"/>
  <c r="H6762" i="30"/>
  <c r="H6758" i="30"/>
  <c r="H6754" i="30"/>
  <c r="H6750" i="30"/>
  <c r="H6746" i="30"/>
  <c r="H6742" i="30"/>
  <c r="H6738" i="30"/>
  <c r="H6734" i="30"/>
  <c r="H6730" i="30"/>
  <c r="H6726" i="30"/>
  <c r="H6722" i="30"/>
  <c r="H6718" i="30"/>
  <c r="H6714" i="30"/>
  <c r="H6710" i="30"/>
  <c r="H6706" i="30"/>
  <c r="H6702" i="30"/>
  <c r="H6698" i="30"/>
  <c r="H6694" i="30"/>
  <c r="H6690" i="30"/>
  <c r="H6686" i="30"/>
  <c r="H6682" i="30"/>
  <c r="H6678" i="30"/>
  <c r="H6674" i="30"/>
  <c r="H6670" i="30"/>
  <c r="H6666" i="30"/>
  <c r="H6662" i="30"/>
  <c r="H6658" i="30"/>
  <c r="H6654" i="30"/>
  <c r="H6650" i="30"/>
  <c r="H6646" i="30"/>
  <c r="H6642" i="30"/>
  <c r="H6638" i="30"/>
  <c r="H6634" i="30"/>
  <c r="H6630" i="30"/>
  <c r="H6626" i="30"/>
  <c r="H6622" i="30"/>
  <c r="H6618" i="30"/>
  <c r="H6614" i="30"/>
  <c r="H6610" i="30"/>
  <c r="H6606" i="30"/>
  <c r="H6602" i="30"/>
  <c r="H6598" i="30"/>
  <c r="H6594" i="30"/>
  <c r="H6590" i="30"/>
  <c r="H6586" i="30"/>
  <c r="H6582" i="30"/>
  <c r="H6578" i="30"/>
  <c r="H6574" i="30"/>
  <c r="H6570" i="30"/>
  <c r="H6566" i="30"/>
  <c r="H6562" i="30"/>
  <c r="H6558" i="30"/>
  <c r="H6554" i="30"/>
  <c r="H6550" i="30"/>
  <c r="H6546" i="30"/>
  <c r="H6542" i="30"/>
  <c r="H6538" i="30"/>
  <c r="H6534" i="30"/>
  <c r="H6530" i="30"/>
  <c r="H6526" i="30"/>
  <c r="H6522" i="30"/>
  <c r="H6518" i="30"/>
  <c r="H6514" i="30"/>
  <c r="H6510" i="30"/>
  <c r="H6506" i="30"/>
  <c r="H6502" i="30"/>
  <c r="H6498" i="30"/>
  <c r="H6494" i="30"/>
  <c r="H6490" i="30"/>
  <c r="H6486" i="30"/>
  <c r="H6482" i="30"/>
  <c r="H6478" i="30"/>
  <c r="H6474" i="30"/>
  <c r="H6470" i="30"/>
  <c r="H6466" i="30"/>
  <c r="H6462" i="30"/>
  <c r="H6458" i="30"/>
  <c r="H6454" i="30"/>
  <c r="H6450" i="30"/>
  <c r="H6446" i="30"/>
  <c r="H6442" i="30"/>
  <c r="H6438" i="30"/>
  <c r="H6434" i="30"/>
  <c r="H6430" i="30"/>
  <c r="H6426" i="30"/>
  <c r="H6422" i="30"/>
  <c r="H6418" i="30"/>
  <c r="H6414" i="30"/>
  <c r="H6410" i="30"/>
  <c r="H6406" i="30"/>
  <c r="H6402" i="30"/>
  <c r="H6398" i="30"/>
  <c r="H6394" i="30"/>
  <c r="H6390" i="30"/>
  <c r="H6386" i="30"/>
  <c r="H6382" i="30"/>
  <c r="H6378" i="30"/>
  <c r="H6374" i="30"/>
  <c r="H6370" i="30"/>
  <c r="H6366" i="30"/>
  <c r="H6362" i="30"/>
  <c r="H6358" i="30"/>
  <c r="H6354" i="30"/>
  <c r="H6350" i="30"/>
  <c r="H6346" i="30"/>
  <c r="H6342" i="30"/>
  <c r="H6338" i="30"/>
  <c r="H6334" i="30"/>
  <c r="H6330" i="30"/>
  <c r="H6326" i="30"/>
  <c r="H6322" i="30"/>
  <c r="H6318" i="30"/>
  <c r="H6314" i="30"/>
  <c r="H6310" i="30"/>
  <c r="H6306" i="30"/>
  <c r="H6302" i="30"/>
  <c r="H6298" i="30"/>
  <c r="H6294" i="30"/>
  <c r="H6290" i="30"/>
  <c r="H6286" i="30"/>
  <c r="H6282" i="30"/>
  <c r="H6278" i="30"/>
  <c r="H6274" i="30"/>
  <c r="H6270" i="30"/>
  <c r="H6266" i="30"/>
  <c r="H6262" i="30"/>
  <c r="H6258" i="30"/>
  <c r="H6254" i="30"/>
  <c r="H6250" i="30"/>
  <c r="H6246" i="30"/>
  <c r="H6242" i="30"/>
  <c r="H6238" i="30"/>
  <c r="H6234" i="30"/>
  <c r="H6230" i="30"/>
  <c r="H6226" i="30"/>
  <c r="H6222" i="30"/>
  <c r="H6218" i="30"/>
  <c r="H6214" i="30"/>
  <c r="H6210" i="30"/>
  <c r="H6206" i="30"/>
  <c r="H6202" i="30"/>
  <c r="H6198" i="30"/>
  <c r="H6194" i="30"/>
  <c r="H6190" i="30"/>
  <c r="H6186" i="30"/>
  <c r="H6182" i="30"/>
  <c r="H6178" i="30"/>
  <c r="H6174" i="30"/>
  <c r="H6170" i="30"/>
  <c r="H6166" i="30"/>
  <c r="H6162" i="30"/>
  <c r="H6158" i="30"/>
  <c r="H6154" i="30"/>
  <c r="H6150" i="30"/>
  <c r="H6146" i="30"/>
  <c r="H6142" i="30"/>
  <c r="H6138" i="30"/>
  <c r="H6134" i="30"/>
  <c r="H6130" i="30"/>
  <c r="H6126" i="30"/>
  <c r="H6122" i="30"/>
  <c r="H6118" i="30"/>
  <c r="H6114" i="30"/>
  <c r="H6110" i="30"/>
  <c r="H6106" i="30"/>
  <c r="H6102" i="30"/>
  <c r="H6098" i="30"/>
  <c r="H6094" i="30"/>
  <c r="H6090" i="30"/>
  <c r="H6086" i="30"/>
  <c r="H6082" i="30"/>
  <c r="H6078" i="30"/>
  <c r="H6074" i="30"/>
  <c r="H6070" i="30"/>
  <c r="H6066" i="30"/>
  <c r="H6062" i="30"/>
  <c r="H6058" i="30"/>
  <c r="H6054" i="30"/>
  <c r="H6050" i="30"/>
  <c r="H6046" i="30"/>
  <c r="H6042" i="30"/>
  <c r="H6038" i="30"/>
  <c r="H6034" i="30"/>
  <c r="H6030" i="30"/>
  <c r="H6026" i="30"/>
  <c r="H6022" i="30"/>
  <c r="H6018" i="30"/>
  <c r="H6014" i="30"/>
  <c r="H6010" i="30"/>
  <c r="H6006" i="30"/>
  <c r="H6002" i="30"/>
  <c r="H5998" i="30"/>
  <c r="H5994" i="30"/>
  <c r="H5990" i="30"/>
  <c r="H5986" i="30"/>
  <c r="H5982" i="30"/>
  <c r="H5978" i="30"/>
  <c r="H5974" i="30"/>
  <c r="H5970" i="30"/>
  <c r="H5966" i="30"/>
  <c r="H5962" i="30"/>
  <c r="H5958" i="30"/>
  <c r="H5954" i="30"/>
  <c r="H5950" i="30"/>
  <c r="H5946" i="30"/>
  <c r="H5942" i="30"/>
  <c r="H5938" i="30"/>
  <c r="H5934" i="30"/>
  <c r="H5930" i="30"/>
  <c r="H5926" i="30"/>
  <c r="H5922" i="30"/>
  <c r="H5918" i="30"/>
  <c r="H5914" i="30"/>
  <c r="H5910" i="30"/>
  <c r="H5906" i="30"/>
  <c r="H5902" i="30"/>
  <c r="H5898" i="30"/>
  <c r="H5894" i="30"/>
  <c r="H5890" i="30"/>
  <c r="H5886" i="30"/>
  <c r="H5882" i="30"/>
  <c r="H5878" i="30"/>
  <c r="H5874" i="30"/>
  <c r="H5870" i="30"/>
  <c r="H5866" i="30"/>
  <c r="H5862" i="30"/>
  <c r="H5858" i="30"/>
  <c r="H5854" i="30"/>
  <c r="H5850" i="30"/>
  <c r="H5846" i="30"/>
  <c r="H5842" i="30"/>
  <c r="H5838" i="30"/>
  <c r="H5834" i="30"/>
  <c r="H5830" i="30"/>
  <c r="H5826" i="30"/>
  <c r="H5822" i="30"/>
  <c r="H5818" i="30"/>
  <c r="H5814" i="30"/>
  <c r="H5810" i="30"/>
  <c r="H5806" i="30"/>
  <c r="H5802" i="30"/>
  <c r="H5798" i="30"/>
  <c r="H5794" i="30"/>
  <c r="H5790" i="30"/>
  <c r="H5786" i="30"/>
  <c r="H5782" i="30"/>
  <c r="H5778" i="30"/>
  <c r="H5774" i="30"/>
  <c r="H5770" i="30"/>
  <c r="H5766" i="30"/>
  <c r="H5762" i="30"/>
  <c r="H5758" i="30"/>
  <c r="H5754" i="30"/>
  <c r="H5750" i="30"/>
  <c r="H5746" i="30"/>
  <c r="H5742" i="30"/>
  <c r="H5738" i="30"/>
  <c r="H5734" i="30"/>
  <c r="H5730" i="30"/>
  <c r="H5726" i="30"/>
  <c r="H5722" i="30"/>
  <c r="H5718" i="30"/>
  <c r="H5714" i="30"/>
  <c r="H5710" i="30"/>
  <c r="H5706" i="30"/>
  <c r="H5702" i="30"/>
  <c r="H5698" i="30"/>
  <c r="H5694" i="30"/>
  <c r="H5690" i="30"/>
  <c r="H5686" i="30"/>
  <c r="H5682" i="30"/>
  <c r="H5678" i="30"/>
  <c r="H5674" i="30"/>
  <c r="H5670" i="30"/>
  <c r="H5666" i="30"/>
  <c r="H5662" i="30"/>
  <c r="H5658" i="30"/>
  <c r="H5654" i="30"/>
  <c r="H5650" i="30"/>
  <c r="H5646" i="30"/>
  <c r="H5642" i="30"/>
  <c r="H5638" i="30"/>
  <c r="H5634" i="30"/>
  <c r="H5630" i="30"/>
  <c r="H5626" i="30"/>
  <c r="H5622" i="30"/>
  <c r="H5618" i="30"/>
  <c r="H5614" i="30"/>
  <c r="H5610" i="30"/>
  <c r="H5606" i="30"/>
  <c r="H5602" i="30"/>
  <c r="H5598" i="30"/>
  <c r="H5594" i="30"/>
  <c r="H5590" i="30"/>
  <c r="H5586" i="30"/>
  <c r="H5582" i="30"/>
  <c r="H5578" i="30"/>
  <c r="H5574" i="30"/>
  <c r="H5570" i="30"/>
  <c r="H5566" i="30"/>
  <c r="H5562" i="30"/>
  <c r="H5558" i="30"/>
  <c r="H5554" i="30"/>
  <c r="H5550" i="30"/>
  <c r="H5546" i="30"/>
  <c r="H5542" i="30"/>
  <c r="H5538" i="30"/>
  <c r="H5534" i="30"/>
  <c r="H5530" i="30"/>
  <c r="H5526" i="30"/>
  <c r="H5522" i="30"/>
  <c r="H5518" i="30"/>
  <c r="H5514" i="30"/>
  <c r="H5510" i="30"/>
  <c r="H5506" i="30"/>
  <c r="H5502" i="30"/>
  <c r="H5498" i="30"/>
  <c r="H5494" i="30"/>
  <c r="H5490" i="30"/>
  <c r="H5486" i="30"/>
  <c r="H5482" i="30"/>
  <c r="H5478" i="30"/>
  <c r="H5474" i="30"/>
  <c r="H5470" i="30"/>
  <c r="H5466" i="30"/>
  <c r="H5462" i="30"/>
  <c r="H5458" i="30"/>
  <c r="H5454" i="30"/>
  <c r="H5450" i="30"/>
  <c r="H5446" i="30"/>
  <c r="H5442" i="30"/>
  <c r="H5438" i="30"/>
  <c r="H5434" i="30"/>
  <c r="H5430" i="30"/>
  <c r="H5426" i="30"/>
  <c r="H5422" i="30"/>
  <c r="H5418" i="30"/>
  <c r="H5414" i="30"/>
  <c r="H5410" i="30"/>
  <c r="H5406" i="30"/>
  <c r="H5402" i="30"/>
  <c r="H5398" i="30"/>
  <c r="H5394" i="30"/>
  <c r="H5390" i="30"/>
  <c r="H5386" i="30"/>
  <c r="H5382" i="30"/>
  <c r="H5378" i="30"/>
  <c r="H5374" i="30"/>
  <c r="H5370" i="30"/>
  <c r="H5366" i="30"/>
  <c r="H5362" i="30"/>
  <c r="H5358" i="30"/>
  <c r="H5354" i="30"/>
  <c r="H5350" i="30"/>
  <c r="H5346" i="30"/>
  <c r="H5342" i="30"/>
  <c r="H5338" i="30"/>
  <c r="H5334" i="30"/>
  <c r="H5330" i="30"/>
  <c r="H5326" i="30"/>
  <c r="H5322" i="30"/>
  <c r="H5318" i="30"/>
  <c r="H5314" i="30"/>
  <c r="H5310" i="30"/>
  <c r="H5306" i="30"/>
  <c r="H5302" i="30"/>
  <c r="H5298" i="30"/>
  <c r="H5294" i="30"/>
  <c r="H5290" i="30"/>
  <c r="H5286" i="30"/>
  <c r="H5282" i="30"/>
  <c r="H5278" i="30"/>
  <c r="H5274" i="30"/>
  <c r="H5270" i="30"/>
  <c r="H5266" i="30"/>
  <c r="H5262" i="30"/>
  <c r="H5258" i="30"/>
  <c r="H5254" i="30"/>
  <c r="H5250" i="30"/>
  <c r="H5246" i="30"/>
  <c r="H5242" i="30"/>
  <c r="H5238" i="30"/>
  <c r="H5234" i="30"/>
  <c r="H5230" i="30"/>
  <c r="H5226" i="30"/>
  <c r="H5222" i="30"/>
  <c r="H5218" i="30"/>
  <c r="H5214" i="30"/>
  <c r="H5210" i="30"/>
  <c r="H5206" i="30"/>
  <c r="H5202" i="30"/>
  <c r="H5198" i="30"/>
  <c r="H5194" i="30"/>
  <c r="H5190" i="30"/>
  <c r="H5186" i="30"/>
  <c r="H5182" i="30"/>
  <c r="H5178" i="30"/>
  <c r="H5174" i="30"/>
  <c r="H5170" i="30"/>
  <c r="H5166" i="30"/>
  <c r="H5162" i="30"/>
  <c r="H5158" i="30"/>
  <c r="H5154" i="30"/>
  <c r="H5150" i="30"/>
  <c r="H5146" i="30"/>
  <c r="H5142" i="30"/>
  <c r="H5138" i="30"/>
  <c r="H5134" i="30"/>
  <c r="H5130" i="30"/>
  <c r="H5126" i="30"/>
  <c r="H5122" i="30"/>
  <c r="H5118" i="30"/>
  <c r="H5114" i="30"/>
  <c r="H5110" i="30"/>
  <c r="H5106" i="30"/>
  <c r="H5102" i="30"/>
  <c r="H5098" i="30"/>
  <c r="H5094" i="30"/>
  <c r="H5090" i="30"/>
  <c r="H5086" i="30"/>
  <c r="H5082" i="30"/>
  <c r="H5078" i="30"/>
  <c r="H5074" i="30"/>
  <c r="H5070" i="30"/>
  <c r="H5066" i="30"/>
  <c r="H5062" i="30"/>
  <c r="H5058" i="30"/>
  <c r="H5054" i="30"/>
  <c r="H5050" i="30"/>
  <c r="H5046" i="30"/>
  <c r="H5042" i="30"/>
  <c r="H5038" i="30"/>
  <c r="H5034" i="30"/>
  <c r="H5030" i="30"/>
  <c r="H5026" i="30"/>
  <c r="H5022" i="30"/>
  <c r="H5018" i="30"/>
  <c r="H5014" i="30"/>
  <c r="H5010" i="30"/>
  <c r="H5006" i="30"/>
  <c r="H5002" i="30"/>
  <c r="H4998" i="30"/>
  <c r="H4994" i="30"/>
  <c r="H4990" i="30"/>
  <c r="H4986" i="30"/>
  <c r="H4982" i="30"/>
  <c r="H4978" i="30"/>
  <c r="H4974" i="30"/>
  <c r="H4970" i="30"/>
  <c r="H4966" i="30"/>
  <c r="H4962" i="30"/>
  <c r="H4958" i="30"/>
  <c r="H4954" i="30"/>
  <c r="H4950" i="30"/>
  <c r="H4946" i="30"/>
  <c r="H4942" i="30"/>
  <c r="H4938" i="30"/>
  <c r="H4934" i="30"/>
  <c r="H4930" i="30"/>
  <c r="H4926" i="30"/>
  <c r="H4922" i="30"/>
  <c r="H4918" i="30"/>
  <c r="H4914" i="30"/>
  <c r="H4910" i="30"/>
  <c r="H4906" i="30"/>
  <c r="H4902" i="30"/>
  <c r="H4898" i="30"/>
  <c r="H4894" i="30"/>
  <c r="H4890" i="30"/>
  <c r="H4886" i="30"/>
  <c r="H4882" i="30"/>
  <c r="H4878" i="30"/>
  <c r="H4874" i="30"/>
  <c r="H4870" i="30"/>
  <c r="H4866" i="30"/>
  <c r="H4862" i="30"/>
  <c r="H4858" i="30"/>
  <c r="H4854" i="30"/>
  <c r="H4850" i="30"/>
  <c r="H4846" i="30"/>
  <c r="H4842" i="30"/>
  <c r="H4838" i="30"/>
  <c r="H4834" i="30"/>
  <c r="H4830" i="30"/>
  <c r="H4826" i="30"/>
  <c r="H4822" i="30"/>
  <c r="H4818" i="30"/>
  <c r="H4814" i="30"/>
  <c r="H4810" i="30"/>
  <c r="H4806" i="30"/>
  <c r="H4802" i="30"/>
  <c r="H4798" i="30"/>
  <c r="H4794" i="30"/>
  <c r="H4790" i="30"/>
  <c r="H4786" i="30"/>
  <c r="H4782" i="30"/>
  <c r="H4778" i="30"/>
  <c r="H4774" i="30"/>
  <c r="H4770" i="30"/>
  <c r="H4766" i="30"/>
  <c r="H4762" i="30"/>
  <c r="H4758" i="30"/>
  <c r="H4754" i="30"/>
  <c r="H4750" i="30"/>
  <c r="H4746" i="30"/>
  <c r="H4742" i="30"/>
  <c r="H4738" i="30"/>
  <c r="H4734" i="30"/>
  <c r="H4730" i="30"/>
  <c r="H4726" i="30"/>
  <c r="H4722" i="30"/>
  <c r="H4718" i="30"/>
  <c r="H4714" i="30"/>
  <c r="H4710" i="30"/>
  <c r="H4706" i="30"/>
  <c r="H4702" i="30"/>
  <c r="H4698" i="30"/>
  <c r="H4694" i="30"/>
  <c r="H4690" i="30"/>
  <c r="H4686" i="30"/>
  <c r="H4682" i="30"/>
  <c r="H4678" i="30"/>
  <c r="H4674" i="30"/>
  <c r="H4670" i="30"/>
  <c r="H4666" i="30"/>
  <c r="H4662" i="30"/>
  <c r="H4658" i="30"/>
  <c r="H4654" i="30"/>
  <c r="H4650" i="30"/>
  <c r="H4646" i="30"/>
  <c r="H4642" i="30"/>
  <c r="H4638" i="30"/>
  <c r="H4634" i="30"/>
  <c r="H4630" i="30"/>
  <c r="H4626" i="30"/>
  <c r="H4622" i="30"/>
  <c r="H4618" i="30"/>
  <c r="H4614" i="30"/>
  <c r="H4610" i="30"/>
  <c r="H4606" i="30"/>
  <c r="H4602" i="30"/>
  <c r="H4598" i="30"/>
  <c r="H4594" i="30"/>
  <c r="H4590" i="30"/>
  <c r="H4586" i="30"/>
  <c r="H4582" i="30"/>
  <c r="H4578" i="30"/>
  <c r="H4574" i="30"/>
  <c r="H4570" i="30"/>
  <c r="H4566" i="30"/>
  <c r="H4562" i="30"/>
  <c r="H4558" i="30"/>
  <c r="H4554" i="30"/>
  <c r="H4550" i="30"/>
  <c r="H4546" i="30"/>
  <c r="H4542" i="30"/>
  <c r="H4538" i="30"/>
  <c r="H4534" i="30"/>
  <c r="H4530" i="30"/>
  <c r="H4526" i="30"/>
  <c r="H4522" i="30"/>
  <c r="H4518" i="30"/>
  <c r="H4514" i="30"/>
  <c r="H4510" i="30"/>
  <c r="H4506" i="30"/>
  <c r="H4502" i="30"/>
  <c r="H4498" i="30"/>
  <c r="H4494" i="30"/>
  <c r="H4490" i="30"/>
  <c r="H4486" i="30"/>
  <c r="H4482" i="30"/>
  <c r="H4478" i="30"/>
  <c r="H4474" i="30"/>
  <c r="H4470" i="30"/>
  <c r="H4466" i="30"/>
  <c r="H4462" i="30"/>
  <c r="H4458" i="30"/>
  <c r="H4454" i="30"/>
  <c r="H4450" i="30"/>
  <c r="H4446" i="30"/>
  <c r="H4442" i="30"/>
  <c r="H4438" i="30"/>
  <c r="H4434" i="30"/>
  <c r="H4430" i="30"/>
  <c r="H4426" i="30"/>
  <c r="H4422" i="30"/>
  <c r="H4418" i="30"/>
  <c r="H4414" i="30"/>
  <c r="H4410" i="30"/>
  <c r="H4406" i="30"/>
  <c r="H4402" i="30"/>
  <c r="H4398" i="30"/>
  <c r="H4394" i="30"/>
  <c r="H4390" i="30"/>
  <c r="H4386" i="30"/>
  <c r="H4382" i="30"/>
  <c r="H4378" i="30"/>
  <c r="H4374" i="30"/>
  <c r="H4370" i="30"/>
  <c r="H4366" i="30"/>
  <c r="H4362" i="30"/>
  <c r="H4358" i="30"/>
  <c r="H4354" i="30"/>
  <c r="H4350" i="30"/>
  <c r="H4346" i="30"/>
  <c r="H4342" i="30"/>
  <c r="H4338" i="30"/>
  <c r="H4334" i="30"/>
  <c r="H4330" i="30"/>
  <c r="H4326" i="30"/>
  <c r="H4322" i="30"/>
  <c r="H4318" i="30"/>
  <c r="H4314" i="30"/>
  <c r="H4310" i="30"/>
  <c r="H4306" i="30"/>
  <c r="H4302" i="30"/>
  <c r="H4298" i="30"/>
  <c r="H4294" i="30"/>
  <c r="H4290" i="30"/>
  <c r="H4286" i="30"/>
  <c r="H4282" i="30"/>
  <c r="H4278" i="30"/>
  <c r="H4274" i="30"/>
  <c r="H4270" i="30"/>
  <c r="H4266" i="30"/>
  <c r="H4262" i="30"/>
  <c r="H4258" i="30"/>
  <c r="H4254" i="30"/>
  <c r="H4250" i="30"/>
  <c r="H4246" i="30"/>
  <c r="H4242" i="30"/>
  <c r="H4238" i="30"/>
  <c r="H4234" i="30"/>
  <c r="H4230" i="30"/>
  <c r="H4226" i="30"/>
  <c r="H4222" i="30"/>
  <c r="H4218" i="30"/>
  <c r="H4214" i="30"/>
  <c r="H4210" i="30"/>
  <c r="H4206" i="30"/>
  <c r="H4202" i="30"/>
  <c r="H4198" i="30"/>
  <c r="H4194" i="30"/>
  <c r="H4190" i="30"/>
  <c r="H4186" i="30"/>
  <c r="H4182" i="30"/>
  <c r="H4178" i="30"/>
  <c r="H4174" i="30"/>
  <c r="H4170" i="30"/>
  <c r="H4166" i="30"/>
  <c r="H4162" i="30"/>
  <c r="H4158" i="30"/>
  <c r="H4154" i="30"/>
  <c r="H4150" i="30"/>
  <c r="H4146" i="30"/>
  <c r="H4142" i="30"/>
  <c r="H4138" i="30"/>
  <c r="H4134" i="30"/>
  <c r="H4130" i="30"/>
  <c r="H4126" i="30"/>
  <c r="H4122" i="30"/>
  <c r="H4118" i="30"/>
  <c r="H4114" i="30"/>
  <c r="H4110" i="30"/>
  <c r="H4106" i="30"/>
  <c r="H4102" i="30"/>
  <c r="H4098" i="30"/>
  <c r="H4094" i="30"/>
  <c r="H4090" i="30"/>
  <c r="H4086" i="30"/>
  <c r="H4082" i="30"/>
  <c r="H4078" i="30"/>
  <c r="H4074" i="30"/>
  <c r="H4070" i="30"/>
  <c r="H4066" i="30"/>
  <c r="H4062" i="30"/>
  <c r="H4058" i="30"/>
  <c r="H4054" i="30"/>
  <c r="H4050" i="30"/>
  <c r="H4046" i="30"/>
  <c r="H4042" i="30"/>
  <c r="H4038" i="30"/>
  <c r="H4034" i="30"/>
  <c r="H4030" i="30"/>
  <c r="H4026" i="30"/>
  <c r="H4022" i="30"/>
  <c r="H4017" i="30"/>
  <c r="H4009" i="30"/>
  <c r="H4001" i="30"/>
  <c r="H3993" i="30"/>
  <c r="H3985" i="30"/>
  <c r="H3977" i="30"/>
  <c r="H3969" i="30"/>
  <c r="H3961" i="30"/>
  <c r="H3953" i="30"/>
  <c r="H3945" i="30"/>
  <c r="H3937" i="30"/>
  <c r="H3929" i="30"/>
  <c r="H3921" i="30"/>
  <c r="H3913" i="30"/>
  <c r="H3905" i="30"/>
  <c r="H3897" i="30"/>
  <c r="H3889" i="30"/>
  <c r="H3881" i="30"/>
  <c r="H3873" i="30"/>
  <c r="H3865" i="30"/>
  <c r="H3857" i="30"/>
  <c r="H3849" i="30"/>
  <c r="H3841" i="30"/>
  <c r="H3833" i="30"/>
  <c r="H3825" i="30"/>
  <c r="H3817" i="30"/>
  <c r="H3809" i="30"/>
  <c r="H3801" i="30"/>
  <c r="H3793" i="30"/>
  <c r="H3785" i="30"/>
  <c r="H3777" i="30"/>
  <c r="H3769" i="30"/>
  <c r="H3761" i="30"/>
  <c r="H3753" i="30"/>
  <c r="H3745" i="30"/>
  <c r="H3737" i="30"/>
  <c r="H3729" i="30"/>
  <c r="H3721" i="30"/>
  <c r="H3713" i="30"/>
  <c r="H3705" i="30"/>
  <c r="H3697" i="30"/>
  <c r="H3689" i="30"/>
  <c r="H3681" i="30"/>
  <c r="H3673" i="30"/>
  <c r="H3665" i="30"/>
  <c r="H3657" i="30"/>
  <c r="H3649" i="30"/>
  <c r="H3641" i="30"/>
  <c r="H3633" i="30"/>
  <c r="H3625" i="30"/>
  <c r="H3617" i="30"/>
  <c r="H3609" i="30"/>
  <c r="H3601" i="30"/>
  <c r="H3593" i="30"/>
  <c r="H3585" i="30"/>
  <c r="H3577" i="30"/>
  <c r="H3569" i="30"/>
  <c r="H3561" i="30"/>
  <c r="H3553" i="30"/>
  <c r="H3545" i="30"/>
  <c r="H3537" i="30"/>
  <c r="H3529" i="30"/>
  <c r="H3521" i="30"/>
  <c r="H3513" i="30"/>
  <c r="H3505" i="30"/>
  <c r="H3497" i="30"/>
  <c r="H3489" i="30"/>
  <c r="H3481" i="30"/>
  <c r="H3473" i="30"/>
  <c r="H3465" i="30"/>
  <c r="H3457" i="30"/>
  <c r="H3449" i="30"/>
  <c r="H3441" i="30"/>
  <c r="H3433" i="30"/>
  <c r="H3425" i="30"/>
  <c r="H3417" i="30"/>
  <c r="H3409" i="30"/>
  <c r="H3401" i="30"/>
  <c r="H3393" i="30"/>
  <c r="H3385" i="30"/>
  <c r="H3377" i="30"/>
  <c r="H3369" i="30"/>
  <c r="H3361" i="30"/>
  <c r="H3353" i="30"/>
  <c r="H3345" i="30"/>
  <c r="H3337" i="30"/>
  <c r="H3329" i="30"/>
  <c r="H3321" i="30"/>
  <c r="H3313" i="30"/>
  <c r="H3305" i="30"/>
  <c r="H3297" i="30"/>
  <c r="H3289" i="30"/>
  <c r="H3281" i="30"/>
  <c r="H3273" i="30"/>
  <c r="H3265" i="30"/>
  <c r="H3257" i="30"/>
  <c r="H3249" i="30"/>
  <c r="H3241" i="30"/>
  <c r="H3233" i="30"/>
  <c r="H3225" i="30"/>
  <c r="H3217" i="30"/>
  <c r="H3209" i="30"/>
  <c r="H3201" i="30"/>
  <c r="H3193" i="30"/>
  <c r="H3185" i="30"/>
  <c r="H3177" i="30"/>
  <c r="H3169" i="30"/>
  <c r="H3161" i="30"/>
  <c r="H3153" i="30"/>
  <c r="H3145" i="30"/>
  <c r="H3137" i="30"/>
  <c r="H3129" i="30"/>
  <c r="H3121" i="30"/>
  <c r="H3113" i="30"/>
  <c r="H3105" i="30"/>
  <c r="H3097" i="30"/>
  <c r="H3089" i="30"/>
  <c r="H3081" i="30"/>
  <c r="H3073" i="30"/>
  <c r="H3065" i="30"/>
  <c r="H3057" i="30"/>
  <c r="H3049" i="30"/>
  <c r="H3041" i="30"/>
  <c r="H3033" i="30"/>
  <c r="H3025" i="30"/>
  <c r="H3017" i="30"/>
  <c r="H3009" i="30"/>
  <c r="H3001" i="30"/>
  <c r="H2993" i="30"/>
  <c r="H2985" i="30"/>
  <c r="H2977" i="30"/>
  <c r="H2969" i="30"/>
  <c r="H2961" i="30"/>
  <c r="H2953" i="30"/>
  <c r="H2945" i="30"/>
  <c r="H2937" i="30"/>
  <c r="H2929" i="30"/>
  <c r="H2921" i="30"/>
  <c r="H2913" i="30"/>
  <c r="H2905" i="30"/>
  <c r="H2897" i="30"/>
  <c r="H2889" i="30"/>
  <c r="H2881" i="30"/>
  <c r="H2873" i="30"/>
  <c r="H2865" i="30"/>
  <c r="H2857" i="30"/>
  <c r="H2849" i="30"/>
  <c r="H2841" i="30"/>
  <c r="H2833" i="30"/>
  <c r="H2825" i="30"/>
  <c r="H2817" i="30"/>
  <c r="H2809" i="30"/>
  <c r="H2801" i="30"/>
  <c r="H2793" i="30"/>
  <c r="H2785" i="30"/>
  <c r="H2777" i="30"/>
  <c r="H2769" i="30"/>
  <c r="H2761" i="30"/>
  <c r="H2753" i="30"/>
  <c r="H2745" i="30"/>
  <c r="H2737" i="30"/>
  <c r="H2729" i="30"/>
  <c r="H2721" i="30"/>
  <c r="H2713" i="30"/>
  <c r="H2705" i="30"/>
  <c r="H2697" i="30"/>
  <c r="H2689" i="30"/>
  <c r="H2681" i="30"/>
  <c r="H2673" i="30"/>
  <c r="H2665" i="30"/>
  <c r="H2657" i="30"/>
  <c r="H2649" i="30"/>
  <c r="H2641" i="30"/>
  <c r="H2633" i="30"/>
  <c r="H2625" i="30"/>
  <c r="H2617" i="30"/>
  <c r="H2609" i="30"/>
  <c r="H2601" i="30"/>
  <c r="H2593" i="30"/>
  <c r="H2585" i="30"/>
  <c r="H2577" i="30"/>
  <c r="H2569" i="30"/>
  <c r="H2561" i="30"/>
  <c r="H2553" i="30"/>
  <c r="H2545" i="30"/>
  <c r="H2537" i="30"/>
  <c r="H2529" i="30"/>
  <c r="H2521" i="30"/>
  <c r="H2513" i="30"/>
  <c r="H2505" i="30"/>
  <c r="H2497" i="30"/>
  <c r="H2489" i="30"/>
  <c r="H2481" i="30"/>
  <c r="H2473" i="30"/>
  <c r="H2465" i="30"/>
  <c r="H2457" i="30"/>
  <c r="H2449" i="30"/>
  <c r="H2441" i="30"/>
  <c r="H2433" i="30"/>
  <c r="H2425" i="30"/>
  <c r="H2417" i="30"/>
  <c r="H2409" i="30"/>
  <c r="H2401" i="30"/>
  <c r="H2393" i="30"/>
  <c r="H2385" i="30"/>
  <c r="H2377" i="30"/>
  <c r="H2369" i="30"/>
  <c r="H2361" i="30"/>
  <c r="H2353" i="30"/>
  <c r="H2345" i="30"/>
  <c r="H2337" i="30"/>
  <c r="H2329" i="30"/>
  <c r="H2321" i="30"/>
  <c r="H2313" i="30"/>
  <c r="H2305" i="30"/>
  <c r="H2297" i="30"/>
  <c r="H2289" i="30"/>
  <c r="H2281" i="30"/>
  <c r="H2273" i="30"/>
  <c r="H2265" i="30"/>
  <c r="H2257" i="30"/>
  <c r="H2249" i="30"/>
  <c r="H2241" i="30"/>
  <c r="H2233" i="30"/>
  <c r="H2225" i="30"/>
  <c r="H2217" i="30"/>
  <c r="H2209" i="30"/>
  <c r="H2201" i="30"/>
  <c r="H2193" i="30"/>
  <c r="H2185" i="30"/>
  <c r="H2177" i="30"/>
  <c r="H2169" i="30"/>
  <c r="H2161" i="30"/>
  <c r="H2153" i="30"/>
  <c r="H2145" i="30"/>
  <c r="H2137" i="30"/>
  <c r="H2129" i="30"/>
  <c r="H2121" i="30"/>
  <c r="H2113" i="30"/>
  <c r="H2105" i="30"/>
  <c r="H2097" i="30"/>
  <c r="H2089" i="30"/>
  <c r="H2081" i="30"/>
  <c r="H2073" i="30"/>
  <c r="H2065" i="30"/>
  <c r="H2057" i="30"/>
  <c r="H2049" i="30"/>
  <c r="H2041" i="30"/>
  <c r="H2033" i="30"/>
  <c r="H2025" i="30"/>
  <c r="H2017" i="30"/>
  <c r="H2009" i="30"/>
  <c r="H2001" i="30"/>
  <c r="H1993" i="30"/>
  <c r="H1985" i="30"/>
  <c r="H1977" i="30"/>
  <c r="H1967" i="30"/>
  <c r="H1951" i="30"/>
  <c r="H1935" i="30"/>
  <c r="H1919" i="30"/>
  <c r="H1903" i="30"/>
  <c r="H1887" i="30"/>
  <c r="H1871" i="30"/>
  <c r="H1855" i="30"/>
  <c r="H1839" i="30"/>
  <c r="H1823" i="30"/>
  <c r="H1807" i="30"/>
  <c r="H1791" i="30"/>
  <c r="H1775" i="30"/>
  <c r="H1759" i="30"/>
  <c r="H1743" i="30"/>
  <c r="H1727" i="30"/>
  <c r="H1711" i="30"/>
  <c r="H1695" i="30"/>
  <c r="H1679" i="30"/>
  <c r="H1663" i="30"/>
  <c r="H1647" i="30"/>
  <c r="H1631" i="30"/>
  <c r="H1615" i="30"/>
  <c r="H1599" i="30"/>
  <c r="H1583" i="30"/>
  <c r="H1567" i="30"/>
  <c r="H1551" i="30"/>
  <c r="H1535" i="30"/>
  <c r="H1519" i="30"/>
  <c r="H1503" i="30"/>
  <c r="H1487" i="30"/>
  <c r="H1471" i="30"/>
  <c r="H1455" i="30"/>
  <c r="H1439" i="30"/>
  <c r="H1423" i="30"/>
  <c r="H1407" i="30"/>
  <c r="H1391" i="30"/>
  <c r="H1375" i="30"/>
  <c r="H1359" i="30"/>
  <c r="H1343" i="30"/>
  <c r="H1327" i="30"/>
  <c r="H1311" i="30"/>
  <c r="H1295" i="30"/>
  <c r="H1279" i="30"/>
  <c r="H1263" i="30"/>
  <c r="H1247" i="30"/>
  <c r="H1231" i="30"/>
  <c r="H1215" i="30"/>
  <c r="H1199" i="30"/>
  <c r="H1183" i="30"/>
  <c r="H1167" i="30"/>
  <c r="H1151" i="30"/>
  <c r="H1135" i="30"/>
  <c r="H1119" i="30"/>
  <c r="H1103" i="30"/>
  <c r="H1087" i="30"/>
  <c r="H1071" i="30"/>
  <c r="H1055" i="30"/>
  <c r="H1039" i="30"/>
  <c r="H1023" i="30"/>
  <c r="H1007" i="30"/>
  <c r="H991" i="30"/>
  <c r="H975" i="30"/>
  <c r="H959" i="30"/>
  <c r="H938" i="30"/>
  <c r="H906" i="30"/>
  <c r="H874" i="30"/>
  <c r="H842" i="30"/>
  <c r="H810" i="30"/>
  <c r="H778" i="30"/>
  <c r="H746" i="30"/>
  <c r="H714" i="30"/>
  <c r="H682" i="30"/>
  <c r="H650" i="30"/>
  <c r="H618" i="30"/>
  <c r="H586" i="30"/>
  <c r="H554" i="30"/>
  <c r="H522" i="30"/>
  <c r="H490" i="30"/>
  <c r="H458" i="30"/>
  <c r="H416" i="30"/>
  <c r="H352" i="30"/>
  <c r="H288" i="30"/>
  <c r="H224" i="30"/>
  <c r="H139" i="30"/>
  <c r="H11" i="30"/>
  <c r="H10009" i="30"/>
  <c r="H10007" i="30"/>
  <c r="H10005" i="30"/>
  <c r="H10003" i="30"/>
  <c r="H10001" i="30"/>
  <c r="H9999" i="30"/>
  <c r="H9997" i="30"/>
  <c r="H9995" i="30"/>
  <c r="H9993" i="30"/>
  <c r="H9991" i="30"/>
  <c r="H9989" i="30"/>
  <c r="H9987" i="30"/>
  <c r="H9985" i="30"/>
  <c r="H9983" i="30"/>
  <c r="H9981" i="30"/>
  <c r="H9979" i="30"/>
  <c r="H9977" i="30"/>
  <c r="H9975" i="30"/>
  <c r="H9973" i="30"/>
  <c r="H9971" i="30"/>
  <c r="H9969" i="30"/>
  <c r="H9967" i="30"/>
  <c r="H9965" i="30"/>
  <c r="H9963" i="30"/>
  <c r="H9961" i="30"/>
  <c r="H9959" i="30"/>
  <c r="H9957" i="30"/>
  <c r="H9955" i="30"/>
  <c r="H9953" i="30"/>
  <c r="H9951" i="30"/>
  <c r="H9949" i="30"/>
  <c r="H9947" i="30"/>
  <c r="H9945" i="30"/>
  <c r="H9943" i="30"/>
  <c r="H9941" i="30"/>
  <c r="H9939" i="30"/>
  <c r="H9937" i="30"/>
  <c r="H9935" i="30"/>
  <c r="H9933" i="30"/>
  <c r="H9931" i="30"/>
  <c r="H9929" i="30"/>
  <c r="H9927" i="30"/>
  <c r="H9925" i="30"/>
  <c r="H9923" i="30"/>
  <c r="H9921" i="30"/>
  <c r="H9919" i="30"/>
  <c r="H9917" i="30"/>
  <c r="H9915" i="30"/>
  <c r="H9913" i="30"/>
  <c r="H9911" i="30"/>
  <c r="H9909" i="30"/>
  <c r="H9907" i="30"/>
  <c r="H9905" i="30"/>
  <c r="H9903" i="30"/>
  <c r="H9901" i="30"/>
  <c r="H9899" i="30"/>
  <c r="H9897" i="30"/>
  <c r="H9895" i="30"/>
  <c r="H9893" i="30"/>
  <c r="H9891" i="30"/>
  <c r="H9889" i="30"/>
  <c r="H9887" i="30"/>
  <c r="H9885" i="30"/>
  <c r="H9883" i="30"/>
  <c r="H9881" i="30"/>
  <c r="H9879" i="30"/>
  <c r="H9877" i="30"/>
  <c r="H9875" i="30"/>
  <c r="H9873" i="30"/>
  <c r="H9871" i="30"/>
  <c r="H9869" i="30"/>
  <c r="H9867" i="30"/>
  <c r="H9865" i="30"/>
  <c r="H9863" i="30"/>
  <c r="H9861" i="30"/>
  <c r="H9859" i="30"/>
  <c r="H9857" i="30"/>
  <c r="H9855" i="30"/>
  <c r="H9853" i="30"/>
  <c r="H9851" i="30"/>
  <c r="H9849" i="30"/>
  <c r="H9847" i="30"/>
  <c r="H9845" i="30"/>
  <c r="H9843" i="30"/>
  <c r="H9841" i="30"/>
  <c r="H9839" i="30"/>
  <c r="H9837" i="30"/>
  <c r="H9835" i="30"/>
  <c r="H9833" i="30"/>
  <c r="H9831" i="30"/>
  <c r="H9829" i="30"/>
  <c r="H9827" i="30"/>
  <c r="H9825" i="30"/>
  <c r="H9823" i="30"/>
  <c r="H9821" i="30"/>
  <c r="H9819" i="30"/>
  <c r="H9817" i="30"/>
  <c r="H9815" i="30"/>
  <c r="H9813" i="30"/>
  <c r="H9811" i="30"/>
  <c r="H9809" i="30"/>
  <c r="H9807" i="30"/>
  <c r="H9805" i="30"/>
  <c r="H9803" i="30"/>
  <c r="H9801" i="30"/>
  <c r="H9799" i="30"/>
  <c r="H9797" i="30"/>
  <c r="H9795" i="30"/>
  <c r="H9793" i="30"/>
  <c r="H9791" i="30"/>
  <c r="H9789" i="30"/>
  <c r="H9787" i="30"/>
  <c r="H9785" i="30"/>
  <c r="H9783" i="30"/>
  <c r="H9781" i="30"/>
  <c r="H9779" i="30"/>
  <c r="H9777" i="30"/>
  <c r="H9775" i="30"/>
  <c r="H9773" i="30"/>
  <c r="H9771" i="30"/>
  <c r="H9769" i="30"/>
  <c r="H9767" i="30"/>
  <c r="H9765" i="30"/>
  <c r="H9763" i="30"/>
  <c r="H9761" i="30"/>
  <c r="H9759" i="30"/>
  <c r="H9757" i="30"/>
  <c r="H9755" i="30"/>
  <c r="H9753" i="30"/>
  <c r="H9751" i="30"/>
  <c r="H9749" i="30"/>
  <c r="H9747" i="30"/>
  <c r="H9745" i="30"/>
  <c r="H9743" i="30"/>
  <c r="H9741" i="30"/>
  <c r="H9739" i="30"/>
  <c r="H9737" i="30"/>
  <c r="H9735" i="30"/>
  <c r="H9733" i="30"/>
  <c r="H9731" i="30"/>
  <c r="H9729" i="30"/>
  <c r="H9727" i="30"/>
  <c r="H9725" i="30"/>
  <c r="H9723" i="30"/>
  <c r="H9721" i="30"/>
  <c r="H9719" i="30"/>
  <c r="H9717" i="30"/>
  <c r="H9715" i="30"/>
  <c r="H9713" i="30"/>
  <c r="H9711" i="30"/>
  <c r="H9709" i="30"/>
  <c r="H9707" i="30"/>
  <c r="H9705" i="30"/>
  <c r="H9703" i="30"/>
  <c r="H9701" i="30"/>
  <c r="H9699" i="30"/>
  <c r="H9697" i="30"/>
  <c r="H9695" i="30"/>
  <c r="H9693" i="30"/>
  <c r="H9691" i="30"/>
  <c r="H9689" i="30"/>
  <c r="H9687" i="30"/>
  <c r="H9685" i="30"/>
  <c r="H9683" i="30"/>
  <c r="H9681" i="30"/>
  <c r="H9679" i="30"/>
  <c r="H9677" i="30"/>
  <c r="H9675" i="30"/>
  <c r="H9673" i="30"/>
  <c r="H9671" i="30"/>
  <c r="H9669" i="30"/>
  <c r="H9667" i="30"/>
  <c r="H9665" i="30"/>
  <c r="H9663" i="30"/>
  <c r="H9661" i="30"/>
  <c r="H9659" i="30"/>
  <c r="H9657" i="30"/>
  <c r="H9655" i="30"/>
  <c r="H9653" i="30"/>
  <c r="H9651" i="30"/>
  <c r="H9649" i="30"/>
  <c r="H9647" i="30"/>
  <c r="H9645" i="30"/>
  <c r="H9643" i="30"/>
  <c r="H9641" i="30"/>
  <c r="H9639" i="30"/>
  <c r="H9637" i="30"/>
  <c r="H9635" i="30"/>
  <c r="H9633" i="30"/>
  <c r="H9631" i="30"/>
  <c r="H9629" i="30"/>
  <c r="H9627" i="30"/>
  <c r="H9625" i="30"/>
  <c r="H9623" i="30"/>
  <c r="H9621" i="30"/>
  <c r="H9619" i="30"/>
  <c r="H9617" i="30"/>
  <c r="H9615" i="30"/>
  <c r="H9613" i="30"/>
  <c r="H9611" i="30"/>
  <c r="H9609" i="30"/>
  <c r="H9607" i="30"/>
  <c r="H9605" i="30"/>
  <c r="H9603" i="30"/>
  <c r="H9601" i="30"/>
  <c r="H9599" i="30"/>
  <c r="H9597" i="30"/>
  <c r="H9595" i="30"/>
  <c r="H9593" i="30"/>
  <c r="H9591" i="30"/>
  <c r="H9589" i="30"/>
  <c r="H9587" i="30"/>
  <c r="H9585" i="30"/>
  <c r="H9583" i="30"/>
  <c r="H9581" i="30"/>
  <c r="H9579" i="30"/>
  <c r="H9577" i="30"/>
  <c r="H9575" i="30"/>
  <c r="H9573" i="30"/>
  <c r="H9571" i="30"/>
  <c r="H9569" i="30"/>
  <c r="H9567" i="30"/>
  <c r="H9565" i="30"/>
  <c r="H9563" i="30"/>
  <c r="H9561" i="30"/>
  <c r="H9559" i="30"/>
  <c r="H9557" i="30"/>
  <c r="H9555" i="30"/>
  <c r="H9553" i="30"/>
  <c r="H9551" i="30"/>
  <c r="H9549" i="30"/>
  <c r="H9547" i="30"/>
  <c r="H9545" i="30"/>
  <c r="H9543" i="30"/>
  <c r="H9541" i="30"/>
  <c r="H9539" i="30"/>
  <c r="H9537" i="30"/>
  <c r="H9535" i="30"/>
  <c r="H9533" i="30"/>
  <c r="H9531" i="30"/>
  <c r="H9529" i="30"/>
  <c r="H9527" i="30"/>
  <c r="H9525" i="30"/>
  <c r="H9523" i="30"/>
  <c r="H9521" i="30"/>
  <c r="H9519" i="30"/>
  <c r="H9517" i="30"/>
  <c r="H9515" i="30"/>
  <c r="H9513" i="30"/>
  <c r="H9511" i="30"/>
  <c r="H9509" i="30"/>
  <c r="H9507" i="30"/>
  <c r="H9505" i="30"/>
  <c r="H9503" i="30"/>
  <c r="H9501" i="30"/>
  <c r="H9499" i="30"/>
  <c r="H9497" i="30"/>
  <c r="H9495" i="30"/>
  <c r="H9493" i="30"/>
  <c r="H9491" i="30"/>
  <c r="H9489" i="30"/>
  <c r="H9487" i="30"/>
  <c r="H9485" i="30"/>
  <c r="H9483" i="30"/>
  <c r="H9481" i="30"/>
  <c r="H9479" i="30"/>
  <c r="H9477" i="30"/>
  <c r="H9475" i="30"/>
  <c r="H9473" i="30"/>
  <c r="H9471" i="30"/>
  <c r="H9469" i="30"/>
  <c r="H9467" i="30"/>
  <c r="H9465" i="30"/>
  <c r="H9463" i="30"/>
  <c r="H9461" i="30"/>
  <c r="H9459" i="30"/>
  <c r="H9457" i="30"/>
  <c r="H9455" i="30"/>
  <c r="H9453" i="30"/>
  <c r="H9451" i="30"/>
  <c r="H9449" i="30"/>
  <c r="H9447" i="30"/>
  <c r="H9445" i="30"/>
  <c r="H9443" i="30"/>
  <c r="H9441" i="30"/>
  <c r="H9439" i="30"/>
  <c r="H9437" i="30"/>
  <c r="H9435" i="30"/>
  <c r="H9433" i="30"/>
  <c r="H9431" i="30"/>
  <c r="H9429" i="30"/>
  <c r="H9427" i="30"/>
  <c r="H9425" i="30"/>
  <c r="H9423" i="30"/>
  <c r="H9421" i="30"/>
  <c r="H9419" i="30"/>
  <c r="H9417" i="30"/>
  <c r="H9415" i="30"/>
  <c r="H9413" i="30"/>
  <c r="H9411" i="30"/>
  <c r="H9409" i="30"/>
  <c r="H9407" i="30"/>
  <c r="H9405" i="30"/>
  <c r="H9403" i="30"/>
  <c r="H9401" i="30"/>
  <c r="H9399" i="30"/>
  <c r="H9397" i="30"/>
  <c r="H9395" i="30"/>
  <c r="H9393" i="30"/>
  <c r="H9391" i="30"/>
  <c r="H9389" i="30"/>
  <c r="H9387" i="30"/>
  <c r="H9385" i="30"/>
  <c r="H9383" i="30"/>
  <c r="H9381" i="30"/>
  <c r="H9379" i="30"/>
  <c r="H9377" i="30"/>
  <c r="H9375" i="30"/>
  <c r="H9373" i="30"/>
  <c r="H9371" i="30"/>
  <c r="H9369" i="30"/>
  <c r="H9367" i="30"/>
  <c r="H9365" i="30"/>
  <c r="H9363" i="30"/>
  <c r="H9361" i="30"/>
  <c r="H9359" i="30"/>
  <c r="H9357" i="30"/>
  <c r="H9355" i="30"/>
  <c r="H9353" i="30"/>
  <c r="H9351" i="30"/>
  <c r="H9349" i="30"/>
  <c r="H9347" i="30"/>
  <c r="H9345" i="30"/>
  <c r="H9343" i="30"/>
  <c r="H9341" i="30"/>
  <c r="H9339" i="30"/>
  <c r="H9337" i="30"/>
  <c r="H9335" i="30"/>
  <c r="H9333" i="30"/>
  <c r="H9331" i="30"/>
  <c r="H9329" i="30"/>
  <c r="H9327" i="30"/>
  <c r="H9325" i="30"/>
  <c r="H9323" i="30"/>
  <c r="H9321" i="30"/>
  <c r="H9319" i="30"/>
  <c r="H9317" i="30"/>
  <c r="H9315" i="30"/>
  <c r="H9313" i="30"/>
  <c r="H9311" i="30"/>
  <c r="H9309" i="30"/>
  <c r="H9307" i="30"/>
  <c r="H9305" i="30"/>
  <c r="H9303" i="30"/>
  <c r="H9301" i="30"/>
  <c r="H9299" i="30"/>
  <c r="H9297" i="30"/>
  <c r="H9295" i="30"/>
  <c r="H9293" i="30"/>
  <c r="H9291" i="30"/>
  <c r="H9289" i="30"/>
  <c r="H9287" i="30"/>
  <c r="H9285" i="30"/>
  <c r="H9283" i="30"/>
  <c r="H9281" i="30"/>
  <c r="H9279" i="30"/>
  <c r="H9277" i="30"/>
  <c r="H9275" i="30"/>
  <c r="H9273" i="30"/>
  <c r="H9271" i="30"/>
  <c r="H9269" i="30"/>
  <c r="H9267" i="30"/>
  <c r="H9265" i="30"/>
  <c r="H9263" i="30"/>
  <c r="H9261" i="30"/>
  <c r="H9259" i="30"/>
  <c r="H9257" i="30"/>
  <c r="H9255" i="30"/>
  <c r="H9253" i="30"/>
  <c r="H9251" i="30"/>
  <c r="H9249" i="30"/>
  <c r="H9247" i="30"/>
  <c r="H9245" i="30"/>
  <c r="H9243" i="30"/>
  <c r="H9241" i="30"/>
  <c r="H9239" i="30"/>
  <c r="H9237" i="30"/>
  <c r="H9235" i="30"/>
  <c r="H9233" i="30"/>
  <c r="H9231" i="30"/>
  <c r="H9229" i="30"/>
  <c r="H9227" i="30"/>
  <c r="H9225" i="30"/>
  <c r="H9223" i="30"/>
  <c r="H9221" i="30"/>
  <c r="H9219" i="30"/>
  <c r="H9217" i="30"/>
  <c r="H9215" i="30"/>
  <c r="H9213" i="30"/>
  <c r="H9211" i="30"/>
  <c r="H9209" i="30"/>
  <c r="H9207" i="30"/>
  <c r="H9205" i="30"/>
  <c r="H9203" i="30"/>
  <c r="H9201" i="30"/>
  <c r="H9199" i="30"/>
  <c r="H9197" i="30"/>
  <c r="H9195" i="30"/>
  <c r="H9193" i="30"/>
  <c r="H9191" i="30"/>
  <c r="H9189" i="30"/>
  <c r="H9187" i="30"/>
  <c r="H9185" i="30"/>
  <c r="H9183" i="30"/>
  <c r="H9181" i="30"/>
  <c r="H9179" i="30"/>
  <c r="H9177" i="30"/>
  <c r="H9175" i="30"/>
  <c r="H9173" i="30"/>
  <c r="H9171" i="30"/>
  <c r="H9169" i="30"/>
  <c r="H9167" i="30"/>
  <c r="H9165" i="30"/>
  <c r="H9163" i="30"/>
  <c r="H9161" i="30"/>
  <c r="H9159" i="30"/>
  <c r="H9157" i="30"/>
  <c r="H9155" i="30"/>
  <c r="H9153" i="30"/>
  <c r="H9151" i="30"/>
  <c r="H9149" i="30"/>
  <c r="H9147" i="30"/>
  <c r="H9145" i="30"/>
  <c r="H9143" i="30"/>
  <c r="H9141" i="30"/>
  <c r="H9139" i="30"/>
  <c r="H9137" i="30"/>
  <c r="H9135" i="30"/>
  <c r="H9133" i="30"/>
  <c r="H9131" i="30"/>
  <c r="H9129" i="30"/>
  <c r="H9127" i="30"/>
  <c r="H9125" i="30"/>
  <c r="H9123" i="30"/>
  <c r="H9121" i="30"/>
  <c r="H9119" i="30"/>
  <c r="H9117" i="30"/>
  <c r="H9115" i="30"/>
  <c r="H9113" i="30"/>
  <c r="H9111" i="30"/>
  <c r="H9109" i="30"/>
  <c r="H9107" i="30"/>
  <c r="H9105" i="30"/>
  <c r="H9103" i="30"/>
  <c r="H9101" i="30"/>
  <c r="H9099" i="30"/>
  <c r="H9097" i="30"/>
  <c r="H9095" i="30"/>
  <c r="H9093" i="30"/>
  <c r="H9091" i="30"/>
  <c r="H9089" i="30"/>
  <c r="H9087" i="30"/>
  <c r="H9085" i="30"/>
  <c r="H9083" i="30"/>
  <c r="H9081" i="30"/>
  <c r="H9079" i="30"/>
  <c r="H9077" i="30"/>
  <c r="H9075" i="30"/>
  <c r="H9073" i="30"/>
  <c r="H9071" i="30"/>
  <c r="H9069" i="30"/>
  <c r="H9067" i="30"/>
  <c r="H9065" i="30"/>
  <c r="H9063" i="30"/>
  <c r="H9061" i="30"/>
  <c r="H9059" i="30"/>
  <c r="H9057" i="30"/>
  <c r="H9055" i="30"/>
  <c r="H9053" i="30"/>
  <c r="H9051" i="30"/>
  <c r="H9049" i="30"/>
  <c r="H9047" i="30"/>
  <c r="H9045" i="30"/>
  <c r="H9043" i="30"/>
  <c r="H9041" i="30"/>
  <c r="H9039" i="30"/>
  <c r="H9037" i="30"/>
  <c r="H9035" i="30"/>
  <c r="H9033" i="30"/>
  <c r="H9031" i="30"/>
  <c r="H9029" i="30"/>
  <c r="H9027" i="30"/>
  <c r="H9025" i="30"/>
  <c r="H9023" i="30"/>
  <c r="H9021" i="30"/>
  <c r="H9019" i="30"/>
  <c r="H9017" i="30"/>
  <c r="H9015" i="30"/>
  <c r="H9013" i="30"/>
  <c r="H9011" i="30"/>
  <c r="H9009" i="30"/>
  <c r="H9007" i="30"/>
  <c r="H9005" i="30"/>
  <c r="H9003" i="30"/>
  <c r="H9001" i="30"/>
  <c r="H8999" i="30"/>
  <c r="H8997" i="30"/>
  <c r="H8995" i="30"/>
  <c r="H8993" i="30"/>
  <c r="H8991" i="30"/>
  <c r="H8989" i="30"/>
  <c r="H8987" i="30"/>
  <c r="H8985" i="30"/>
  <c r="H8983" i="30"/>
  <c r="H8981" i="30"/>
  <c r="H8979" i="30"/>
  <c r="H8977" i="30"/>
  <c r="H8975" i="30"/>
  <c r="H8973" i="30"/>
  <c r="H8971" i="30"/>
  <c r="H8969" i="30"/>
  <c r="H8967" i="30"/>
  <c r="H8965" i="30"/>
  <c r="H8963" i="30"/>
  <c r="H8961" i="30"/>
  <c r="H8959" i="30"/>
  <c r="H8957" i="30"/>
  <c r="H8955" i="30"/>
  <c r="H8953" i="30"/>
  <c r="H8951" i="30"/>
  <c r="H8949" i="30"/>
  <c r="H8947" i="30"/>
  <c r="H8945" i="30"/>
  <c r="H8943" i="30"/>
  <c r="H8941" i="30"/>
  <c r="H8939" i="30"/>
  <c r="H8937" i="30"/>
  <c r="H8935" i="30"/>
  <c r="H8933" i="30"/>
  <c r="H8931" i="30"/>
  <c r="H8929" i="30"/>
  <c r="H8927" i="30"/>
  <c r="H8925" i="30"/>
  <c r="H8923" i="30"/>
  <c r="H8921" i="30"/>
  <c r="H8919" i="30"/>
  <c r="H8917" i="30"/>
  <c r="H8915" i="30"/>
  <c r="H8913" i="30"/>
  <c r="H8911" i="30"/>
  <c r="H8909" i="30"/>
  <c r="H8907" i="30"/>
  <c r="H8905" i="30"/>
  <c r="H8903" i="30"/>
  <c r="H8901" i="30"/>
  <c r="H8899" i="30"/>
  <c r="H8897" i="30"/>
  <c r="H8895" i="30"/>
  <c r="H8893" i="30"/>
  <c r="H8891" i="30"/>
  <c r="H8889" i="30"/>
  <c r="H8887" i="30"/>
  <c r="H8885" i="30"/>
  <c r="H8883" i="30"/>
  <c r="H8881" i="30"/>
  <c r="H8879" i="30"/>
  <c r="H8877" i="30"/>
  <c r="H8875" i="30"/>
  <c r="H8873" i="30"/>
  <c r="H8871" i="30"/>
  <c r="H8869" i="30"/>
  <c r="H8867" i="30"/>
  <c r="H8865" i="30"/>
  <c r="H8863" i="30"/>
  <c r="H8861" i="30"/>
  <c r="H8859" i="30"/>
  <c r="H8857" i="30"/>
  <c r="H8855" i="30"/>
  <c r="H8853" i="30"/>
  <c r="H8851" i="30"/>
  <c r="H8849" i="30"/>
  <c r="H8847" i="30"/>
  <c r="H8845" i="30"/>
  <c r="H8843" i="30"/>
  <c r="H8841" i="30"/>
  <c r="H8839" i="30"/>
  <c r="H8837" i="30"/>
  <c r="H8835" i="30"/>
  <c r="H8833" i="30"/>
  <c r="H8831" i="30"/>
  <c r="H8829" i="30"/>
  <c r="H8827" i="30"/>
  <c r="H8825" i="30"/>
  <c r="H8823" i="30"/>
  <c r="H8821" i="30"/>
  <c r="H8819" i="30"/>
  <c r="H8817" i="30"/>
  <c r="H8815" i="30"/>
  <c r="H8813" i="30"/>
  <c r="H8811" i="30"/>
  <c r="H8809" i="30"/>
  <c r="H8807" i="30"/>
  <c r="H8805" i="30"/>
  <c r="H8803" i="30"/>
  <c r="H8801" i="30"/>
  <c r="H8799" i="30"/>
  <c r="H8797" i="30"/>
  <c r="H8795" i="30"/>
  <c r="H8793" i="30"/>
  <c r="H8791" i="30"/>
  <c r="H8789" i="30"/>
  <c r="H8787" i="30"/>
  <c r="H8785" i="30"/>
  <c r="H8783" i="30"/>
  <c r="H8781" i="30"/>
  <c r="H8779" i="30"/>
  <c r="H8777" i="30"/>
  <c r="H8775" i="30"/>
  <c r="H8773" i="30"/>
  <c r="H8771" i="30"/>
  <c r="H8769" i="30"/>
  <c r="H8767" i="30"/>
  <c r="H8765" i="30"/>
  <c r="H8763" i="30"/>
  <c r="H8761" i="30"/>
  <c r="H8759" i="30"/>
  <c r="H8757" i="30"/>
  <c r="H8755" i="30"/>
  <c r="H8753" i="30"/>
  <c r="H8751" i="30"/>
  <c r="H8749" i="30"/>
  <c r="H8747" i="30"/>
  <c r="H8745" i="30"/>
  <c r="H8743" i="30"/>
  <c r="H8741" i="30"/>
  <c r="H8739" i="30"/>
  <c r="H8737" i="30"/>
  <c r="H8735" i="30"/>
  <c r="H8733" i="30"/>
  <c r="H8731" i="30"/>
  <c r="H8729" i="30"/>
  <c r="H8727" i="30"/>
  <c r="H8725" i="30"/>
  <c r="H8723" i="30"/>
  <c r="H8721" i="30"/>
  <c r="H8719" i="30"/>
  <c r="H8717" i="30"/>
  <c r="H8715" i="30"/>
  <c r="H8713" i="30"/>
  <c r="H8711" i="30"/>
  <c r="H8709" i="30"/>
  <c r="H8707" i="30"/>
  <c r="H8705" i="30"/>
  <c r="H8703" i="30"/>
  <c r="H8701" i="30"/>
  <c r="H8699" i="30"/>
  <c r="H8697" i="30"/>
  <c r="H8695" i="30"/>
  <c r="H8693" i="30"/>
  <c r="H8691" i="30"/>
  <c r="H8689" i="30"/>
  <c r="H8687" i="30"/>
  <c r="H8685" i="30"/>
  <c r="H8683" i="30"/>
  <c r="H8681" i="30"/>
  <c r="H8679" i="30"/>
  <c r="H8677" i="30"/>
  <c r="H8675" i="30"/>
  <c r="H8673" i="30"/>
  <c r="H8671" i="30"/>
  <c r="H8669" i="30"/>
  <c r="H8667" i="30"/>
  <c r="H8665" i="30"/>
  <c r="H8663" i="30"/>
  <c r="H8661" i="30"/>
  <c r="H8659" i="30"/>
  <c r="H8657" i="30"/>
  <c r="H8655" i="30"/>
  <c r="H8653" i="30"/>
  <c r="H8651" i="30"/>
  <c r="H8649" i="30"/>
  <c r="H8647" i="30"/>
  <c r="H8645" i="30"/>
  <c r="H8643" i="30"/>
  <c r="H8641" i="30"/>
  <c r="H8639" i="30"/>
  <c r="H8637" i="30"/>
  <c r="H8635" i="30"/>
  <c r="H8633" i="30"/>
  <c r="H8631" i="30"/>
  <c r="H8629" i="30"/>
  <c r="H8627" i="30"/>
  <c r="H8625" i="30"/>
  <c r="H8623" i="30"/>
  <c r="H8621" i="30"/>
  <c r="H8619" i="30"/>
  <c r="H8617" i="30"/>
  <c r="H8615" i="30"/>
  <c r="H8613" i="30"/>
  <c r="H8611" i="30"/>
  <c r="H8609" i="30"/>
  <c r="H8607" i="30"/>
  <c r="H8605" i="30"/>
  <c r="H8603" i="30"/>
  <c r="H8601" i="30"/>
  <c r="H8599" i="30"/>
  <c r="H8597" i="30"/>
  <c r="H8595" i="30"/>
  <c r="H8593" i="30"/>
  <c r="H8591" i="30"/>
  <c r="H8589" i="30"/>
  <c r="H8587" i="30"/>
  <c r="H8585" i="30"/>
  <c r="H8583" i="30"/>
  <c r="H8581" i="30"/>
  <c r="H8579" i="30"/>
  <c r="H8577" i="30"/>
  <c r="H8575" i="30"/>
  <c r="H8573" i="30"/>
  <c r="H8571" i="30"/>
  <c r="H8569" i="30"/>
  <c r="H8567" i="30"/>
  <c r="H8565" i="30"/>
  <c r="H8563" i="30"/>
  <c r="H8561" i="30"/>
  <c r="H8559" i="30"/>
  <c r="H8557" i="30"/>
  <c r="H8555" i="30"/>
  <c r="H8553" i="30"/>
  <c r="H8551" i="30"/>
  <c r="H8549" i="30"/>
  <c r="H8547" i="30"/>
  <c r="H8545" i="30"/>
  <c r="H8543" i="30"/>
  <c r="H8541" i="30"/>
  <c r="H8539" i="30"/>
  <c r="H8537" i="30"/>
  <c r="H8535" i="30"/>
  <c r="H8533" i="30"/>
  <c r="H8531" i="30"/>
  <c r="H8529" i="30"/>
  <c r="H8527" i="30"/>
  <c r="H8525" i="30"/>
  <c r="H8523" i="30"/>
  <c r="H8521" i="30"/>
  <c r="H8519" i="30"/>
  <c r="H8517" i="30"/>
  <c r="H8515" i="30"/>
  <c r="H8513" i="30"/>
  <c r="H8511" i="30"/>
  <c r="H8509" i="30"/>
  <c r="H8507" i="30"/>
  <c r="H8505" i="30"/>
  <c r="H8503" i="30"/>
  <c r="H8501" i="30"/>
  <c r="H8499" i="30"/>
  <c r="H8497" i="30"/>
  <c r="H8495" i="30"/>
  <c r="H8493" i="30"/>
  <c r="H8491" i="30"/>
  <c r="H8489" i="30"/>
  <c r="H8487" i="30"/>
  <c r="H8485" i="30"/>
  <c r="H8483" i="30"/>
  <c r="H8481" i="30"/>
  <c r="H8479" i="30"/>
  <c r="H8477" i="30"/>
  <c r="H8475" i="30"/>
  <c r="H8473" i="30"/>
  <c r="H8471" i="30"/>
  <c r="H8469" i="30"/>
  <c r="H8467" i="30"/>
  <c r="H8465" i="30"/>
  <c r="H8463" i="30"/>
  <c r="H8461" i="30"/>
  <c r="H8459" i="30"/>
  <c r="H8457" i="30"/>
  <c r="H8455" i="30"/>
  <c r="H8453" i="30"/>
  <c r="H8451" i="30"/>
  <c r="H8449" i="30"/>
  <c r="H8447" i="30"/>
  <c r="H8445" i="30"/>
  <c r="H8443" i="30"/>
  <c r="H8441" i="30"/>
  <c r="H8439" i="30"/>
  <c r="H8437" i="30"/>
  <c r="H8435" i="30"/>
  <c r="H8433" i="30"/>
  <c r="H8431" i="30"/>
  <c r="H8429" i="30"/>
  <c r="H8427" i="30"/>
  <c r="H8425" i="30"/>
  <c r="H8423" i="30"/>
  <c r="H8421" i="30"/>
  <c r="H8419" i="30"/>
  <c r="H8417" i="30"/>
  <c r="H8415" i="30"/>
  <c r="H8413" i="30"/>
  <c r="H8411" i="30"/>
  <c r="H8409" i="30"/>
  <c r="H8407" i="30"/>
  <c r="H8405" i="30"/>
  <c r="H8403" i="30"/>
  <c r="H8401" i="30"/>
  <c r="H8399" i="30"/>
  <c r="H8397" i="30"/>
  <c r="H8395" i="30"/>
  <c r="H8393" i="30"/>
  <c r="H8391" i="30"/>
  <c r="H8389" i="30"/>
  <c r="H8387" i="30"/>
  <c r="H8385" i="30"/>
  <c r="H8383" i="30"/>
  <c r="H8381" i="30"/>
  <c r="H8379" i="30"/>
  <c r="H8377" i="30"/>
  <c r="H8375" i="30"/>
  <c r="H8373" i="30"/>
  <c r="H8371" i="30"/>
  <c r="H8369" i="30"/>
  <c r="H8367" i="30"/>
  <c r="H8365" i="30"/>
  <c r="H8363" i="30"/>
  <c r="H8361" i="30"/>
  <c r="H8359" i="30"/>
  <c r="H8357" i="30"/>
  <c r="H8355" i="30"/>
  <c r="H8353" i="30"/>
  <c r="H8351" i="30"/>
  <c r="H8349" i="30"/>
  <c r="H8347" i="30"/>
  <c r="H8345" i="30"/>
  <c r="H8343" i="30"/>
  <c r="H8341" i="30"/>
  <c r="H8339" i="30"/>
  <c r="H8337" i="30"/>
  <c r="H8335" i="30"/>
  <c r="H8333" i="30"/>
  <c r="H8331" i="30"/>
  <c r="H8329" i="30"/>
  <c r="H8327" i="30"/>
  <c r="H8325" i="30"/>
  <c r="H8323" i="30"/>
  <c r="H8321" i="30"/>
  <c r="H8319" i="30"/>
  <c r="H8317" i="30"/>
  <c r="H8315" i="30"/>
  <c r="H8313" i="30"/>
  <c r="H8311" i="30"/>
  <c r="H8309" i="30"/>
  <c r="H8307" i="30"/>
  <c r="H8305" i="30"/>
  <c r="H8303" i="30"/>
  <c r="H8301" i="30"/>
  <c r="H8299" i="30"/>
  <c r="H8297" i="30"/>
  <c r="H8295" i="30"/>
  <c r="H8293" i="30"/>
  <c r="H8291" i="30"/>
  <c r="H8289" i="30"/>
  <c r="H8287" i="30"/>
  <c r="H8285" i="30"/>
  <c r="H8283" i="30"/>
  <c r="H8281" i="30"/>
  <c r="H8279" i="30"/>
  <c r="H8277" i="30"/>
  <c r="H8275" i="30"/>
  <c r="H8273" i="30"/>
  <c r="H8271" i="30"/>
  <c r="H8269" i="30"/>
  <c r="H8267" i="30"/>
  <c r="H8265" i="30"/>
  <c r="H8263" i="30"/>
  <c r="H8261" i="30"/>
  <c r="H8259" i="30"/>
  <c r="H8257" i="30"/>
  <c r="H8255" i="30"/>
  <c r="H8253" i="30"/>
  <c r="H8251" i="30"/>
  <c r="H8249" i="30"/>
  <c r="H8247" i="30"/>
  <c r="H8245" i="30"/>
  <c r="H8243" i="30"/>
  <c r="H8241" i="30"/>
  <c r="H8239" i="30"/>
  <c r="H8237" i="30"/>
  <c r="H8235" i="30"/>
  <c r="H8233" i="30"/>
  <c r="H8231" i="30"/>
  <c r="H8229" i="30"/>
  <c r="H8227" i="30"/>
  <c r="H8225" i="30"/>
  <c r="H8223" i="30"/>
  <c r="H8221" i="30"/>
  <c r="H8219" i="30"/>
  <c r="H8217" i="30"/>
  <c r="H8215" i="30"/>
  <c r="H8213" i="30"/>
  <c r="H8211" i="30"/>
  <c r="H8209" i="30"/>
  <c r="H8207" i="30"/>
  <c r="H8205" i="30"/>
  <c r="H8203" i="30"/>
  <c r="H8201" i="30"/>
  <c r="H8199" i="30"/>
  <c r="H8197" i="30"/>
  <c r="H8195" i="30"/>
  <c r="H8193" i="30"/>
  <c r="H8191" i="30"/>
  <c r="H8189" i="30"/>
  <c r="H8187" i="30"/>
  <c r="H8185" i="30"/>
  <c r="H8183" i="30"/>
  <c r="H8181" i="30"/>
  <c r="H8179" i="30"/>
  <c r="H8177" i="30"/>
  <c r="H8175" i="30"/>
  <c r="H8173" i="30"/>
  <c r="H8171" i="30"/>
  <c r="H8169" i="30"/>
  <c r="H8167" i="30"/>
  <c r="H8165" i="30"/>
  <c r="H8163" i="30"/>
  <c r="H8161" i="30"/>
  <c r="H8159" i="30"/>
  <c r="H8157" i="30"/>
  <c r="H8155" i="30"/>
  <c r="H8153" i="30"/>
  <c r="H8151" i="30"/>
  <c r="H8149" i="30"/>
  <c r="H8147" i="30"/>
  <c r="H8145" i="30"/>
  <c r="H8143" i="30"/>
  <c r="H8141" i="30"/>
  <c r="H8139" i="30"/>
  <c r="H8137" i="30"/>
  <c r="H8135" i="30"/>
  <c r="H8133" i="30"/>
  <c r="H8131" i="30"/>
  <c r="H8129" i="30"/>
  <c r="H8127" i="30"/>
  <c r="H8125" i="30"/>
  <c r="H8123" i="30"/>
  <c r="H8121" i="30"/>
  <c r="H8119" i="30"/>
  <c r="H8117" i="30"/>
  <c r="H8115" i="30"/>
  <c r="H8112" i="30"/>
  <c r="H8108" i="30"/>
  <c r="H8104" i="30"/>
  <c r="H8100" i="30"/>
  <c r="H8096" i="30"/>
  <c r="H8092" i="30"/>
  <c r="H8088" i="30"/>
  <c r="H8084" i="30"/>
  <c r="H8080" i="30"/>
  <c r="H8076" i="30"/>
  <c r="H8072" i="30"/>
  <c r="H8068" i="30"/>
  <c r="H8064" i="30"/>
  <c r="H8060" i="30"/>
  <c r="H8056" i="30"/>
  <c r="H8052" i="30"/>
  <c r="H8048" i="30"/>
  <c r="H8044" i="30"/>
  <c r="H8040" i="30"/>
  <c r="H8036" i="30"/>
  <c r="H8032" i="30"/>
  <c r="H8028" i="30"/>
  <c r="H8024" i="30"/>
  <c r="H8020" i="30"/>
  <c r="H8016" i="30"/>
  <c r="H8012" i="30"/>
  <c r="H8008" i="30"/>
  <c r="H8004" i="30"/>
  <c r="H8000" i="30"/>
  <c r="H7996" i="30"/>
  <c r="H7992" i="30"/>
  <c r="H7988" i="30"/>
  <c r="H7984" i="30"/>
  <c r="H7980" i="30"/>
  <c r="H7976" i="30"/>
  <c r="H7972" i="30"/>
  <c r="H7968" i="30"/>
  <c r="H7964" i="30"/>
  <c r="H7960" i="30"/>
  <c r="H7956" i="30"/>
  <c r="H7952" i="30"/>
  <c r="H7948" i="30"/>
  <c r="H7944" i="30"/>
  <c r="H7940" i="30"/>
  <c r="H7936" i="30"/>
  <c r="H7932" i="30"/>
  <c r="H7928" i="30"/>
  <c r="H7924" i="30"/>
  <c r="H7920" i="30"/>
  <c r="H7916" i="30"/>
  <c r="H7912" i="30"/>
  <c r="H7908" i="30"/>
  <c r="H7904" i="30"/>
  <c r="H7900" i="30"/>
  <c r="H7896" i="30"/>
  <c r="H7892" i="30"/>
  <c r="H7888" i="30"/>
  <c r="H7884" i="30"/>
  <c r="H7880" i="30"/>
  <c r="H7876" i="30"/>
  <c r="H7872" i="30"/>
  <c r="H7868" i="30"/>
  <c r="H7864" i="30"/>
  <c r="H7860" i="30"/>
  <c r="H7856" i="30"/>
  <c r="H7852" i="30"/>
  <c r="H7848" i="30"/>
  <c r="H7844" i="30"/>
  <c r="H7840" i="30"/>
  <c r="H7836" i="30"/>
  <c r="H7832" i="30"/>
  <c r="H7828" i="30"/>
  <c r="H7824" i="30"/>
  <c r="H7820" i="30"/>
  <c r="H7816" i="30"/>
  <c r="H7812" i="30"/>
  <c r="H7808" i="30"/>
  <c r="H7804" i="30"/>
  <c r="H7800" i="30"/>
  <c r="H7796" i="30"/>
  <c r="H7792" i="30"/>
  <c r="H7788" i="30"/>
  <c r="H7784" i="30"/>
  <c r="H7780" i="30"/>
  <c r="H7776" i="30"/>
  <c r="H7772" i="30"/>
  <c r="H7768" i="30"/>
  <c r="H7764" i="30"/>
  <c r="H7760" i="30"/>
  <c r="H7756" i="30"/>
  <c r="H7752" i="30"/>
  <c r="H7748" i="30"/>
  <c r="H7744" i="30"/>
  <c r="H7740" i="30"/>
  <c r="H7736" i="30"/>
  <c r="H7732" i="30"/>
  <c r="H7728" i="30"/>
  <c r="H7724" i="30"/>
  <c r="H7720" i="30"/>
  <c r="H7716" i="30"/>
  <c r="H7712" i="30"/>
  <c r="H7708" i="30"/>
  <c r="H7704" i="30"/>
  <c r="H7700" i="30"/>
  <c r="H7696" i="30"/>
  <c r="H7692" i="30"/>
  <c r="H7688" i="30"/>
  <c r="H7684" i="30"/>
  <c r="H7680" i="30"/>
  <c r="H7676" i="30"/>
  <c r="H7672" i="30"/>
  <c r="H7668" i="30"/>
  <c r="H7664" i="30"/>
  <c r="H7660" i="30"/>
  <c r="H7656" i="30"/>
  <c r="H7652" i="30"/>
  <c r="H7648" i="30"/>
  <c r="H7644" i="30"/>
  <c r="H7640" i="30"/>
  <c r="H7636" i="30"/>
  <c r="H7632" i="30"/>
  <c r="H7628" i="30"/>
  <c r="H7624" i="30"/>
  <c r="H7620" i="30"/>
  <c r="H7616" i="30"/>
  <c r="H7612" i="30"/>
  <c r="H7608" i="30"/>
  <c r="H7604" i="30"/>
  <c r="H7600" i="30"/>
  <c r="H7596" i="30"/>
  <c r="H7592" i="30"/>
  <c r="H7588" i="30"/>
  <c r="H7584" i="30"/>
  <c r="H7580" i="30"/>
  <c r="H7576" i="30"/>
  <c r="H7572" i="30"/>
  <c r="H7568" i="30"/>
  <c r="H7564" i="30"/>
  <c r="H7560" i="30"/>
  <c r="H7556" i="30"/>
  <c r="H7552" i="30"/>
  <c r="H7548" i="30"/>
  <c r="H7544" i="30"/>
  <c r="H7540" i="30"/>
  <c r="H7536" i="30"/>
  <c r="H7532" i="30"/>
  <c r="H7528" i="30"/>
  <c r="H7524" i="30"/>
  <c r="H7520" i="30"/>
  <c r="H7516" i="30"/>
  <c r="H7512" i="30"/>
  <c r="H7508" i="30"/>
  <c r="H7504" i="30"/>
  <c r="H7500" i="30"/>
  <c r="H7496" i="30"/>
  <c r="H7492" i="30"/>
  <c r="H7488" i="30"/>
  <c r="H7484" i="30"/>
  <c r="H7480" i="30"/>
  <c r="H7476" i="30"/>
  <c r="H7472" i="30"/>
  <c r="H7468" i="30"/>
  <c r="H7464" i="30"/>
  <c r="H7460" i="30"/>
  <c r="H7456" i="30"/>
  <c r="H7452" i="30"/>
  <c r="H7448" i="30"/>
  <c r="H7444" i="30"/>
  <c r="H7440" i="30"/>
  <c r="H7436" i="30"/>
  <c r="H7432" i="30"/>
  <c r="H7428" i="30"/>
  <c r="H7424" i="30"/>
  <c r="H7420" i="30"/>
  <c r="H7416" i="30"/>
  <c r="H7412" i="30"/>
  <c r="H7408" i="30"/>
  <c r="H7404" i="30"/>
  <c r="H7400" i="30"/>
  <c r="H7396" i="30"/>
  <c r="H7392" i="30"/>
  <c r="H7388" i="30"/>
  <c r="H7384" i="30"/>
  <c r="H7380" i="30"/>
  <c r="H7376" i="30"/>
  <c r="H7372" i="30"/>
  <c r="H7368" i="30"/>
  <c r="H7364" i="30"/>
  <c r="H7360" i="30"/>
  <c r="H7356" i="30"/>
  <c r="H7352" i="30"/>
  <c r="H7348" i="30"/>
  <c r="H7344" i="30"/>
  <c r="H7340" i="30"/>
  <c r="H7336" i="30"/>
  <c r="H7332" i="30"/>
  <c r="H7328" i="30"/>
  <c r="H7324" i="30"/>
  <c r="H7320" i="30"/>
  <c r="H7316" i="30"/>
  <c r="H7312" i="30"/>
  <c r="H7308" i="30"/>
  <c r="H7304" i="30"/>
  <c r="H7300" i="30"/>
  <c r="H7296" i="30"/>
  <c r="H7292" i="30"/>
  <c r="H7288" i="30"/>
  <c r="H7284" i="30"/>
  <c r="H7280" i="30"/>
  <c r="H7276" i="30"/>
  <c r="H7272" i="30"/>
  <c r="H7268" i="30"/>
  <c r="H7264" i="30"/>
  <c r="H7260" i="30"/>
  <c r="H7256" i="30"/>
  <c r="H7252" i="30"/>
  <c r="H7248" i="30"/>
  <c r="H7244" i="30"/>
  <c r="H7240" i="30"/>
  <c r="H7236" i="30"/>
  <c r="H7232" i="30"/>
  <c r="H7228" i="30"/>
  <c r="H7224" i="30"/>
  <c r="H7220" i="30"/>
  <c r="H7216" i="30"/>
  <c r="H7212" i="30"/>
  <c r="H7208" i="30"/>
  <c r="H7204" i="30"/>
  <c r="H7200" i="30"/>
  <c r="H7196" i="30"/>
  <c r="H7192" i="30"/>
  <c r="H7188" i="30"/>
  <c r="H7184" i="30"/>
  <c r="H7180" i="30"/>
  <c r="H7176" i="30"/>
  <c r="H7172" i="30"/>
  <c r="H7168" i="30"/>
  <c r="H7164" i="30"/>
  <c r="H7160" i="30"/>
  <c r="H7156" i="30"/>
  <c r="H7152" i="30"/>
  <c r="H7148" i="30"/>
  <c r="H7144" i="30"/>
  <c r="H7140" i="30"/>
  <c r="H7136" i="30"/>
  <c r="H7132" i="30"/>
  <c r="H7128" i="30"/>
  <c r="H7124" i="30"/>
  <c r="H7120" i="30"/>
  <c r="H7116" i="30"/>
  <c r="H7112" i="30"/>
  <c r="H7108" i="30"/>
  <c r="H7104" i="30"/>
  <c r="H7100" i="30"/>
  <c r="H7096" i="30"/>
  <c r="H7092" i="30"/>
  <c r="H7088" i="30"/>
  <c r="H7084" i="30"/>
  <c r="H7080" i="30"/>
  <c r="H7076" i="30"/>
  <c r="H7072" i="30"/>
  <c r="H7068" i="30"/>
  <c r="H7064" i="30"/>
  <c r="H7060" i="30"/>
  <c r="H7056" i="30"/>
  <c r="H7052" i="30"/>
  <c r="H7048" i="30"/>
  <c r="H7044" i="30"/>
  <c r="H7040" i="30"/>
  <c r="H7036" i="30"/>
  <c r="H7032" i="30"/>
  <c r="H7028" i="30"/>
  <c r="H7024" i="30"/>
  <c r="H7020" i="30"/>
  <c r="H7016" i="30"/>
  <c r="H7012" i="30"/>
  <c r="H7008" i="30"/>
  <c r="H7004" i="30"/>
  <c r="H7000" i="30"/>
  <c r="H6996" i="30"/>
  <c r="H6992" i="30"/>
  <c r="H6988" i="30"/>
  <c r="H6984" i="30"/>
  <c r="H6980" i="30"/>
  <c r="H6976" i="30"/>
  <c r="H6972" i="30"/>
  <c r="H6968" i="30"/>
  <c r="H6964" i="30"/>
  <c r="H6960" i="30"/>
  <c r="H6956" i="30"/>
  <c r="H6952" i="30"/>
  <c r="H6948" i="30"/>
  <c r="H6944" i="30"/>
  <c r="H6940" i="30"/>
  <c r="H6936" i="30"/>
  <c r="H6932" i="30"/>
  <c r="H6928" i="30"/>
  <c r="H6924" i="30"/>
  <c r="H6920" i="30"/>
  <c r="H6916" i="30"/>
  <c r="H6912" i="30"/>
  <c r="H6908" i="30"/>
  <c r="H6904" i="30"/>
  <c r="H6900" i="30"/>
  <c r="H6896" i="30"/>
  <c r="H6892" i="30"/>
  <c r="H6888" i="30"/>
  <c r="H6884" i="30"/>
  <c r="H6880" i="30"/>
  <c r="H6876" i="30"/>
  <c r="H6872" i="30"/>
  <c r="H6868" i="30"/>
  <c r="H6864" i="30"/>
  <c r="H6860" i="30"/>
  <c r="H6856" i="30"/>
  <c r="H6852" i="30"/>
  <c r="H6848" i="30"/>
  <c r="H6844" i="30"/>
  <c r="H6840" i="30"/>
  <c r="H6836" i="30"/>
  <c r="H6832" i="30"/>
  <c r="H6828" i="30"/>
  <c r="H6824" i="30"/>
  <c r="H6820" i="30"/>
  <c r="H6816" i="30"/>
  <c r="H6812" i="30"/>
  <c r="H6808" i="30"/>
  <c r="H6804" i="30"/>
  <c r="H6800" i="30"/>
  <c r="H6796" i="30"/>
  <c r="H6792" i="30"/>
  <c r="H6788" i="30"/>
  <c r="H6784" i="30"/>
  <c r="H6780" i="30"/>
  <c r="H6776" i="30"/>
  <c r="H6772" i="30"/>
  <c r="H6768" i="30"/>
  <c r="H6764" i="30"/>
  <c r="H6760" i="30"/>
  <c r="H6756" i="30"/>
  <c r="H6752" i="30"/>
  <c r="H6748" i="30"/>
  <c r="H6744" i="30"/>
  <c r="H6740" i="30"/>
  <c r="H6736" i="30"/>
  <c r="H6732" i="30"/>
  <c r="H6728" i="30"/>
  <c r="H6724" i="30"/>
  <c r="H6720" i="30"/>
  <c r="H6716" i="30"/>
  <c r="H6712" i="30"/>
  <c r="H6708" i="30"/>
  <c r="H6704" i="30"/>
  <c r="H6700" i="30"/>
  <c r="H6696" i="30"/>
  <c r="H6692" i="30"/>
  <c r="H6688" i="30"/>
  <c r="H6684" i="30"/>
  <c r="H6680" i="30"/>
  <c r="H6676" i="30"/>
  <c r="H6672" i="30"/>
  <c r="H6668" i="30"/>
  <c r="H6664" i="30"/>
  <c r="H6660" i="30"/>
  <c r="H6656" i="30"/>
  <c r="H6652" i="30"/>
  <c r="H6648" i="30"/>
  <c r="H6644" i="30"/>
  <c r="H6640" i="30"/>
  <c r="H6636" i="30"/>
  <c r="H6632" i="30"/>
  <c r="H6628" i="30"/>
  <c r="H6624" i="30"/>
  <c r="H6620" i="30"/>
  <c r="H6616" i="30"/>
  <c r="H6612" i="30"/>
  <c r="H6608" i="30"/>
  <c r="H6604" i="30"/>
  <c r="H6600" i="30"/>
  <c r="H6596" i="30"/>
  <c r="H6592" i="30"/>
  <c r="H6588" i="30"/>
  <c r="H6584" i="30"/>
  <c r="H6580" i="30"/>
  <c r="H6576" i="30"/>
  <c r="H6572" i="30"/>
  <c r="H6568" i="30"/>
  <c r="H6564" i="30"/>
  <c r="H6560" i="30"/>
  <c r="H6556" i="30"/>
  <c r="H6552" i="30"/>
  <c r="H6548" i="30"/>
  <c r="H6544" i="30"/>
  <c r="H6540" i="30"/>
  <c r="H6536" i="30"/>
  <c r="H6532" i="30"/>
  <c r="H6528" i="30"/>
  <c r="H6524" i="30"/>
  <c r="H6520" i="30"/>
  <c r="H6516" i="30"/>
  <c r="H6512" i="30"/>
  <c r="H6508" i="30"/>
  <c r="H6504" i="30"/>
  <c r="H6500" i="30"/>
  <c r="H6496" i="30"/>
  <c r="H6492" i="30"/>
  <c r="H6488" i="30"/>
  <c r="H6484" i="30"/>
  <c r="H6480" i="30"/>
  <c r="H6476" i="30"/>
  <c r="H6472" i="30"/>
  <c r="H6468" i="30"/>
  <c r="H6464" i="30"/>
  <c r="H6460" i="30"/>
  <c r="H6456" i="30"/>
  <c r="H6452" i="30"/>
  <c r="H6448" i="30"/>
  <c r="H6444" i="30"/>
  <c r="H6440" i="30"/>
  <c r="H6436" i="30"/>
  <c r="H6432" i="30"/>
  <c r="H6428" i="30"/>
  <c r="H6424" i="30"/>
  <c r="H6420" i="30"/>
  <c r="H6416" i="30"/>
  <c r="H6412" i="30"/>
  <c r="H6408" i="30"/>
  <c r="H6404" i="30"/>
  <c r="H6400" i="30"/>
  <c r="H6396" i="30"/>
  <c r="H6392" i="30"/>
  <c r="H6388" i="30"/>
  <c r="H6384" i="30"/>
  <c r="H6380" i="30"/>
  <c r="H6376" i="30"/>
  <c r="H6372" i="30"/>
  <c r="H6368" i="30"/>
  <c r="H6364" i="30"/>
  <c r="H6360" i="30"/>
  <c r="H6356" i="30"/>
  <c r="H6352" i="30"/>
  <c r="H6348" i="30"/>
  <c r="H6344" i="30"/>
  <c r="H6340" i="30"/>
  <c r="H6336" i="30"/>
  <c r="H6332" i="30"/>
  <c r="H6328" i="30"/>
  <c r="H6324" i="30"/>
  <c r="H6320" i="30"/>
  <c r="H6316" i="30"/>
  <c r="H6312" i="30"/>
  <c r="H6308" i="30"/>
  <c r="H6304" i="30"/>
  <c r="H6300" i="30"/>
  <c r="H6296" i="30"/>
  <c r="H6292" i="30"/>
  <c r="H6288" i="30"/>
  <c r="H6284" i="30"/>
  <c r="H6280" i="30"/>
  <c r="H6276" i="30"/>
  <c r="H6272" i="30"/>
  <c r="H6268" i="30"/>
  <c r="H6264" i="30"/>
  <c r="H6260" i="30"/>
  <c r="H6256" i="30"/>
  <c r="H6252" i="30"/>
  <c r="H6248" i="30"/>
  <c r="H6244" i="30"/>
  <c r="H6240" i="30"/>
  <c r="H6236" i="30"/>
  <c r="H6232" i="30"/>
  <c r="H6228" i="30"/>
  <c r="H6224" i="30"/>
  <c r="H6220" i="30"/>
  <c r="H6216" i="30"/>
  <c r="H6212" i="30"/>
  <c r="H6208" i="30"/>
  <c r="H6204" i="30"/>
  <c r="H6200" i="30"/>
  <c r="H6196" i="30"/>
  <c r="H6192" i="30"/>
  <c r="H6188" i="30"/>
  <c r="H6184" i="30"/>
  <c r="H6180" i="30"/>
  <c r="H6176" i="30"/>
  <c r="H6172" i="30"/>
  <c r="H6168" i="30"/>
  <c r="H6164" i="30"/>
  <c r="H6160" i="30"/>
  <c r="H6156" i="30"/>
  <c r="H6152" i="30"/>
  <c r="H6148" i="30"/>
  <c r="H6144" i="30"/>
  <c r="H6140" i="30"/>
  <c r="H6136" i="30"/>
  <c r="H6132" i="30"/>
  <c r="H6128" i="30"/>
  <c r="H6124" i="30"/>
  <c r="H6120" i="30"/>
  <c r="H6116" i="30"/>
  <c r="H6112" i="30"/>
  <c r="H6108" i="30"/>
  <c r="H6104" i="30"/>
  <c r="H6100" i="30"/>
  <c r="H6096" i="30"/>
  <c r="H6092" i="30"/>
  <c r="H6088" i="30"/>
  <c r="H6084" i="30"/>
  <c r="H6080" i="30"/>
  <c r="H6076" i="30"/>
  <c r="H6072" i="30"/>
  <c r="H6068" i="30"/>
  <c r="H6064" i="30"/>
  <c r="H6060" i="30"/>
  <c r="H6056" i="30"/>
  <c r="H6052" i="30"/>
  <c r="H6048" i="30"/>
  <c r="H6044" i="30"/>
  <c r="H6040" i="30"/>
  <c r="H6036" i="30"/>
  <c r="H6032" i="30"/>
  <c r="H6028" i="30"/>
  <c r="H6024" i="30"/>
  <c r="H6020" i="30"/>
  <c r="H6016" i="30"/>
  <c r="H6012" i="30"/>
  <c r="H6008" i="30"/>
  <c r="H6004" i="30"/>
  <c r="H6000" i="30"/>
  <c r="H5996" i="30"/>
  <c r="H5992" i="30"/>
  <c r="H5988" i="30"/>
  <c r="H5984" i="30"/>
  <c r="H5980" i="30"/>
  <c r="H5976" i="30"/>
  <c r="H5972" i="30"/>
  <c r="H5968" i="30"/>
  <c r="H5964" i="30"/>
  <c r="H5960" i="30"/>
  <c r="H5956" i="30"/>
  <c r="H5952" i="30"/>
  <c r="H5948" i="30"/>
  <c r="H5944" i="30"/>
  <c r="H5940" i="30"/>
  <c r="H5936" i="30"/>
  <c r="H5932" i="30"/>
  <c r="H5928" i="30"/>
  <c r="H5924" i="30"/>
  <c r="H5920" i="30"/>
  <c r="H5916" i="30"/>
  <c r="H5912" i="30"/>
  <c r="H5908" i="30"/>
  <c r="H5904" i="30"/>
  <c r="H5900" i="30"/>
  <c r="H5896" i="30"/>
  <c r="H5892" i="30"/>
  <c r="H5888" i="30"/>
  <c r="H5884" i="30"/>
  <c r="H5880" i="30"/>
  <c r="H5876" i="30"/>
  <c r="H5872" i="30"/>
  <c r="H5868" i="30"/>
  <c r="H5864" i="30"/>
  <c r="H5860" i="30"/>
  <c r="H5856" i="30"/>
  <c r="H5852" i="30"/>
  <c r="H5848" i="30"/>
  <c r="H5844" i="30"/>
  <c r="H5840" i="30"/>
  <c r="H5836" i="30"/>
  <c r="H5832" i="30"/>
  <c r="H5828" i="30"/>
  <c r="H5824" i="30"/>
  <c r="H5820" i="30"/>
  <c r="H5816" i="30"/>
  <c r="H5812" i="30"/>
  <c r="H5808" i="30"/>
  <c r="H5804" i="30"/>
  <c r="H5800" i="30"/>
  <c r="H5796" i="30"/>
  <c r="H5792" i="30"/>
  <c r="H5788" i="30"/>
  <c r="H5784" i="30"/>
  <c r="H5780" i="30"/>
  <c r="H5776" i="30"/>
  <c r="H5772" i="30"/>
  <c r="H5768" i="30"/>
  <c r="H5764" i="30"/>
  <c r="H5760" i="30"/>
  <c r="H5756" i="30"/>
  <c r="H5752" i="30"/>
  <c r="H5748" i="30"/>
  <c r="H5744" i="30"/>
  <c r="H5740" i="30"/>
  <c r="H5736" i="30"/>
  <c r="H5732" i="30"/>
  <c r="H5728" i="30"/>
  <c r="H5724" i="30"/>
  <c r="H5720" i="30"/>
  <c r="H5716" i="30"/>
  <c r="H5712" i="30"/>
  <c r="H5708" i="30"/>
  <c r="H5704" i="30"/>
  <c r="H5700" i="30"/>
  <c r="H5696" i="30"/>
  <c r="H5692" i="30"/>
  <c r="H5688" i="30"/>
  <c r="H5684" i="30"/>
  <c r="H5680" i="30"/>
  <c r="H5676" i="30"/>
  <c r="H5672" i="30"/>
  <c r="H5668" i="30"/>
  <c r="H5664" i="30"/>
  <c r="H5660" i="30"/>
  <c r="H5656" i="30"/>
  <c r="H5652" i="30"/>
  <c r="H5648" i="30"/>
  <c r="H5644" i="30"/>
  <c r="H5640" i="30"/>
  <c r="H5636" i="30"/>
  <c r="H5632" i="30"/>
  <c r="H5628" i="30"/>
  <c r="H5624" i="30"/>
  <c r="H5620" i="30"/>
  <c r="H5616" i="30"/>
  <c r="H5612" i="30"/>
  <c r="H5608" i="30"/>
  <c r="H5604" i="30"/>
  <c r="H5600" i="30"/>
  <c r="H5596" i="30"/>
  <c r="H5592" i="30"/>
  <c r="H5588" i="30"/>
  <c r="H5584" i="30"/>
  <c r="H5580" i="30"/>
  <c r="H5576" i="30"/>
  <c r="H5572" i="30"/>
  <c r="H5568" i="30"/>
  <c r="H5564" i="30"/>
  <c r="H5560" i="30"/>
  <c r="H5556" i="30"/>
  <c r="H5552" i="30"/>
  <c r="H5548" i="30"/>
  <c r="H5544" i="30"/>
  <c r="H5540" i="30"/>
  <c r="H5536" i="30"/>
  <c r="H5532" i="30"/>
  <c r="H5528" i="30"/>
  <c r="H5524" i="30"/>
  <c r="H5520" i="30"/>
  <c r="H5516" i="30"/>
  <c r="H5512" i="30"/>
  <c r="H5508" i="30"/>
  <c r="H5504" i="30"/>
  <c r="H5500" i="30"/>
  <c r="H5496" i="30"/>
  <c r="H5492" i="30"/>
  <c r="H5488" i="30"/>
  <c r="H5484" i="30"/>
  <c r="H5480" i="30"/>
  <c r="H5476" i="30"/>
  <c r="H5472" i="30"/>
  <c r="H5468" i="30"/>
  <c r="H5464" i="30"/>
  <c r="H5460" i="30"/>
  <c r="H5456" i="30"/>
  <c r="H5452" i="30"/>
  <c r="H5448" i="30"/>
  <c r="H5444" i="30"/>
  <c r="H5440" i="30"/>
  <c r="H5436" i="30"/>
  <c r="H5432" i="30"/>
  <c r="H5428" i="30"/>
  <c r="H5424" i="30"/>
  <c r="H5420" i="30"/>
  <c r="H5416" i="30"/>
  <c r="H5412" i="30"/>
  <c r="H5408" i="30"/>
  <c r="H5404" i="30"/>
  <c r="H5400" i="30"/>
  <c r="H5396" i="30"/>
  <c r="H5392" i="30"/>
  <c r="H5388" i="30"/>
  <c r="H5384" i="30"/>
  <c r="H5380" i="30"/>
  <c r="H5376" i="30"/>
  <c r="H5372" i="30"/>
  <c r="H5368" i="30"/>
  <c r="H5364" i="30"/>
  <c r="H5360" i="30"/>
  <c r="H5356" i="30"/>
  <c r="H5352" i="30"/>
  <c r="H5348" i="30"/>
  <c r="H5344" i="30"/>
  <c r="H5340" i="30"/>
  <c r="H5336" i="30"/>
  <c r="H5332" i="30"/>
  <c r="H5328" i="30"/>
  <c r="H5324" i="30"/>
  <c r="H5320" i="30"/>
  <c r="H5316" i="30"/>
  <c r="H5312" i="30"/>
  <c r="H5308" i="30"/>
  <c r="H5304" i="30"/>
  <c r="H5300" i="30"/>
  <c r="H5296" i="30"/>
  <c r="H5292" i="30"/>
  <c r="H5288" i="30"/>
  <c r="H5284" i="30"/>
  <c r="H5280" i="30"/>
  <c r="H5276" i="30"/>
  <c r="H5272" i="30"/>
  <c r="H5268" i="30"/>
  <c r="H5264" i="30"/>
  <c r="H5260" i="30"/>
  <c r="H5256" i="30"/>
  <c r="H5252" i="30"/>
  <c r="H5248" i="30"/>
  <c r="H5244" i="30"/>
  <c r="H5240" i="30"/>
  <c r="H5236" i="30"/>
  <c r="H5232" i="30"/>
  <c r="H5228" i="30"/>
  <c r="H5224" i="30"/>
  <c r="H5220" i="30"/>
  <c r="H5216" i="30"/>
  <c r="H5212" i="30"/>
  <c r="H5208" i="30"/>
  <c r="H5204" i="30"/>
  <c r="H5200" i="30"/>
  <c r="H5196" i="30"/>
  <c r="H5192" i="30"/>
  <c r="H5188" i="30"/>
  <c r="H5184" i="30"/>
  <c r="H5180" i="30"/>
  <c r="H5176" i="30"/>
  <c r="H5172" i="30"/>
  <c r="H5168" i="30"/>
  <c r="H5164" i="30"/>
  <c r="H5160" i="30"/>
  <c r="H5156" i="30"/>
  <c r="H5152" i="30"/>
  <c r="H5148" i="30"/>
  <c r="H5144" i="30"/>
  <c r="H5140" i="30"/>
  <c r="H5136" i="30"/>
  <c r="H5132" i="30"/>
  <c r="H5128" i="30"/>
  <c r="H5124" i="30"/>
  <c r="H5120" i="30"/>
  <c r="H5116" i="30"/>
  <c r="H5112" i="30"/>
  <c r="H5108" i="30"/>
  <c r="H5104" i="30"/>
  <c r="H5100" i="30"/>
  <c r="H5096" i="30"/>
  <c r="H5092" i="30"/>
  <c r="H5088" i="30"/>
  <c r="H5084" i="30"/>
  <c r="H5080" i="30"/>
  <c r="H5076" i="30"/>
  <c r="H5072" i="30"/>
  <c r="H5068" i="30"/>
  <c r="H5064" i="30"/>
  <c r="H5060" i="30"/>
  <c r="H5056" i="30"/>
  <c r="H5052" i="30"/>
  <c r="H5048" i="30"/>
  <c r="H5044" i="30"/>
  <c r="H5040" i="30"/>
  <c r="H5036" i="30"/>
  <c r="H5032" i="30"/>
  <c r="H5028" i="30"/>
  <c r="H5024" i="30"/>
  <c r="H5020" i="30"/>
  <c r="H5016" i="30"/>
  <c r="H5012" i="30"/>
  <c r="H5008" i="30"/>
  <c r="H5004" i="30"/>
  <c r="H5000" i="30"/>
  <c r="H4996" i="30"/>
  <c r="H4992" i="30"/>
  <c r="H4988" i="30"/>
  <c r="H4984" i="30"/>
  <c r="H4980" i="30"/>
  <c r="H4976" i="30"/>
  <c r="H4972" i="30"/>
  <c r="H4968" i="30"/>
  <c r="H4964" i="30"/>
  <c r="H4960" i="30"/>
  <c r="H4956" i="30"/>
  <c r="H4952" i="30"/>
  <c r="H4948" i="30"/>
  <c r="H4944" i="30"/>
  <c r="H4940" i="30"/>
  <c r="H4936" i="30"/>
  <c r="H4932" i="30"/>
  <c r="H4928" i="30"/>
  <c r="H4924" i="30"/>
  <c r="H4920" i="30"/>
  <c r="H4916" i="30"/>
  <c r="H4912" i="30"/>
  <c r="H4908" i="30"/>
  <c r="H4904" i="30"/>
  <c r="H4900" i="30"/>
  <c r="H4896" i="30"/>
  <c r="H4892" i="30"/>
  <c r="H4888" i="30"/>
  <c r="H4884" i="30"/>
  <c r="H4880" i="30"/>
  <c r="H4876" i="30"/>
  <c r="H4872" i="30"/>
  <c r="H4868" i="30"/>
  <c r="H4864" i="30"/>
  <c r="H4860" i="30"/>
  <c r="H4856" i="30"/>
  <c r="H4852" i="30"/>
  <c r="H4848" i="30"/>
  <c r="H4844" i="30"/>
  <c r="H4840" i="30"/>
  <c r="H4836" i="30"/>
  <c r="H4832" i="30"/>
  <c r="H4828" i="30"/>
  <c r="H4824" i="30"/>
  <c r="H4820" i="30"/>
  <c r="H4816" i="30"/>
  <c r="H4812" i="30"/>
  <c r="H4808" i="30"/>
  <c r="H4804" i="30"/>
  <c r="H4800" i="30"/>
  <c r="H4796" i="30"/>
  <c r="H4792" i="30"/>
  <c r="H4788" i="30"/>
  <c r="H4784" i="30"/>
  <c r="H4780" i="30"/>
  <c r="H4776" i="30"/>
  <c r="H4772" i="30"/>
  <c r="H4768" i="30"/>
  <c r="H4764" i="30"/>
  <c r="H4760" i="30"/>
  <c r="H4756" i="30"/>
  <c r="H4752" i="30"/>
  <c r="H4748" i="30"/>
  <c r="H4744" i="30"/>
  <c r="H4740" i="30"/>
  <c r="H4736" i="30"/>
  <c r="H4732" i="30"/>
  <c r="H4728" i="30"/>
  <c r="H4724" i="30"/>
  <c r="H4720" i="30"/>
  <c r="H4716" i="30"/>
  <c r="H4712" i="30"/>
  <c r="H4708" i="30"/>
  <c r="H4704" i="30"/>
  <c r="H4700" i="30"/>
  <c r="H4696" i="30"/>
  <c r="H4692" i="30"/>
  <c r="H4688" i="30"/>
  <c r="H4684" i="30"/>
  <c r="H4680" i="30"/>
  <c r="H4676" i="30"/>
  <c r="H4672" i="30"/>
  <c r="H4668" i="30"/>
  <c r="H4664" i="30"/>
  <c r="H4660" i="30"/>
  <c r="H4656" i="30"/>
  <c r="H4652" i="30"/>
  <c r="H4648" i="30"/>
  <c r="H4644" i="30"/>
  <c r="H4640" i="30"/>
  <c r="H4636" i="30"/>
  <c r="H4632" i="30"/>
  <c r="H4628" i="30"/>
  <c r="H4624" i="30"/>
  <c r="H4620" i="30"/>
  <c r="H4616" i="30"/>
  <c r="H4612" i="30"/>
  <c r="H4608" i="30"/>
  <c r="H4604" i="30"/>
  <c r="H4600" i="30"/>
  <c r="H4596" i="30"/>
  <c r="H4592" i="30"/>
  <c r="H4588" i="30"/>
  <c r="H4584" i="30"/>
  <c r="H4580" i="30"/>
  <c r="H4576" i="30"/>
  <c r="H4572" i="30"/>
  <c r="H4568" i="30"/>
  <c r="H4564" i="30"/>
  <c r="H4560" i="30"/>
  <c r="H4556" i="30"/>
  <c r="H4552" i="30"/>
  <c r="H4548" i="30"/>
  <c r="H4544" i="30"/>
  <c r="H4540" i="30"/>
  <c r="H4536" i="30"/>
  <c r="H4532" i="30"/>
  <c r="H4528" i="30"/>
  <c r="H4524" i="30"/>
  <c r="H4520" i="30"/>
  <c r="H4516" i="30"/>
  <c r="H4512" i="30"/>
  <c r="H4508" i="30"/>
  <c r="H4504" i="30"/>
  <c r="H4500" i="30"/>
  <c r="H4496" i="30"/>
  <c r="H4492" i="30"/>
  <c r="H4488" i="30"/>
  <c r="H4484" i="30"/>
  <c r="H4480" i="30"/>
  <c r="H4476" i="30"/>
  <c r="H4472" i="30"/>
  <c r="H4468" i="30"/>
  <c r="H4464" i="30"/>
  <c r="H4460" i="30"/>
  <c r="H4456" i="30"/>
  <c r="H4452" i="30"/>
  <c r="H4448" i="30"/>
  <c r="H4444" i="30"/>
  <c r="H4440" i="30"/>
  <c r="H4436" i="30"/>
  <c r="H4432" i="30"/>
  <c r="H4428" i="30"/>
  <c r="H4424" i="30"/>
  <c r="H4420" i="30"/>
  <c r="H4416" i="30"/>
  <c r="H4412" i="30"/>
  <c r="H4408" i="30"/>
  <c r="H4404" i="30"/>
  <c r="H4400" i="30"/>
  <c r="H4396" i="30"/>
  <c r="H4392" i="30"/>
  <c r="H4388" i="30"/>
  <c r="H4384" i="30"/>
  <c r="H4380" i="30"/>
  <c r="H4376" i="30"/>
  <c r="H4372" i="30"/>
  <c r="H4368" i="30"/>
  <c r="H4364" i="30"/>
  <c r="H4360" i="30"/>
  <c r="H4356" i="30"/>
  <c r="H4352" i="30"/>
  <c r="H4348" i="30"/>
  <c r="H4344" i="30"/>
  <c r="H4340" i="30"/>
  <c r="H4336" i="30"/>
  <c r="H4332" i="30"/>
  <c r="H4328" i="30"/>
  <c r="H4324" i="30"/>
  <c r="H4320" i="30"/>
  <c r="H4316" i="30"/>
  <c r="H4312" i="30"/>
  <c r="H4308" i="30"/>
  <c r="H4304" i="30"/>
  <c r="H4300" i="30"/>
  <c r="H4296" i="30"/>
  <c r="H4292" i="30"/>
  <c r="H4288" i="30"/>
  <c r="H4284" i="30"/>
  <c r="H4280" i="30"/>
  <c r="H4276" i="30"/>
  <c r="H4272" i="30"/>
  <c r="H4268" i="30"/>
  <c r="H4264" i="30"/>
  <c r="H4260" i="30"/>
  <c r="H4256" i="30"/>
  <c r="H4252" i="30"/>
  <c r="H4248" i="30"/>
  <c r="H4244" i="30"/>
  <c r="H4240" i="30"/>
  <c r="H4236" i="30"/>
  <c r="H4232" i="30"/>
  <c r="H4228" i="30"/>
  <c r="H4224" i="30"/>
  <c r="H4220" i="30"/>
  <c r="H4216" i="30"/>
  <c r="H4212" i="30"/>
  <c r="H4208" i="30"/>
  <c r="H4204" i="30"/>
  <c r="H4200" i="30"/>
  <c r="H4196" i="30"/>
  <c r="H4192" i="30"/>
  <c r="H4188" i="30"/>
  <c r="H4184" i="30"/>
  <c r="H4180" i="30"/>
  <c r="H4176" i="30"/>
  <c r="H4172" i="30"/>
  <c r="H4168" i="30"/>
  <c r="H4164" i="30"/>
  <c r="H4160" i="30"/>
  <c r="H4156" i="30"/>
  <c r="H4152" i="30"/>
  <c r="H4148" i="30"/>
  <c r="H4144" i="30"/>
  <c r="H4140" i="30"/>
  <c r="H4136" i="30"/>
  <c r="H4132" i="30"/>
  <c r="H4128" i="30"/>
  <c r="H4124" i="30"/>
  <c r="H4120" i="30"/>
  <c r="H4116" i="30"/>
  <c r="H4112" i="30"/>
  <c r="H4108" i="30"/>
  <c r="H4104" i="30"/>
  <c r="H4100" i="30"/>
  <c r="H4096" i="30"/>
  <c r="H4092" i="30"/>
  <c r="H4088" i="30"/>
  <c r="H4084" i="30"/>
  <c r="H4080" i="30"/>
  <c r="H4076" i="30"/>
  <c r="H4072" i="30"/>
  <c r="H4068" i="30"/>
  <c r="H4064" i="30"/>
  <c r="H4060" i="30"/>
  <c r="H4056" i="30"/>
  <c r="H4052" i="30"/>
  <c r="H4048" i="30"/>
  <c r="H4044" i="30"/>
  <c r="H4040" i="30"/>
  <c r="H4036" i="30"/>
  <c r="H4032" i="30"/>
  <c r="H4028" i="30"/>
  <c r="H4024" i="30"/>
  <c r="H4020" i="30"/>
  <c r="H4013" i="30"/>
  <c r="H4005" i="30"/>
  <c r="H3997" i="30"/>
  <c r="H3989" i="30"/>
  <c r="H3981" i="30"/>
  <c r="H3973" i="30"/>
  <c r="H3965" i="30"/>
  <c r="H3957" i="30"/>
  <c r="H3949" i="30"/>
  <c r="H3941" i="30"/>
  <c r="H3933" i="30"/>
  <c r="H3925" i="30"/>
  <c r="H3917" i="30"/>
  <c r="H3909" i="30"/>
  <c r="H3901" i="30"/>
  <c r="H3893" i="30"/>
  <c r="H3885" i="30"/>
  <c r="H3877" i="30"/>
  <c r="H3869" i="30"/>
  <c r="H3861" i="30"/>
  <c r="H3853" i="30"/>
  <c r="H3845" i="30"/>
  <c r="H3837" i="30"/>
  <c r="H3829" i="30"/>
  <c r="H3821" i="30"/>
  <c r="H3813" i="30"/>
  <c r="H3805" i="30"/>
  <c r="H3797" i="30"/>
  <c r="H3789" i="30"/>
  <c r="H3781" i="30"/>
  <c r="H3773" i="30"/>
  <c r="H3765" i="30"/>
  <c r="H3757" i="30"/>
  <c r="H3749" i="30"/>
  <c r="H3741" i="30"/>
  <c r="H3733" i="30"/>
  <c r="H3725" i="30"/>
  <c r="H3717" i="30"/>
  <c r="H3709" i="30"/>
  <c r="H3701" i="30"/>
  <c r="H3693" i="30"/>
  <c r="H3685" i="30"/>
  <c r="H3677" i="30"/>
  <c r="H3669" i="30"/>
  <c r="H3661" i="30"/>
  <c r="H3653" i="30"/>
  <c r="H3645" i="30"/>
  <c r="H3637" i="30"/>
  <c r="H3629" i="30"/>
  <c r="H3621" i="30"/>
  <c r="H3613" i="30"/>
  <c r="H3605" i="30"/>
  <c r="H3597" i="30"/>
  <c r="H3589" i="30"/>
  <c r="H3581" i="30"/>
  <c r="H3573" i="30"/>
  <c r="H3565" i="30"/>
  <c r="H3557" i="30"/>
  <c r="H3549" i="30"/>
  <c r="H3541" i="30"/>
  <c r="H3533" i="30"/>
  <c r="H3525" i="30"/>
  <c r="H3517" i="30"/>
  <c r="H3509" i="30"/>
  <c r="H3501" i="30"/>
  <c r="H3493" i="30"/>
  <c r="H3485" i="30"/>
  <c r="H3477" i="30"/>
  <c r="H3469" i="30"/>
  <c r="H3461" i="30"/>
  <c r="H3453" i="30"/>
  <c r="H3445" i="30"/>
  <c r="H3437" i="30"/>
  <c r="H3429" i="30"/>
  <c r="H3421" i="30"/>
  <c r="H3413" i="30"/>
  <c r="H3405" i="30"/>
  <c r="H3397" i="30"/>
  <c r="H3389" i="30"/>
  <c r="H3381" i="30"/>
  <c r="H3373" i="30"/>
  <c r="H3365" i="30"/>
  <c r="H3357" i="30"/>
  <c r="H3349" i="30"/>
  <c r="H3341" i="30"/>
  <c r="H3333" i="30"/>
  <c r="H3325" i="30"/>
  <c r="H3317" i="30"/>
  <c r="H3309" i="30"/>
  <c r="H3301" i="30"/>
  <c r="H3293" i="30"/>
  <c r="H3285" i="30"/>
  <c r="H3277" i="30"/>
  <c r="H3269" i="30"/>
  <c r="H3261" i="30"/>
  <c r="H3253" i="30"/>
  <c r="H3245" i="30"/>
  <c r="H3237" i="30"/>
  <c r="H3229" i="30"/>
  <c r="H3221" i="30"/>
  <c r="H3213" i="30"/>
  <c r="H3205" i="30"/>
  <c r="H3197" i="30"/>
  <c r="H3189" i="30"/>
  <c r="H3181" i="30"/>
  <c r="H3173" i="30"/>
  <c r="H3165" i="30"/>
  <c r="H3157" i="30"/>
  <c r="H3149" i="30"/>
  <c r="H3141" i="30"/>
  <c r="H3133" i="30"/>
  <c r="H3125" i="30"/>
  <c r="H3117" i="30"/>
  <c r="H3109" i="30"/>
  <c r="H3101" i="30"/>
  <c r="H3093" i="30"/>
  <c r="H3085" i="30"/>
  <c r="H3077" i="30"/>
  <c r="H3069" i="30"/>
  <c r="H3061" i="30"/>
  <c r="H3053" i="30"/>
  <c r="H3045" i="30"/>
  <c r="H3037" i="30"/>
  <c r="H3029" i="30"/>
  <c r="H3021" i="30"/>
  <c r="H3013" i="30"/>
  <c r="H3005" i="30"/>
  <c r="H2997" i="30"/>
  <c r="H2989" i="30"/>
  <c r="H2981" i="30"/>
  <c r="H2973" i="30"/>
  <c r="H2965" i="30"/>
  <c r="H2957" i="30"/>
  <c r="H2949" i="30"/>
  <c r="H2941" i="30"/>
  <c r="H2933" i="30"/>
  <c r="H2925" i="30"/>
  <c r="H2917" i="30"/>
  <c r="H2909" i="30"/>
  <c r="H2901" i="30"/>
  <c r="H2893" i="30"/>
  <c r="H2885" i="30"/>
  <c r="H2877" i="30"/>
  <c r="H2869" i="30"/>
  <c r="H2861" i="30"/>
  <c r="H2853" i="30"/>
  <c r="H2845" i="30"/>
  <c r="H2837" i="30"/>
  <c r="H2829" i="30"/>
  <c r="H2821" i="30"/>
  <c r="H2813" i="30"/>
  <c r="H2805" i="30"/>
  <c r="H2797" i="30"/>
  <c r="H2789" i="30"/>
  <c r="H2781" i="30"/>
  <c r="H2773" i="30"/>
  <c r="H2765" i="30"/>
  <c r="H2757" i="30"/>
  <c r="H2749" i="30"/>
  <c r="H2741" i="30"/>
  <c r="H2733" i="30"/>
  <c r="H2725" i="30"/>
  <c r="H2717" i="30"/>
  <c r="H2709" i="30"/>
  <c r="H2701" i="30"/>
  <c r="H2693" i="30"/>
  <c r="H2685" i="30"/>
  <c r="H2677" i="30"/>
  <c r="H2669" i="30"/>
  <c r="H2661" i="30"/>
  <c r="H2653" i="30"/>
  <c r="H2645" i="30"/>
  <c r="H2637" i="30"/>
  <c r="H2629" i="30"/>
  <c r="H2621" i="30"/>
  <c r="H2613" i="30"/>
  <c r="H2605" i="30"/>
  <c r="H2597" i="30"/>
  <c r="H2589" i="30"/>
  <c r="H2581" i="30"/>
  <c r="H2573" i="30"/>
  <c r="H2565" i="30"/>
  <c r="H2557" i="30"/>
  <c r="H2549" i="30"/>
  <c r="H2541" i="30"/>
  <c r="H2533" i="30"/>
  <c r="H2525" i="30"/>
  <c r="H2517" i="30"/>
  <c r="H2509" i="30"/>
  <c r="H2501" i="30"/>
  <c r="H2493" i="30"/>
  <c r="H2485" i="30"/>
  <c r="H2477" i="30"/>
  <c r="H2469" i="30"/>
  <c r="H2461" i="30"/>
  <c r="H2453" i="30"/>
  <c r="H2445" i="30"/>
  <c r="H2437" i="30"/>
  <c r="H2429" i="30"/>
  <c r="H2421" i="30"/>
  <c r="H2413" i="30"/>
  <c r="H2405" i="30"/>
  <c r="H2397" i="30"/>
  <c r="H2389" i="30"/>
  <c r="H2381" i="30"/>
  <c r="H2373" i="30"/>
  <c r="H2365" i="30"/>
  <c r="H2357" i="30"/>
  <c r="H2349" i="30"/>
  <c r="H2341" i="30"/>
  <c r="H2333" i="30"/>
  <c r="H2325" i="30"/>
  <c r="H2317" i="30"/>
  <c r="H2309" i="30"/>
  <c r="H2301" i="30"/>
  <c r="H2293" i="30"/>
  <c r="H2285" i="30"/>
  <c r="H2277" i="30"/>
  <c r="H2269" i="30"/>
  <c r="H2261" i="30"/>
  <c r="H2253" i="30"/>
  <c r="H2245" i="30"/>
  <c r="H2237" i="30"/>
  <c r="H2229" i="30"/>
  <c r="H2221" i="30"/>
  <c r="H2213" i="30"/>
  <c r="H2205" i="30"/>
  <c r="H2197" i="30"/>
  <c r="H2189" i="30"/>
  <c r="H2181" i="30"/>
  <c r="H2173" i="30"/>
  <c r="H2165" i="30"/>
  <c r="H2157" i="30"/>
  <c r="H2149" i="30"/>
  <c r="H2141" i="30"/>
  <c r="H2133" i="30"/>
  <c r="H2125" i="30"/>
  <c r="H2117" i="30"/>
  <c r="H2109" i="30"/>
  <c r="H2101" i="30"/>
  <c r="H2093" i="30"/>
  <c r="H2085" i="30"/>
  <c r="H2077" i="30"/>
  <c r="H2069" i="30"/>
  <c r="H2061" i="30"/>
  <c r="H2053" i="30"/>
  <c r="H2045" i="30"/>
  <c r="H2037" i="30"/>
  <c r="H2029" i="30"/>
  <c r="H2021" i="30"/>
  <c r="H2013" i="30"/>
  <c r="H2005" i="30"/>
  <c r="H1997" i="30"/>
  <c r="H1989" i="30"/>
  <c r="H1981" i="30"/>
  <c r="H1973" i="30"/>
  <c r="H1959" i="30"/>
  <c r="H1943" i="30"/>
  <c r="H1927" i="30"/>
  <c r="H1911" i="30"/>
  <c r="H1895" i="30"/>
  <c r="H1879" i="30"/>
  <c r="H1863" i="30"/>
  <c r="H1847" i="30"/>
  <c r="H1831" i="30"/>
  <c r="H1815" i="30"/>
  <c r="H1799" i="30"/>
  <c r="H1783" i="30"/>
  <c r="H1767" i="30"/>
  <c r="H1751" i="30"/>
  <c r="H1735" i="30"/>
  <c r="H1719" i="30"/>
  <c r="H1703" i="30"/>
  <c r="H1687" i="30"/>
  <c r="H1671" i="30"/>
  <c r="H1655" i="30"/>
  <c r="H1639" i="30"/>
  <c r="H1623" i="30"/>
  <c r="H1607" i="30"/>
  <c r="H1591" i="30"/>
  <c r="H1575" i="30"/>
  <c r="H1559" i="30"/>
  <c r="H1543" i="30"/>
  <c r="H1527" i="30"/>
  <c r="H1511" i="30"/>
  <c r="H1495" i="30"/>
  <c r="H1479" i="30"/>
  <c r="H1463" i="30"/>
  <c r="H1447" i="30"/>
  <c r="H1431" i="30"/>
  <c r="H1415" i="30"/>
  <c r="H1399" i="30"/>
  <c r="H1383" i="30"/>
  <c r="H1367" i="30"/>
  <c r="H1351" i="30"/>
  <c r="H1335" i="30"/>
  <c r="H1319" i="30"/>
  <c r="H1303" i="30"/>
  <c r="H1287" i="30"/>
  <c r="H1271" i="30"/>
  <c r="H1255" i="30"/>
  <c r="H1239" i="30"/>
  <c r="H1223" i="30"/>
  <c r="H1207" i="30"/>
  <c r="H1191" i="30"/>
  <c r="H1175" i="30"/>
  <c r="H1159" i="30"/>
  <c r="H1143" i="30"/>
  <c r="H1127" i="30"/>
  <c r="H1111" i="30"/>
  <c r="H1095" i="30"/>
  <c r="H1079" i="30"/>
  <c r="H1063" i="30"/>
  <c r="H1047" i="30"/>
  <c r="H1031" i="30"/>
  <c r="H1015" i="30"/>
  <c r="H999" i="30"/>
  <c r="H983" i="30"/>
  <c r="H967" i="30"/>
  <c r="H951" i="30"/>
  <c r="H922" i="30"/>
  <c r="H890" i="30"/>
  <c r="H858" i="30"/>
  <c r="H826" i="30"/>
  <c r="H794" i="30"/>
  <c r="H762" i="30"/>
  <c r="H730" i="30"/>
  <c r="H698" i="30"/>
  <c r="H666" i="30"/>
  <c r="H634" i="30"/>
  <c r="H602" i="30"/>
  <c r="H570" i="30"/>
  <c r="H538" i="30"/>
  <c r="H506" i="30"/>
  <c r="H474" i="30"/>
  <c r="H442" i="30"/>
  <c r="H384" i="30"/>
  <c r="H320" i="30"/>
  <c r="H256" i="30"/>
  <c r="H192" i="30"/>
  <c r="H75" i="30"/>
  <c r="L30" i="30" l="1"/>
  <c r="M30" i="30" s="1"/>
  <c r="N30" i="30" s="1"/>
  <c r="L28" i="30"/>
  <c r="M28" i="30" s="1"/>
  <c r="N28" i="30" s="1"/>
  <c r="L29" i="30"/>
  <c r="M29" i="30" s="1"/>
  <c r="N29" i="30" s="1"/>
  <c r="L27" i="30"/>
  <c r="M27" i="30" s="1"/>
  <c r="N23" i="30"/>
  <c r="N22" i="30"/>
  <c r="N21" i="30"/>
  <c r="N20" i="30"/>
  <c r="N27" i="30" l="1"/>
  <c r="V28" i="30" s="1"/>
  <c r="H20" i="27" l="1"/>
  <c r="H19" i="27"/>
  <c r="H18" i="27"/>
  <c r="H17" i="27"/>
  <c r="I20" i="27"/>
  <c r="J20" i="27" s="1"/>
  <c r="K20" i="27" s="1"/>
  <c r="I19" i="27"/>
  <c r="J19" i="27" s="1"/>
  <c r="K19" i="27" s="1"/>
  <c r="I18" i="27"/>
  <c r="J18" i="27" s="1"/>
  <c r="K18" i="27" s="1"/>
  <c r="I17" i="27"/>
  <c r="J17" i="27" s="1"/>
  <c r="K17" i="27" s="1"/>
  <c r="K33" i="6" l="1"/>
  <c r="J33" i="6"/>
  <c r="I33" i="6"/>
  <c r="H33" i="6"/>
  <c r="G33" i="6"/>
  <c r="F33" i="6"/>
  <c r="E33" i="6"/>
  <c r="D33" i="6"/>
  <c r="C33" i="6"/>
  <c r="B33" i="6"/>
  <c r="M13" i="8"/>
  <c r="D11" i="12" a="1"/>
  <c r="D11" i="12" s="1"/>
  <c r="B110" i="8"/>
  <c r="L110" i="8"/>
  <c r="K110" i="8"/>
  <c r="J110" i="8"/>
  <c r="I110" i="8"/>
  <c r="H110" i="8"/>
  <c r="G110" i="8"/>
  <c r="F110" i="8"/>
  <c r="E110" i="8"/>
  <c r="D110" i="8"/>
  <c r="C110" i="8"/>
  <c r="L109" i="8"/>
  <c r="K109" i="8"/>
  <c r="J109" i="8"/>
  <c r="I109" i="8"/>
  <c r="H109" i="8"/>
  <c r="G109" i="8"/>
  <c r="F109" i="8"/>
  <c r="E109" i="8"/>
  <c r="D109" i="8"/>
  <c r="C109" i="8"/>
  <c r="L108" i="8"/>
  <c r="K108" i="8"/>
  <c r="J108" i="8"/>
  <c r="I108" i="8"/>
  <c r="H108" i="8"/>
  <c r="G108" i="8"/>
  <c r="F108" i="8"/>
  <c r="E108" i="8"/>
  <c r="D108" i="8"/>
  <c r="C108" i="8"/>
  <c r="L107" i="8"/>
  <c r="K107" i="8"/>
  <c r="J107" i="8"/>
  <c r="I107" i="8"/>
  <c r="H107" i="8"/>
  <c r="G107" i="8"/>
  <c r="F107" i="8"/>
  <c r="E107" i="8"/>
  <c r="D107" i="8"/>
  <c r="C107" i="8"/>
  <c r="L106" i="8"/>
  <c r="K106" i="8"/>
  <c r="J106" i="8"/>
  <c r="I106" i="8"/>
  <c r="H106" i="8"/>
  <c r="G106" i="8"/>
  <c r="F106" i="8"/>
  <c r="E106" i="8"/>
  <c r="D106" i="8"/>
  <c r="C106" i="8"/>
  <c r="L105" i="8"/>
  <c r="K105" i="8"/>
  <c r="J105" i="8"/>
  <c r="I105" i="8"/>
  <c r="H105" i="8"/>
  <c r="G105" i="8"/>
  <c r="F105" i="8"/>
  <c r="E105" i="8"/>
  <c r="D105" i="8"/>
  <c r="C105" i="8"/>
  <c r="L104" i="8"/>
  <c r="L111" i="8" s="1"/>
  <c r="K104" i="8"/>
  <c r="K111" i="8" s="1"/>
  <c r="J104" i="8"/>
  <c r="J111" i="8" s="1"/>
  <c r="I104" i="8"/>
  <c r="I111" i="8" s="1"/>
  <c r="H104" i="8"/>
  <c r="H111" i="8" s="1"/>
  <c r="G104" i="8"/>
  <c r="G111" i="8" s="1"/>
  <c r="F104" i="8"/>
  <c r="F111" i="8" s="1"/>
  <c r="E104" i="8"/>
  <c r="E111" i="8" s="1"/>
  <c r="D104" i="8"/>
  <c r="D111" i="8" s="1"/>
  <c r="C104" i="8"/>
  <c r="C111" i="8" s="1"/>
  <c r="L100" i="8"/>
  <c r="K100" i="8"/>
  <c r="J100" i="8"/>
  <c r="I100" i="8"/>
  <c r="H100" i="8"/>
  <c r="G100" i="8"/>
  <c r="F100" i="8"/>
  <c r="E100" i="8"/>
  <c r="D100" i="8"/>
  <c r="C100" i="8"/>
  <c r="L99" i="8"/>
  <c r="K99" i="8"/>
  <c r="J99" i="8"/>
  <c r="I99" i="8"/>
  <c r="H99" i="8"/>
  <c r="G99" i="8"/>
  <c r="F99" i="8"/>
  <c r="E99" i="8"/>
  <c r="D99" i="8"/>
  <c r="C99" i="8"/>
  <c r="L98" i="8"/>
  <c r="K98" i="8"/>
  <c r="J98" i="8"/>
  <c r="I98" i="8"/>
  <c r="H98" i="8"/>
  <c r="G98" i="8"/>
  <c r="F98" i="8"/>
  <c r="E98" i="8"/>
  <c r="D98" i="8"/>
  <c r="C98" i="8"/>
  <c r="L97" i="8"/>
  <c r="K97" i="8"/>
  <c r="J97" i="8"/>
  <c r="I97" i="8"/>
  <c r="H97" i="8"/>
  <c r="G97" i="8"/>
  <c r="F97" i="8"/>
  <c r="E97" i="8"/>
  <c r="D97" i="8"/>
  <c r="C97" i="8"/>
  <c r="L96" i="8"/>
  <c r="K96" i="8"/>
  <c r="J96" i="8"/>
  <c r="I96" i="8"/>
  <c r="H96" i="8"/>
  <c r="G96" i="8"/>
  <c r="F96" i="8"/>
  <c r="E96" i="8"/>
  <c r="D96" i="8"/>
  <c r="C96" i="8"/>
  <c r="L95" i="8"/>
  <c r="K95" i="8"/>
  <c r="J95" i="8"/>
  <c r="I95" i="8"/>
  <c r="H95" i="8"/>
  <c r="G95" i="8"/>
  <c r="F95" i="8"/>
  <c r="E95" i="8"/>
  <c r="D95" i="8"/>
  <c r="C95" i="8"/>
  <c r="L94" i="8"/>
  <c r="K94" i="8"/>
  <c r="J94" i="8"/>
  <c r="I94" i="8"/>
  <c r="H94" i="8"/>
  <c r="G94" i="8"/>
  <c r="F94" i="8"/>
  <c r="E94" i="8"/>
  <c r="D94" i="8"/>
  <c r="C94" i="8"/>
  <c r="L93" i="8"/>
  <c r="K93" i="8"/>
  <c r="J93" i="8"/>
  <c r="I93" i="8"/>
  <c r="H93" i="8"/>
  <c r="G93" i="8"/>
  <c r="F93" i="8"/>
  <c r="E93" i="8"/>
  <c r="D93" i="8"/>
  <c r="C93" i="8"/>
  <c r="L92" i="8"/>
  <c r="K92" i="8"/>
  <c r="J92" i="8"/>
  <c r="I92" i="8"/>
  <c r="H92" i="8"/>
  <c r="G92" i="8"/>
  <c r="F92" i="8"/>
  <c r="E92" i="8"/>
  <c r="D92" i="8"/>
  <c r="C92" i="8"/>
  <c r="L91" i="8"/>
  <c r="L101" i="8" s="1"/>
  <c r="K91" i="8"/>
  <c r="K101" i="8" s="1"/>
  <c r="J91" i="8"/>
  <c r="J101" i="8" s="1"/>
  <c r="I91" i="8"/>
  <c r="I101" i="8" s="1"/>
  <c r="H91" i="8"/>
  <c r="H101" i="8" s="1"/>
  <c r="G91" i="8"/>
  <c r="G101" i="8" s="1"/>
  <c r="F91" i="8"/>
  <c r="F101" i="8" s="1"/>
  <c r="E91" i="8"/>
  <c r="E101" i="8" s="1"/>
  <c r="D91" i="8"/>
  <c r="D101" i="8" s="1"/>
  <c r="C91" i="8"/>
  <c r="C101" i="8" s="1"/>
  <c r="L87" i="8"/>
  <c r="K87" i="8"/>
  <c r="J87" i="8"/>
  <c r="I87" i="8"/>
  <c r="H87" i="8"/>
  <c r="G87" i="8"/>
  <c r="F87" i="8"/>
  <c r="E87" i="8"/>
  <c r="D87" i="8"/>
  <c r="C87" i="8"/>
  <c r="L86" i="8"/>
  <c r="K86" i="8"/>
  <c r="J86" i="8"/>
  <c r="I86" i="8"/>
  <c r="H86" i="8"/>
  <c r="G86" i="8"/>
  <c r="F86" i="8"/>
  <c r="E86" i="8"/>
  <c r="D86" i="8"/>
  <c r="C86" i="8"/>
  <c r="L85" i="8"/>
  <c r="K85" i="8"/>
  <c r="J85" i="8"/>
  <c r="I85" i="8"/>
  <c r="H85" i="8"/>
  <c r="G85" i="8"/>
  <c r="F85" i="8"/>
  <c r="E85" i="8"/>
  <c r="D85" i="8"/>
  <c r="C85" i="8"/>
  <c r="L84" i="8"/>
  <c r="K84" i="8"/>
  <c r="J84" i="8"/>
  <c r="I84" i="8"/>
  <c r="H84" i="8"/>
  <c r="G84" i="8"/>
  <c r="F84" i="8"/>
  <c r="E84" i="8"/>
  <c r="D84" i="8"/>
  <c r="C84" i="8"/>
  <c r="L83" i="8"/>
  <c r="K83" i="8"/>
  <c r="J83" i="8"/>
  <c r="I83" i="8"/>
  <c r="H83" i="8"/>
  <c r="G83" i="8"/>
  <c r="F83" i="8"/>
  <c r="E83" i="8"/>
  <c r="D83" i="8"/>
  <c r="C83" i="8"/>
  <c r="L82" i="8"/>
  <c r="K82" i="8"/>
  <c r="J82" i="8"/>
  <c r="I82" i="8"/>
  <c r="H82" i="8"/>
  <c r="G82" i="8"/>
  <c r="F82" i="8"/>
  <c r="E82" i="8"/>
  <c r="D82" i="8"/>
  <c r="C82" i="8"/>
  <c r="L81" i="8"/>
  <c r="L88" i="8" s="1"/>
  <c r="K81" i="8"/>
  <c r="K88" i="8" s="1"/>
  <c r="J81" i="8"/>
  <c r="J88" i="8" s="1"/>
  <c r="I81" i="8"/>
  <c r="I88" i="8" s="1"/>
  <c r="H81" i="8"/>
  <c r="H88" i="8" s="1"/>
  <c r="G81" i="8"/>
  <c r="G88" i="8" s="1"/>
  <c r="F81" i="8"/>
  <c r="F88" i="8" s="1"/>
  <c r="E81" i="8"/>
  <c r="E88" i="8" s="1"/>
  <c r="D81" i="8"/>
  <c r="D88" i="8" s="1"/>
  <c r="C81" i="8"/>
  <c r="C88" i="8" s="1"/>
  <c r="B109" i="8"/>
  <c r="B108" i="8"/>
  <c r="B107" i="8"/>
  <c r="B106" i="8"/>
  <c r="B105" i="8"/>
  <c r="B104" i="8"/>
  <c r="B100" i="8"/>
  <c r="B88" i="8"/>
  <c r="B99" i="8"/>
  <c r="B98" i="8"/>
  <c r="B97" i="8"/>
  <c r="B96" i="8"/>
  <c r="B95" i="8"/>
  <c r="B94" i="8"/>
  <c r="B93" i="8"/>
  <c r="B92" i="8"/>
  <c r="B91" i="8"/>
  <c r="B87" i="8"/>
  <c r="B86" i="8"/>
  <c r="B85" i="8"/>
  <c r="B84" i="8"/>
  <c r="B83" i="8"/>
  <c r="B82" i="8"/>
  <c r="B81" i="8"/>
  <c r="D113" i="8" l="1"/>
  <c r="F113" i="8"/>
  <c r="H113" i="8"/>
  <c r="J113" i="8"/>
  <c r="L113" i="8"/>
  <c r="C113" i="8"/>
  <c r="E113" i="8"/>
  <c r="G113" i="8"/>
  <c r="I113" i="8"/>
  <c r="K113" i="8"/>
  <c r="D18" i="12"/>
  <c r="D16" i="12"/>
  <c r="D14" i="12"/>
  <c r="D12" i="12"/>
  <c r="D20" i="12"/>
  <c r="D19" i="12"/>
  <c r="D17" i="12"/>
  <c r="D15" i="12"/>
  <c r="D13" i="12"/>
  <c r="D21" i="12" l="1"/>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50" i="14"/>
  <c r="D49" i="14" l="1"/>
  <c r="G18" i="25"/>
  <c r="G17" i="25"/>
  <c r="G16" i="25"/>
  <c r="G15" i="25"/>
  <c r="G14" i="25"/>
  <c r="P32" i="25" l="1"/>
  <c r="O32" i="25"/>
  <c r="N32" i="25"/>
  <c r="F14" i="25"/>
  <c r="F16" i="25"/>
  <c r="P16" i="25" s="1"/>
  <c r="F18" i="25"/>
  <c r="F15" i="25"/>
  <c r="P15" i="25" s="1"/>
  <c r="F17" i="25"/>
  <c r="P17" i="25" s="1"/>
  <c r="H15" i="25" l="1"/>
  <c r="N15" i="25" s="1"/>
  <c r="H16" i="25"/>
  <c r="H17" i="25"/>
  <c r="O17" i="25" s="1"/>
  <c r="H18" i="25"/>
  <c r="P18" i="25"/>
  <c r="H14" i="25"/>
  <c r="P14" i="25"/>
  <c r="N17" i="25" l="1"/>
  <c r="P24" i="25"/>
  <c r="P33" i="25" s="1"/>
  <c r="P31" i="25" s="1"/>
  <c r="P23" i="25"/>
  <c r="O15" i="25"/>
  <c r="P26" i="25"/>
  <c r="P25" i="25"/>
  <c r="P22" i="25"/>
  <c r="P21" i="25"/>
  <c r="O14" i="25"/>
  <c r="N14" i="25"/>
  <c r="O18" i="25"/>
  <c r="N18" i="25"/>
  <c r="O16" i="25"/>
  <c r="N16" i="25"/>
  <c r="O24" i="25" l="1"/>
  <c r="O31" i="25" s="1"/>
  <c r="O33" i="25" s="1"/>
  <c r="O23" i="25"/>
  <c r="N24" i="25"/>
  <c r="N31" i="25" s="1"/>
  <c r="N33" i="25" s="1"/>
  <c r="N36" i="25" s="1"/>
  <c r="N23" i="25"/>
  <c r="N22" i="25"/>
  <c r="P36" i="25"/>
  <c r="P38" i="25" s="1"/>
  <c r="N25" i="25"/>
  <c r="N21" i="25"/>
  <c r="N26" i="25"/>
  <c r="O26" i="25"/>
  <c r="O25" i="25"/>
  <c r="O36" i="25"/>
  <c r="O38" i="25" s="1"/>
  <c r="O22" i="25"/>
  <c r="O21" i="25"/>
  <c r="N38" i="25" l="1"/>
  <c r="K15" i="22" l="1"/>
  <c r="I15" i="22"/>
  <c r="H15" i="22" l="1"/>
  <c r="J15" i="22"/>
  <c r="B59" i="22"/>
  <c r="B58" i="22"/>
  <c r="D27" i="23" l="1"/>
  <c r="E27" i="23" s="1"/>
  <c r="G20" i="22"/>
  <c r="J20" i="22"/>
  <c r="J22" i="22" s="1"/>
  <c r="K20" i="22"/>
  <c r="I20" i="22"/>
  <c r="G15" i="22"/>
  <c r="H20" i="22"/>
  <c r="G22" i="22" l="1"/>
  <c r="G38" i="22" s="1"/>
  <c r="F27" i="23"/>
  <c r="G27" i="23" s="1"/>
  <c r="H27" i="23" s="1"/>
  <c r="I27" i="23" s="1"/>
  <c r="E18" i="23"/>
  <c r="F18" i="23" s="1"/>
  <c r="G18" i="23" s="1"/>
  <c r="H18" i="23" s="1"/>
  <c r="I18" i="23" s="1"/>
  <c r="I22" i="22"/>
  <c r="K22" i="22"/>
  <c r="K50" i="22" s="1"/>
  <c r="H22" i="22"/>
  <c r="H46" i="22" s="1"/>
  <c r="J38" i="22"/>
  <c r="H50" i="22" l="1"/>
  <c r="I38" i="22"/>
  <c r="I50" i="22"/>
  <c r="J50" i="22"/>
  <c r="H38" i="22"/>
  <c r="K38" i="22"/>
  <c r="K76" i="6"/>
  <c r="J76" i="6"/>
  <c r="I76" i="6"/>
  <c r="H76" i="6"/>
  <c r="G76" i="6"/>
  <c r="F76" i="6"/>
  <c r="E76" i="6"/>
  <c r="D76" i="6"/>
  <c r="C76" i="6"/>
  <c r="B76" i="6"/>
  <c r="L45" i="19"/>
  <c r="J77" i="6"/>
  <c r="K45" i="19" s="1"/>
  <c r="I77" i="6"/>
  <c r="J45" i="19" s="1"/>
  <c r="H77" i="6"/>
  <c r="I44" i="19" s="1"/>
  <c r="G77" i="6"/>
  <c r="H45" i="19" s="1"/>
  <c r="F77" i="6"/>
  <c r="G45" i="19" s="1"/>
  <c r="E77" i="6"/>
  <c r="F45" i="19" s="1"/>
  <c r="D77" i="6"/>
  <c r="E44" i="19" s="1"/>
  <c r="C77" i="6"/>
  <c r="D45" i="19" s="1"/>
  <c r="B77" i="6"/>
  <c r="C45" i="19" s="1"/>
  <c r="L41" i="19"/>
  <c r="K41" i="19"/>
  <c r="J41" i="19"/>
  <c r="I41" i="19"/>
  <c r="H41" i="19"/>
  <c r="G41" i="19"/>
  <c r="F41" i="19"/>
  <c r="E41" i="19"/>
  <c r="D41" i="19"/>
  <c r="C41" i="19"/>
  <c r="L40" i="19"/>
  <c r="K40" i="19"/>
  <c r="J40" i="19"/>
  <c r="I40" i="19"/>
  <c r="H40" i="19"/>
  <c r="G40" i="19"/>
  <c r="F40" i="19"/>
  <c r="E40" i="19"/>
  <c r="D40" i="19"/>
  <c r="C40" i="19"/>
  <c r="L39" i="19"/>
  <c r="K39" i="19"/>
  <c r="J39" i="19"/>
  <c r="I39" i="19"/>
  <c r="H39" i="19"/>
  <c r="G39" i="19"/>
  <c r="F39" i="19"/>
  <c r="E39" i="19"/>
  <c r="D39" i="19"/>
  <c r="C39" i="19"/>
  <c r="L26" i="19"/>
  <c r="L25" i="19"/>
  <c r="L24" i="19"/>
  <c r="L23" i="19"/>
  <c r="L22" i="19"/>
  <c r="L21" i="19"/>
  <c r="L20" i="19"/>
  <c r="L19" i="19"/>
  <c r="L18" i="19"/>
  <c r="L17" i="19"/>
  <c r="L16" i="19"/>
  <c r="L15" i="19"/>
  <c r="L14" i="19"/>
  <c r="L13" i="19"/>
  <c r="L12" i="19"/>
  <c r="L11" i="19"/>
  <c r="C12" i="19"/>
  <c r="C13" i="19"/>
  <c r="C14" i="19"/>
  <c r="C15" i="19"/>
  <c r="C16" i="19"/>
  <c r="C17" i="19"/>
  <c r="C18" i="19"/>
  <c r="C19" i="19"/>
  <c r="C20" i="19"/>
  <c r="C21" i="19"/>
  <c r="C22" i="19"/>
  <c r="C23" i="19"/>
  <c r="C24" i="19"/>
  <c r="C25" i="19"/>
  <c r="L36" i="19"/>
  <c r="K36" i="19"/>
  <c r="J36" i="19"/>
  <c r="I36" i="19"/>
  <c r="H36" i="19"/>
  <c r="G36" i="19"/>
  <c r="F36" i="19"/>
  <c r="E36" i="19"/>
  <c r="D36" i="19"/>
  <c r="C36" i="19"/>
  <c r="L35" i="19"/>
  <c r="K35" i="19"/>
  <c r="J35" i="19"/>
  <c r="I35" i="19"/>
  <c r="H35" i="19"/>
  <c r="G35" i="19"/>
  <c r="F35" i="19"/>
  <c r="E35" i="19"/>
  <c r="D35" i="19"/>
  <c r="C35" i="19"/>
  <c r="L34" i="19"/>
  <c r="K34" i="19"/>
  <c r="J34" i="19"/>
  <c r="I34" i="19"/>
  <c r="H34" i="19"/>
  <c r="G34" i="19"/>
  <c r="F34" i="19"/>
  <c r="E34" i="19"/>
  <c r="D34" i="19"/>
  <c r="C34" i="19"/>
  <c r="L33" i="19"/>
  <c r="K33" i="19"/>
  <c r="J33" i="19"/>
  <c r="I33" i="19"/>
  <c r="H33" i="19"/>
  <c r="G33" i="19"/>
  <c r="F33" i="19"/>
  <c r="E33" i="19"/>
  <c r="D33" i="19"/>
  <c r="C33" i="19"/>
  <c r="L32" i="19"/>
  <c r="K32" i="19"/>
  <c r="J32" i="19"/>
  <c r="I32" i="19"/>
  <c r="H32" i="19"/>
  <c r="G32" i="19"/>
  <c r="F32" i="19"/>
  <c r="E32" i="19"/>
  <c r="D32" i="19"/>
  <c r="C32" i="19"/>
  <c r="B45" i="19"/>
  <c r="B44" i="19"/>
  <c r="B43" i="19"/>
  <c r="B42" i="19"/>
  <c r="B41" i="19"/>
  <c r="B39" i="19"/>
  <c r="B36" i="19"/>
  <c r="B35" i="19"/>
  <c r="B34" i="19"/>
  <c r="B33" i="19"/>
  <c r="B28" i="19"/>
  <c r="B7" i="19"/>
  <c r="B26" i="19"/>
  <c r="K25" i="19"/>
  <c r="J25" i="19"/>
  <c r="I25" i="19"/>
  <c r="H25" i="19"/>
  <c r="G25" i="19"/>
  <c r="F25" i="19"/>
  <c r="E25" i="19"/>
  <c r="D25" i="19"/>
  <c r="K24" i="19"/>
  <c r="J24" i="19"/>
  <c r="I24" i="19"/>
  <c r="H24" i="19"/>
  <c r="G24" i="19"/>
  <c r="F24" i="19"/>
  <c r="E24" i="19"/>
  <c r="D24" i="19"/>
  <c r="K23" i="19"/>
  <c r="J23" i="19"/>
  <c r="I23" i="19"/>
  <c r="H23" i="19"/>
  <c r="G23" i="19"/>
  <c r="F23" i="19"/>
  <c r="E23" i="19"/>
  <c r="D23" i="19"/>
  <c r="K22" i="19"/>
  <c r="J22" i="19"/>
  <c r="I22" i="19"/>
  <c r="H22" i="19"/>
  <c r="G22" i="19"/>
  <c r="F22" i="19"/>
  <c r="E22" i="19"/>
  <c r="D22" i="19"/>
  <c r="K21" i="19"/>
  <c r="J21" i="19"/>
  <c r="I21" i="19"/>
  <c r="H21" i="19"/>
  <c r="G21" i="19"/>
  <c r="F21" i="19"/>
  <c r="E21" i="19"/>
  <c r="D21" i="19"/>
  <c r="K20" i="19"/>
  <c r="J20" i="19"/>
  <c r="I20" i="19"/>
  <c r="H20" i="19"/>
  <c r="G20" i="19"/>
  <c r="F20" i="19"/>
  <c r="E20" i="19"/>
  <c r="D20" i="19"/>
  <c r="K19" i="19"/>
  <c r="J19" i="19"/>
  <c r="I19" i="19"/>
  <c r="H19" i="19"/>
  <c r="G19" i="19"/>
  <c r="F19" i="19"/>
  <c r="E19" i="19"/>
  <c r="D19" i="19"/>
  <c r="K18" i="19"/>
  <c r="J18" i="19"/>
  <c r="I18" i="19"/>
  <c r="H18" i="19"/>
  <c r="G18" i="19"/>
  <c r="F18" i="19"/>
  <c r="E18" i="19"/>
  <c r="D18" i="19"/>
  <c r="K17" i="19"/>
  <c r="J17" i="19"/>
  <c r="I17" i="19"/>
  <c r="H17" i="19"/>
  <c r="G17" i="19"/>
  <c r="F17" i="19"/>
  <c r="E17" i="19"/>
  <c r="D17" i="19"/>
  <c r="K16" i="19"/>
  <c r="J16" i="19"/>
  <c r="I16" i="19"/>
  <c r="H16" i="19"/>
  <c r="G16" i="19"/>
  <c r="F16" i="19"/>
  <c r="E16" i="19"/>
  <c r="D16" i="19"/>
  <c r="K15" i="19"/>
  <c r="J15" i="19"/>
  <c r="I15" i="19"/>
  <c r="H15" i="19"/>
  <c r="G15" i="19"/>
  <c r="F15" i="19"/>
  <c r="E15" i="19"/>
  <c r="D15" i="19"/>
  <c r="K14" i="19"/>
  <c r="J14" i="19"/>
  <c r="I14" i="19"/>
  <c r="H14" i="19"/>
  <c r="G14" i="19"/>
  <c r="F14" i="19"/>
  <c r="E14" i="19"/>
  <c r="D14" i="19"/>
  <c r="K13" i="19"/>
  <c r="J13" i="19"/>
  <c r="I13" i="19"/>
  <c r="H13" i="19"/>
  <c r="G13" i="19"/>
  <c r="F13" i="19"/>
  <c r="E13" i="19"/>
  <c r="D13" i="19"/>
  <c r="K12" i="19"/>
  <c r="J12" i="19"/>
  <c r="I12" i="19"/>
  <c r="H12" i="19"/>
  <c r="G12" i="19"/>
  <c r="F12" i="19"/>
  <c r="E12" i="19"/>
  <c r="D12" i="19"/>
  <c r="K11" i="19"/>
  <c r="J11" i="19"/>
  <c r="I11" i="19"/>
  <c r="H11" i="19"/>
  <c r="G11" i="19"/>
  <c r="F11" i="19"/>
  <c r="E11" i="19"/>
  <c r="D11" i="19"/>
  <c r="C11" i="19"/>
  <c r="B25" i="19"/>
  <c r="B24" i="19"/>
  <c r="B23" i="19"/>
  <c r="B22" i="19"/>
  <c r="B21" i="19"/>
  <c r="B20" i="19"/>
  <c r="B19" i="19"/>
  <c r="B18" i="19"/>
  <c r="B17" i="19"/>
  <c r="B16" i="19"/>
  <c r="B15" i="19"/>
  <c r="B14" i="19"/>
  <c r="B13" i="19"/>
  <c r="B12" i="19"/>
  <c r="B11" i="19"/>
  <c r="L9" i="19"/>
  <c r="L30" i="19" s="1"/>
  <c r="K9" i="19"/>
  <c r="K30" i="19" s="1"/>
  <c r="J9" i="19"/>
  <c r="J30" i="19" s="1"/>
  <c r="I9" i="19"/>
  <c r="I30" i="19" s="1"/>
  <c r="H9" i="19"/>
  <c r="H30" i="19" s="1"/>
  <c r="G9" i="19"/>
  <c r="G30" i="19" s="1"/>
  <c r="F9" i="19"/>
  <c r="F30" i="19" s="1"/>
  <c r="E9" i="19"/>
  <c r="E30" i="19" s="1"/>
  <c r="D9" i="19"/>
  <c r="D30" i="19" s="1"/>
  <c r="C9" i="19"/>
  <c r="C30" i="19" s="1"/>
  <c r="C42" i="19" l="1"/>
  <c r="E42" i="19"/>
  <c r="G42" i="19"/>
  <c r="I42" i="19"/>
  <c r="K42" i="19"/>
  <c r="D42" i="19"/>
  <c r="F42" i="19"/>
  <c r="H42" i="19"/>
  <c r="J42" i="19"/>
  <c r="L42" i="19"/>
  <c r="E43" i="19"/>
  <c r="I43" i="19"/>
  <c r="C44" i="19"/>
  <c r="G44" i="19"/>
  <c r="K44" i="19"/>
  <c r="E45" i="19"/>
  <c r="I45" i="19"/>
  <c r="C43" i="19"/>
  <c r="G43" i="19"/>
  <c r="K43" i="19"/>
  <c r="D43" i="19"/>
  <c r="F43" i="19"/>
  <c r="H43" i="19"/>
  <c r="J43" i="19"/>
  <c r="L43" i="19"/>
  <c r="D44" i="19"/>
  <c r="F44" i="19"/>
  <c r="H44" i="19"/>
  <c r="J44" i="19"/>
  <c r="L44" i="19"/>
  <c r="H29" i="14" l="1"/>
  <c r="G31" i="14"/>
  <c r="G30" i="14"/>
  <c r="G29" i="14"/>
  <c r="G32" i="14"/>
  <c r="D51" i="14" l="1"/>
  <c r="E49" i="14" s="1"/>
  <c r="H116" i="16"/>
  <c r="E116" i="16" s="1"/>
  <c r="H115" i="16"/>
  <c r="E115" i="16" s="1"/>
  <c r="H114" i="16"/>
  <c r="E114" i="16" s="1"/>
  <c r="H113" i="16"/>
  <c r="E113" i="16" s="1"/>
  <c r="H112" i="16"/>
  <c r="E112" i="16" s="1"/>
  <c r="H111" i="16"/>
  <c r="E111" i="16" s="1"/>
  <c r="H110" i="16"/>
  <c r="E110" i="16" s="1"/>
  <c r="H109" i="16"/>
  <c r="E109" i="16" s="1"/>
  <c r="H108" i="16"/>
  <c r="E108" i="16" s="1"/>
  <c r="H107" i="16"/>
  <c r="E107" i="16" s="1"/>
  <c r="H106" i="16"/>
  <c r="E106" i="16" s="1"/>
  <c r="H105" i="16"/>
  <c r="E105" i="16" s="1"/>
  <c r="H104" i="16"/>
  <c r="E104" i="16" s="1"/>
  <c r="H103" i="16"/>
  <c r="E103" i="16" s="1"/>
  <c r="H102" i="16"/>
  <c r="E102" i="16" s="1"/>
  <c r="H101" i="16"/>
  <c r="E101" i="16" s="1"/>
  <c r="H100" i="16"/>
  <c r="E100" i="16" s="1"/>
  <c r="H99" i="16"/>
  <c r="E99" i="16" s="1"/>
  <c r="H98" i="16"/>
  <c r="E98" i="16" s="1"/>
  <c r="H97" i="16"/>
  <c r="E97" i="16" s="1"/>
  <c r="H96" i="16"/>
  <c r="E96" i="16" s="1"/>
  <c r="H95" i="16"/>
  <c r="E95" i="16" s="1"/>
  <c r="H94" i="16"/>
  <c r="E94" i="16" s="1"/>
  <c r="H93" i="16"/>
  <c r="E93" i="16" s="1"/>
  <c r="H92" i="16"/>
  <c r="E92" i="16" s="1"/>
  <c r="H91" i="16"/>
  <c r="E91" i="16" s="1"/>
  <c r="H90" i="16"/>
  <c r="E90" i="16" s="1"/>
  <c r="H89" i="16"/>
  <c r="E89" i="16" s="1"/>
  <c r="H88" i="16"/>
  <c r="E88" i="16" s="1"/>
  <c r="H87" i="16"/>
  <c r="E87" i="16" s="1"/>
  <c r="H86" i="16"/>
  <c r="E86" i="16" s="1"/>
  <c r="H85" i="16"/>
  <c r="E85" i="16" s="1"/>
  <c r="H84" i="16"/>
  <c r="E84" i="16" s="1"/>
  <c r="H83" i="16"/>
  <c r="E83" i="16" s="1"/>
  <c r="H82" i="16"/>
  <c r="E82" i="16" s="1"/>
  <c r="H81" i="16"/>
  <c r="E81" i="16" s="1"/>
  <c r="H80" i="16"/>
  <c r="E80" i="16" s="1"/>
  <c r="H79" i="16"/>
  <c r="E79" i="16" s="1"/>
  <c r="H78" i="16"/>
  <c r="E78" i="16" s="1"/>
  <c r="H77" i="16"/>
  <c r="E77" i="16" s="1"/>
  <c r="H76" i="16"/>
  <c r="E76" i="16" s="1"/>
  <c r="H75" i="16"/>
  <c r="E75" i="16" s="1"/>
  <c r="H74" i="16"/>
  <c r="E74" i="16" s="1"/>
  <c r="H73" i="16"/>
  <c r="E73" i="16" s="1"/>
  <c r="H72" i="16"/>
  <c r="E72" i="16" s="1"/>
  <c r="H71" i="16"/>
  <c r="E71" i="16" s="1"/>
  <c r="H70" i="16"/>
  <c r="E70" i="16" s="1"/>
  <c r="H69" i="16"/>
  <c r="E69" i="16" s="1"/>
  <c r="H68" i="16"/>
  <c r="E68" i="16" s="1"/>
  <c r="H67" i="16"/>
  <c r="E67" i="16" s="1"/>
  <c r="H66" i="16"/>
  <c r="E66" i="16" s="1"/>
  <c r="H65" i="16"/>
  <c r="E65" i="16" s="1"/>
  <c r="H64" i="16"/>
  <c r="E64" i="16" s="1"/>
  <c r="H63" i="16"/>
  <c r="E63" i="16" s="1"/>
  <c r="H62" i="16"/>
  <c r="E62" i="16" s="1"/>
  <c r="H61" i="16"/>
  <c r="E61" i="16" s="1"/>
  <c r="H60" i="16"/>
  <c r="E60" i="16" s="1"/>
  <c r="H59" i="16"/>
  <c r="E59" i="16" s="1"/>
  <c r="H58" i="16"/>
  <c r="E58" i="16" s="1"/>
  <c r="H57" i="16"/>
  <c r="E57" i="16" s="1"/>
  <c r="H56" i="16"/>
  <c r="E56" i="16" s="1"/>
  <c r="H55" i="16"/>
  <c r="E55" i="16" s="1"/>
  <c r="H54" i="16"/>
  <c r="E54" i="16" s="1"/>
  <c r="H53" i="16"/>
  <c r="E53" i="16" s="1"/>
  <c r="H52" i="16"/>
  <c r="E52" i="16" s="1"/>
  <c r="H51" i="16"/>
  <c r="E51" i="16" s="1"/>
  <c r="H50" i="16"/>
  <c r="E50" i="16" s="1"/>
  <c r="H49" i="16"/>
  <c r="E49" i="16" s="1"/>
  <c r="H48" i="16"/>
  <c r="E48" i="16" s="1"/>
  <c r="H47" i="16"/>
  <c r="E47" i="16" s="1"/>
  <c r="H46" i="16"/>
  <c r="E46" i="16" s="1"/>
  <c r="H45" i="16"/>
  <c r="E45" i="16" s="1"/>
  <c r="H44" i="16"/>
  <c r="E44" i="16" s="1"/>
  <c r="H43" i="16"/>
  <c r="E43" i="16" s="1"/>
  <c r="H42" i="16"/>
  <c r="E42" i="16" s="1"/>
  <c r="H41" i="16"/>
  <c r="E41" i="16" s="1"/>
  <c r="H40" i="16"/>
  <c r="E40" i="16" s="1"/>
  <c r="H39" i="16"/>
  <c r="E39" i="16" s="1"/>
  <c r="H38" i="16"/>
  <c r="E38" i="16" s="1"/>
  <c r="H37" i="16"/>
  <c r="E37" i="16" s="1"/>
  <c r="H36" i="16"/>
  <c r="E36" i="16" s="1"/>
  <c r="H35" i="16"/>
  <c r="E35" i="16" s="1"/>
  <c r="H34" i="16"/>
  <c r="E34" i="16" s="1"/>
  <c r="H33" i="16"/>
  <c r="E33" i="16" s="1"/>
  <c r="H32" i="16"/>
  <c r="E32" i="16" s="1"/>
  <c r="H31" i="16"/>
  <c r="E31" i="16" s="1"/>
  <c r="H30" i="16"/>
  <c r="E30" i="16" s="1"/>
  <c r="H29" i="16"/>
  <c r="E29" i="16" s="1"/>
  <c r="H28" i="16"/>
  <c r="E28" i="16" s="1"/>
  <c r="H27" i="16"/>
  <c r="E27" i="16" s="1"/>
  <c r="H26" i="16"/>
  <c r="E26" i="16" s="1"/>
  <c r="H25" i="16"/>
  <c r="E25" i="16" s="1"/>
  <c r="H24" i="16"/>
  <c r="E24" i="16" s="1"/>
  <c r="H23" i="16"/>
  <c r="E23" i="16" s="1"/>
  <c r="H22" i="16"/>
  <c r="E22" i="16" s="1"/>
  <c r="H21" i="16"/>
  <c r="E21" i="16" s="1"/>
  <c r="H20" i="16"/>
  <c r="E20" i="16" s="1"/>
  <c r="H19" i="16"/>
  <c r="E19" i="16" s="1"/>
  <c r="H18" i="16"/>
  <c r="E18" i="16" s="1"/>
  <c r="H17" i="16"/>
  <c r="E17" i="16" s="1"/>
  <c r="H16" i="16"/>
  <c r="E16" i="16" s="1"/>
  <c r="H15" i="16"/>
  <c r="E15" i="16" s="1"/>
  <c r="H14" i="16"/>
  <c r="E14" i="16" s="1"/>
  <c r="H13" i="16"/>
  <c r="H32" i="14"/>
  <c r="H31" i="14"/>
  <c r="H30" i="14"/>
  <c r="G36" i="14"/>
  <c r="C26" i="19"/>
  <c r="E13" i="16" l="1"/>
  <c r="I29" i="14"/>
  <c r="E51" i="14"/>
  <c r="E50" i="14"/>
  <c r="E53" i="14" s="1"/>
  <c r="H35" i="14"/>
  <c r="G35" i="14"/>
  <c r="J59" i="14" s="1"/>
  <c r="H36" i="14"/>
  <c r="F50" i="14" l="1"/>
  <c r="I35" i="14"/>
  <c r="K26" i="19"/>
  <c r="J26" i="19"/>
  <c r="I26" i="19"/>
  <c r="H26" i="19"/>
  <c r="G26" i="19"/>
  <c r="F26" i="19"/>
  <c r="E26" i="19"/>
  <c r="D26" i="19"/>
  <c r="F53" i="14" l="1"/>
  <c r="J49" i="14" s="1"/>
  <c r="I36" i="14"/>
  <c r="N9" i="12"/>
  <c r="I9" i="12"/>
  <c r="L7" i="12" l="1"/>
  <c r="M12" i="12"/>
  <c r="M13" i="12" s="1"/>
  <c r="M14" i="12" s="1"/>
  <c r="M15" i="12" s="1"/>
  <c r="M16" i="12" s="1"/>
  <c r="M17" i="12" s="1"/>
  <c r="M18" i="12" s="1"/>
  <c r="M19" i="12" s="1"/>
  <c r="M20" i="12" s="1"/>
  <c r="M21" i="12" s="1"/>
  <c r="M22" i="12" s="1"/>
  <c r="M23" i="12" s="1"/>
  <c r="M24" i="12" s="1"/>
  <c r="M25" i="12" s="1"/>
  <c r="L12" i="12"/>
  <c r="L13" i="12" s="1"/>
  <c r="L14" i="12" s="1"/>
  <c r="L15" i="12" s="1"/>
  <c r="L16" i="12" s="1"/>
  <c r="L17" i="12" s="1"/>
  <c r="L18" i="12" s="1"/>
  <c r="L19" i="12" s="1"/>
  <c r="L20" i="12" s="1"/>
  <c r="L21" i="12" s="1"/>
  <c r="H12" i="12"/>
  <c r="H13" i="12" s="1"/>
  <c r="H14" i="12" s="1"/>
  <c r="H15" i="12" s="1"/>
  <c r="H16" i="12" s="1"/>
  <c r="H17" i="12" s="1"/>
  <c r="H18" i="12" s="1"/>
  <c r="H19" i="12" s="1"/>
  <c r="H20" i="12" s="1"/>
  <c r="H21" i="12" s="1"/>
  <c r="H22" i="12" s="1"/>
  <c r="H23" i="12" s="1"/>
  <c r="H24" i="12" s="1"/>
  <c r="H25" i="12" s="1"/>
  <c r="G12" i="12"/>
  <c r="G13" i="12" s="1"/>
  <c r="G14" i="12" s="1"/>
  <c r="G15" i="12" s="1"/>
  <c r="G16" i="12" s="1"/>
  <c r="G17" i="12" s="1"/>
  <c r="G18" i="12" s="1"/>
  <c r="G19" i="12" s="1"/>
  <c r="G20" i="12" s="1"/>
  <c r="G21" i="12" s="1"/>
  <c r="C12" i="12"/>
  <c r="C13" i="12" s="1"/>
  <c r="C14" i="12" s="1"/>
  <c r="C15" i="12" s="1"/>
  <c r="C16" i="12" s="1"/>
  <c r="C17" i="12" s="1"/>
  <c r="C18" i="12" s="1"/>
  <c r="C19" i="12" s="1"/>
  <c r="C20" i="12" s="1"/>
  <c r="C21" i="12" s="1"/>
  <c r="C22" i="12" s="1"/>
  <c r="C23" i="12" s="1"/>
  <c r="C24" i="12" s="1"/>
  <c r="C25" i="12" s="1"/>
  <c r="B7" i="12"/>
  <c r="L22" i="12" l="1"/>
  <c r="G22" i="12"/>
  <c r="L23" i="12" l="1"/>
  <c r="G23" i="12"/>
  <c r="L24" i="12" l="1"/>
  <c r="G24" i="12"/>
  <c r="L25" i="12" l="1"/>
  <c r="G25" i="12"/>
  <c r="E20" i="12"/>
  <c r="E19" i="12"/>
  <c r="E18" i="12"/>
  <c r="E17" i="12"/>
  <c r="E16" i="12"/>
  <c r="E15" i="12"/>
  <c r="E14" i="12"/>
  <c r="E13" i="12"/>
  <c r="E12" i="12"/>
  <c r="B12" i="12"/>
  <c r="B13" i="12" l="1"/>
  <c r="B14" i="12" s="1"/>
  <c r="B15" i="12" s="1"/>
  <c r="B16" i="12" s="1"/>
  <c r="B17" i="12" s="1"/>
  <c r="B18" i="12" s="1"/>
  <c r="B19" i="12" s="1"/>
  <c r="B20" i="12" s="1"/>
  <c r="B21" i="12" s="1"/>
  <c r="B22" i="12" l="1"/>
  <c r="E21" i="12"/>
  <c r="B23" i="12" l="1"/>
  <c r="D22" i="12"/>
  <c r="E22" i="12" s="1"/>
  <c r="B7" i="11"/>
  <c r="B24" i="12" l="1"/>
  <c r="D23" i="12"/>
  <c r="E23" i="12" s="1"/>
  <c r="C10" i="8"/>
  <c r="D10" i="8"/>
  <c r="E10" i="8"/>
  <c r="E34" i="11" s="1"/>
  <c r="F10" i="8"/>
  <c r="F34" i="11" s="1"/>
  <c r="G10" i="8"/>
  <c r="G34" i="11" s="1"/>
  <c r="H10" i="8"/>
  <c r="H34" i="11" s="1"/>
  <c r="I10" i="8"/>
  <c r="I34" i="11" s="1"/>
  <c r="J10" i="8"/>
  <c r="J34" i="11" s="1"/>
  <c r="K10" i="8"/>
  <c r="K34" i="11" s="1"/>
  <c r="L10" i="8"/>
  <c r="D28" i="23" s="1"/>
  <c r="M10" i="8"/>
  <c r="L14" i="8"/>
  <c r="C37" i="8"/>
  <c r="D37" i="8"/>
  <c r="E37" i="8"/>
  <c r="F37" i="8"/>
  <c r="G37" i="8"/>
  <c r="H37" i="8"/>
  <c r="I37" i="8"/>
  <c r="J37" i="8"/>
  <c r="K37" i="8"/>
  <c r="L37" i="8"/>
  <c r="C43" i="8"/>
  <c r="C48" i="8" s="1"/>
  <c r="D43" i="8"/>
  <c r="D48" i="8" s="1"/>
  <c r="E43" i="8"/>
  <c r="E48" i="8" s="1"/>
  <c r="F43" i="8"/>
  <c r="G43" i="8"/>
  <c r="H43" i="8"/>
  <c r="I43" i="8"/>
  <c r="J43" i="8"/>
  <c r="K43" i="8"/>
  <c r="L43" i="8"/>
  <c r="C57" i="8"/>
  <c r="D57" i="8"/>
  <c r="E57" i="8"/>
  <c r="F57" i="8"/>
  <c r="G57" i="8"/>
  <c r="H57" i="8"/>
  <c r="I57" i="8"/>
  <c r="J57" i="8"/>
  <c r="K57" i="8"/>
  <c r="L57" i="8"/>
  <c r="C58" i="8"/>
  <c r="D58" i="8"/>
  <c r="E58" i="8"/>
  <c r="F58" i="8"/>
  <c r="G58" i="8"/>
  <c r="H58" i="8"/>
  <c r="I58" i="8"/>
  <c r="J58" i="8"/>
  <c r="K58" i="8"/>
  <c r="L58" i="8"/>
  <c r="C59" i="8"/>
  <c r="D59" i="8"/>
  <c r="E59" i="8"/>
  <c r="F59" i="8"/>
  <c r="G59" i="8"/>
  <c r="H59" i="8"/>
  <c r="I59" i="8"/>
  <c r="J59" i="8"/>
  <c r="K59" i="8"/>
  <c r="L59" i="8"/>
  <c r="C60" i="8"/>
  <c r="D60" i="8"/>
  <c r="E60" i="8"/>
  <c r="F60" i="8"/>
  <c r="G60" i="8"/>
  <c r="H60" i="8"/>
  <c r="I60" i="8"/>
  <c r="J60" i="8"/>
  <c r="K60" i="8"/>
  <c r="L60" i="8"/>
  <c r="D61" i="8"/>
  <c r="E61" i="8"/>
  <c r="F61" i="8"/>
  <c r="G61" i="8"/>
  <c r="H61" i="8"/>
  <c r="I61" i="8"/>
  <c r="J61" i="8"/>
  <c r="K61" i="8"/>
  <c r="L61" i="8"/>
  <c r="C63" i="8"/>
  <c r="D63" i="8"/>
  <c r="E63" i="8"/>
  <c r="F63" i="8"/>
  <c r="G63" i="8"/>
  <c r="H63" i="8"/>
  <c r="I63" i="8"/>
  <c r="J63" i="8"/>
  <c r="K63" i="8"/>
  <c r="L63" i="8"/>
  <c r="C64" i="8"/>
  <c r="D64" i="8"/>
  <c r="E64" i="8"/>
  <c r="F64" i="8"/>
  <c r="G64" i="8"/>
  <c r="H64" i="8"/>
  <c r="I64" i="8"/>
  <c r="J64" i="8"/>
  <c r="K64" i="8"/>
  <c r="L64" i="8"/>
  <c r="C65" i="8"/>
  <c r="D65" i="8"/>
  <c r="E65" i="8"/>
  <c r="F65" i="8"/>
  <c r="G65" i="8"/>
  <c r="H65" i="8"/>
  <c r="I65" i="8"/>
  <c r="J65" i="8"/>
  <c r="K65" i="8"/>
  <c r="L65" i="8"/>
  <c r="D66" i="8"/>
  <c r="E66" i="8"/>
  <c r="F66" i="8"/>
  <c r="G66" i="8"/>
  <c r="H66" i="8"/>
  <c r="I66" i="8"/>
  <c r="J66" i="8"/>
  <c r="K66" i="8"/>
  <c r="L66" i="8"/>
  <c r="C69" i="8"/>
  <c r="D69" i="8"/>
  <c r="E69" i="8"/>
  <c r="F69" i="8"/>
  <c r="G69" i="8"/>
  <c r="H69" i="8"/>
  <c r="I69" i="8"/>
  <c r="J69" i="8"/>
  <c r="K69" i="8"/>
  <c r="L69" i="8"/>
  <c r="C70" i="8"/>
  <c r="D70" i="8"/>
  <c r="E70" i="8"/>
  <c r="F70" i="8"/>
  <c r="G70" i="8"/>
  <c r="H70" i="8"/>
  <c r="I70" i="8"/>
  <c r="J70" i="8"/>
  <c r="K70" i="8"/>
  <c r="L70" i="8"/>
  <c r="C71" i="8"/>
  <c r="D71" i="8"/>
  <c r="E71" i="8"/>
  <c r="F71" i="8"/>
  <c r="G71" i="8"/>
  <c r="H71" i="8"/>
  <c r="I71" i="8"/>
  <c r="J71" i="8"/>
  <c r="K71" i="8"/>
  <c r="L71" i="8"/>
  <c r="C72" i="8"/>
  <c r="D72" i="8"/>
  <c r="D31" i="11" s="1"/>
  <c r="E72" i="8"/>
  <c r="E31" i="11" s="1"/>
  <c r="F72" i="8"/>
  <c r="F31" i="11" s="1"/>
  <c r="G72" i="8"/>
  <c r="G31" i="11" s="1"/>
  <c r="H72" i="8"/>
  <c r="H31" i="11" s="1"/>
  <c r="I72" i="8"/>
  <c r="I31" i="11" s="1"/>
  <c r="J72" i="8"/>
  <c r="J31" i="11" s="1"/>
  <c r="K72" i="8"/>
  <c r="K31" i="11" s="1"/>
  <c r="L72" i="8"/>
  <c r="L31" i="11" s="1"/>
  <c r="L7" i="8"/>
  <c r="L55" i="8" s="1"/>
  <c r="K7" i="8"/>
  <c r="K55" i="8" s="1"/>
  <c r="J7" i="8"/>
  <c r="J55" i="8" s="1"/>
  <c r="I7" i="8"/>
  <c r="I55" i="8" s="1"/>
  <c r="H7" i="8"/>
  <c r="H55" i="8" s="1"/>
  <c r="G7" i="8"/>
  <c r="G55" i="8" s="1"/>
  <c r="F7" i="8"/>
  <c r="F55" i="8" s="1"/>
  <c r="E7" i="8"/>
  <c r="D7" i="8"/>
  <c r="C7" i="8"/>
  <c r="L34" i="11" l="1"/>
  <c r="D34" i="11"/>
  <c r="D39" i="11" s="1"/>
  <c r="D16" i="8"/>
  <c r="C8" i="11"/>
  <c r="C55" i="8"/>
  <c r="E8" i="11"/>
  <c r="E55" i="8"/>
  <c r="D8" i="11"/>
  <c r="D55" i="8"/>
  <c r="C35" i="11"/>
  <c r="K46" i="11"/>
  <c r="K29" i="11"/>
  <c r="G46" i="11"/>
  <c r="G29" i="11"/>
  <c r="C46" i="11"/>
  <c r="C29" i="11"/>
  <c r="C16" i="8"/>
  <c r="C22" i="8" s="1"/>
  <c r="C28" i="8" s="1"/>
  <c r="C28" i="11" s="1"/>
  <c r="C38" i="11"/>
  <c r="L46" i="11"/>
  <c r="L29" i="11"/>
  <c r="J46" i="11"/>
  <c r="J29" i="11"/>
  <c r="H46" i="11"/>
  <c r="H29" i="11"/>
  <c r="F46" i="11"/>
  <c r="F29" i="11"/>
  <c r="D46" i="11"/>
  <c r="D29" i="11"/>
  <c r="I46" i="11"/>
  <c r="I29" i="11"/>
  <c r="E46" i="11"/>
  <c r="E29" i="11"/>
  <c r="L67" i="8"/>
  <c r="J67" i="8"/>
  <c r="J74" i="8" s="1"/>
  <c r="J45" i="11" s="1"/>
  <c r="H67" i="8"/>
  <c r="F67" i="8"/>
  <c r="D67" i="8"/>
  <c r="G67" i="8"/>
  <c r="G74" i="8" s="1"/>
  <c r="G30" i="11" s="1"/>
  <c r="E67" i="8"/>
  <c r="I67" i="8"/>
  <c r="I74" i="8" s="1"/>
  <c r="I30" i="11" s="1"/>
  <c r="E74" i="8"/>
  <c r="E45" i="11" s="1"/>
  <c r="C67" i="8"/>
  <c r="C74" i="8" s="1"/>
  <c r="H74" i="8"/>
  <c r="H45" i="11" s="1"/>
  <c r="F74" i="8"/>
  <c r="F45" i="11" s="1"/>
  <c r="L74" i="8"/>
  <c r="L45" i="11" s="1"/>
  <c r="D74" i="8"/>
  <c r="D45" i="11" s="1"/>
  <c r="K67" i="8"/>
  <c r="K74" i="8" s="1"/>
  <c r="K30" i="11" s="1"/>
  <c r="L44" i="11"/>
  <c r="J44" i="11"/>
  <c r="H44" i="11"/>
  <c r="F44" i="11"/>
  <c r="D44" i="11"/>
  <c r="K44" i="11"/>
  <c r="I44" i="11"/>
  <c r="G44" i="11"/>
  <c r="E44" i="11"/>
  <c r="M11" i="8"/>
  <c r="C44" i="11"/>
  <c r="G8" i="11"/>
  <c r="D63" i="33"/>
  <c r="D62" i="32"/>
  <c r="I8" i="11"/>
  <c r="F63" i="33"/>
  <c r="F62" i="32"/>
  <c r="K8" i="11"/>
  <c r="H63" i="33"/>
  <c r="H62" i="32"/>
  <c r="K48" i="8"/>
  <c r="I48" i="8"/>
  <c r="G48" i="8"/>
  <c r="F8" i="11"/>
  <c r="C63" i="33"/>
  <c r="C62" i="32"/>
  <c r="H8" i="11"/>
  <c r="E63" i="33"/>
  <c r="E62" i="32"/>
  <c r="J8" i="11"/>
  <c r="G63" i="33"/>
  <c r="G62" i="32"/>
  <c r="L8" i="11"/>
  <c r="I63" i="33"/>
  <c r="I62" i="32"/>
  <c r="J48" i="8"/>
  <c r="J15" i="11" s="1"/>
  <c r="H48" i="8"/>
  <c r="H15" i="11" s="1"/>
  <c r="F48" i="8"/>
  <c r="F15" i="11" s="1"/>
  <c r="M14" i="8"/>
  <c r="K14" i="8"/>
  <c r="I14" i="8"/>
  <c r="G14" i="8"/>
  <c r="E14" i="8"/>
  <c r="C14" i="8"/>
  <c r="F20" i="8"/>
  <c r="D14" i="8"/>
  <c r="D26" i="8"/>
  <c r="L26" i="8"/>
  <c r="H26" i="8"/>
  <c r="J20" i="8"/>
  <c r="K16" i="8"/>
  <c r="K17" i="8" s="1"/>
  <c r="K18" i="11" s="1"/>
  <c r="H14" i="8"/>
  <c r="H11" i="8"/>
  <c r="H11" i="11" s="1"/>
  <c r="G32" i="8"/>
  <c r="E32" i="8"/>
  <c r="C32" i="8"/>
  <c r="G26" i="8"/>
  <c r="E26" i="8"/>
  <c r="C26" i="8"/>
  <c r="G20" i="8"/>
  <c r="E20" i="8"/>
  <c r="C20" i="8"/>
  <c r="H32" i="8"/>
  <c r="L32" i="8"/>
  <c r="D32" i="8"/>
  <c r="M32" i="8"/>
  <c r="K32" i="8"/>
  <c r="I32" i="8"/>
  <c r="M26" i="8"/>
  <c r="K26" i="8"/>
  <c r="I26" i="8"/>
  <c r="M20" i="8"/>
  <c r="K20" i="8"/>
  <c r="I20" i="8"/>
  <c r="G16" i="8"/>
  <c r="D15" i="11"/>
  <c r="B25" i="12"/>
  <c r="D25" i="12" s="1"/>
  <c r="D24" i="12"/>
  <c r="E24" i="12" s="1"/>
  <c r="E15" i="11"/>
  <c r="L38" i="11"/>
  <c r="L36" i="11"/>
  <c r="L41" i="11" s="1"/>
  <c r="L39" i="11"/>
  <c r="L37" i="11"/>
  <c r="L35" i="11"/>
  <c r="L40" i="11" s="1"/>
  <c r="J38" i="11"/>
  <c r="J36" i="11"/>
  <c r="J41" i="11" s="1"/>
  <c r="J39" i="11"/>
  <c r="J37" i="11"/>
  <c r="J35" i="11"/>
  <c r="J40" i="11" s="1"/>
  <c r="H38" i="11"/>
  <c r="H36" i="11"/>
  <c r="H41" i="11" s="1"/>
  <c r="H39" i="11"/>
  <c r="H37" i="11"/>
  <c r="H35" i="11"/>
  <c r="H40" i="11" s="1"/>
  <c r="F38" i="11"/>
  <c r="F36" i="11"/>
  <c r="F41" i="11" s="1"/>
  <c r="F39" i="11"/>
  <c r="F37" i="11"/>
  <c r="F35" i="11"/>
  <c r="F40" i="11" s="1"/>
  <c r="D38" i="11"/>
  <c r="D36" i="11"/>
  <c r="D41" i="11" s="1"/>
  <c r="D37" i="11"/>
  <c r="D35" i="11"/>
  <c r="D40" i="11" s="1"/>
  <c r="E76" i="8"/>
  <c r="M43" i="8"/>
  <c r="M48" i="8" s="1"/>
  <c r="L48" i="8"/>
  <c r="M16" i="8"/>
  <c r="L11" i="8"/>
  <c r="L11" i="11" s="1"/>
  <c r="K37" i="11"/>
  <c r="K35" i="11"/>
  <c r="K40" i="11" s="1"/>
  <c r="K38" i="11"/>
  <c r="K36" i="11"/>
  <c r="K41" i="11" s="1"/>
  <c r="K39" i="11"/>
  <c r="I16" i="8"/>
  <c r="I17" i="8" s="1"/>
  <c r="I18" i="11" s="1"/>
  <c r="I37" i="11"/>
  <c r="I35" i="11"/>
  <c r="I40" i="11" s="1"/>
  <c r="I38" i="11"/>
  <c r="I36" i="11"/>
  <c r="I41" i="11" s="1"/>
  <c r="I39" i="11"/>
  <c r="G37" i="11"/>
  <c r="G35" i="11"/>
  <c r="G40" i="11" s="1"/>
  <c r="G38" i="11"/>
  <c r="G36" i="11"/>
  <c r="G41" i="11" s="1"/>
  <c r="G39" i="11"/>
  <c r="E16" i="8"/>
  <c r="E17" i="8" s="1"/>
  <c r="E18" i="11" s="1"/>
  <c r="E37" i="11"/>
  <c r="E35" i="11"/>
  <c r="E40" i="11" s="1"/>
  <c r="E38" i="11"/>
  <c r="E36" i="11"/>
  <c r="E41" i="11" s="1"/>
  <c r="E39" i="11"/>
  <c r="D11" i="8"/>
  <c r="D11" i="11" s="1"/>
  <c r="C36" i="11"/>
  <c r="C37" i="11"/>
  <c r="L16" i="8"/>
  <c r="L22" i="8" s="1"/>
  <c r="K11" i="8"/>
  <c r="K11" i="11" s="1"/>
  <c r="J16" i="8"/>
  <c r="I11" i="8"/>
  <c r="I11" i="11" s="1"/>
  <c r="H16" i="8"/>
  <c r="G11" i="8"/>
  <c r="G11" i="11" s="1"/>
  <c r="F16" i="8"/>
  <c r="E11" i="8"/>
  <c r="E11" i="11" s="1"/>
  <c r="J32" i="8"/>
  <c r="F32" i="8"/>
  <c r="J26" i="8"/>
  <c r="F26" i="8"/>
  <c r="L20" i="8"/>
  <c r="H20" i="8"/>
  <c r="D20" i="8"/>
  <c r="J14" i="8"/>
  <c r="F14" i="8"/>
  <c r="J11" i="8"/>
  <c r="J11" i="11" s="1"/>
  <c r="F11" i="8"/>
  <c r="F11" i="11" s="1"/>
  <c r="D31" i="23" l="1"/>
  <c r="D35" i="23" s="1"/>
  <c r="E20" i="23"/>
  <c r="E28" i="23" s="1"/>
  <c r="N46" i="11"/>
  <c r="C45" i="11"/>
  <c r="C30" i="11"/>
  <c r="F30" i="11"/>
  <c r="J30" i="11"/>
  <c r="O46" i="11"/>
  <c r="E30" i="11"/>
  <c r="D30" i="11"/>
  <c r="H30" i="11"/>
  <c r="L30" i="11"/>
  <c r="G45" i="11"/>
  <c r="G76" i="8"/>
  <c r="I45" i="11"/>
  <c r="I76" i="8"/>
  <c r="H76" i="8"/>
  <c r="K45" i="11"/>
  <c r="K76" i="8"/>
  <c r="L76" i="8"/>
  <c r="D76" i="8"/>
  <c r="F76" i="8"/>
  <c r="C76" i="8"/>
  <c r="E42" i="11"/>
  <c r="G42" i="11"/>
  <c r="C29" i="8"/>
  <c r="C20" i="11" s="1"/>
  <c r="C34" i="8"/>
  <c r="C40" i="8" s="1"/>
  <c r="F42" i="11"/>
  <c r="J42" i="11"/>
  <c r="N20" i="8"/>
  <c r="N11" i="11"/>
  <c r="I42" i="11"/>
  <c r="K42" i="11"/>
  <c r="M17" i="8"/>
  <c r="M22" i="8"/>
  <c r="M28" i="8" s="1"/>
  <c r="D42" i="11"/>
  <c r="H42" i="11"/>
  <c r="L42" i="11"/>
  <c r="G15" i="11"/>
  <c r="K22" i="8"/>
  <c r="K23" i="8" s="1"/>
  <c r="K19" i="11" s="1"/>
  <c r="I22" i="8"/>
  <c r="K15" i="11"/>
  <c r="I15" i="11"/>
  <c r="I84" i="32"/>
  <c r="I90" i="32" s="1"/>
  <c r="I68" i="32"/>
  <c r="G85" i="33"/>
  <c r="G91" i="33" s="1"/>
  <c r="G69" i="33"/>
  <c r="E84" i="32"/>
  <c r="E90" i="32" s="1"/>
  <c r="E68" i="32"/>
  <c r="C85" i="33"/>
  <c r="C91" i="33" s="1"/>
  <c r="C69" i="33"/>
  <c r="H68" i="32"/>
  <c r="H84" i="32"/>
  <c r="H90" i="32" s="1"/>
  <c r="F85" i="33"/>
  <c r="F91" i="33" s="1"/>
  <c r="F69" i="33"/>
  <c r="D68" i="32"/>
  <c r="D84" i="32"/>
  <c r="D90" i="32" s="1"/>
  <c r="I85" i="33"/>
  <c r="I91" i="33" s="1"/>
  <c r="I69" i="33"/>
  <c r="G84" i="32"/>
  <c r="G90" i="32" s="1"/>
  <c r="G68" i="32"/>
  <c r="E85" i="33"/>
  <c r="E91" i="33" s="1"/>
  <c r="E69" i="33"/>
  <c r="C84" i="32"/>
  <c r="C90" i="32" s="1"/>
  <c r="C68" i="32"/>
  <c r="H85" i="33"/>
  <c r="H91" i="33" s="1"/>
  <c r="H69" i="33"/>
  <c r="F68" i="32"/>
  <c r="F84" i="32"/>
  <c r="F90" i="32" s="1"/>
  <c r="D85" i="33"/>
  <c r="D91" i="33" s="1"/>
  <c r="D69" i="33"/>
  <c r="C17" i="8"/>
  <c r="C18" i="11" s="1"/>
  <c r="E22" i="8"/>
  <c r="N44" i="11"/>
  <c r="G17" i="8"/>
  <c r="G18" i="11" s="1"/>
  <c r="G22" i="8"/>
  <c r="E25" i="12"/>
  <c r="J76" i="8"/>
  <c r="C40" i="11"/>
  <c r="N40" i="11" s="1"/>
  <c r="O35" i="11"/>
  <c r="N35" i="11"/>
  <c r="O38" i="11"/>
  <c r="N38" i="11"/>
  <c r="O40" i="11"/>
  <c r="O39" i="11"/>
  <c r="C39" i="11"/>
  <c r="O34" i="11"/>
  <c r="N34" i="11"/>
  <c r="O37" i="11"/>
  <c r="N37" i="11"/>
  <c r="C41" i="11"/>
  <c r="N41" i="11" s="1"/>
  <c r="O36" i="11"/>
  <c r="N36" i="11"/>
  <c r="O11" i="11"/>
  <c r="L15" i="11"/>
  <c r="O41" i="11"/>
  <c r="O44" i="11"/>
  <c r="D22" i="8"/>
  <c r="D28" i="8" s="1"/>
  <c r="D17" i="8"/>
  <c r="D18" i="11" s="1"/>
  <c r="F22" i="8"/>
  <c r="F17" i="8"/>
  <c r="F18" i="11" s="1"/>
  <c r="H22" i="8"/>
  <c r="H17" i="8"/>
  <c r="H18" i="11" s="1"/>
  <c r="J22" i="8"/>
  <c r="J28" i="8" s="1"/>
  <c r="G75" i="33" s="1"/>
  <c r="J17" i="8"/>
  <c r="J18" i="11" s="1"/>
  <c r="L28" i="8"/>
  <c r="L17" i="8"/>
  <c r="L18" i="11" s="1"/>
  <c r="D32" i="23" l="1"/>
  <c r="D33" i="23" s="1"/>
  <c r="D34" i="23" s="1"/>
  <c r="I75" i="33"/>
  <c r="F20" i="23"/>
  <c r="F28" i="23" s="1"/>
  <c r="E31" i="23"/>
  <c r="E35" i="23" s="1"/>
  <c r="L28" i="11"/>
  <c r="L24" i="11"/>
  <c r="D28" i="11"/>
  <c r="D24" i="11"/>
  <c r="J28" i="11"/>
  <c r="J24" i="11"/>
  <c r="O45" i="11"/>
  <c r="N45" i="11"/>
  <c r="M29" i="8"/>
  <c r="M34" i="8"/>
  <c r="M40" i="8" s="1"/>
  <c r="J29" i="8"/>
  <c r="J20" i="11" s="1"/>
  <c r="J34" i="8"/>
  <c r="D29" i="8"/>
  <c r="D20" i="11" s="1"/>
  <c r="D34" i="8"/>
  <c r="D40" i="8" s="1"/>
  <c r="E23" i="8"/>
  <c r="E19" i="11" s="1"/>
  <c r="C38" i="8"/>
  <c r="L34" i="8"/>
  <c r="L40" i="8" s="1"/>
  <c r="L29" i="8"/>
  <c r="L20" i="11" s="1"/>
  <c r="H28" i="8"/>
  <c r="F28" i="8"/>
  <c r="C75" i="33" s="1"/>
  <c r="C77" i="33" s="1"/>
  <c r="I28" i="8"/>
  <c r="F75" i="33" s="1"/>
  <c r="F77" i="33" s="1"/>
  <c r="G28" i="8"/>
  <c r="D75" i="33" s="1"/>
  <c r="D77" i="33" s="1"/>
  <c r="E28" i="8"/>
  <c r="K28" i="8"/>
  <c r="H75" i="33" s="1"/>
  <c r="H77" i="33" s="1"/>
  <c r="I77" i="33"/>
  <c r="C42" i="11"/>
  <c r="N42" i="11" s="1"/>
  <c r="I23" i="8"/>
  <c r="I19" i="11" s="1"/>
  <c r="K12" i="11"/>
  <c r="G77" i="33"/>
  <c r="I11" i="12" a="1"/>
  <c r="I17" i="12" s="1"/>
  <c r="C23" i="8"/>
  <c r="C19" i="11" s="1"/>
  <c r="C35" i="8"/>
  <c r="C21" i="11" s="1"/>
  <c r="M23" i="8"/>
  <c r="G23" i="8"/>
  <c r="G19" i="11" s="1"/>
  <c r="O18" i="11"/>
  <c r="N18" i="11"/>
  <c r="N15" i="11"/>
  <c r="O15" i="11"/>
  <c r="O42" i="11"/>
  <c r="L12" i="11"/>
  <c r="J12" i="11"/>
  <c r="H12" i="11"/>
  <c r="F12" i="11"/>
  <c r="G12" i="11"/>
  <c r="D12" i="11"/>
  <c r="N39" i="11"/>
  <c r="I12" i="11"/>
  <c r="E12" i="11"/>
  <c r="L23" i="8"/>
  <c r="J23" i="8"/>
  <c r="J19" i="11" s="1"/>
  <c r="H23" i="8"/>
  <c r="H19" i="11" s="1"/>
  <c r="F23" i="8"/>
  <c r="F19" i="11" s="1"/>
  <c r="D23" i="8"/>
  <c r="D19" i="11" s="1"/>
  <c r="G39" i="22" l="1"/>
  <c r="G41" i="22" s="1"/>
  <c r="E75" i="33"/>
  <c r="E77" i="33" s="1"/>
  <c r="L19" i="11"/>
  <c r="D29" i="23"/>
  <c r="I39" i="22"/>
  <c r="J40" i="8"/>
  <c r="G20" i="23"/>
  <c r="G28" i="23" s="1"/>
  <c r="F31" i="23"/>
  <c r="F35" i="23" s="1"/>
  <c r="G28" i="11"/>
  <c r="G24" i="11"/>
  <c r="I28" i="11"/>
  <c r="I24" i="11"/>
  <c r="F28" i="11"/>
  <c r="F24" i="11"/>
  <c r="H28" i="11"/>
  <c r="H24" i="11"/>
  <c r="K28" i="11"/>
  <c r="K24" i="11"/>
  <c r="E28" i="11"/>
  <c r="N28" i="11" s="1"/>
  <c r="E24" i="11"/>
  <c r="K29" i="8"/>
  <c r="K20" i="11" s="1"/>
  <c r="K34" i="8"/>
  <c r="E29" i="8"/>
  <c r="E20" i="11" s="1"/>
  <c r="E34" i="8"/>
  <c r="E40" i="8" s="1"/>
  <c r="G29" i="8"/>
  <c r="G20" i="11" s="1"/>
  <c r="G34" i="8"/>
  <c r="G40" i="8" s="1"/>
  <c r="I29" i="8"/>
  <c r="I20" i="11" s="1"/>
  <c r="I34" i="8"/>
  <c r="F29" i="8"/>
  <c r="F20" i="11" s="1"/>
  <c r="F34" i="8"/>
  <c r="F40" i="8" s="1"/>
  <c r="H29" i="8"/>
  <c r="H20" i="11" s="1"/>
  <c r="H34" i="8"/>
  <c r="H40" i="8" s="1"/>
  <c r="M35" i="8"/>
  <c r="M38" i="8"/>
  <c r="I13" i="12"/>
  <c r="D13" i="11"/>
  <c r="I14" i="12"/>
  <c r="I20" i="12"/>
  <c r="I15" i="12"/>
  <c r="J15" i="12" s="1"/>
  <c r="I12" i="12"/>
  <c r="I18" i="12"/>
  <c r="J18" i="12" s="1"/>
  <c r="I19" i="12"/>
  <c r="I11" i="12"/>
  <c r="I16" i="12"/>
  <c r="J17" i="12" s="1"/>
  <c r="I41" i="22"/>
  <c r="I59" i="22" s="1"/>
  <c r="I47" i="22"/>
  <c r="I49" i="22" s="1"/>
  <c r="C45" i="8"/>
  <c r="O28" i="11"/>
  <c r="O19" i="11"/>
  <c r="K39" i="22"/>
  <c r="N19" i="11"/>
  <c r="O12" i="11"/>
  <c r="N12" i="11"/>
  <c r="I13" i="11"/>
  <c r="D35" i="8"/>
  <c r="D21" i="11" s="1"/>
  <c r="D38" i="8"/>
  <c r="J35" i="8"/>
  <c r="J21" i="11" s="1"/>
  <c r="J38" i="8"/>
  <c r="L35" i="8"/>
  <c r="L21" i="11" s="1"/>
  <c r="L38" i="8"/>
  <c r="F35" i="8" l="1"/>
  <c r="F21" i="11" s="1"/>
  <c r="H20" i="23"/>
  <c r="H28" i="23" s="1"/>
  <c r="G31" i="23"/>
  <c r="G35" i="23" s="1"/>
  <c r="E29" i="23"/>
  <c r="D30" i="23"/>
  <c r="J13" i="11"/>
  <c r="I40" i="8"/>
  <c r="L13" i="11"/>
  <c r="K40" i="8"/>
  <c r="L14" i="11" s="1"/>
  <c r="I21" i="12"/>
  <c r="J21" i="12" s="1"/>
  <c r="O20" i="11"/>
  <c r="H38" i="8"/>
  <c r="N20" i="11"/>
  <c r="F25" i="11"/>
  <c r="F23" i="11"/>
  <c r="G23" i="11"/>
  <c r="G25" i="11"/>
  <c r="E23" i="11"/>
  <c r="E25" i="11"/>
  <c r="W22" i="8"/>
  <c r="J25" i="11"/>
  <c r="J23" i="11"/>
  <c r="L25" i="11"/>
  <c r="L23" i="11"/>
  <c r="D25" i="11"/>
  <c r="D23" i="11"/>
  <c r="M45" i="8"/>
  <c r="M49" i="8" s="1"/>
  <c r="E45" i="8"/>
  <c r="E49" i="8" s="1"/>
  <c r="H41" i="8"/>
  <c r="F13" i="11"/>
  <c r="H13" i="11"/>
  <c r="G35" i="8"/>
  <c r="G21" i="11" s="1"/>
  <c r="H39" i="22"/>
  <c r="J14" i="11"/>
  <c r="I35" i="8"/>
  <c r="I21" i="11" s="1"/>
  <c r="I38" i="8"/>
  <c r="J39" i="22"/>
  <c r="K38" i="8"/>
  <c r="K35" i="8"/>
  <c r="K21" i="11" s="1"/>
  <c r="E41" i="8"/>
  <c r="H35" i="8"/>
  <c r="H21" i="11" s="1"/>
  <c r="F38" i="8"/>
  <c r="E13" i="11"/>
  <c r="G13" i="11"/>
  <c r="K13" i="11"/>
  <c r="G38" i="8"/>
  <c r="E38" i="8"/>
  <c r="E35" i="8"/>
  <c r="E21" i="11" s="1"/>
  <c r="J14" i="12"/>
  <c r="C51" i="8"/>
  <c r="C49" i="8"/>
  <c r="M41" i="8"/>
  <c r="J16" i="12"/>
  <c r="J19" i="12"/>
  <c r="J12" i="12"/>
  <c r="J20" i="12"/>
  <c r="J13" i="12"/>
  <c r="I23" i="12"/>
  <c r="I22" i="12"/>
  <c r="I24" i="12"/>
  <c r="J24" i="12" s="1"/>
  <c r="K41" i="22"/>
  <c r="K59" i="22" s="1"/>
  <c r="K47" i="22"/>
  <c r="K49" i="22" s="1"/>
  <c r="K51" i="22" s="1"/>
  <c r="K58" i="22" s="1"/>
  <c r="C41" i="8"/>
  <c r="C22" i="11" s="1"/>
  <c r="I25" i="12"/>
  <c r="G41" i="8"/>
  <c r="G45" i="8"/>
  <c r="I51" i="22"/>
  <c r="F14" i="11"/>
  <c r="G14" i="11"/>
  <c r="E14" i="11"/>
  <c r="D14" i="11"/>
  <c r="J41" i="8"/>
  <c r="J45" i="8"/>
  <c r="F41" i="8"/>
  <c r="F45" i="8"/>
  <c r="L41" i="8"/>
  <c r="L45" i="8"/>
  <c r="D41" i="8"/>
  <c r="D45" i="8"/>
  <c r="F29" i="23" l="1"/>
  <c r="E30" i="23"/>
  <c r="E32" i="23" s="1"/>
  <c r="I20" i="23"/>
  <c r="I28" i="23" s="1"/>
  <c r="H31" i="23"/>
  <c r="H35" i="23" s="1"/>
  <c r="K14" i="11"/>
  <c r="O21" i="11"/>
  <c r="N21" i="11"/>
  <c r="O13" i="11"/>
  <c r="H22" i="11"/>
  <c r="L22" i="11"/>
  <c r="F22" i="11"/>
  <c r="J22" i="11"/>
  <c r="D22" i="11"/>
  <c r="G22" i="11"/>
  <c r="I23" i="11"/>
  <c r="I25" i="11"/>
  <c r="E22" i="11"/>
  <c r="K23" i="11"/>
  <c r="K25" i="11"/>
  <c r="H25" i="11"/>
  <c r="H23" i="11"/>
  <c r="H45" i="8"/>
  <c r="I14" i="11"/>
  <c r="H14" i="11"/>
  <c r="N13" i="11"/>
  <c r="J41" i="22"/>
  <c r="J59" i="22" s="1"/>
  <c r="J47" i="22"/>
  <c r="J49" i="22" s="1"/>
  <c r="J51" i="22" s="1"/>
  <c r="J58" i="22" s="1"/>
  <c r="V22" i="8"/>
  <c r="I41" i="8"/>
  <c r="I45" i="8"/>
  <c r="K45" i="8"/>
  <c r="K41" i="8"/>
  <c r="H41" i="22"/>
  <c r="H59" i="22" s="1"/>
  <c r="H47" i="22"/>
  <c r="J25" i="12"/>
  <c r="J22" i="12"/>
  <c r="J23" i="12"/>
  <c r="L49" i="8"/>
  <c r="F49" i="8"/>
  <c r="J49" i="8"/>
  <c r="G49" i="8"/>
  <c r="G51" i="8" s="1"/>
  <c r="D70" i="33" s="1"/>
  <c r="I58" i="22"/>
  <c r="I61" i="22" s="1"/>
  <c r="K61" i="22"/>
  <c r="E46" i="8"/>
  <c r="D49" i="8"/>
  <c r="M51" i="8"/>
  <c r="D46" i="8"/>
  <c r="E51" i="8"/>
  <c r="F46" i="8"/>
  <c r="G46" i="8"/>
  <c r="M46" i="8"/>
  <c r="L46" i="8" l="1"/>
  <c r="I49" i="8"/>
  <c r="H49" i="8"/>
  <c r="E33" i="23"/>
  <c r="E34" i="23" s="1"/>
  <c r="I31" i="23"/>
  <c r="I35" i="23" s="1"/>
  <c r="G29" i="23"/>
  <c r="F30" i="23"/>
  <c r="F32" i="23" s="1"/>
  <c r="F33" i="23" s="1"/>
  <c r="F34" i="23" s="1"/>
  <c r="H49" i="22"/>
  <c r="H51" i="22" s="1"/>
  <c r="H58" i="22" s="1"/>
  <c r="H61" i="22" s="1"/>
  <c r="J46" i="8"/>
  <c r="N23" i="11"/>
  <c r="O14" i="11"/>
  <c r="O23" i="11"/>
  <c r="N25" i="11"/>
  <c r="H46" i="8"/>
  <c r="N11" i="12" a="1"/>
  <c r="N14" i="12" s="1"/>
  <c r="N30" i="11"/>
  <c r="K22" i="11"/>
  <c r="O25" i="11"/>
  <c r="I46" i="8"/>
  <c r="O30" i="11"/>
  <c r="I22" i="11"/>
  <c r="N22" i="11" s="1"/>
  <c r="N14" i="11"/>
  <c r="K46" i="8"/>
  <c r="I51" i="8"/>
  <c r="J61" i="22"/>
  <c r="K49" i="8"/>
  <c r="K51" i="8" s="1"/>
  <c r="H70" i="33" s="1"/>
  <c r="D72" i="33"/>
  <c r="D93" i="33" s="1"/>
  <c r="D94" i="33" s="1"/>
  <c r="J51" i="8"/>
  <c r="G70" i="33" s="1"/>
  <c r="F51" i="8"/>
  <c r="C70" i="33" s="1"/>
  <c r="H51" i="8"/>
  <c r="E70" i="33" s="1"/>
  <c r="L51" i="8"/>
  <c r="I70" i="33" s="1"/>
  <c r="D51" i="8"/>
  <c r="K53" i="22" l="1"/>
  <c r="F70" i="33"/>
  <c r="F72" i="33" s="1"/>
  <c r="F93" i="33" s="1"/>
  <c r="F94" i="33" s="1"/>
  <c r="H29" i="23"/>
  <c r="G30" i="23"/>
  <c r="G32" i="23" s="1"/>
  <c r="G33" i="23" s="1"/>
  <c r="G34" i="23" s="1"/>
  <c r="K54" i="22"/>
  <c r="K64" i="22"/>
  <c r="C43" i="23" s="1"/>
  <c r="N18" i="12"/>
  <c r="N16" i="12"/>
  <c r="N15" i="12"/>
  <c r="O15" i="12" s="1"/>
  <c r="N20" i="12"/>
  <c r="N24" i="11"/>
  <c r="N11" i="12"/>
  <c r="N19" i="12"/>
  <c r="N13" i="12"/>
  <c r="O14" i="12" s="1"/>
  <c r="N17" i="12"/>
  <c r="O18" i="12" s="1"/>
  <c r="N12" i="12"/>
  <c r="O12" i="12" s="1"/>
  <c r="O22" i="11"/>
  <c r="O24" i="11"/>
  <c r="K63" i="22"/>
  <c r="H72" i="33"/>
  <c r="H93" i="33" s="1"/>
  <c r="H94" i="33" s="1"/>
  <c r="E72" i="33"/>
  <c r="E93" i="33" s="1"/>
  <c r="E94" i="33" s="1"/>
  <c r="G72" i="33"/>
  <c r="G93" i="33" s="1"/>
  <c r="G94" i="33" s="1"/>
  <c r="I72" i="33"/>
  <c r="I93" i="33" s="1"/>
  <c r="I94" i="33" s="1"/>
  <c r="C72" i="33"/>
  <c r="C93" i="33" s="1"/>
  <c r="C94" i="33" s="1"/>
  <c r="B6" i="6"/>
  <c r="C63" i="23" s="1"/>
  <c r="D36" i="23" l="1"/>
  <c r="D37" i="23" s="1"/>
  <c r="E36" i="23"/>
  <c r="E37" i="23" s="1"/>
  <c r="F36" i="23"/>
  <c r="F37" i="23" s="1"/>
  <c r="I29" i="23"/>
  <c r="I30" i="23" s="1"/>
  <c r="I32" i="23" s="1"/>
  <c r="I33" i="23" s="1"/>
  <c r="I34" i="23" s="1"/>
  <c r="I36" i="23" s="1"/>
  <c r="H30" i="23"/>
  <c r="H32" i="23" s="1"/>
  <c r="H33" i="23" s="1"/>
  <c r="H34" i="23" s="1"/>
  <c r="H36" i="23" s="1"/>
  <c r="H37" i="23" s="1"/>
  <c r="G36" i="23"/>
  <c r="G37" i="23" s="1"/>
  <c r="O16" i="12"/>
  <c r="N21" i="12"/>
  <c r="O21" i="12" s="1"/>
  <c r="O20" i="12"/>
  <c r="O13" i="12"/>
  <c r="N25" i="12"/>
  <c r="N22" i="12"/>
  <c r="O19" i="12"/>
  <c r="O17" i="12"/>
  <c r="N24" i="12"/>
  <c r="N23" i="12"/>
  <c r="O29" i="11"/>
  <c r="N29" i="11"/>
  <c r="O31" i="11"/>
  <c r="N31" i="11"/>
  <c r="I37" i="23" l="1"/>
  <c r="C49" i="23" s="1"/>
  <c r="O23" i="12"/>
  <c r="O22" i="12"/>
  <c r="O24" i="12"/>
  <c r="O25" i="12"/>
  <c r="J30" i="14" l="1"/>
  <c r="J32" i="14"/>
  <c r="J31" i="14"/>
  <c r="J29" i="14"/>
  <c r="F35" i="14"/>
  <c r="F42" i="14"/>
  <c r="J36" i="14" l="1"/>
  <c r="J35" i="14"/>
  <c r="F36" i="14"/>
  <c r="J50" i="14"/>
  <c r="F43" i="14"/>
  <c r="J58" i="14" s="1"/>
  <c r="J48" i="14" l="1"/>
  <c r="J51" i="14"/>
  <c r="J43" i="14" s="1"/>
  <c r="J44" i="14" s="1"/>
  <c r="J56" i="14" s="1"/>
  <c r="J61" i="14" l="1"/>
  <c r="C50" i="23" l="1"/>
  <c r="C52" i="23" s="1"/>
  <c r="I39" i="23" l="1"/>
  <c r="I41" i="23" s="1"/>
  <c r="F39" i="23"/>
  <c r="F41" i="23" s="1"/>
  <c r="H39" i="23"/>
  <c r="H41" i="23" s="1"/>
  <c r="G39" i="23"/>
  <c r="G41" i="23" s="1"/>
  <c r="E39" i="23"/>
  <c r="E41" i="23" s="1"/>
  <c r="C56" i="23" l="1"/>
  <c r="C57" i="23"/>
  <c r="C58" i="23" l="1"/>
  <c r="C62" i="23" s="1"/>
  <c r="C64" i="23" s="1"/>
  <c r="E50" i="23" s="1"/>
  <c r="C66" i="23" l="1"/>
  <c r="D64" i="23"/>
</calcChain>
</file>

<file path=xl/sharedStrings.xml><?xml version="1.0" encoding="utf-8"?>
<sst xmlns="http://schemas.openxmlformats.org/spreadsheetml/2006/main" count="17957" uniqueCount="9014">
  <si>
    <t>COMPANY NAME</t>
  </si>
  <si>
    <t>Sales</t>
  </si>
  <si>
    <t>Expenses</t>
  </si>
  <si>
    <t>Operating Profit</t>
  </si>
  <si>
    <t>Other Income</t>
  </si>
  <si>
    <t>Depreciation</t>
  </si>
  <si>
    <t>Interest</t>
  </si>
  <si>
    <t>Profit before tax</t>
  </si>
  <si>
    <t>Tax</t>
  </si>
  <si>
    <t>Net profit</t>
  </si>
  <si>
    <t>Sales Growth</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</si>
  <si>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</si>
  <si>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</si>
  <si>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</si>
  <si>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</si>
  <si>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</si>
  <si>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</si>
  <si>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</si>
  <si>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</si>
  <si>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</si>
  <si>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</si>
  <si>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</si>
  <si>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</si>
  <si>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</si>
  <si>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</si>
  <si>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</si>
  <si>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</si>
  <si>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</si>
  <si>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</si>
  <si>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</si>
  <si>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</si>
  <si>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</si>
  <si>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</si>
  <si>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TRENT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</si>
  <si>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</si>
  <si>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</si>
  <si>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</si>
  <si>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</si>
  <si>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</si>
  <si>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</si>
  <si>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</si>
  <si>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</si>
  <si>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</si>
  <si>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</si>
  <si>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</si>
  <si>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</si>
  <si>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</si>
  <si>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</si>
  <si>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</si>
  <si>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</si>
  <si>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</si>
  <si>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</si>
  <si>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</si>
  <si>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</si>
  <si>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</si>
  <si>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Years</t>
  </si>
  <si>
    <t>LTM</t>
  </si>
  <si>
    <t>#</t>
  </si>
  <si>
    <t>78.21</t>
  </si>
  <si>
    <t>COGS</t>
  </si>
  <si>
    <t>Gross Margin</t>
  </si>
  <si>
    <t>COGS % Sales</t>
  </si>
  <si>
    <t>Selling &amp; General Expenses</t>
  </si>
  <si>
    <t xml:space="preserve">Gross Profit </t>
  </si>
  <si>
    <t>S&amp;G Exp % Sales</t>
  </si>
  <si>
    <t>EBITDA</t>
  </si>
  <si>
    <t xml:space="preserve">EBITDA Margin </t>
  </si>
  <si>
    <t>Depreciation%Sales</t>
  </si>
  <si>
    <t>EBT % Sales</t>
  </si>
  <si>
    <t xml:space="preserve">Effective tax Rate </t>
  </si>
  <si>
    <t xml:space="preserve">Net Profit </t>
  </si>
  <si>
    <t>Net profit Margin</t>
  </si>
  <si>
    <t xml:space="preserve">No. of Equity Shares </t>
  </si>
  <si>
    <t>EPS Growth %</t>
  </si>
  <si>
    <t xml:space="preserve">Divided  per Share </t>
  </si>
  <si>
    <t>Divided Payout Ratio</t>
  </si>
  <si>
    <t xml:space="preserve">Retained Earning </t>
  </si>
  <si>
    <t>Balance Sheet</t>
  </si>
  <si>
    <t>Total Liabilities</t>
  </si>
  <si>
    <t>Fixed Assets Net Block</t>
  </si>
  <si>
    <t>Capital Working in Progess</t>
  </si>
  <si>
    <t>Total Non Current Assets</t>
  </si>
  <si>
    <t>Total Current Assets</t>
  </si>
  <si>
    <t>Total Assets</t>
  </si>
  <si>
    <t>Check</t>
  </si>
  <si>
    <t>Profit from operations</t>
  </si>
  <si>
    <t>Payables</t>
  </si>
  <si>
    <t>Other WC items</t>
  </si>
  <si>
    <t>Working capital changes</t>
  </si>
  <si>
    <t>Direct taxes</t>
  </si>
  <si>
    <t>Fixed assets purchased</t>
  </si>
  <si>
    <t>Fixed assets sold</t>
  </si>
  <si>
    <t>Investments purchased</t>
  </si>
  <si>
    <t>Investments sold</t>
  </si>
  <si>
    <t>Interest received</t>
  </si>
  <si>
    <t>Dividends received</t>
  </si>
  <si>
    <t>Redemp n Canc of Shares</t>
  </si>
  <si>
    <t>Other investing items</t>
  </si>
  <si>
    <t>Proceeds from shares</t>
  </si>
  <si>
    <t>Proceeds from borrowings</t>
  </si>
  <si>
    <t>Repayment of borrowings</t>
  </si>
  <si>
    <t>Interest paid fin</t>
  </si>
  <si>
    <t>Financial liabilities</t>
  </si>
  <si>
    <t>Other financing items</t>
  </si>
  <si>
    <t>EBT</t>
  </si>
  <si>
    <t>-</t>
  </si>
  <si>
    <t>EBITDA Growth</t>
  </si>
  <si>
    <t>Net Profit Growth</t>
  </si>
  <si>
    <t>Dividend Growth</t>
  </si>
  <si>
    <t>EBITDA Margin</t>
  </si>
  <si>
    <t>EBIT Margin</t>
  </si>
  <si>
    <t>Net Profit Margin</t>
  </si>
  <si>
    <t>EBT Margin</t>
  </si>
  <si>
    <t>Interest Coverage Ratio</t>
  </si>
  <si>
    <t>Creditor Turnover Ratio</t>
  </si>
  <si>
    <t>Inventory Turnover</t>
  </si>
  <si>
    <t>Fixed Asset Turnover</t>
  </si>
  <si>
    <t>Capital Turnover Ratio</t>
  </si>
  <si>
    <t>Debtor Days</t>
  </si>
  <si>
    <t>Creditor Days</t>
  </si>
  <si>
    <t xml:space="preserve">Cash Conversion Cycle(in days) </t>
  </si>
  <si>
    <t>CFO/Sales</t>
  </si>
  <si>
    <t>CFO/Total Assests</t>
  </si>
  <si>
    <t>Acquisition of companies</t>
  </si>
  <si>
    <t>Dividends paid</t>
  </si>
  <si>
    <t>Cash Flow Statement</t>
  </si>
  <si>
    <t xml:space="preserve">Mean </t>
  </si>
  <si>
    <t>Median</t>
  </si>
  <si>
    <t>Trend</t>
  </si>
  <si>
    <t>Year</t>
  </si>
  <si>
    <t>Years Weight</t>
  </si>
  <si>
    <t xml:space="preserve">EPS </t>
  </si>
  <si>
    <t>EPS Growth</t>
  </si>
  <si>
    <t>Peer Comps</t>
  </si>
  <si>
    <t>Name of the Comps</t>
  </si>
  <si>
    <t>Country</t>
  </si>
  <si>
    <t>Total Debt</t>
  </si>
  <si>
    <t>Total Equity</t>
  </si>
  <si>
    <t>Debt/</t>
  </si>
  <si>
    <t>Equity</t>
  </si>
  <si>
    <t>Capital</t>
  </si>
  <si>
    <t xml:space="preserve">Levered </t>
  </si>
  <si>
    <t xml:space="preserve">Unlevered </t>
  </si>
  <si>
    <t>ITC</t>
  </si>
  <si>
    <t>India</t>
  </si>
  <si>
    <t>Average</t>
  </si>
  <si>
    <t>Cost of debt</t>
  </si>
  <si>
    <t>Pre-Tax Cost of Debt</t>
  </si>
  <si>
    <t>Tax Rate</t>
  </si>
  <si>
    <t>After Tax Cost of Debt</t>
  </si>
  <si>
    <t>Cost of Equity</t>
  </si>
  <si>
    <t>Risk Free Rate</t>
  </si>
  <si>
    <t>Equity Risk Premium</t>
  </si>
  <si>
    <t xml:space="preserve">Cost of Equity </t>
  </si>
  <si>
    <t xml:space="preserve">Capital Struture </t>
  </si>
  <si>
    <t>Levered Beta</t>
  </si>
  <si>
    <t xml:space="preserve">Current </t>
  </si>
  <si>
    <t xml:space="preserve">Target </t>
  </si>
  <si>
    <t>Total Capitalization</t>
  </si>
  <si>
    <t>Comps Median Unlivered Beta</t>
  </si>
  <si>
    <t>Target Debt/Equity</t>
  </si>
  <si>
    <t>Weighted Averager Cost of Capital</t>
  </si>
  <si>
    <t>Equity Weight</t>
  </si>
  <si>
    <t>WACC</t>
  </si>
  <si>
    <t>Debt/Equity</t>
  </si>
  <si>
    <t>Date</t>
  </si>
  <si>
    <t>Close Price</t>
  </si>
  <si>
    <t>08/14/2025</t>
  </si>
  <si>
    <t>07/25/2025</t>
  </si>
  <si>
    <t>07/18/2025</t>
  </si>
  <si>
    <t>06/27/2025</t>
  </si>
  <si>
    <t>06/20/2025</t>
  </si>
  <si>
    <t>06/13/2025</t>
  </si>
  <si>
    <t>05/30/2025</t>
  </si>
  <si>
    <t>05/23/2025</t>
  </si>
  <si>
    <t>05/16/2025</t>
  </si>
  <si>
    <t>04/25/2025</t>
  </si>
  <si>
    <t>04/17/2025</t>
  </si>
  <si>
    <t>03/28/2025</t>
  </si>
  <si>
    <t>03/21/2025</t>
  </si>
  <si>
    <t>03/13/2025</t>
  </si>
  <si>
    <t>02/28/2025</t>
  </si>
  <si>
    <t>02/21/2025</t>
  </si>
  <si>
    <t>02/14/2025</t>
  </si>
  <si>
    <t>01/31/2025</t>
  </si>
  <si>
    <t>01/24/2025</t>
  </si>
  <si>
    <t>01/17/2025</t>
  </si>
  <si>
    <t>12/27/2024</t>
  </si>
  <si>
    <t>12/20/2024</t>
  </si>
  <si>
    <t>12/13/2024</t>
  </si>
  <si>
    <t>11/29/2024</t>
  </si>
  <si>
    <t>11/22/2024</t>
  </si>
  <si>
    <t>11/14/2024</t>
  </si>
  <si>
    <t>10/25/2024</t>
  </si>
  <si>
    <t>10/18/2024</t>
  </si>
  <si>
    <t>09/27/2024</t>
  </si>
  <si>
    <t>09/20/2024</t>
  </si>
  <si>
    <t>09/13/2024</t>
  </si>
  <si>
    <t>08/30/2024</t>
  </si>
  <si>
    <t>08/23/2024</t>
  </si>
  <si>
    <t>08/16/2024</t>
  </si>
  <si>
    <t>07/26/2024</t>
  </si>
  <si>
    <t>07/19/2024</t>
  </si>
  <si>
    <t>06/28/2024</t>
  </si>
  <si>
    <t>06/21/2024</t>
  </si>
  <si>
    <t>06/14/2024</t>
  </si>
  <si>
    <t>05/31/2024</t>
  </si>
  <si>
    <t>05/24/2024</t>
  </si>
  <si>
    <t>05/17/2024</t>
  </si>
  <si>
    <t>04/26/2024</t>
  </si>
  <si>
    <t>04/19/2024</t>
  </si>
  <si>
    <t>03/28/2024</t>
  </si>
  <si>
    <t>03/22/2024</t>
  </si>
  <si>
    <t>03/15/2024</t>
  </si>
  <si>
    <t>02/23/2024</t>
  </si>
  <si>
    <t>02/16/2024</t>
  </si>
  <si>
    <t>Closing Price</t>
  </si>
  <si>
    <t>Return</t>
  </si>
  <si>
    <t>Beta Drifting</t>
  </si>
  <si>
    <t>Levered Raw Beta</t>
  </si>
  <si>
    <t>Raw Beta Weight</t>
  </si>
  <si>
    <t>Market Beta</t>
  </si>
  <si>
    <t>Market Beta Weight</t>
  </si>
  <si>
    <t xml:space="preserve"> Adjusted Beta</t>
  </si>
  <si>
    <t>Regression  Beta - 2 Years Weekly</t>
  </si>
  <si>
    <t xml:space="preserve"> </t>
  </si>
  <si>
    <t>S.No.</t>
  </si>
  <si>
    <t>Name</t>
  </si>
  <si>
    <t>CMP Rs.</t>
  </si>
  <si>
    <t>Mar Cap Rs.Cr.</t>
  </si>
  <si>
    <t>Debt Rs.Cr.</t>
  </si>
  <si>
    <t>Debt / Eq</t>
  </si>
  <si>
    <t>Equity Capital</t>
  </si>
  <si>
    <t xml:space="preserve">Cost of debt </t>
  </si>
  <si>
    <t>debt Weight</t>
  </si>
  <si>
    <t>1. Tax Rate considered as Marginal Tax Rate for the country</t>
  </si>
  <si>
    <t>3. Unlevered Beta = Levered Beta/(1+(1-Tax Rate) x Debt/Equity)</t>
  </si>
  <si>
    <t>3. Levered Beta = Unlevered Beta/(1+(1-Tax Rate) x Debt/Equity)</t>
  </si>
  <si>
    <t>2. Levered Beta is based on 2 year weekly data</t>
  </si>
  <si>
    <t>Annual</t>
  </si>
  <si>
    <t>Average Return</t>
  </si>
  <si>
    <t>Dividend Yield</t>
  </si>
  <si>
    <t>Particulars</t>
  </si>
  <si>
    <t>other assets</t>
  </si>
  <si>
    <t xml:space="preserve">Other Assest </t>
  </si>
  <si>
    <t>other assets-sum(receivlbe inventory cash &amp; Bank)</t>
  </si>
  <si>
    <t>Net profit+depreciation+tax+interest</t>
  </si>
  <si>
    <t>Borrowings -</t>
  </si>
  <si>
    <t>Long term Borrowings</t>
  </si>
  <si>
    <t>Short term Borrowings</t>
  </si>
  <si>
    <t>Lease Liabilities</t>
  </si>
  <si>
    <t>Other Liabilities -</t>
  </si>
  <si>
    <t>Non controlling int</t>
  </si>
  <si>
    <t>Trade Payables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</si>
  <si>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</si>
  <si>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</si>
  <si>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</si>
  <si>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</si>
  <si>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</si>
  <si>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</si>
  <si>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</si>
  <si>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</si>
  <si>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</si>
  <si>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</si>
  <si>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</si>
  <si>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</si>
  <si>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</si>
  <si>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</si>
  <si>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</si>
  <si>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Cash Equivalents</t>
  </si>
  <si>
    <t>Loans n Advances</t>
  </si>
  <si>
    <t xml:space="preserve">in simple word </t>
  </si>
  <si>
    <t>reinvest</t>
  </si>
  <si>
    <t>growth</t>
  </si>
  <si>
    <t>ROC&gt;COC</t>
  </si>
  <si>
    <t>BxR</t>
  </si>
  <si>
    <t>growth for equity share</t>
  </si>
  <si>
    <t>Calculation of ROIC</t>
  </si>
  <si>
    <t>Current Assets</t>
  </si>
  <si>
    <t>Current Liabilties</t>
  </si>
  <si>
    <t>Net Working Capital</t>
  </si>
  <si>
    <t>Total Current Liabilties</t>
  </si>
  <si>
    <t>Non Current Assets</t>
  </si>
  <si>
    <t>Net Non Current Assets</t>
  </si>
  <si>
    <t>EBIT</t>
  </si>
  <si>
    <t>Invested Capital</t>
  </si>
  <si>
    <t>ROIC</t>
  </si>
  <si>
    <t>roic = return on investment capital</t>
  </si>
  <si>
    <t>Net Capex</t>
  </si>
  <si>
    <t>Cash from Operating Activity -</t>
  </si>
  <si>
    <t>Cash from Investing Activity -</t>
  </si>
  <si>
    <t>Cash from Financing Activity -</t>
  </si>
  <si>
    <t>Change in capital working</t>
  </si>
  <si>
    <t>Marginal Tax Rate</t>
  </si>
  <si>
    <t>EBIT(1- T)</t>
  </si>
  <si>
    <t xml:space="preserve">Reinvestment </t>
  </si>
  <si>
    <t>Reinvestmet  Rate</t>
  </si>
  <si>
    <t>4years Avarage</t>
  </si>
  <si>
    <t>4years median</t>
  </si>
  <si>
    <t>Caliculation Of Growth Rate</t>
  </si>
  <si>
    <t xml:space="preserve">Inrensic Growth </t>
  </si>
  <si>
    <t>Calculation of PV of FCFF</t>
  </si>
  <si>
    <t xml:space="preserve">reinvestment grwot take it from intrisic griwth table as a median </t>
  </si>
  <si>
    <t>PV of FCFF</t>
  </si>
  <si>
    <t>Expected Growth</t>
  </si>
  <si>
    <t>Terminal Growth</t>
  </si>
  <si>
    <t>Discounting Factor</t>
  </si>
  <si>
    <t>Mid Year Convention</t>
  </si>
  <si>
    <t>Calulation of Terminal Value</t>
  </si>
  <si>
    <t xml:space="preserve">Terminal Growth Rate </t>
  </si>
  <si>
    <t>Terminal Value</t>
  </si>
  <si>
    <t>PV of Terminal Value</t>
  </si>
  <si>
    <t>Less: Debt</t>
  </si>
  <si>
    <t>Value of Equity</t>
  </si>
  <si>
    <t>No. of share</t>
  </si>
  <si>
    <t>Share Price</t>
  </si>
  <si>
    <t>Equity value of per share</t>
  </si>
  <si>
    <t>Other asset items</t>
  </si>
  <si>
    <t>Comparable Company Valuation</t>
  </si>
  <si>
    <t>Company</t>
  </si>
  <si>
    <t xml:space="preserve">Ticker </t>
  </si>
  <si>
    <t>Share Outstanding</t>
  </si>
  <si>
    <t>Equity Vaule</t>
  </si>
  <si>
    <t>Net Debt</t>
  </si>
  <si>
    <t>Market Data</t>
  </si>
  <si>
    <t xml:space="preserve">Revenue </t>
  </si>
  <si>
    <t>Net Income</t>
  </si>
  <si>
    <t>Financials</t>
  </si>
  <si>
    <t>EV/Revenue</t>
  </si>
  <si>
    <t>EV/EBITDA</t>
  </si>
  <si>
    <t>P/E</t>
  </si>
  <si>
    <t>Valuation</t>
  </si>
  <si>
    <t>No. Eq. Shares Cr.</t>
  </si>
  <si>
    <t>Cash End Rs.Cr.</t>
  </si>
  <si>
    <t>Sales Rs.Cr.</t>
  </si>
  <si>
    <t>EV / EBITDA</t>
  </si>
  <si>
    <t>market Capital</t>
  </si>
  <si>
    <t>EV</t>
  </si>
  <si>
    <t>Ev</t>
  </si>
  <si>
    <t>HINDUNILVR</t>
  </si>
  <si>
    <t>NESTLEIND</t>
  </si>
  <si>
    <t>BRITANNIA</t>
  </si>
  <si>
    <t>GODREJCP</t>
  </si>
  <si>
    <t>Enterprice Vlaue</t>
  </si>
  <si>
    <t>High</t>
  </si>
  <si>
    <t>75th percentile</t>
  </si>
  <si>
    <t>25th percentile</t>
  </si>
  <si>
    <t>Low</t>
  </si>
  <si>
    <t>Max</t>
  </si>
  <si>
    <t xml:space="preserve">EV/Revenue </t>
  </si>
  <si>
    <t>Implied Enterprise Value</t>
  </si>
  <si>
    <t>Implied Value per share</t>
  </si>
  <si>
    <t xml:space="preserve">Sourse:  screnner </t>
  </si>
  <si>
    <t>Calculation Of Reinvestment Rate</t>
  </si>
  <si>
    <t>08/18/2025</t>
  </si>
  <si>
    <t>Investment in group cos</t>
  </si>
  <si>
    <t>Operating Flow Activites</t>
  </si>
  <si>
    <t>Investing Activities</t>
  </si>
  <si>
    <t>Cash From Investing Activity-</t>
  </si>
  <si>
    <t>Financing Activity</t>
  </si>
  <si>
    <t>Cash from Financing Actitvity</t>
  </si>
  <si>
    <t>Current Market Price</t>
  </si>
  <si>
    <t>Football Field Analysis - Data</t>
  </si>
  <si>
    <t>Comps</t>
  </si>
  <si>
    <t>DCF Bear</t>
  </si>
  <si>
    <t>DCF Base</t>
  </si>
  <si>
    <t>DCF Bull</t>
  </si>
  <si>
    <t>52W H/L</t>
  </si>
  <si>
    <t xml:space="preserve">Low  </t>
  </si>
  <si>
    <t>OpenHigh</t>
  </si>
  <si>
    <t>OpenLow</t>
  </si>
  <si>
    <t>02/13/2024</t>
  </si>
  <si>
    <t>02/14/2024</t>
  </si>
  <si>
    <t>02/15/2024</t>
  </si>
  <si>
    <t>02/19/2024</t>
  </si>
  <si>
    <t>02/20/2024</t>
  </si>
  <si>
    <t>02/21/2024</t>
  </si>
  <si>
    <t>02/22/2024</t>
  </si>
  <si>
    <t>02/26/2024</t>
  </si>
  <si>
    <t>02/27/2024</t>
  </si>
  <si>
    <t>02/28/2024</t>
  </si>
  <si>
    <t>02/29/2024</t>
  </si>
  <si>
    <t>03/13/2024</t>
  </si>
  <si>
    <t>03/14/2024</t>
  </si>
  <si>
    <t>03/18/2024</t>
  </si>
  <si>
    <t>03/19/2024</t>
  </si>
  <si>
    <t>03/20/2024</t>
  </si>
  <si>
    <t>03/21/2024</t>
  </si>
  <si>
    <t>03/26/2024</t>
  </si>
  <si>
    <t>03/27/2024</t>
  </si>
  <si>
    <t>04/15/2024</t>
  </si>
  <si>
    <t>04/16/2024</t>
  </si>
  <si>
    <t>04/18/2024</t>
  </si>
  <si>
    <t>04/22/2024</t>
  </si>
  <si>
    <t>04/23/2024</t>
  </si>
  <si>
    <t>04/24/2024</t>
  </si>
  <si>
    <t>04/25/2024</t>
  </si>
  <si>
    <t>04/29/2024</t>
  </si>
  <si>
    <t>04/30/2024</t>
  </si>
  <si>
    <t>05/13/2024</t>
  </si>
  <si>
    <t>05/14/2024</t>
  </si>
  <si>
    <t>05/15/2024</t>
  </si>
  <si>
    <t>05/16/2024</t>
  </si>
  <si>
    <t>05/21/2024</t>
  </si>
  <si>
    <t>05/22/2024</t>
  </si>
  <si>
    <t>05/23/2024</t>
  </si>
  <si>
    <t>05/27/2024</t>
  </si>
  <si>
    <t>05/28/2024</t>
  </si>
  <si>
    <t>05/29/2024</t>
  </si>
  <si>
    <t>05/30/2024</t>
  </si>
  <si>
    <t>06/13/2024</t>
  </si>
  <si>
    <t>06/18/2024</t>
  </si>
  <si>
    <t>06/19/2024</t>
  </si>
  <si>
    <t>06/20/2024</t>
  </si>
  <si>
    <t>06/24/2024</t>
  </si>
  <si>
    <t>06/25/2024</t>
  </si>
  <si>
    <t>06/26/2024</t>
  </si>
  <si>
    <t>06/27/2024</t>
  </si>
  <si>
    <t>07/15/2024</t>
  </si>
  <si>
    <t>07/16/2024</t>
  </si>
  <si>
    <t>07/18/2024</t>
  </si>
  <si>
    <t>07/22/2024</t>
  </si>
  <si>
    <t>07/23/2024</t>
  </si>
  <si>
    <t>07/24/2024</t>
  </si>
  <si>
    <t>07/25/2024</t>
  </si>
  <si>
    <t>07/29/2024</t>
  </si>
  <si>
    <t>07/30/2024</t>
  </si>
  <si>
    <t>07/31/2024</t>
  </si>
  <si>
    <t>08/13/2024</t>
  </si>
  <si>
    <t>08/14/2024</t>
  </si>
  <si>
    <t>08/19/2024</t>
  </si>
  <si>
    <t>08/20/2024</t>
  </si>
  <si>
    <t>08/21/2024</t>
  </si>
  <si>
    <t>08/22/2024</t>
  </si>
  <si>
    <t>08/26/2024</t>
  </si>
  <si>
    <t>08/27/2024</t>
  </si>
  <si>
    <t>08/28/2024</t>
  </si>
  <si>
    <t>08/29/2024</t>
  </si>
  <si>
    <t>09/16/2024</t>
  </si>
  <si>
    <t>09/17/2024</t>
  </si>
  <si>
    <t>09/18/2024</t>
  </si>
  <si>
    <t>09/19/2024</t>
  </si>
  <si>
    <t>09/23/2024</t>
  </si>
  <si>
    <t>09/24/2024</t>
  </si>
  <si>
    <t>09/25/2024</t>
  </si>
  <si>
    <t>09/26/2024</t>
  </si>
  <si>
    <t>09/30/2024</t>
  </si>
  <si>
    <t>10/14/2024</t>
  </si>
  <si>
    <t>10/15/2024</t>
  </si>
  <si>
    <t>10/16/2024</t>
  </si>
  <si>
    <t>10/17/2024</t>
  </si>
  <si>
    <t>10/21/2024</t>
  </si>
  <si>
    <t>10/22/2024</t>
  </si>
  <si>
    <t>10/23/2024</t>
  </si>
  <si>
    <t>10/24/2024</t>
  </si>
  <si>
    <t>10/28/2024</t>
  </si>
  <si>
    <t>10/29/2024</t>
  </si>
  <si>
    <t>10/30/2024</t>
  </si>
  <si>
    <t>10/31/2024</t>
  </si>
  <si>
    <t>11/13/2024</t>
  </si>
  <si>
    <t>11/18/2024</t>
  </si>
  <si>
    <t>11/19/2024</t>
  </si>
  <si>
    <t>11/21/2024</t>
  </si>
  <si>
    <t>11/25/2024</t>
  </si>
  <si>
    <t>11/26/2024</t>
  </si>
  <si>
    <t>11/27/2024</t>
  </si>
  <si>
    <t>11/28/2024</t>
  </si>
  <si>
    <t>12/16/2024</t>
  </si>
  <si>
    <t>12/17/2024</t>
  </si>
  <si>
    <t>12/18/2024</t>
  </si>
  <si>
    <t>12/19/2024</t>
  </si>
  <si>
    <t>12/23/2024</t>
  </si>
  <si>
    <t>12/24/2024</t>
  </si>
  <si>
    <t>12/26/2024</t>
  </si>
  <si>
    <t>12/30/2024</t>
  </si>
  <si>
    <t>12/31/2024</t>
  </si>
  <si>
    <t>01/13/2025</t>
  </si>
  <si>
    <t>01/14/2025</t>
  </si>
  <si>
    <t>01/15/2025</t>
  </si>
  <si>
    <t>01/16/2025</t>
  </si>
  <si>
    <t>01/20/2025</t>
  </si>
  <si>
    <t>01/21/2025</t>
  </si>
  <si>
    <t>01/22/2025</t>
  </si>
  <si>
    <t>01/23/2025</t>
  </si>
  <si>
    <t>01/27/2025</t>
  </si>
  <si>
    <t>01/28/2025</t>
  </si>
  <si>
    <t>01/29/2025</t>
  </si>
  <si>
    <t>01/30/2025</t>
  </si>
  <si>
    <t>02/13/2025</t>
  </si>
  <si>
    <t>02/17/2025</t>
  </si>
  <si>
    <t>02/18/2025</t>
  </si>
  <si>
    <t>02/19/2025</t>
  </si>
  <si>
    <t>02/20/2025</t>
  </si>
  <si>
    <t>02/24/2025</t>
  </si>
  <si>
    <t>02/25/2025</t>
  </si>
  <si>
    <t>02/27/2025</t>
  </si>
  <si>
    <t>03/17/2025</t>
  </si>
  <si>
    <t>03/18/2025</t>
  </si>
  <si>
    <t>03/19/2025</t>
  </si>
  <si>
    <t>03/20/2025</t>
  </si>
  <si>
    <t>03/24/2025</t>
  </si>
  <si>
    <t>03/25/2025</t>
  </si>
  <si>
    <t>03/26/2025</t>
  </si>
  <si>
    <t>03/27/2025</t>
  </si>
  <si>
    <t>04/15/2025</t>
  </si>
  <si>
    <t>04/16/2025</t>
  </si>
  <si>
    <t>04/21/2025</t>
  </si>
  <si>
    <t>04/22/2025</t>
  </si>
  <si>
    <t>04/23/2025</t>
  </si>
  <si>
    <t>04/24/2025</t>
  </si>
  <si>
    <t>04/28/2025</t>
  </si>
  <si>
    <t>04/29/2025</t>
  </si>
  <si>
    <t>04/30/2025</t>
  </si>
  <si>
    <t>05/13/2025</t>
  </si>
  <si>
    <t>05/14/2025</t>
  </si>
  <si>
    <t>05/15/2025</t>
  </si>
  <si>
    <t>05/19/2025</t>
  </si>
  <si>
    <t>05/20/2025</t>
  </si>
  <si>
    <t>05/21/2025</t>
  </si>
  <si>
    <t>05/22/2025</t>
  </si>
  <si>
    <t>05/26/2025</t>
  </si>
  <si>
    <t>05/27/2025</t>
  </si>
  <si>
    <t>05/28/2025</t>
  </si>
  <si>
    <t>05/29/2025</t>
  </si>
  <si>
    <t>06/16/2025</t>
  </si>
  <si>
    <t>06/17/2025</t>
  </si>
  <si>
    <t>06/18/2025</t>
  </si>
  <si>
    <t>06/19/2025</t>
  </si>
  <si>
    <t>06/23/2025</t>
  </si>
  <si>
    <t>06/24/2025</t>
  </si>
  <si>
    <t>06/25/2025</t>
  </si>
  <si>
    <t>06/26/2025</t>
  </si>
  <si>
    <t>06/30/2025</t>
  </si>
  <si>
    <t>07/14/2025</t>
  </si>
  <si>
    <t>07/15/2025</t>
  </si>
  <si>
    <t>07/16/2025</t>
  </si>
  <si>
    <t>07/17/2025</t>
  </si>
  <si>
    <t>07/21/2025</t>
  </si>
  <si>
    <t>07/22/2025</t>
  </si>
  <si>
    <t>07/23/2025</t>
  </si>
  <si>
    <t>07/24/2025</t>
  </si>
  <si>
    <t>07/28/2025</t>
  </si>
  <si>
    <t>07/29/2025</t>
  </si>
  <si>
    <t>07/30/2025</t>
  </si>
  <si>
    <t>07/31/2025</t>
  </si>
  <si>
    <t>08/13/2025</t>
  </si>
  <si>
    <t>08/19/2025</t>
  </si>
  <si>
    <t>08/20/2025</t>
  </si>
  <si>
    <t>Close</t>
  </si>
  <si>
    <t>Sorted  Returns</t>
  </si>
  <si>
    <t>Standered Deviation</t>
  </si>
  <si>
    <t>Min</t>
  </si>
  <si>
    <t>Percentile</t>
  </si>
  <si>
    <t>VAR%</t>
  </si>
  <si>
    <t>CMP</t>
  </si>
  <si>
    <t>Stock Price</t>
  </si>
  <si>
    <t>VAR(INR)</t>
  </si>
  <si>
    <t>Confidence</t>
  </si>
  <si>
    <t>Replication</t>
  </si>
  <si>
    <t>Simulatd Return</t>
  </si>
  <si>
    <t>Historical Approach</t>
  </si>
  <si>
    <t>Monte carlo Simulation</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</si>
  <si>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</si>
  <si>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</si>
  <si>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</si>
  <si>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</si>
  <si>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</si>
  <si>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</si>
  <si>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</si>
  <si>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</si>
  <si>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</si>
  <si>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</si>
  <si>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</si>
  <si>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</si>
  <si>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</si>
  <si>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</si>
  <si>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</si>
  <si>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</si>
  <si>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</si>
  <si>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</si>
  <si>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</si>
  <si>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</si>
  <si>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</si>
  <si>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</si>
  <si>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</si>
  <si>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</si>
  <si>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</si>
  <si>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</si>
  <si>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</si>
  <si>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</si>
  <si>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</si>
  <si>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</si>
  <si>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</si>
  <si>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</si>
  <si>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</si>
  <si>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</si>
  <si>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</si>
  <si>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</si>
  <si>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</si>
  <si>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</si>
  <si>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</si>
  <si>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</si>
  <si>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</si>
  <si>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</si>
  <si>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</si>
  <si>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</si>
  <si>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</si>
  <si>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</si>
  <si>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</si>
  <si>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</si>
  <si>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</si>
  <si>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</si>
  <si>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</si>
  <si>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</si>
  <si>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</si>
  <si>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</si>
  <si>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</si>
  <si>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</si>
  <si>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</si>
  <si>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</si>
  <si>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</si>
  <si>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</si>
  <si>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</si>
  <si>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</si>
  <si>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</si>
  <si>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</si>
  <si>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</si>
  <si>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</si>
  <si>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</si>
  <si>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</si>
  <si>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</si>
  <si>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</si>
  <si>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</si>
  <si>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</si>
  <si>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</si>
  <si>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</si>
  <si>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</si>
  <si>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</si>
  <si>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</si>
  <si>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</si>
  <si>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</si>
  <si>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</si>
  <si>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</si>
  <si>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</si>
  <si>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</si>
  <si>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</si>
  <si>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</si>
  <si>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</si>
  <si>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</si>
  <si>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</si>
  <si>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</si>
  <si>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</si>
  <si>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</si>
  <si>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</si>
  <si>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</si>
  <si>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</si>
  <si>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</si>
  <si>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</si>
  <si>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</si>
  <si>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</si>
  <si>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</si>
  <si>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</si>
  <si>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</si>
  <si>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</si>
  <si>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</si>
  <si>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</si>
  <si>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</si>
  <si>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</si>
  <si>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</si>
  <si>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</si>
  <si>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</si>
  <si>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</si>
  <si>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</si>
  <si>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</si>
  <si>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</si>
  <si>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</si>
  <si>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</si>
  <si>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</si>
  <si>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</si>
  <si>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</si>
  <si>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</si>
  <si>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</si>
  <si>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</si>
  <si>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</si>
  <si>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</si>
  <si>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</si>
  <si>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</si>
  <si>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</si>
  <si>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</si>
  <si>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</si>
  <si>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</si>
  <si>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</si>
  <si>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</si>
  <si>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</si>
  <si>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</si>
  <si>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</si>
  <si>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</si>
  <si>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</si>
  <si>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</si>
  <si>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</si>
  <si>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</si>
  <si>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</si>
  <si>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</si>
  <si>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</si>
  <si>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</si>
  <si>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</si>
  <si>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</si>
  <si>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</si>
  <si>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</si>
  <si>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</si>
  <si>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</si>
  <si>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</si>
  <si>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</si>
  <si>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</si>
  <si>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</si>
  <si>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</si>
  <si>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</si>
  <si>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</si>
  <si>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</si>
  <si>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</si>
  <si>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</si>
  <si>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</si>
  <si>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</si>
  <si>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</si>
  <si>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</si>
  <si>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</si>
  <si>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</si>
  <si>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</si>
  <si>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</si>
  <si>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</si>
  <si>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</si>
  <si>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</si>
  <si>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</si>
  <si>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</si>
  <si>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</si>
  <si>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</si>
  <si>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</si>
  <si>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</si>
  <si>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</si>
  <si>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</si>
  <si>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</si>
  <si>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</si>
  <si>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</si>
  <si>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</si>
  <si>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</si>
  <si>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</si>
  <si>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</si>
  <si>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</si>
  <si>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</si>
  <si>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</si>
  <si>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</si>
  <si>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</si>
  <si>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</si>
  <si>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</si>
  <si>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</si>
  <si>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</si>
  <si>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</si>
  <si>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</si>
  <si>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</si>
  <si>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</si>
  <si>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</si>
  <si>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</si>
  <si>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</si>
  <si>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</si>
  <si>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</si>
  <si>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</si>
  <si>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</si>
  <si>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</si>
  <si>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</si>
  <si>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</si>
  <si>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</si>
  <si>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</si>
  <si>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</si>
  <si>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</si>
  <si>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</si>
  <si>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</si>
  <si>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</si>
  <si>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</si>
  <si>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</si>
  <si>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</si>
  <si>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</si>
  <si>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</si>
  <si>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</si>
  <si>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</si>
  <si>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</si>
  <si>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</si>
  <si>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</si>
  <si>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</si>
  <si>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</si>
  <si>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</si>
  <si>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</si>
  <si>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</si>
  <si>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</si>
  <si>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</si>
  <si>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</si>
  <si>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</si>
  <si>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</si>
  <si>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</si>
  <si>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</si>
  <si>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</si>
  <si>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</si>
  <si>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</si>
  <si>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</si>
  <si>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</si>
  <si>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</si>
  <si>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</si>
  <si>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</si>
  <si>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</si>
  <si>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</si>
  <si>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</si>
  <si>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</si>
  <si>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</si>
  <si>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</si>
  <si>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</si>
  <si>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</si>
  <si>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</si>
  <si>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</si>
  <si>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</si>
  <si>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</si>
  <si>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</si>
  <si>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</si>
  <si>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</si>
  <si>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</si>
  <si>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</si>
  <si>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</si>
  <si>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</si>
  <si>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</si>
  <si>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</si>
  <si>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</si>
  <si>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</si>
  <si>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</si>
  <si>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</si>
  <si>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</si>
  <si>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</si>
  <si>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</si>
  <si>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</si>
  <si>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</si>
  <si>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</si>
  <si>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</si>
  <si>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</si>
  <si>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</si>
  <si>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</si>
  <si>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</si>
  <si>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</si>
  <si>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</si>
  <si>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</si>
  <si>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</si>
  <si>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</si>
  <si>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</si>
  <si>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</si>
  <si>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</si>
  <si>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</si>
  <si>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</si>
  <si>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</si>
  <si>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</si>
  <si>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</si>
  <si>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</si>
  <si>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</si>
  <si>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</si>
  <si>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</si>
  <si>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</si>
  <si>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</si>
  <si>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</si>
  <si>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</si>
  <si>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</si>
  <si>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</si>
  <si>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</si>
  <si>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</si>
  <si>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</si>
  <si>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</si>
  <si>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</si>
  <si>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</si>
  <si>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</si>
  <si>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</si>
  <si>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</si>
  <si>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</si>
  <si>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</si>
  <si>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</si>
  <si>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</si>
  <si>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</si>
  <si>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</si>
  <si>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</si>
  <si>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</si>
  <si>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</si>
  <si>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</si>
  <si>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</si>
  <si>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</si>
  <si>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</si>
  <si>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</si>
  <si>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</si>
  <si>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</si>
  <si>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</si>
  <si>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</si>
  <si>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</si>
  <si>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</si>
  <si>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</si>
  <si>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</si>
  <si>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</si>
  <si>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</si>
  <si>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</si>
  <si>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</si>
  <si>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</si>
  <si>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</si>
  <si>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</si>
  <si>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</si>
  <si>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</si>
  <si>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</si>
  <si>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</si>
  <si>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</si>
  <si>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</si>
  <si>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</si>
  <si>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</si>
  <si>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</si>
  <si>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</si>
  <si>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</si>
  <si>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</si>
  <si>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</si>
  <si>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</si>
  <si>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</si>
  <si>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</si>
  <si>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</si>
  <si>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</si>
  <si>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</si>
  <si>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</si>
  <si>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</si>
  <si>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</si>
  <si>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</si>
  <si>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</si>
  <si>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</si>
  <si>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</si>
  <si>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</si>
  <si>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</si>
  <si>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</si>
  <si>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</si>
  <si>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</si>
  <si>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</si>
  <si>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</si>
  <si>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</si>
  <si>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</si>
  <si>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</si>
  <si>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</si>
  <si>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</si>
  <si>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</si>
  <si>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</si>
  <si>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</si>
  <si>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</si>
  <si>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</si>
  <si>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</si>
  <si>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</si>
  <si>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</si>
  <si>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</si>
  <si>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</si>
  <si>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</si>
  <si>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</si>
  <si>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</si>
  <si>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</si>
  <si>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</si>
  <si>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</si>
  <si>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</si>
  <si>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</si>
  <si>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</si>
  <si>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</si>
  <si>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</si>
  <si>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</si>
  <si>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</si>
  <si>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</si>
  <si>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</si>
  <si>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</si>
  <si>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</si>
  <si>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</si>
  <si>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</si>
  <si>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</si>
  <si>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</si>
  <si>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</si>
  <si>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</si>
  <si>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</si>
  <si>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</si>
  <si>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</si>
  <si>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</si>
  <si>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</si>
  <si>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</si>
  <si>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</si>
  <si>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</si>
  <si>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</si>
  <si>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</si>
  <si>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</si>
  <si>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</si>
  <si>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</si>
  <si>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</si>
  <si>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</si>
  <si>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</si>
  <si>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</si>
  <si>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</si>
  <si>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</si>
  <si>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</si>
  <si>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</si>
  <si>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</si>
  <si>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</si>
  <si>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</si>
  <si>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</si>
  <si>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</si>
  <si>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</si>
  <si>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</si>
  <si>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</si>
  <si>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</si>
  <si>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</si>
  <si>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</si>
  <si>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</si>
  <si>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</si>
  <si>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</si>
  <si>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</si>
  <si>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</si>
  <si>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</si>
  <si>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</si>
  <si>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</si>
  <si>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</si>
  <si>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</si>
  <si>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</si>
  <si>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</si>
  <si>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</si>
  <si>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</si>
  <si>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</si>
  <si>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</si>
  <si>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</si>
  <si>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</si>
  <si>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</si>
  <si>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</si>
  <si>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</si>
  <si>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</si>
  <si>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</si>
  <si>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</si>
  <si>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</si>
  <si>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</si>
  <si>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</si>
  <si>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</si>
  <si>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</si>
  <si>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</si>
  <si>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</si>
  <si>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</si>
  <si>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</si>
  <si>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</si>
  <si>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</si>
  <si>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</si>
  <si>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</si>
  <si>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</si>
  <si>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</si>
  <si>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</si>
  <si>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</si>
  <si>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</si>
  <si>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</si>
  <si>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</si>
  <si>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</si>
  <si>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</si>
  <si>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</si>
  <si>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</si>
  <si>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</si>
  <si>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</si>
  <si>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</si>
  <si>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</si>
  <si>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</si>
  <si>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</si>
  <si>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</si>
  <si>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</si>
  <si>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</si>
  <si>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</si>
  <si>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</si>
  <si>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</si>
  <si>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</si>
  <si>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</si>
  <si>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</si>
  <si>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</si>
  <si>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</si>
  <si>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</si>
  <si>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</si>
  <si>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</si>
  <si>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</si>
  <si>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</si>
  <si>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</si>
  <si>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</si>
  <si>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</si>
  <si>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</si>
  <si>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</si>
  <si>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</si>
  <si>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</si>
  <si>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</si>
  <si>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</si>
  <si>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</si>
  <si>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</si>
  <si>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</si>
  <si>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</si>
  <si>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</si>
  <si>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</si>
  <si>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</si>
  <si>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</si>
  <si>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</si>
  <si>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</si>
  <si>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</si>
  <si>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</si>
  <si>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</si>
  <si>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</si>
  <si>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</si>
  <si>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</si>
  <si>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</si>
  <si>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</si>
  <si>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</si>
  <si>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</si>
  <si>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</si>
  <si>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</si>
  <si>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</si>
  <si>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</si>
  <si>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</si>
  <si>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</si>
  <si>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</si>
  <si>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</si>
  <si>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</si>
  <si>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</si>
  <si>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</si>
  <si>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</si>
  <si>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</si>
  <si>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</si>
  <si>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</si>
  <si>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</si>
  <si>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</si>
  <si>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</si>
  <si>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</si>
  <si>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</si>
  <si>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</si>
  <si>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</si>
  <si>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</si>
  <si>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</si>
  <si>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</si>
  <si>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</si>
  <si>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</si>
  <si>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</si>
  <si>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</si>
  <si>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</si>
  <si>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</si>
  <si>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</si>
  <si>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</si>
  <si>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</si>
  <si>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</si>
  <si>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</si>
  <si>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</si>
  <si>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</si>
  <si>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</si>
  <si>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</si>
  <si>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</si>
  <si>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</si>
  <si>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</si>
  <si>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</si>
  <si>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</si>
  <si>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</si>
  <si>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</si>
  <si>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</si>
  <si>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</si>
  <si>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</si>
  <si>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</si>
  <si>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</si>
  <si>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</si>
  <si>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</si>
  <si>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</si>
  <si>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</si>
  <si>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</si>
  <si>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</si>
  <si>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</si>
  <si>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</si>
  <si>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</si>
  <si>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</si>
  <si>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</si>
  <si>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</si>
  <si>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</si>
  <si>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</si>
  <si>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</si>
  <si>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</si>
  <si>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</si>
  <si>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</si>
  <si>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</si>
  <si>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</si>
  <si>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</si>
  <si>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</si>
  <si>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</si>
  <si>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</si>
  <si>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</si>
  <si>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</si>
  <si>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</si>
  <si>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</si>
  <si>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</si>
  <si>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</si>
  <si>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</si>
  <si>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</si>
  <si>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</si>
  <si>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</si>
  <si>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</si>
  <si>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</si>
  <si>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</si>
  <si>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</si>
  <si>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</si>
  <si>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</si>
  <si>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</si>
  <si>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</si>
  <si>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</si>
  <si>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</si>
  <si>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</si>
  <si>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</si>
  <si>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</si>
  <si>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</si>
  <si>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</si>
  <si>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</si>
  <si>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</si>
  <si>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</si>
  <si>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</si>
  <si>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</si>
  <si>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</si>
  <si>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</si>
  <si>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</si>
  <si>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</si>
  <si>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</si>
  <si>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</si>
  <si>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</si>
  <si>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</si>
  <si>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</si>
  <si>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</si>
  <si>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</si>
  <si>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</si>
  <si>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</si>
  <si>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</si>
  <si>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</si>
  <si>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</si>
  <si>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</si>
  <si>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</si>
  <si>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</si>
  <si>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</si>
  <si>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</si>
  <si>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</si>
  <si>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</si>
  <si>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</si>
  <si>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</si>
  <si>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</si>
  <si>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</si>
  <si>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</si>
  <si>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</si>
  <si>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</si>
  <si>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</si>
  <si>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</si>
  <si>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</si>
  <si>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</si>
  <si>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</si>
  <si>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</si>
  <si>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</si>
  <si>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</si>
  <si>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</si>
  <si>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</si>
  <si>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</si>
  <si>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</si>
  <si>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</si>
  <si>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</si>
  <si>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</si>
  <si>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</si>
  <si>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</si>
  <si>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</si>
  <si>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</si>
  <si>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</si>
  <si>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</si>
  <si>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</si>
  <si>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</si>
  <si>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</si>
  <si>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</si>
  <si>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</si>
  <si>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</si>
  <si>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</si>
  <si>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</si>
  <si>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</si>
  <si>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</si>
  <si>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</si>
  <si>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</si>
  <si>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</si>
  <si>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</si>
  <si>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</si>
  <si>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</si>
  <si>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</si>
  <si>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</si>
  <si>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</si>
  <si>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</si>
  <si>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</si>
  <si>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</si>
  <si>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</si>
  <si>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</si>
  <si>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</si>
  <si>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</si>
  <si>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</si>
  <si>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</si>
  <si>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</si>
  <si>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</si>
  <si>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</si>
  <si>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</si>
  <si>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</si>
  <si>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</si>
  <si>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</si>
  <si>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</si>
  <si>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</si>
  <si>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</si>
  <si>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</si>
  <si>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</si>
  <si>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</si>
  <si>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</si>
  <si>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</si>
  <si>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</si>
  <si>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</si>
  <si>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</si>
  <si>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</si>
  <si>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</si>
  <si>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</si>
  <si>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</si>
  <si>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</si>
  <si>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</si>
  <si>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</si>
  <si>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</si>
  <si>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</si>
  <si>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</si>
  <si>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</si>
  <si>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</si>
  <si>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</si>
  <si>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</si>
  <si>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</si>
  <si>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</si>
  <si>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</si>
  <si>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</si>
  <si>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</si>
  <si>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</si>
  <si>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</si>
  <si>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</si>
  <si>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</si>
  <si>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</si>
  <si>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</si>
  <si>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</si>
  <si>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</si>
  <si>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</si>
  <si>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</si>
  <si>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</si>
  <si>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</si>
  <si>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</si>
  <si>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</si>
  <si>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</si>
  <si>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</si>
  <si>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</si>
  <si>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</si>
  <si>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</si>
  <si>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</si>
  <si>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</si>
  <si>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</si>
  <si>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</si>
  <si>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</si>
  <si>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</si>
  <si>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</si>
  <si>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</si>
  <si>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</si>
  <si>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</si>
  <si>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</si>
  <si>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</si>
  <si>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</si>
  <si>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</si>
  <si>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</si>
  <si>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</si>
  <si>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</si>
  <si>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</si>
  <si>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</si>
  <si>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</si>
  <si>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</si>
  <si>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</si>
  <si>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</si>
  <si>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</si>
  <si>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</si>
  <si>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</si>
  <si>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</si>
  <si>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</si>
  <si>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</si>
  <si>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</si>
  <si>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</si>
  <si>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</si>
  <si>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</si>
  <si>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</si>
  <si>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</si>
  <si>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</si>
  <si>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</si>
  <si>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</si>
  <si>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</si>
  <si>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</si>
  <si>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</si>
  <si>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</si>
  <si>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</si>
  <si>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</si>
  <si>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</si>
  <si>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</si>
  <si>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</si>
  <si>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</si>
  <si>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</si>
  <si>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</si>
  <si>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</si>
  <si>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</si>
  <si>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</si>
  <si>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</si>
  <si>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</si>
  <si>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</si>
  <si>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</si>
  <si>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</si>
  <si>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</si>
  <si>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</si>
  <si>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</si>
  <si>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</si>
  <si>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</si>
  <si>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</si>
  <si>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</si>
  <si>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</si>
  <si>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</si>
  <si>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</si>
  <si>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</si>
  <si>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</si>
  <si>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</si>
  <si>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</si>
  <si>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</si>
  <si>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</si>
  <si>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</si>
  <si>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</si>
  <si>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</si>
  <si>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</si>
  <si>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</si>
  <si>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</si>
  <si>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</si>
  <si>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</si>
  <si>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</si>
  <si>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</si>
  <si>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</si>
  <si>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</si>
  <si>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</si>
  <si>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</si>
  <si>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</si>
  <si>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</si>
  <si>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</si>
  <si>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</si>
  <si>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</si>
  <si>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</si>
  <si>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</si>
  <si>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</si>
  <si>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</si>
  <si>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</si>
  <si>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</si>
  <si>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</si>
  <si>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</si>
  <si>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</si>
  <si>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</si>
  <si>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</si>
  <si>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</si>
  <si>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</si>
  <si>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</si>
  <si>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</si>
  <si>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</si>
  <si>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</si>
  <si>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</si>
  <si>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</si>
  <si>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</si>
  <si>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</si>
  <si>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</si>
  <si>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</si>
  <si>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</si>
  <si>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</si>
  <si>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</si>
  <si>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</si>
  <si>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</si>
  <si>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</si>
  <si>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</si>
  <si>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</si>
  <si>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</si>
  <si>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</si>
  <si>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</si>
  <si>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</si>
  <si>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</si>
  <si>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</si>
  <si>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</si>
  <si>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</si>
  <si>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</si>
  <si>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</si>
  <si>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</si>
  <si>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</si>
  <si>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</si>
  <si>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</si>
  <si>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</si>
  <si>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</si>
  <si>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</si>
  <si>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</si>
  <si>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</si>
  <si>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</si>
  <si>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</si>
  <si>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</si>
  <si>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</si>
  <si>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</si>
  <si>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</si>
  <si>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</si>
  <si>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</si>
  <si>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</si>
  <si>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</si>
  <si>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</si>
  <si>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</si>
  <si>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</si>
  <si>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</si>
  <si>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</si>
  <si>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</si>
  <si>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</si>
  <si>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</si>
  <si>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</si>
  <si>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</si>
  <si>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</si>
  <si>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</si>
  <si>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</si>
  <si>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</si>
  <si>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</si>
  <si>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</si>
  <si>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</si>
  <si>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</si>
  <si>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</si>
  <si>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</si>
  <si>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</si>
  <si>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</si>
  <si>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</si>
  <si>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</si>
  <si>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</si>
  <si>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</si>
  <si>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</si>
  <si>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</si>
  <si>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</si>
  <si>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</si>
  <si>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</si>
  <si>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</si>
  <si>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</si>
  <si>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</si>
  <si>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</si>
  <si>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</si>
  <si>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</si>
  <si>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</si>
  <si>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</si>
  <si>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</si>
  <si>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</si>
  <si>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</si>
  <si>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</si>
  <si>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</si>
  <si>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</si>
  <si>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</si>
  <si>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</si>
  <si>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</si>
  <si>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</si>
  <si>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</si>
  <si>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</si>
  <si>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</si>
  <si>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</si>
  <si>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</si>
  <si>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</si>
  <si>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</si>
  <si>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</si>
  <si>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</si>
  <si>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</si>
  <si>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</si>
  <si>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</si>
  <si>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</si>
  <si>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</si>
  <si>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</si>
  <si>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</si>
  <si>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</si>
  <si>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</si>
  <si>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</si>
  <si>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</si>
  <si>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</si>
  <si>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</si>
  <si>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</si>
  <si>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</si>
  <si>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</si>
  <si>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</si>
  <si>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</si>
  <si>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</si>
  <si>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</si>
  <si>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</si>
  <si>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</si>
  <si>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</si>
  <si>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</si>
  <si>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</si>
  <si>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</si>
  <si>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</si>
  <si>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</si>
  <si>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</si>
  <si>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</si>
  <si>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</si>
  <si>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</si>
  <si>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</si>
  <si>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</si>
  <si>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</si>
  <si>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</si>
  <si>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</si>
  <si>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</si>
  <si>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</si>
  <si>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</si>
  <si>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</si>
  <si>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</si>
  <si>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</si>
  <si>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</si>
  <si>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</si>
  <si>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</si>
  <si>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</si>
  <si>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</si>
  <si>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</si>
  <si>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</si>
  <si>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</si>
  <si>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</si>
  <si>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</si>
  <si>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</si>
  <si>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</si>
  <si>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</si>
  <si>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</si>
  <si>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</si>
  <si>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</si>
  <si>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</si>
  <si>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</si>
  <si>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</si>
  <si>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</si>
  <si>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</si>
  <si>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</si>
  <si>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</si>
  <si>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</si>
  <si>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</si>
  <si>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</si>
  <si>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</si>
  <si>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</si>
  <si>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</si>
  <si>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</si>
  <si>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</si>
  <si>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</si>
  <si>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</si>
  <si>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</si>
  <si>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</si>
  <si>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</si>
  <si>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</si>
  <si>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</si>
  <si>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</si>
  <si>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</si>
  <si>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</si>
  <si>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</si>
  <si>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</si>
  <si>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</si>
  <si>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</si>
  <si>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</si>
  <si>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</si>
  <si>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</si>
  <si>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</si>
  <si>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</si>
  <si>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</si>
  <si>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</si>
  <si>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</si>
  <si>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</si>
  <si>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</si>
  <si>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</si>
  <si>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</si>
  <si>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</si>
  <si>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</si>
  <si>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</si>
  <si>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</si>
  <si>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</si>
  <si>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</si>
  <si>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</si>
  <si>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</si>
  <si>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</si>
  <si>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</si>
  <si>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</si>
  <si>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</si>
  <si>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</si>
  <si>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</si>
  <si>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</si>
  <si>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</si>
  <si>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</si>
  <si>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</si>
  <si>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</si>
  <si>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</si>
  <si>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</si>
  <si>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</si>
  <si>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</si>
  <si>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</si>
  <si>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</si>
  <si>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</si>
  <si>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</si>
  <si>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</si>
  <si>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</si>
  <si>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</si>
  <si>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</si>
  <si>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</si>
  <si>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</si>
  <si>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</si>
  <si>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</si>
  <si>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</si>
  <si>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</si>
  <si>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</si>
  <si>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</si>
  <si>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</si>
  <si>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</si>
  <si>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</si>
  <si>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</si>
  <si>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</si>
  <si>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</si>
  <si>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</si>
  <si>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</si>
  <si>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</si>
  <si>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</si>
  <si>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</si>
  <si>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</si>
  <si>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</si>
  <si>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</si>
  <si>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</si>
  <si>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</si>
  <si>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</si>
  <si>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</si>
  <si>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</si>
  <si>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</si>
  <si>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</si>
  <si>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</si>
  <si>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</si>
  <si>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</si>
  <si>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</si>
  <si>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</si>
  <si>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</si>
  <si>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</si>
  <si>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</si>
  <si>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</si>
  <si>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</si>
  <si>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</si>
  <si>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</si>
  <si>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</si>
  <si>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</si>
  <si>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</si>
  <si>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</si>
  <si>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</si>
  <si>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</si>
  <si>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</si>
  <si>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</si>
  <si>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</si>
  <si>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</si>
  <si>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</si>
  <si>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</si>
  <si>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</si>
  <si>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</si>
  <si>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</si>
  <si>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</si>
  <si>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</si>
  <si>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</si>
  <si>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</si>
  <si>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</si>
  <si>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</si>
  <si>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</si>
  <si>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</si>
  <si>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</si>
  <si>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</si>
  <si>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</si>
  <si>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</si>
  <si>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</si>
  <si>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</si>
  <si>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</si>
  <si>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</si>
  <si>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</si>
  <si>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</si>
  <si>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</si>
  <si>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</si>
  <si>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</si>
  <si>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</si>
  <si>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</si>
  <si>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</si>
  <si>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</si>
  <si>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</si>
  <si>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</si>
  <si>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</si>
  <si>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</si>
  <si>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</si>
  <si>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</si>
  <si>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</si>
  <si>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</si>
  <si>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</si>
  <si>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</si>
  <si>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</si>
  <si>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</si>
  <si>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</si>
  <si>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</si>
  <si>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</si>
  <si>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</si>
  <si>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</si>
  <si>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</si>
  <si>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</si>
  <si>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</si>
  <si>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</si>
  <si>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</si>
  <si>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</si>
  <si>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</si>
  <si>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</si>
  <si>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</si>
  <si>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</si>
  <si>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</si>
  <si>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</si>
  <si>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</si>
  <si>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</si>
  <si>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</si>
  <si>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</si>
  <si>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</si>
  <si>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</si>
  <si>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</si>
  <si>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</si>
  <si>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</si>
  <si>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</si>
  <si>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</si>
  <si>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</si>
  <si>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</si>
  <si>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</si>
  <si>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</si>
  <si>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</si>
  <si>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</si>
  <si>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</si>
  <si>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</si>
  <si>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</si>
  <si>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</si>
  <si>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</si>
  <si>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</si>
  <si>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</si>
  <si>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</si>
  <si>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</si>
  <si>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</si>
  <si>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</si>
  <si>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</si>
  <si>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</si>
  <si>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</si>
  <si>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</si>
  <si>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</si>
  <si>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</si>
  <si>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</si>
  <si>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</si>
  <si>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</si>
  <si>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</si>
  <si>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</si>
  <si>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</si>
  <si>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</si>
  <si>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</si>
  <si>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</si>
  <si>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</si>
  <si>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</si>
  <si>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</si>
  <si>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</si>
  <si>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</si>
  <si>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</si>
  <si>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</si>
  <si>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</si>
  <si>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</si>
  <si>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</si>
  <si>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</si>
  <si>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</si>
  <si>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</si>
  <si>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</si>
  <si>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</si>
  <si>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</si>
  <si>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</si>
  <si>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</si>
  <si>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</si>
  <si>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</si>
  <si>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</si>
  <si>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</si>
  <si>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</si>
  <si>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</si>
  <si>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</si>
  <si>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</si>
  <si>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</si>
  <si>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</si>
  <si>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</si>
  <si>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</si>
  <si>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</si>
  <si>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</si>
  <si>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</si>
  <si>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</si>
  <si>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</si>
  <si>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</si>
  <si>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</si>
  <si>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</si>
  <si>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</si>
  <si>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</si>
  <si>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</si>
  <si>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</si>
  <si>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</si>
  <si>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</si>
  <si>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</si>
  <si>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</si>
  <si>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</si>
  <si>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</si>
  <si>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</si>
  <si>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</si>
  <si>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</si>
  <si>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</si>
  <si>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</si>
  <si>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</si>
  <si>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</si>
  <si>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</si>
  <si>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</si>
  <si>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</si>
  <si>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</si>
  <si>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</si>
  <si>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</si>
  <si>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</si>
  <si>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</si>
  <si>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</si>
  <si>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</si>
  <si>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</si>
  <si>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</si>
  <si>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</si>
  <si>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</si>
  <si>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</si>
  <si>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</si>
  <si>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</si>
  <si>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</si>
  <si>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</si>
  <si>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</si>
  <si>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</si>
  <si>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</si>
  <si>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</si>
  <si>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</si>
  <si>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</si>
  <si>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</si>
  <si>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</si>
  <si>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</si>
  <si>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</si>
  <si>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</si>
  <si>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</si>
  <si>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</si>
  <si>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</si>
  <si>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</si>
  <si>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</si>
  <si>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</si>
  <si>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</si>
  <si>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</si>
  <si>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</si>
  <si>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</si>
  <si>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</si>
  <si>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</si>
  <si>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</si>
  <si>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</si>
  <si>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</si>
  <si>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</si>
  <si>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</si>
  <si>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</si>
  <si>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</si>
  <si>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</si>
  <si>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</si>
  <si>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</si>
  <si>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</si>
  <si>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</si>
  <si>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</si>
  <si>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</si>
  <si>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</si>
  <si>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</si>
  <si>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</si>
  <si>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</si>
  <si>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</si>
  <si>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</si>
  <si>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</si>
  <si>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</si>
  <si>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</si>
  <si>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</si>
  <si>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</si>
  <si>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</si>
  <si>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</si>
  <si>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</si>
  <si>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</si>
  <si>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</si>
  <si>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</si>
  <si>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</si>
  <si>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</si>
  <si>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</si>
  <si>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</si>
  <si>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</si>
  <si>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</si>
  <si>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</si>
  <si>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</si>
  <si>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</si>
  <si>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</si>
  <si>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</si>
  <si>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</si>
  <si>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</si>
  <si>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</si>
  <si>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</si>
  <si>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</si>
  <si>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</si>
  <si>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</si>
  <si>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</si>
  <si>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</si>
  <si>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</si>
  <si>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</si>
  <si>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</si>
  <si>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</si>
  <si>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</si>
  <si>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</si>
  <si>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</si>
  <si>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</si>
  <si>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</si>
  <si>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</si>
  <si>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</si>
  <si>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</si>
  <si>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</si>
  <si>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</si>
  <si>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</si>
  <si>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</si>
  <si>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</si>
  <si>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</si>
  <si>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</si>
  <si>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</si>
  <si>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</si>
  <si>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</si>
  <si>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</si>
  <si>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</si>
  <si>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</si>
  <si>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</si>
  <si>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</si>
  <si>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</si>
  <si>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</si>
  <si>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</si>
  <si>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</si>
  <si>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</si>
  <si>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</si>
  <si>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</si>
  <si>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</si>
  <si>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</si>
  <si>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</si>
  <si>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</si>
  <si>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</si>
  <si>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</si>
  <si>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</si>
  <si>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</si>
  <si>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</si>
  <si>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</si>
  <si>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</si>
  <si>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</si>
  <si>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</si>
  <si>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</si>
  <si>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</si>
  <si>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</si>
  <si>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</si>
  <si>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</si>
  <si>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</si>
  <si>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</si>
  <si>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</si>
  <si>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</si>
  <si>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</si>
  <si>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</si>
  <si>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</si>
  <si>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</si>
  <si>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</si>
  <si>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</si>
  <si>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</si>
  <si>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</si>
  <si>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</si>
  <si>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</si>
  <si>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</si>
  <si>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</si>
  <si>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</si>
  <si>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</si>
  <si>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</si>
  <si>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</si>
  <si>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</si>
  <si>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</si>
  <si>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</si>
  <si>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</si>
  <si>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</si>
  <si>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</si>
  <si>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</si>
  <si>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</si>
  <si>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</si>
  <si>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</si>
  <si>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</si>
  <si>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</si>
  <si>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</si>
  <si>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</si>
  <si>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</si>
  <si>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</si>
  <si>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</si>
  <si>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</si>
  <si>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</si>
  <si>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</si>
  <si>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</si>
  <si>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</si>
  <si>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</si>
  <si>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</si>
  <si>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</si>
  <si>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</si>
  <si>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</si>
  <si>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</si>
  <si>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</si>
  <si>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</si>
  <si>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</si>
  <si>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</si>
  <si>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</si>
  <si>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</si>
  <si>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</si>
  <si>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</si>
  <si>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</si>
  <si>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</si>
  <si>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</si>
  <si>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</si>
  <si>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</si>
  <si>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</si>
  <si>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</si>
  <si>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</si>
  <si>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</si>
  <si>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</si>
  <si>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</si>
  <si>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</si>
  <si>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</si>
  <si>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</si>
  <si>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</si>
  <si>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</si>
  <si>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</si>
  <si>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</si>
  <si>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</si>
  <si>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</si>
  <si>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</si>
  <si>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</si>
  <si>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</si>
  <si>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</si>
  <si>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</si>
  <si>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</si>
  <si>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</si>
  <si>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</si>
  <si>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</si>
  <si>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</si>
  <si>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</si>
  <si>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</si>
  <si>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</si>
  <si>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</si>
  <si>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</si>
  <si>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</si>
  <si>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</si>
  <si>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</si>
  <si>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</si>
  <si>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</si>
  <si>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</si>
  <si>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</si>
  <si>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</si>
  <si>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</si>
  <si>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</si>
  <si>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</si>
  <si>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</si>
  <si>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</si>
  <si>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</si>
  <si>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</si>
  <si>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</si>
  <si>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</si>
  <si>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</si>
  <si>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</si>
  <si>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</si>
  <si>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</si>
  <si>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</si>
  <si>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</si>
  <si>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</si>
  <si>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</si>
  <si>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</si>
  <si>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</si>
  <si>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</si>
  <si>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</si>
  <si>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</si>
  <si>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</si>
  <si>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</si>
  <si>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</si>
  <si>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</si>
  <si>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</si>
  <si>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</si>
  <si>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</si>
  <si>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</si>
  <si>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</si>
  <si>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</si>
  <si>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</si>
  <si>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</si>
  <si>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</si>
  <si>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</si>
  <si>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</si>
  <si>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</si>
  <si>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</si>
  <si>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</si>
  <si>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</si>
  <si>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</si>
  <si>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</si>
  <si>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</si>
  <si>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</si>
  <si>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</si>
  <si>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</si>
  <si>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</si>
  <si>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</si>
  <si>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</si>
  <si>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</si>
  <si>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</si>
  <si>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</si>
  <si>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</si>
  <si>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</si>
  <si>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</si>
  <si>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</si>
  <si>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</si>
  <si>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</si>
  <si>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</si>
  <si>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</si>
  <si>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</si>
  <si>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</si>
  <si>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</si>
  <si>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</si>
  <si>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</si>
  <si>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</si>
  <si>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</si>
  <si>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</si>
  <si>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</si>
  <si>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</si>
  <si>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</si>
  <si>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</si>
  <si>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</si>
  <si>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</si>
  <si>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</si>
  <si>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</si>
  <si>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</si>
  <si>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</si>
  <si>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</si>
  <si>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</si>
  <si>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</si>
  <si>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</si>
  <si>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</si>
  <si>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</si>
  <si>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</si>
  <si>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</si>
  <si>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</si>
  <si>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</si>
  <si>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</si>
  <si>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</si>
  <si>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</si>
  <si>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</si>
  <si>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</si>
  <si>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</si>
  <si>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</si>
  <si>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</si>
  <si>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</si>
  <si>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</si>
  <si>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</si>
  <si>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</si>
  <si>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</si>
  <si>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</si>
  <si>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</si>
  <si>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</si>
  <si>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</si>
  <si>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</si>
  <si>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</si>
  <si>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</si>
  <si>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</si>
  <si>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</si>
  <si>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</si>
  <si>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</si>
  <si>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</si>
  <si>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</si>
  <si>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</si>
  <si>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</si>
  <si>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</si>
  <si>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</si>
  <si>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</si>
  <si>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</si>
  <si>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</si>
  <si>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</si>
  <si>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</si>
  <si>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</si>
  <si>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</si>
  <si>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</si>
  <si>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</si>
  <si>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</si>
  <si>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</si>
  <si>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</si>
  <si>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</si>
  <si>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</si>
  <si>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</si>
  <si>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</si>
  <si>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</si>
  <si>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</si>
  <si>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</si>
  <si>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</si>
  <si>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</si>
  <si>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</si>
  <si>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</si>
  <si>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</si>
  <si>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</si>
  <si>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</si>
  <si>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</si>
  <si>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</si>
  <si>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</si>
  <si>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</si>
  <si>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</si>
  <si>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</si>
  <si>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</si>
  <si>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</si>
  <si>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</si>
  <si>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</si>
  <si>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</si>
  <si>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</si>
  <si>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</si>
  <si>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</si>
  <si>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</si>
  <si>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</si>
  <si>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</si>
  <si>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</si>
  <si>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</si>
  <si>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</si>
  <si>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</si>
  <si>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</si>
  <si>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</si>
  <si>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</si>
  <si>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</si>
  <si>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</si>
  <si>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</si>
  <si>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</si>
  <si>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</si>
  <si>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</si>
  <si>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</si>
  <si>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</si>
  <si>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</si>
  <si>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</si>
  <si>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</si>
  <si>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</si>
  <si>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</si>
  <si>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</si>
  <si>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</si>
  <si>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</si>
  <si>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</si>
  <si>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</si>
  <si>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</si>
  <si>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</si>
  <si>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</si>
  <si>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</si>
  <si>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</si>
  <si>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</si>
  <si>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</si>
  <si>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</si>
  <si>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</si>
  <si>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</si>
  <si>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</si>
  <si>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</si>
  <si>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</si>
  <si>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</si>
  <si>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</si>
  <si>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</si>
  <si>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</si>
  <si>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</si>
  <si>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</si>
  <si>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</si>
  <si>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</si>
  <si>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</si>
  <si>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</si>
  <si>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</si>
  <si>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</si>
  <si>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</si>
  <si>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</si>
  <si>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</si>
  <si>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</si>
  <si>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</si>
  <si>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</si>
  <si>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</si>
  <si>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</si>
  <si>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</si>
  <si>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</si>
  <si>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</si>
  <si>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</si>
  <si>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</si>
  <si>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</si>
  <si>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</si>
  <si>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</si>
  <si>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</si>
  <si>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</si>
  <si>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</si>
  <si>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</si>
  <si>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</si>
  <si>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</si>
  <si>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</si>
  <si>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</si>
  <si>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</si>
  <si>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</si>
  <si>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</si>
  <si>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</si>
  <si>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</si>
  <si>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</si>
  <si>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</si>
  <si>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</si>
  <si>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</si>
  <si>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</si>
  <si>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</si>
  <si>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</si>
  <si>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</si>
  <si>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</si>
  <si>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</si>
  <si>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</si>
  <si>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</si>
  <si>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</si>
  <si>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</si>
  <si>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</si>
  <si>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</si>
  <si>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</si>
  <si>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</si>
  <si>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</si>
  <si>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</si>
  <si>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</si>
  <si>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</si>
  <si>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</si>
  <si>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</si>
  <si>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</si>
  <si>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</si>
  <si>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</si>
  <si>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</si>
  <si>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</si>
  <si>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</si>
  <si>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</si>
  <si>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</si>
  <si>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</si>
  <si>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</si>
  <si>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</si>
  <si>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</si>
  <si>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</si>
  <si>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</si>
  <si>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</si>
  <si>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</si>
  <si>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</si>
  <si>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</si>
  <si>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</si>
  <si>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</si>
  <si>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</si>
  <si>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</si>
  <si>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</si>
  <si>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</si>
  <si>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</si>
  <si>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</si>
  <si>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</si>
  <si>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</si>
  <si>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</si>
  <si>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</si>
  <si>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</si>
  <si>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</si>
  <si>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</si>
  <si>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</si>
  <si>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</si>
  <si>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</si>
  <si>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</si>
  <si>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</si>
  <si>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</si>
  <si>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</si>
  <si>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</si>
  <si>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</si>
  <si>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</si>
  <si>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</si>
  <si>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</si>
  <si>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</si>
  <si>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</si>
  <si>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</si>
  <si>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</si>
  <si>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</si>
  <si>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</si>
  <si>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</si>
  <si>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</si>
  <si>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</si>
  <si>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</si>
  <si>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</si>
  <si>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</si>
  <si>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</si>
  <si>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</si>
  <si>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</si>
  <si>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</si>
  <si>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</si>
  <si>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</si>
  <si>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</si>
  <si>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</si>
  <si>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</si>
  <si>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</si>
  <si>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</si>
  <si>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</si>
  <si>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</si>
  <si>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</si>
  <si>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</si>
  <si>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</si>
  <si>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</si>
  <si>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</si>
  <si>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</si>
  <si>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</si>
  <si>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</si>
  <si>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</si>
  <si>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</si>
  <si>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</si>
  <si>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</si>
  <si>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</si>
  <si>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</si>
  <si>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</si>
  <si>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</si>
  <si>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</si>
  <si>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</si>
  <si>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</si>
  <si>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</si>
  <si>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</si>
  <si>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</si>
  <si>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</si>
  <si>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</si>
  <si>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</si>
  <si>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</si>
  <si>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</si>
  <si>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</si>
  <si>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</si>
  <si>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</si>
  <si>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</si>
  <si>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</si>
  <si>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</si>
  <si>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</si>
  <si>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</si>
  <si>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</si>
  <si>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</si>
  <si>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</si>
  <si>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</si>
  <si>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</si>
  <si>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</si>
  <si>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</si>
  <si>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</si>
  <si>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</si>
  <si>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</si>
  <si>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</si>
  <si>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</si>
  <si>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</si>
  <si>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</si>
  <si>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</si>
  <si>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</si>
  <si>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</si>
  <si>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</si>
  <si>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</si>
  <si>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</si>
  <si>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</si>
  <si>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</si>
  <si>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</si>
  <si>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</si>
  <si>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</si>
  <si>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</si>
  <si>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</si>
  <si>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</si>
  <si>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</si>
  <si>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</si>
  <si>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</si>
  <si>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</si>
  <si>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</si>
  <si>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</si>
  <si>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</si>
  <si>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</si>
  <si>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</si>
  <si>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</si>
  <si>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</si>
  <si>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</si>
  <si>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</si>
  <si>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</si>
  <si>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</si>
  <si>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</si>
  <si>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</si>
  <si>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</si>
  <si>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</si>
  <si>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</si>
  <si>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</si>
  <si>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</si>
  <si>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</si>
  <si>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</si>
  <si>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</si>
  <si>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</si>
  <si>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</si>
  <si>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</si>
  <si>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</si>
  <si>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</si>
  <si>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</si>
  <si>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</si>
  <si>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</si>
  <si>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</si>
  <si>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</si>
  <si>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</si>
  <si>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</si>
  <si>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</si>
  <si>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</si>
  <si>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</si>
  <si>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</si>
  <si>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</si>
  <si>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</si>
  <si>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</si>
  <si>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</si>
  <si>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</si>
  <si>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</si>
  <si>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</si>
  <si>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</si>
  <si>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</si>
  <si>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</si>
  <si>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</si>
  <si>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</si>
  <si>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</si>
  <si>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</si>
  <si>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</si>
  <si>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</si>
  <si>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</si>
  <si>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</si>
  <si>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</si>
  <si>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</si>
  <si>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</si>
  <si>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</si>
  <si>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</si>
  <si>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</si>
  <si>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</si>
  <si>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</si>
  <si>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</si>
  <si>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</si>
  <si>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</si>
  <si>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</si>
  <si>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</si>
  <si>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</si>
  <si>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</si>
  <si>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</si>
  <si>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</si>
  <si>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</si>
  <si>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</si>
  <si>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</si>
  <si>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</si>
  <si>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</si>
  <si>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</si>
  <si>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</si>
  <si>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</si>
  <si>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</si>
  <si>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</si>
  <si>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</si>
  <si>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</si>
  <si>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</si>
  <si>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</si>
  <si>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</si>
  <si>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</si>
  <si>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</si>
  <si>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</si>
  <si>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</si>
  <si>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</si>
  <si>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</si>
  <si>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</si>
  <si>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</si>
  <si>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</si>
  <si>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</si>
  <si>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</si>
  <si>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</si>
  <si>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</si>
  <si>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</si>
  <si>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</si>
  <si>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</si>
  <si>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</si>
  <si>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</si>
  <si>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</si>
  <si>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</si>
  <si>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</si>
  <si>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</si>
  <si>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</si>
  <si>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</si>
  <si>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</si>
  <si>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</si>
  <si>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</si>
  <si>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</si>
  <si>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</si>
  <si>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</si>
  <si>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</si>
  <si>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</si>
  <si>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</si>
  <si>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</si>
  <si>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</si>
  <si>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</si>
  <si>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</si>
  <si>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</si>
  <si>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</si>
  <si>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</si>
  <si>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</si>
  <si>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</si>
  <si>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</si>
  <si>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</si>
  <si>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</si>
  <si>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</si>
  <si>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</si>
  <si>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</si>
  <si>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</si>
  <si>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</si>
  <si>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</si>
  <si>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</si>
  <si>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</si>
  <si>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</si>
  <si>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</si>
  <si>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</si>
  <si>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</si>
  <si>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</si>
  <si>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</si>
  <si>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</si>
  <si>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</si>
  <si>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</si>
  <si>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</si>
  <si>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</si>
  <si>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</si>
  <si>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</si>
  <si>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</si>
  <si>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</si>
  <si>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</si>
  <si>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</si>
  <si>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</si>
  <si>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</si>
  <si>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</si>
  <si>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</si>
  <si>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</si>
  <si>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</si>
  <si>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</si>
  <si>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</si>
  <si>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</si>
  <si>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</si>
  <si>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</si>
  <si>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</si>
  <si>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</si>
  <si>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</si>
  <si>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</si>
  <si>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</si>
  <si>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</si>
  <si>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</si>
  <si>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</si>
  <si>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</si>
  <si>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</si>
  <si>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</si>
  <si>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</si>
  <si>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</si>
  <si>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</si>
  <si>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</si>
  <si>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</si>
  <si>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</si>
  <si>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</si>
  <si>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</si>
  <si>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</si>
  <si>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</si>
  <si>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</si>
  <si>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</si>
  <si>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</si>
  <si>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</si>
  <si>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</si>
  <si>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</si>
  <si>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</si>
  <si>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</si>
  <si>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</si>
  <si>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</si>
  <si>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</si>
  <si>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</si>
  <si>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</si>
  <si>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</si>
  <si>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</si>
  <si>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</si>
  <si>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</si>
  <si>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</si>
  <si>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</si>
  <si>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</si>
  <si>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</si>
  <si>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</si>
  <si>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</si>
  <si>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</si>
  <si>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</si>
  <si>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</si>
  <si>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</si>
  <si>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</si>
  <si>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</si>
  <si>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</si>
  <si>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</si>
  <si>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</si>
  <si>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</si>
  <si>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</si>
  <si>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</si>
  <si>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</si>
  <si>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</si>
  <si>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</si>
  <si>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</si>
  <si>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</si>
  <si>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</si>
  <si>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</si>
  <si>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</si>
  <si>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</si>
  <si>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</si>
  <si>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</si>
  <si>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</si>
  <si>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</si>
  <si>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</si>
  <si>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</si>
  <si>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</si>
  <si>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</si>
  <si>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</si>
  <si>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</si>
  <si>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</si>
  <si>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</si>
  <si>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</si>
  <si>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</si>
  <si>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</si>
  <si>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</si>
  <si>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</si>
  <si>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</si>
  <si>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</si>
  <si>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</si>
  <si>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</si>
  <si>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</si>
  <si>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</si>
  <si>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</si>
  <si>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</si>
  <si>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</si>
  <si>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</si>
  <si>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</si>
  <si>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</si>
  <si>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</si>
  <si>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</si>
  <si>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</si>
  <si>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</si>
  <si>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</si>
  <si>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</si>
  <si>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</si>
  <si>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</si>
  <si>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</si>
  <si>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</si>
  <si>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</si>
  <si>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</si>
  <si>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</si>
  <si>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</si>
  <si>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</si>
  <si>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</si>
  <si>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</si>
  <si>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</si>
  <si>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</si>
  <si>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</si>
  <si>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</si>
  <si>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</si>
  <si>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</si>
  <si>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</si>
  <si>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</si>
  <si>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</si>
  <si>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</si>
  <si>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</si>
  <si>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</si>
  <si>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</si>
  <si>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</si>
  <si>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</si>
  <si>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</si>
  <si>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</si>
  <si>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</si>
  <si>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</si>
  <si>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</si>
  <si>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</si>
  <si>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</si>
  <si>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</si>
  <si>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</si>
  <si>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</si>
  <si>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</si>
  <si>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</si>
  <si>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</si>
  <si>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</si>
  <si>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</si>
  <si>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</si>
  <si>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</si>
  <si>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</si>
  <si>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</si>
  <si>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</si>
  <si>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</si>
  <si>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</si>
  <si>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</si>
  <si>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</si>
  <si>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</si>
  <si>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</si>
  <si>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</si>
  <si>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</si>
  <si>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</si>
  <si>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</si>
  <si>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</si>
  <si>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</si>
  <si>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</si>
  <si>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</si>
  <si>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</si>
  <si>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</si>
  <si>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</si>
  <si>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</si>
  <si>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</si>
  <si>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</si>
  <si>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</si>
  <si>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</si>
  <si>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</si>
  <si>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</si>
  <si>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</si>
  <si>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</si>
  <si>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</si>
  <si>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</si>
  <si>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</si>
  <si>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</si>
  <si>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</si>
  <si>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</si>
  <si>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</si>
  <si>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</si>
  <si>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</si>
  <si>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</si>
  <si>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</si>
  <si>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</si>
  <si>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</si>
  <si>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</si>
  <si>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</si>
  <si>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</si>
  <si>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</si>
  <si>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</si>
  <si>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</si>
  <si>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</si>
  <si>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</si>
  <si>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</si>
  <si>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</si>
  <si>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</si>
  <si>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</si>
  <si>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</si>
  <si>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</si>
  <si>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</si>
  <si>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</si>
  <si>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</si>
  <si>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</si>
  <si>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</si>
  <si>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</si>
  <si>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</si>
  <si>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</si>
  <si>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</si>
  <si>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</si>
  <si>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</si>
  <si>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</si>
  <si>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</si>
  <si>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</si>
  <si>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</si>
  <si>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</si>
  <si>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</si>
  <si>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</si>
  <si>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</si>
  <si>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</si>
  <si>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</si>
  <si>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</si>
  <si>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</si>
  <si>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</si>
  <si>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</si>
  <si>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</si>
  <si>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</si>
  <si>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</si>
  <si>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</si>
  <si>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</si>
  <si>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</si>
  <si>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</si>
  <si>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</si>
  <si>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</si>
  <si>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</si>
  <si>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</si>
  <si>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</si>
  <si>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</si>
  <si>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</si>
  <si>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</si>
  <si>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</si>
  <si>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</si>
  <si>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</si>
  <si>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</si>
  <si>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</si>
  <si>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</si>
  <si>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</si>
  <si>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</si>
  <si>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</si>
  <si>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</si>
  <si>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</si>
  <si>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</si>
  <si>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</si>
  <si>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</si>
  <si>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</si>
  <si>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</si>
  <si>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</si>
  <si>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</si>
  <si>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</si>
  <si>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</si>
  <si>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</si>
  <si>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</si>
  <si>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</si>
  <si>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</si>
  <si>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</si>
  <si>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</si>
  <si>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</si>
  <si>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</si>
  <si>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</si>
  <si>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</si>
  <si>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</si>
  <si>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</si>
  <si>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</si>
  <si>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</si>
  <si>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</si>
  <si>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</si>
  <si>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</si>
  <si>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</si>
  <si>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</si>
  <si>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</si>
  <si>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</si>
  <si>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</si>
  <si>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</si>
  <si>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</si>
  <si>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</si>
  <si>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</si>
  <si>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</si>
  <si>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</si>
  <si>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</si>
  <si>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</si>
  <si>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</si>
  <si>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</si>
  <si>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</si>
  <si>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</si>
  <si>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</si>
  <si>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</si>
  <si>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</si>
  <si>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</si>
  <si>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</si>
  <si>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</si>
  <si>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</si>
  <si>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</si>
  <si>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</si>
  <si>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</si>
  <si>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</si>
  <si>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</si>
  <si>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</si>
  <si>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</si>
  <si>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</si>
  <si>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</si>
  <si>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</si>
  <si>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</si>
  <si>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</si>
  <si>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</si>
  <si>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</si>
  <si>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</si>
  <si>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</si>
  <si>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</si>
  <si>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</si>
  <si>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</si>
  <si>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</si>
  <si>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</si>
  <si>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</si>
  <si>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</si>
  <si>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</si>
  <si>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</si>
  <si>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</si>
  <si>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</si>
  <si>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</si>
  <si>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</si>
  <si>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</si>
  <si>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</si>
  <si>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</si>
  <si>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</si>
  <si>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</si>
  <si>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</si>
  <si>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</si>
  <si>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</si>
  <si>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</si>
  <si>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</si>
  <si>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</si>
  <si>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</si>
  <si>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</si>
  <si>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</si>
  <si>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</si>
  <si>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</si>
  <si>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</si>
  <si>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</si>
  <si>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</si>
  <si>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</si>
  <si>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</si>
  <si>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</si>
  <si>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</si>
  <si>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</si>
  <si>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</si>
  <si>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</si>
  <si>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</si>
  <si>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</si>
  <si>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</si>
  <si>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</si>
  <si>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</si>
  <si>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</si>
  <si>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</si>
  <si>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</si>
  <si>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</si>
  <si>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</si>
  <si>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</si>
  <si>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</si>
  <si>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</si>
  <si>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</si>
  <si>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</si>
  <si>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</si>
  <si>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</si>
  <si>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</si>
  <si>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</si>
  <si>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</si>
  <si>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</si>
  <si>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</si>
  <si>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</si>
  <si>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</si>
  <si>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</si>
  <si>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</si>
  <si>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</si>
  <si>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</si>
  <si>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</si>
  <si>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</si>
  <si>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</si>
  <si>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</si>
  <si>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</si>
  <si>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</si>
  <si>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</si>
  <si>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</si>
  <si>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</si>
  <si>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</si>
  <si>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</si>
  <si>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</si>
  <si>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</si>
  <si>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</si>
  <si>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</si>
  <si>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</si>
  <si>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</si>
  <si>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</si>
  <si>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</si>
  <si>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</si>
  <si>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</si>
  <si>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</si>
  <si>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</si>
  <si>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</si>
  <si>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</si>
  <si>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</si>
  <si>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</si>
  <si>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</si>
  <si>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</si>
  <si>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</si>
  <si>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</si>
  <si>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</si>
  <si>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</si>
  <si>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</si>
  <si>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</si>
  <si>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</si>
  <si>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</si>
  <si>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</si>
  <si>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</si>
  <si>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</si>
  <si>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</si>
  <si>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</si>
  <si>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</si>
  <si>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</si>
  <si>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</si>
  <si>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</si>
  <si>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</si>
  <si>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</si>
  <si>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</si>
  <si>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</si>
  <si>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</si>
  <si>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</si>
  <si>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</si>
  <si>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</si>
  <si>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</si>
  <si>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</si>
  <si>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</si>
  <si>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</si>
  <si>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</si>
  <si>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</si>
  <si>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</si>
  <si>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</si>
  <si>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</si>
  <si>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</si>
  <si>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</si>
  <si>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</si>
  <si>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</si>
  <si>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</si>
  <si>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</si>
  <si>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</si>
  <si>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</si>
  <si>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</si>
  <si>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</si>
  <si>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</si>
  <si>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</si>
  <si>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</si>
  <si>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</si>
  <si>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</si>
  <si>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</si>
  <si>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</si>
  <si>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</si>
  <si>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</si>
  <si>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</si>
  <si>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</si>
  <si>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</si>
  <si>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</si>
  <si>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</si>
  <si>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</si>
  <si>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</si>
  <si>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</si>
  <si>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</si>
  <si>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</si>
  <si>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</si>
  <si>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</si>
  <si>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</si>
  <si>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</si>
  <si>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</si>
  <si>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</si>
  <si>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</si>
  <si>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</si>
  <si>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</si>
  <si>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</si>
  <si>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</si>
  <si>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</si>
  <si>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</si>
  <si>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</si>
  <si>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</si>
  <si>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</si>
  <si>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</si>
  <si>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</si>
  <si>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</si>
  <si>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</si>
  <si>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</si>
  <si>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</si>
  <si>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</si>
  <si>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</si>
  <si>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</si>
  <si>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</si>
  <si>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</si>
  <si>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</si>
  <si>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</si>
  <si>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</si>
  <si>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</si>
  <si>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</si>
  <si>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</si>
  <si>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</si>
  <si>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</si>
  <si>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</si>
  <si>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</si>
  <si>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</si>
  <si>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</si>
  <si>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</si>
  <si>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</si>
  <si>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</si>
  <si>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</si>
  <si>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</si>
  <si>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</si>
  <si>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</si>
  <si>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</si>
  <si>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</si>
  <si>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</si>
  <si>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</si>
  <si>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</si>
  <si>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</si>
  <si>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</si>
  <si>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</si>
  <si>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</si>
  <si>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</si>
  <si>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</si>
  <si>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</si>
  <si>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</si>
  <si>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</si>
  <si>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</si>
  <si>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</si>
  <si>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</si>
  <si>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</si>
  <si>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</si>
  <si>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</si>
  <si>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</si>
  <si>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</si>
  <si>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</si>
  <si>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</si>
  <si>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</si>
  <si>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</si>
  <si>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</si>
  <si>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</si>
  <si>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</si>
  <si>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</si>
  <si>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</si>
  <si>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</si>
  <si>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</si>
  <si>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</si>
  <si>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</si>
  <si>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</si>
  <si>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</si>
  <si>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</si>
  <si>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</si>
  <si>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</si>
  <si>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</si>
  <si>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</si>
  <si>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</si>
  <si>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</si>
  <si>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</si>
  <si>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</si>
  <si>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</si>
  <si>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</si>
  <si>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</si>
  <si>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</si>
  <si>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</si>
  <si>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</si>
  <si>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</si>
  <si>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</si>
  <si>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</si>
  <si>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</si>
  <si>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</si>
  <si>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</si>
  <si>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</si>
  <si>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</si>
  <si>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</si>
  <si>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</si>
  <si>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</si>
  <si>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</si>
  <si>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</si>
  <si>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</si>
  <si>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</si>
  <si>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</si>
  <si>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</si>
  <si>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</si>
  <si>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</si>
  <si>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</si>
  <si>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</si>
  <si>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</si>
  <si>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</si>
  <si>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</si>
  <si>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</si>
  <si>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</si>
  <si>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</si>
  <si>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</si>
  <si>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</si>
  <si>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</si>
  <si>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</si>
  <si>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</si>
  <si>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</si>
  <si>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</si>
  <si>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</si>
  <si>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</si>
  <si>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</si>
  <si>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</si>
  <si>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</si>
  <si>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</si>
  <si>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</si>
  <si>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</si>
  <si>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</si>
  <si>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</si>
  <si>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</si>
  <si>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</si>
  <si>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</si>
  <si>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</si>
  <si>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</si>
  <si>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</si>
  <si>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</si>
  <si>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</si>
  <si>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</si>
  <si>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</si>
  <si>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</si>
  <si>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</si>
  <si>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</si>
  <si>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</si>
  <si>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</si>
  <si>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</si>
  <si>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</si>
  <si>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</si>
  <si>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</si>
  <si>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</si>
  <si>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</si>
  <si>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</si>
  <si>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</si>
  <si>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</si>
  <si>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</si>
  <si>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</si>
  <si>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</si>
  <si>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</si>
  <si>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</si>
  <si>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</si>
  <si>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</si>
  <si>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</si>
  <si>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</si>
  <si>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</si>
  <si>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</si>
  <si>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</si>
  <si>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</si>
  <si>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</si>
  <si>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</si>
  <si>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</si>
  <si>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</si>
  <si>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</si>
  <si>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</si>
  <si>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</si>
  <si>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</si>
  <si>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</si>
  <si>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</si>
  <si>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</si>
  <si>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</si>
  <si>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</si>
  <si>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</si>
  <si>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</si>
  <si>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</si>
  <si>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</si>
  <si>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</si>
  <si>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</si>
  <si>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</si>
  <si>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</si>
  <si>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</si>
  <si>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</si>
  <si>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</si>
  <si>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</si>
  <si>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</si>
  <si>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</si>
  <si>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</si>
  <si>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</si>
  <si>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</si>
  <si>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</si>
  <si>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</si>
  <si>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</si>
  <si>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</si>
  <si>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</si>
  <si>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</si>
  <si>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</si>
  <si>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</si>
  <si>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</si>
  <si>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</si>
  <si>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</si>
  <si>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</si>
  <si>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</si>
  <si>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</si>
  <si>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</si>
  <si>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</si>
  <si>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</si>
  <si>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</si>
  <si>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</si>
  <si>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</si>
  <si>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</si>
  <si>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</si>
  <si>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</si>
  <si>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</si>
  <si>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</si>
  <si>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</si>
  <si>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</si>
  <si>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</si>
  <si>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</si>
  <si>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</si>
  <si>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</si>
  <si>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</si>
  <si>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</si>
  <si>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</si>
  <si>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</si>
  <si>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</si>
  <si>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</si>
  <si>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</si>
  <si>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</si>
  <si>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</si>
  <si>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</si>
  <si>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</si>
  <si>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</si>
  <si>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</si>
  <si>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</si>
  <si>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</si>
  <si>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</si>
  <si>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</si>
  <si>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</si>
  <si>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</si>
  <si>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</si>
  <si>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</si>
  <si>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</si>
  <si>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</si>
  <si>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</si>
  <si>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</si>
  <si>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</si>
  <si>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</si>
  <si>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</si>
  <si>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</si>
  <si>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</si>
  <si>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</si>
  <si>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</si>
  <si>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</si>
  <si>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</si>
  <si>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</si>
  <si>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</si>
  <si>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</si>
  <si>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</si>
  <si>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</si>
  <si>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</si>
  <si>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</si>
  <si>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</si>
  <si>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</si>
  <si>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</si>
  <si>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</si>
  <si>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</si>
  <si>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</si>
  <si>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</si>
  <si>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</si>
  <si>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</si>
  <si>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</si>
  <si>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</si>
  <si>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</si>
  <si>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</si>
  <si>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</si>
  <si>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</si>
  <si>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</si>
  <si>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</si>
  <si>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</si>
  <si>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</si>
  <si>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</si>
  <si>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</si>
  <si>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</si>
  <si>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</si>
  <si>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</si>
  <si>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</si>
  <si>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</si>
  <si>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</si>
  <si>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</si>
  <si>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</si>
  <si>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</si>
  <si>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</si>
  <si>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</si>
  <si>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</si>
  <si>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</si>
  <si>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</si>
  <si>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</si>
  <si>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</si>
  <si>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</si>
  <si>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</si>
  <si>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</si>
  <si>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</si>
  <si>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</si>
  <si>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</si>
  <si>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</si>
  <si>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</si>
  <si>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</si>
  <si>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</si>
  <si>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</si>
  <si>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</si>
  <si>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</si>
  <si>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</si>
  <si>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</si>
  <si>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</si>
  <si>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</si>
  <si>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</si>
  <si>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</si>
  <si>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</si>
  <si>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</si>
  <si>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</si>
  <si>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</si>
  <si>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</si>
  <si>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</si>
  <si>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</si>
  <si>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</si>
  <si>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</si>
  <si>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</si>
  <si>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</si>
  <si>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</si>
  <si>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</si>
  <si>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</si>
  <si>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</si>
  <si>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</si>
  <si>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</si>
  <si>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</si>
  <si>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</si>
  <si>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</si>
  <si>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</si>
  <si>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</si>
  <si>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</si>
  <si>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</si>
  <si>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</si>
  <si>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</si>
  <si>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</si>
  <si>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</si>
  <si>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</si>
  <si>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</si>
  <si>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</si>
  <si>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</si>
  <si>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</si>
  <si>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</si>
  <si>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</si>
  <si>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</si>
  <si>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</si>
  <si>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</si>
  <si>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</si>
  <si>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</si>
  <si>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</si>
  <si>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</si>
  <si>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</si>
  <si>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</si>
  <si>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</si>
  <si>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</si>
  <si>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</si>
  <si>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</si>
  <si>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</si>
  <si>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</si>
  <si>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</si>
  <si>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</si>
  <si>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</si>
  <si>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</si>
  <si>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</si>
  <si>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</si>
  <si>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</si>
  <si>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</si>
  <si>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</si>
  <si>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</si>
  <si>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</si>
  <si>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</si>
  <si>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</si>
  <si>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</si>
  <si>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</si>
  <si>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</si>
  <si>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</si>
  <si>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</si>
  <si>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</si>
  <si>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</si>
  <si>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</si>
  <si>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</si>
  <si>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</si>
  <si>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</si>
  <si>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</si>
  <si>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</si>
  <si>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</si>
  <si>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</si>
  <si>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</si>
  <si>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</si>
  <si>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</si>
  <si>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</si>
  <si>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</si>
  <si>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</si>
  <si>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</si>
  <si>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</si>
  <si>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</si>
  <si>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</si>
  <si>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</si>
  <si>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</si>
  <si>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</si>
  <si>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</si>
  <si>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</si>
  <si>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</si>
  <si>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</si>
  <si>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</si>
  <si>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</si>
  <si>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</si>
  <si>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</si>
  <si>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</si>
  <si>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</si>
  <si>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</si>
  <si>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</si>
  <si>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</si>
  <si>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</si>
  <si>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</si>
  <si>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</si>
  <si>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</si>
  <si>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</si>
  <si>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</si>
  <si>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</si>
  <si>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</si>
  <si>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</si>
  <si>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</si>
  <si>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</si>
  <si>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</si>
  <si>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</si>
  <si>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</si>
  <si>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</si>
  <si>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</si>
  <si>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</si>
  <si>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</si>
  <si>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</si>
  <si>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</si>
  <si>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</si>
  <si>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</si>
  <si>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</si>
  <si>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</si>
  <si>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</si>
  <si>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</si>
  <si>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</si>
  <si>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</si>
  <si>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</si>
  <si>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</si>
  <si>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</si>
  <si>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</si>
  <si>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</si>
  <si>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</si>
  <si>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</si>
  <si>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</si>
  <si>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</si>
  <si>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</si>
  <si>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</si>
  <si>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</si>
  <si>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</si>
  <si>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</si>
  <si>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</si>
  <si>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</si>
  <si>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</si>
  <si>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</si>
  <si>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</si>
  <si>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</si>
  <si>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</si>
  <si>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</si>
  <si>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</si>
  <si>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</si>
  <si>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</si>
  <si>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</si>
  <si>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</si>
  <si>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</si>
  <si>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</si>
  <si>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</si>
  <si>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</si>
  <si>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</si>
  <si>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</si>
  <si>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</si>
  <si>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</si>
  <si>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</si>
  <si>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</si>
  <si>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</si>
  <si>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</si>
  <si>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</si>
  <si>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</si>
  <si>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</si>
  <si>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</si>
  <si>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</si>
  <si>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</si>
  <si>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</si>
  <si>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</si>
  <si>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</si>
  <si>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</si>
  <si>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</si>
  <si>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</si>
  <si>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</si>
  <si>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</si>
  <si>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</si>
  <si>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</si>
  <si>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</si>
  <si>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</si>
  <si>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</si>
  <si>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</si>
  <si>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</si>
  <si>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</si>
  <si>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</si>
  <si>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</si>
  <si>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</si>
  <si>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</si>
  <si>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</si>
  <si>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</si>
  <si>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</si>
  <si>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</si>
  <si>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</si>
  <si>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</si>
  <si>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</si>
  <si>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</si>
  <si>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</si>
  <si>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</si>
  <si>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</si>
  <si>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</si>
  <si>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</si>
  <si>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</si>
  <si>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</si>
  <si>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</si>
  <si>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</si>
  <si>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</si>
  <si>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</si>
  <si>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</si>
  <si>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</si>
  <si>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</si>
  <si>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</si>
  <si>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</si>
  <si>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</si>
  <si>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</si>
  <si>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</si>
  <si>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</si>
  <si>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</si>
  <si>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</si>
  <si>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</si>
  <si>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</si>
  <si>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</si>
  <si>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</si>
  <si>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</si>
  <si>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</si>
  <si>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</si>
  <si>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</si>
  <si>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</si>
  <si>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</si>
  <si>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</si>
  <si>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</si>
  <si>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</si>
  <si>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</si>
  <si>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</si>
  <si>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</si>
  <si>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</si>
  <si>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</si>
  <si>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</si>
  <si>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</si>
  <si>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</si>
  <si>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</si>
  <si>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</si>
  <si>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</si>
  <si>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</si>
  <si>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</si>
  <si>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</si>
  <si>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</si>
  <si>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</si>
  <si>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</si>
  <si>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</si>
  <si>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</si>
  <si>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</si>
  <si>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</si>
  <si>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</si>
  <si>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</si>
  <si>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</si>
  <si>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</si>
  <si>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</si>
  <si>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</si>
  <si>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</si>
  <si>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</si>
  <si>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</si>
  <si>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</si>
  <si>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</si>
  <si>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</si>
  <si>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</si>
  <si>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</si>
  <si>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</si>
  <si>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</si>
  <si>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</si>
  <si>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</si>
  <si>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</si>
  <si>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</si>
  <si>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</si>
  <si>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</si>
  <si>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</si>
  <si>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</si>
  <si>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</si>
  <si>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</si>
  <si>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</si>
  <si>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</si>
  <si>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</si>
  <si>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</si>
  <si>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</si>
  <si>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</si>
  <si>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</si>
  <si>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</si>
  <si>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</si>
  <si>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</si>
  <si>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</si>
  <si>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</si>
  <si>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</si>
  <si>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</si>
  <si>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</si>
  <si>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</si>
  <si>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</si>
  <si>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</si>
  <si>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</si>
  <si>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</si>
  <si>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</si>
  <si>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</si>
  <si>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</si>
  <si>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</si>
  <si>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</si>
  <si>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</si>
  <si>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</si>
  <si>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</si>
  <si>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</si>
  <si>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</si>
  <si>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</si>
  <si>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</si>
  <si>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</si>
  <si>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</si>
  <si>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</si>
  <si>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</si>
  <si>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</si>
  <si>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</si>
  <si>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</si>
  <si>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</si>
  <si>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</si>
  <si>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</si>
  <si>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</si>
  <si>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</si>
  <si>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</si>
  <si>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</si>
  <si>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</si>
  <si>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</si>
  <si>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</si>
  <si>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</si>
  <si>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</si>
  <si>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</si>
  <si>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</si>
  <si>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</si>
  <si>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</si>
  <si>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</si>
  <si>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</si>
  <si>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</si>
  <si>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</si>
  <si>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</si>
  <si>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</si>
  <si>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</si>
  <si>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</si>
  <si>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</si>
  <si>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</si>
  <si>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</si>
  <si>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</si>
  <si>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</si>
  <si>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</si>
  <si>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</si>
  <si>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</si>
  <si>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</si>
  <si>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</si>
  <si>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</si>
  <si>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</si>
  <si>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</si>
  <si>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</si>
  <si>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</si>
  <si>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</si>
  <si>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</si>
  <si>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</si>
  <si>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</si>
  <si>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</si>
  <si>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</si>
  <si>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</si>
  <si>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</si>
  <si>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</si>
  <si>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</si>
  <si>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</si>
  <si>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</si>
  <si>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</si>
  <si>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</si>
  <si>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</si>
  <si>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</si>
  <si>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</si>
  <si>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</si>
  <si>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</si>
  <si>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</si>
  <si>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</si>
  <si>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</si>
  <si>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</si>
  <si>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</si>
  <si>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</si>
  <si>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</si>
  <si>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</si>
  <si>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</si>
  <si>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</si>
  <si>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</si>
  <si>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</si>
  <si>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</si>
  <si>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</si>
  <si>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</si>
  <si>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</si>
  <si>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</si>
  <si>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</si>
  <si>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</si>
  <si>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</si>
  <si>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</si>
  <si>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</si>
  <si>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</si>
  <si>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</si>
  <si>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</si>
  <si>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</si>
  <si>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</si>
  <si>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</si>
  <si>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</si>
  <si>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</si>
  <si>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</si>
  <si>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</si>
  <si>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</si>
  <si>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</si>
  <si>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</si>
  <si>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</si>
  <si>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</si>
  <si>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</si>
  <si>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</si>
  <si>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</si>
  <si>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</si>
  <si>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</si>
  <si>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</si>
  <si>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</si>
  <si>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</si>
  <si>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</si>
  <si>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</si>
  <si>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</si>
  <si>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</si>
  <si>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</si>
  <si>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</si>
  <si>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</si>
  <si>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</si>
  <si>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</si>
  <si>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</si>
  <si>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</si>
  <si>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</si>
  <si>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</si>
  <si>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</si>
  <si>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</si>
  <si>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</si>
  <si>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</si>
  <si>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</si>
  <si>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</si>
  <si>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</si>
  <si>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</si>
  <si>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</si>
  <si>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</si>
  <si>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</si>
  <si>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</si>
  <si>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</si>
  <si>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</si>
  <si>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</si>
  <si>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</si>
  <si>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</si>
  <si>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</si>
  <si>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</si>
  <si>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</si>
  <si>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</si>
  <si>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</si>
  <si>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</si>
  <si>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</si>
  <si>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</si>
  <si>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</si>
  <si>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</si>
  <si>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</si>
  <si>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</si>
  <si>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</si>
  <si>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</si>
  <si>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</si>
  <si>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</si>
  <si>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</si>
  <si>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</si>
  <si>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</si>
  <si>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</si>
  <si>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</si>
  <si>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</si>
  <si>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</si>
  <si>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</si>
  <si>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</si>
  <si>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</si>
  <si>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</si>
  <si>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</si>
  <si>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</si>
  <si>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</si>
  <si>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</si>
  <si>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</si>
  <si>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</si>
  <si>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</si>
  <si>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</si>
  <si>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</si>
  <si>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</si>
  <si>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</si>
  <si>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</si>
  <si>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</si>
  <si>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</si>
  <si>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</si>
  <si>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</si>
  <si>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</si>
  <si>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</si>
  <si>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</si>
  <si>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</si>
  <si>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</si>
  <si>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</si>
  <si>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</si>
  <si>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</si>
  <si>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</si>
  <si>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</si>
  <si>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</si>
  <si>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</si>
  <si>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</si>
  <si>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</si>
  <si>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</si>
  <si>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</si>
  <si>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</si>
  <si>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</si>
  <si>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</si>
  <si>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</si>
  <si>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</si>
  <si>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</si>
  <si>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</si>
  <si>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</si>
  <si>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</si>
  <si>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</si>
  <si>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</si>
  <si>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</si>
  <si>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</si>
  <si>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</si>
  <si>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</si>
  <si>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</si>
  <si>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</si>
  <si>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</si>
  <si>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</si>
  <si>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</si>
  <si>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</si>
  <si>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</si>
  <si>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</si>
  <si>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</si>
  <si>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</si>
  <si>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</si>
  <si>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</si>
  <si>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</si>
  <si>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</si>
  <si>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</si>
  <si>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</si>
  <si>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</si>
  <si>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</si>
  <si>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</si>
  <si>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</si>
  <si>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</si>
  <si>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</si>
  <si>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</si>
  <si>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</si>
  <si>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</si>
  <si>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</si>
  <si>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</si>
  <si>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</si>
  <si>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</si>
  <si>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</si>
  <si>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</si>
  <si>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</si>
  <si>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</si>
  <si>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</si>
  <si>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</si>
  <si>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</si>
  <si>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</si>
  <si>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</si>
  <si>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</si>
  <si>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</si>
  <si>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</si>
  <si>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</si>
  <si>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</si>
  <si>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</si>
  <si>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</si>
  <si>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</si>
  <si>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</si>
  <si>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</si>
  <si>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</si>
  <si>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</si>
  <si>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</si>
  <si>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</si>
  <si>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</si>
  <si>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</si>
  <si>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</si>
  <si>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</si>
  <si>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</si>
  <si>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</si>
  <si>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</si>
  <si>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</si>
  <si>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</si>
  <si>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</si>
  <si>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</si>
  <si>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</si>
  <si>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</si>
  <si>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</si>
  <si>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</si>
  <si>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</si>
  <si>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</si>
  <si>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</si>
  <si>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</si>
  <si>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</si>
  <si>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</si>
  <si>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</si>
  <si>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</si>
  <si>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</si>
  <si>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</si>
  <si>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</si>
  <si>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</si>
  <si>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</si>
  <si>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</si>
  <si>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</si>
  <si>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</si>
  <si>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</si>
  <si>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</si>
  <si>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</si>
  <si>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</si>
  <si>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</si>
  <si>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</si>
  <si>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</si>
  <si>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</si>
  <si>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</si>
  <si>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</si>
  <si>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</si>
  <si>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</si>
  <si>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</si>
  <si>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</si>
  <si>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</si>
  <si>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</si>
  <si>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</si>
  <si>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</si>
  <si>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</si>
  <si>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</si>
  <si>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</si>
  <si>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</si>
  <si>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</si>
  <si>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</si>
  <si>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</si>
  <si>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</si>
  <si>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</si>
  <si>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</si>
  <si>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</si>
  <si>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</si>
  <si>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</si>
  <si>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</si>
  <si>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</si>
  <si>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</si>
  <si>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</si>
  <si>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</si>
  <si>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</si>
  <si>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</si>
  <si>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</si>
  <si>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</si>
  <si>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</si>
  <si>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</si>
  <si>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</si>
  <si>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</si>
  <si>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</si>
  <si>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</si>
  <si>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</si>
  <si>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</si>
  <si>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</si>
  <si>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</si>
  <si>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</si>
  <si>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</si>
  <si>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</si>
  <si>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</si>
  <si>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</si>
  <si>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</si>
  <si>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</si>
  <si>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</si>
  <si>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</si>
  <si>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</si>
  <si>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</si>
  <si>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</si>
  <si>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</si>
  <si>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</si>
  <si>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</si>
  <si>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</si>
  <si>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</si>
  <si>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</si>
  <si>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</si>
  <si>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</si>
  <si>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</si>
  <si>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</si>
  <si>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</si>
  <si>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</si>
  <si>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</si>
  <si>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</si>
  <si>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</si>
  <si>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</si>
  <si>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</si>
  <si>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</si>
  <si>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</si>
  <si>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</si>
  <si>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</si>
  <si>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</si>
  <si>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</si>
  <si>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</si>
  <si>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</si>
  <si>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</si>
  <si>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</si>
  <si>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</si>
  <si>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</si>
  <si>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</si>
  <si>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</si>
  <si>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</si>
  <si>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</si>
  <si>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</si>
  <si>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</si>
  <si>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</si>
  <si>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</si>
  <si>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</si>
  <si>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</si>
  <si>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</si>
  <si>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</si>
  <si>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</si>
  <si>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</si>
  <si>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</si>
  <si>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</si>
  <si>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</si>
  <si>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</si>
  <si>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</si>
  <si>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</si>
  <si>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</si>
  <si>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</si>
  <si>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</si>
  <si>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</si>
  <si>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</si>
  <si>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</si>
  <si>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</si>
  <si>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</si>
  <si>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</si>
  <si>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</si>
  <si>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</si>
  <si>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</si>
  <si>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</si>
  <si>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</si>
  <si>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</si>
  <si>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</si>
  <si>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</si>
  <si>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</si>
  <si>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</si>
  <si>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</si>
  <si>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</si>
  <si>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</si>
  <si>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</si>
  <si>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</si>
  <si>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</si>
  <si>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</si>
  <si>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</si>
  <si>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</si>
  <si>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</si>
  <si>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</si>
  <si>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</si>
  <si>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</si>
  <si>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</si>
  <si>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</si>
  <si>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</si>
  <si>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</si>
  <si>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</si>
  <si>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</si>
  <si>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</si>
  <si>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</si>
  <si>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</si>
  <si>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</si>
  <si>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</si>
  <si>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</si>
  <si>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</si>
  <si>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</si>
  <si>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</si>
  <si>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</si>
  <si>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</si>
  <si>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</si>
  <si>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</si>
  <si>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</si>
  <si>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</si>
  <si>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</si>
  <si>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</si>
  <si>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</si>
  <si>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</si>
  <si>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</si>
  <si>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</si>
  <si>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</si>
  <si>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</si>
  <si>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</si>
  <si>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</si>
  <si>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</si>
  <si>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</si>
  <si>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</si>
  <si>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</si>
  <si>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</si>
  <si>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</si>
  <si>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</si>
  <si>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</si>
  <si>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</si>
  <si>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</si>
  <si>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</si>
  <si>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</si>
  <si>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</si>
  <si>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</si>
  <si>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</si>
  <si>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</si>
  <si>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</si>
  <si>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</si>
  <si>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</si>
  <si>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</si>
  <si>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</si>
  <si>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</si>
  <si>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</si>
  <si>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</si>
  <si>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</si>
  <si>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</si>
  <si>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</si>
  <si>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</si>
  <si>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</si>
  <si>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</si>
  <si>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</si>
  <si>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</si>
  <si>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</si>
  <si>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</si>
  <si>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</si>
  <si>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</si>
  <si>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</si>
  <si>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</si>
  <si>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</si>
  <si>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</si>
  <si>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</si>
  <si>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</si>
  <si>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</si>
  <si>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</si>
  <si>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</si>
  <si>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</si>
  <si>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</si>
  <si>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</si>
  <si>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</si>
  <si>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</si>
  <si>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</si>
  <si>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</si>
  <si>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</si>
  <si>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</si>
  <si>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</si>
  <si>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</si>
  <si>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</si>
  <si>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</si>
  <si>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</si>
  <si>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</si>
  <si>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</si>
  <si>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</si>
  <si>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</si>
  <si>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</si>
  <si>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</si>
  <si>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</si>
  <si>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</si>
  <si>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</si>
  <si>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</si>
  <si>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</si>
  <si>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</si>
  <si>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</si>
  <si>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</si>
  <si>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</si>
  <si>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</si>
  <si>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</si>
  <si>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</si>
  <si>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</si>
  <si>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</si>
  <si>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</si>
  <si>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</si>
  <si>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</si>
  <si>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</si>
  <si>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</si>
  <si>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</si>
  <si>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</si>
  <si>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</si>
  <si>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</si>
  <si>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</si>
  <si>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</si>
  <si>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</si>
  <si>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</si>
  <si>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</si>
  <si>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</si>
  <si>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</si>
  <si>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</si>
  <si>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</si>
  <si>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</si>
  <si>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</si>
  <si>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</si>
  <si>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</si>
  <si>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</si>
  <si>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</si>
  <si>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</si>
  <si>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</si>
  <si>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</si>
  <si>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</si>
  <si>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</si>
  <si>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</si>
  <si>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</si>
  <si>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</si>
  <si>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</si>
  <si>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</si>
  <si>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</si>
  <si>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</si>
  <si>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</si>
  <si>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</si>
  <si>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</si>
  <si>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</si>
  <si>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</si>
  <si>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</si>
  <si>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</si>
  <si>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</si>
  <si>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</si>
  <si>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</si>
  <si>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</si>
  <si>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</si>
  <si>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</si>
  <si>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</si>
  <si>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</si>
  <si>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</si>
  <si>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</si>
  <si>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</si>
  <si>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</si>
  <si>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</si>
  <si>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</si>
  <si>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</si>
  <si>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</si>
  <si>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</si>
  <si>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</si>
  <si>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</si>
  <si>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</si>
  <si>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</si>
  <si>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</si>
  <si>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</si>
  <si>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</si>
  <si>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</si>
  <si>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</si>
  <si>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</si>
  <si>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</si>
  <si>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</si>
  <si>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</si>
  <si>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</si>
  <si>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</si>
  <si>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</si>
  <si>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</si>
  <si>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</si>
  <si>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</si>
  <si>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</si>
  <si>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</si>
  <si>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</si>
  <si>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</si>
  <si>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</si>
  <si>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</si>
  <si>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</si>
  <si>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</si>
  <si>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</si>
  <si>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</si>
  <si>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</si>
  <si>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</si>
  <si>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</si>
  <si>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</si>
  <si>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</si>
  <si>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</si>
  <si>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</si>
  <si>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</si>
  <si>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</si>
  <si>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</si>
  <si>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</si>
  <si>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</si>
  <si>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</si>
  <si>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</si>
  <si>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</si>
  <si>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</si>
  <si>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</si>
  <si>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</si>
  <si>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</si>
  <si>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</si>
  <si>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</si>
  <si>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</si>
  <si>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</si>
  <si>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</si>
  <si>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</si>
  <si>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</si>
  <si>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</si>
  <si>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</si>
  <si>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</si>
  <si>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</si>
  <si>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</si>
  <si>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</si>
  <si>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</si>
  <si>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</si>
  <si>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</si>
  <si>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</si>
  <si>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</si>
  <si>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</si>
  <si>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</si>
  <si>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</si>
  <si>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</si>
  <si>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</si>
  <si>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</si>
  <si>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</si>
  <si>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</si>
  <si>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</si>
  <si>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</si>
  <si>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</si>
  <si>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</si>
  <si>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</si>
  <si>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</si>
  <si>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</si>
  <si>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</si>
  <si>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</si>
  <si>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</si>
  <si>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</si>
  <si>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</si>
  <si>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</si>
  <si>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</si>
  <si>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</si>
  <si>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</si>
  <si>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</si>
  <si>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</si>
  <si>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</si>
  <si>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</si>
  <si>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</si>
  <si>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</si>
  <si>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</si>
  <si>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</si>
  <si>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</si>
  <si>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</si>
  <si>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</si>
  <si>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</si>
  <si>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</si>
  <si>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</si>
  <si>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</si>
  <si>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</si>
  <si>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</si>
  <si>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</si>
  <si>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</si>
  <si>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</si>
  <si>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</si>
  <si>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</si>
  <si>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</si>
  <si>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</si>
  <si>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</si>
  <si>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</si>
  <si>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</si>
  <si>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</si>
  <si>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</si>
  <si>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</si>
  <si>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</si>
  <si>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</si>
  <si>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</si>
  <si>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</si>
  <si>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</si>
  <si>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</si>
  <si>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</si>
  <si>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</si>
  <si>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</si>
  <si>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</si>
  <si>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</si>
  <si>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</si>
  <si>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</si>
  <si>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</si>
  <si>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</si>
  <si>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</si>
  <si>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</si>
  <si>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</si>
  <si>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</si>
  <si>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</si>
  <si>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</si>
  <si>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</si>
  <si>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</si>
  <si>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</si>
  <si>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</si>
  <si>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</si>
  <si>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</si>
  <si>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</si>
  <si>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</si>
  <si>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</si>
  <si>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</si>
  <si>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</si>
  <si>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</si>
  <si>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</si>
  <si>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</si>
  <si>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</si>
  <si>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</si>
  <si>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</si>
  <si>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</si>
  <si>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</si>
  <si>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</si>
  <si>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</si>
  <si>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</si>
  <si>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</si>
  <si>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</si>
  <si>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</si>
  <si>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</si>
  <si>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</si>
  <si>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</si>
  <si>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</si>
  <si>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</si>
  <si>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</si>
  <si>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</si>
  <si>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</si>
  <si>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</si>
  <si>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</si>
  <si>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</si>
  <si>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</si>
  <si>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</si>
  <si>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</si>
  <si>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</si>
  <si>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</si>
  <si>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</si>
  <si>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</si>
  <si>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</si>
  <si>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</si>
  <si>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</si>
  <si>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</si>
  <si>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</si>
  <si>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</si>
  <si>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</si>
  <si>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</si>
  <si>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</si>
  <si>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</si>
  <si>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</si>
  <si>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</si>
  <si>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</si>
  <si>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</si>
  <si>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</si>
  <si>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</si>
  <si>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</si>
  <si>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</si>
  <si>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</si>
  <si>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</si>
  <si>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</si>
  <si>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</si>
  <si>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</si>
  <si>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</si>
  <si>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</si>
  <si>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</si>
  <si>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</si>
  <si>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</si>
  <si>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</si>
  <si>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</si>
  <si>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</si>
  <si>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</si>
  <si>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</si>
  <si>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</si>
  <si>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</si>
  <si>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</si>
  <si>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</si>
  <si>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</si>
  <si>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</si>
  <si>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</si>
  <si>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</si>
  <si>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</si>
  <si>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</si>
  <si>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</si>
  <si>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</si>
  <si>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</si>
  <si>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</si>
  <si>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</si>
  <si>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</si>
  <si>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</si>
  <si>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</si>
  <si>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</si>
  <si>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</si>
  <si>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</si>
  <si>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</si>
  <si>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</si>
  <si>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</si>
  <si>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</si>
  <si>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</si>
  <si>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</si>
  <si>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</si>
  <si>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</si>
  <si>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</si>
  <si>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</si>
  <si>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</si>
  <si>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</si>
  <si>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</si>
  <si>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</si>
  <si>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</si>
  <si>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</si>
  <si>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</si>
  <si>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</si>
  <si>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</si>
  <si>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</si>
  <si>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</si>
  <si>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</si>
  <si>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</si>
  <si>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</si>
  <si>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</si>
  <si>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</si>
  <si>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</si>
  <si>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</si>
  <si>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</si>
  <si>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</si>
  <si>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</si>
  <si>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</si>
  <si>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</si>
  <si>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</si>
  <si>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</si>
  <si>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</si>
  <si>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</si>
  <si>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</si>
  <si>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</si>
  <si>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</si>
  <si>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</si>
  <si>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</si>
  <si>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</si>
  <si>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</si>
  <si>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</si>
  <si>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</si>
  <si>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</si>
  <si>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</si>
  <si>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</si>
  <si>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</si>
  <si>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</si>
  <si>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</si>
  <si>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</si>
  <si>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</si>
  <si>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</si>
  <si>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</si>
  <si>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</si>
  <si>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</si>
  <si>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</si>
  <si>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</si>
  <si>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</si>
  <si>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</si>
  <si>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</si>
  <si>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</si>
  <si>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</si>
  <si>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</si>
  <si>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</si>
  <si>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</si>
  <si>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</si>
  <si>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</si>
  <si>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</si>
  <si>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</si>
  <si>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</si>
  <si>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</si>
  <si>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</si>
  <si>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</si>
  <si>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</si>
  <si>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</si>
  <si>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</si>
  <si>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</si>
  <si>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</si>
  <si>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</si>
  <si>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</si>
  <si>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</si>
  <si>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</si>
  <si>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</si>
  <si>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</si>
  <si>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</si>
  <si>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</si>
  <si>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</si>
  <si>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</si>
  <si>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</si>
  <si>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</si>
  <si>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</si>
  <si>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</si>
  <si>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</si>
  <si>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</si>
  <si>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</si>
  <si>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</si>
  <si>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</si>
  <si>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</si>
  <si>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</si>
  <si>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</si>
  <si>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</si>
  <si>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</si>
  <si>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</si>
  <si>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</si>
  <si>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</si>
  <si>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</si>
  <si>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</si>
  <si>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</si>
  <si>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</si>
  <si>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</si>
  <si>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</si>
  <si>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</si>
  <si>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</si>
  <si>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</si>
  <si>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</si>
  <si>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</si>
  <si>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</si>
  <si>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</si>
  <si>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</si>
  <si>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</si>
  <si>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</si>
  <si>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</si>
  <si>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</si>
  <si>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</si>
  <si>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</si>
  <si>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</si>
  <si>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</si>
  <si>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</si>
  <si>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</si>
  <si>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</si>
  <si>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</si>
  <si>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</si>
  <si>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</si>
  <si>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</si>
  <si>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</si>
  <si>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</si>
  <si>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</si>
  <si>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</si>
  <si>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</si>
  <si>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</si>
  <si>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</si>
  <si>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</si>
  <si>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</si>
  <si>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</si>
  <si>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</si>
  <si>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</si>
  <si>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</si>
  <si>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</si>
  <si>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</si>
  <si>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</si>
  <si>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</si>
  <si>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</si>
  <si>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</si>
  <si>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</si>
  <si>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</si>
  <si>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</si>
  <si>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</si>
  <si>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</si>
  <si>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</si>
  <si>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</si>
  <si>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</si>
  <si>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</si>
  <si>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</si>
  <si>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</si>
  <si>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</si>
  <si>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</si>
  <si>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</si>
  <si>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</si>
  <si>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</si>
  <si>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</si>
  <si>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</si>
  <si>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</si>
  <si>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</si>
  <si>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</si>
  <si>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</si>
  <si>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</si>
  <si>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</si>
  <si>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</si>
  <si>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</si>
  <si>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</si>
  <si>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</si>
  <si>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</si>
  <si>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</si>
  <si>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</si>
  <si>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</si>
  <si>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</si>
  <si>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</si>
  <si>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</si>
  <si>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</si>
  <si>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</si>
  <si>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</si>
  <si>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</si>
  <si>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</si>
  <si>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</si>
  <si>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</si>
  <si>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</si>
  <si>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</si>
  <si>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</si>
  <si>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</si>
  <si>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</si>
  <si>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</si>
  <si>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</si>
  <si>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</si>
  <si>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</si>
  <si>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</si>
  <si>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</si>
  <si>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</si>
  <si>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</si>
  <si>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</si>
  <si>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</si>
  <si>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</si>
  <si>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</si>
  <si>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</si>
  <si>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</si>
  <si>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</si>
  <si>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</si>
  <si>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</si>
  <si>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</si>
  <si>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</si>
  <si>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</si>
  <si>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</si>
  <si>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</si>
  <si>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</si>
  <si>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</si>
  <si>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</si>
  <si>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</si>
  <si>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</si>
  <si>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</si>
  <si>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</si>
  <si>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</si>
  <si>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</si>
  <si>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</si>
  <si>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</si>
  <si>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</si>
  <si>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</si>
  <si>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</si>
  <si>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</si>
  <si>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</si>
  <si>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</si>
  <si>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</si>
  <si>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</si>
  <si>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</si>
  <si>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</si>
  <si>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</si>
  <si>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</si>
  <si>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</si>
  <si>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</si>
  <si>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</si>
  <si>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</si>
  <si>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</si>
  <si>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</si>
  <si>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</si>
  <si>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</si>
  <si>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</si>
  <si>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</si>
  <si>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</si>
  <si>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</si>
  <si>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</si>
  <si>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</si>
  <si>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</si>
  <si>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</si>
  <si>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</si>
  <si>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</si>
  <si>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</si>
  <si>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</si>
  <si>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</si>
  <si>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</si>
  <si>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</si>
  <si>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</si>
  <si>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</si>
  <si>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</si>
  <si>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</si>
  <si>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</si>
  <si>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</si>
  <si>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</si>
  <si>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</si>
  <si>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</si>
  <si>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</si>
  <si>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</si>
  <si>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</si>
  <si>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</si>
  <si>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</si>
  <si>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</si>
  <si>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</si>
  <si>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</si>
  <si>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</si>
  <si>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</si>
  <si>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</si>
  <si>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</si>
  <si>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</si>
  <si>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</si>
  <si>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</si>
  <si>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</si>
  <si>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</si>
  <si>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</si>
  <si>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</si>
  <si>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</si>
  <si>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</si>
  <si>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</si>
  <si>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</si>
  <si>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</si>
  <si>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</si>
  <si>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</si>
  <si>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</si>
  <si>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</si>
  <si>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</si>
  <si>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</si>
  <si>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</si>
  <si>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</si>
  <si>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</si>
  <si>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</si>
  <si>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</si>
  <si>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</si>
  <si>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</si>
  <si>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</si>
  <si>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</si>
  <si>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</si>
  <si>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</si>
  <si>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</si>
  <si>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</si>
  <si>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</si>
  <si>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</si>
  <si>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</si>
  <si>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</si>
  <si>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</si>
  <si>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</si>
  <si>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</si>
  <si>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</si>
  <si>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</si>
  <si>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</si>
  <si>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</si>
  <si>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</si>
  <si>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</si>
  <si>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</si>
  <si>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</si>
  <si>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</si>
  <si>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</si>
  <si>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</si>
  <si>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</si>
  <si>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</si>
  <si>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</si>
  <si>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</si>
  <si>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</si>
  <si>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</si>
  <si>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</si>
  <si>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</si>
  <si>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</si>
  <si>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</si>
  <si>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</si>
  <si>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</si>
  <si>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</si>
  <si>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</si>
  <si>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</si>
  <si>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</si>
  <si>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</si>
  <si>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</si>
  <si>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</si>
  <si>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</si>
  <si>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</si>
  <si>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</si>
  <si>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</si>
  <si>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</si>
  <si>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</si>
  <si>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</si>
  <si>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</si>
  <si>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</si>
  <si>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</si>
  <si>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</si>
  <si>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</si>
  <si>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</si>
  <si>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</si>
  <si>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</si>
  <si>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</si>
  <si>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</si>
  <si>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</si>
  <si>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</si>
  <si>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</si>
  <si>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</si>
  <si>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</si>
  <si>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</si>
  <si>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</si>
  <si>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</si>
  <si>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</si>
  <si>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</si>
  <si>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</si>
  <si>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</si>
  <si>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</si>
  <si>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</si>
  <si>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</si>
  <si>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</si>
  <si>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</si>
  <si>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</si>
  <si>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</si>
  <si>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</si>
  <si>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</si>
  <si>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</si>
  <si>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</si>
  <si>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</si>
  <si>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</si>
  <si>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</si>
  <si>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</si>
  <si>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</si>
  <si>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</si>
  <si>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</si>
  <si>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</si>
  <si>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</si>
  <si>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</si>
  <si>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</si>
  <si>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</si>
  <si>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</si>
  <si>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</si>
  <si>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</si>
  <si>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</si>
  <si>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</si>
  <si>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</si>
  <si>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</si>
  <si>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</si>
  <si>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</si>
  <si>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</si>
  <si>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</si>
  <si>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</si>
  <si>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</si>
  <si>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</si>
  <si>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</si>
  <si>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</si>
  <si>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</si>
  <si>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</si>
  <si>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</si>
  <si>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</si>
  <si>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</si>
  <si>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</si>
  <si>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</si>
  <si>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</si>
  <si>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</si>
  <si>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</si>
  <si>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</si>
  <si>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</si>
  <si>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</si>
  <si>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</si>
  <si>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</si>
  <si>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</si>
  <si>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</si>
  <si>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</si>
  <si>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</si>
  <si>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</si>
  <si>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</si>
  <si>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</si>
  <si>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</si>
  <si>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</si>
  <si>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</si>
  <si>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</si>
  <si>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</si>
  <si>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</si>
  <si>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</si>
  <si>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</si>
  <si>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</si>
  <si>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</si>
  <si>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</si>
  <si>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</si>
  <si>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</si>
  <si>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</si>
  <si>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</si>
  <si>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</si>
  <si>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</si>
  <si>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</si>
  <si>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</si>
  <si>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</si>
  <si>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</si>
  <si>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</si>
  <si>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</si>
  <si>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</si>
  <si>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</si>
  <si>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</si>
  <si>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</si>
  <si>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</si>
  <si>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</si>
  <si>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</si>
  <si>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</si>
  <si>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</si>
  <si>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</si>
  <si>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</si>
  <si>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</si>
  <si>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</si>
  <si>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</si>
  <si>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</si>
  <si>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</si>
  <si>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</si>
  <si>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</si>
  <si>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</si>
  <si>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</si>
  <si>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</si>
  <si>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</si>
  <si>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</si>
  <si>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</si>
  <si>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</si>
  <si>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</si>
  <si>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</si>
  <si>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</si>
  <si>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</si>
  <si>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</si>
  <si>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</si>
  <si>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</si>
  <si>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</si>
  <si>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</si>
  <si>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</si>
  <si>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</si>
  <si>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</si>
  <si>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</si>
  <si>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</si>
  <si>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</si>
  <si>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</si>
  <si>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</si>
  <si>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</si>
  <si>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</si>
  <si>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</si>
  <si>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</si>
  <si>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</si>
  <si>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</si>
  <si>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</si>
  <si>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</si>
  <si>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</si>
  <si>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</si>
  <si>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</si>
  <si>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</si>
  <si>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</si>
  <si>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</si>
  <si>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</si>
  <si>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</si>
  <si>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</si>
  <si>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</si>
  <si>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</si>
  <si>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</si>
  <si>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</si>
  <si>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</si>
  <si>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</si>
  <si>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</si>
  <si>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</si>
  <si>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</si>
  <si>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</si>
  <si>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</si>
  <si>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</si>
  <si>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</si>
  <si>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</si>
  <si>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</si>
  <si>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</si>
  <si>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</si>
  <si>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</si>
  <si>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</si>
  <si>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</si>
  <si>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</si>
  <si>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</si>
  <si>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</si>
  <si>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</si>
  <si>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</si>
  <si>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</si>
  <si>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</si>
  <si>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</si>
  <si>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</si>
  <si>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</si>
  <si>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</si>
  <si>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</si>
  <si>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</si>
  <si>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</si>
  <si>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</si>
  <si>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</si>
  <si>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</si>
  <si>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</si>
  <si>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</si>
  <si>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</si>
  <si>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</si>
  <si>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</si>
  <si>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</si>
  <si>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</si>
  <si>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</si>
  <si>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</si>
  <si>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</si>
  <si>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</si>
  <si>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</si>
  <si>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</si>
  <si>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</si>
  <si>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</si>
  <si>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</si>
  <si>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</si>
  <si>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</si>
  <si>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</si>
  <si>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</si>
  <si>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</si>
  <si>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</si>
  <si>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</si>
  <si>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</si>
  <si>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</si>
  <si>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</si>
  <si>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</si>
  <si>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</si>
  <si>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</si>
  <si>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</si>
  <si>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</si>
  <si>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</si>
  <si>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</si>
  <si>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</si>
  <si>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</si>
  <si>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</si>
  <si>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</si>
  <si>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</si>
  <si>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</si>
  <si>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</si>
  <si>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</si>
  <si>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</si>
  <si>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</si>
  <si>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</si>
  <si>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</si>
  <si>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</si>
  <si>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</si>
  <si>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</si>
  <si>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</si>
  <si>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</si>
  <si>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</si>
  <si>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</si>
  <si>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</si>
  <si>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</si>
  <si>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</si>
  <si>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</si>
  <si>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</si>
  <si>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</si>
  <si>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</si>
  <si>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</si>
  <si>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</si>
  <si>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</si>
  <si>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</si>
  <si>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</si>
  <si>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</si>
  <si>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</si>
  <si>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</si>
  <si>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</si>
  <si>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</si>
  <si>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</si>
  <si>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</si>
  <si>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</si>
  <si>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</si>
  <si>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</si>
  <si>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</si>
  <si>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</si>
  <si>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</si>
  <si>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</si>
  <si>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</si>
  <si>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</si>
  <si>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</si>
  <si>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</si>
  <si>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</si>
  <si>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</si>
  <si>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</si>
  <si>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</si>
  <si>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</si>
  <si>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</si>
  <si>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</si>
  <si>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</si>
  <si>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</si>
  <si>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</si>
  <si>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</si>
  <si>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</si>
  <si>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</si>
  <si>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</si>
  <si>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</si>
  <si>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</si>
  <si>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</si>
  <si>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</si>
  <si>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</si>
  <si>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</si>
  <si>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</si>
  <si>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</si>
  <si>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</si>
  <si>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</si>
  <si>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</si>
  <si>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</si>
  <si>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</si>
  <si>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</si>
  <si>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</si>
  <si>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</si>
  <si>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</si>
  <si>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</si>
  <si>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</si>
  <si>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</si>
  <si>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</si>
  <si>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</si>
  <si>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</si>
  <si>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</si>
  <si>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</si>
  <si>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</si>
  <si>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</si>
  <si>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</si>
  <si>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</si>
  <si>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</si>
  <si>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</si>
  <si>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</si>
  <si>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</si>
  <si>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</si>
  <si>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</si>
  <si>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</si>
  <si>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</si>
  <si>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</si>
  <si>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</si>
  <si>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</si>
  <si>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</si>
  <si>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</si>
  <si>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</si>
  <si>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</si>
  <si>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</si>
  <si>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</si>
  <si>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</si>
  <si>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</si>
  <si>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</si>
  <si>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</si>
  <si>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</si>
  <si>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</si>
  <si>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</si>
  <si>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</si>
  <si>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</si>
  <si>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</si>
  <si>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</si>
  <si>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</si>
  <si>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</si>
  <si>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</si>
  <si>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</si>
  <si>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</si>
  <si>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</si>
  <si>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</si>
  <si>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</si>
  <si>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</si>
  <si>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</si>
  <si>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</si>
  <si>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</si>
  <si>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</si>
  <si>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</si>
  <si>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</si>
  <si>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</si>
  <si>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</si>
  <si>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</si>
  <si>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</si>
  <si>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</si>
  <si>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</si>
  <si>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</si>
  <si>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</si>
  <si>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</si>
  <si>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</si>
  <si>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</si>
  <si>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</si>
  <si>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</si>
  <si>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</si>
  <si>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</si>
  <si>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</si>
  <si>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</si>
  <si>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</si>
  <si>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</si>
  <si>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</si>
  <si>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</si>
  <si>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</si>
  <si>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</si>
  <si>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</si>
  <si>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</si>
  <si>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</si>
  <si>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</si>
  <si>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</si>
  <si>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</si>
  <si>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</si>
  <si>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</si>
  <si>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</si>
  <si>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</si>
  <si>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</si>
  <si>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</si>
  <si>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</si>
  <si>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</si>
  <si>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</si>
  <si>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</si>
  <si>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</si>
  <si>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</si>
  <si>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</si>
  <si>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</si>
  <si>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</si>
  <si>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</si>
  <si>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</si>
  <si>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</si>
  <si>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</si>
  <si>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</si>
  <si>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</si>
  <si>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</si>
  <si>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</si>
  <si>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</si>
  <si>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</si>
  <si>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</si>
  <si>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</si>
  <si>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</si>
  <si>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</si>
  <si>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</si>
  <si>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</si>
  <si>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</si>
  <si>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</si>
  <si>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</si>
  <si>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</si>
  <si>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</si>
  <si>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</si>
  <si>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</si>
  <si>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</si>
  <si>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</si>
  <si>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</si>
  <si>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</si>
  <si>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</si>
  <si>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</si>
  <si>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</si>
  <si>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</si>
  <si>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</si>
  <si>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</si>
  <si>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</si>
  <si>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</si>
  <si>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</si>
  <si>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</si>
  <si>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</si>
  <si>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</si>
  <si>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</si>
  <si>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</si>
  <si>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</si>
  <si>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</si>
  <si>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</si>
  <si>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</si>
  <si>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</si>
  <si>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</si>
  <si>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</si>
  <si>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</si>
  <si>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</si>
  <si>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</si>
  <si>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</si>
  <si>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</si>
  <si>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</si>
  <si>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</si>
  <si>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</si>
  <si>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</si>
  <si>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</si>
  <si>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</si>
  <si>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</si>
  <si>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</si>
  <si>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</si>
  <si>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</si>
  <si>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</si>
  <si>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</si>
  <si>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</si>
  <si>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</si>
  <si>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</si>
  <si>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</si>
  <si>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</si>
  <si>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</si>
  <si>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</si>
  <si>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</si>
  <si>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</si>
  <si>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</si>
  <si>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</si>
  <si>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</si>
  <si>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</si>
  <si>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</si>
  <si>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</si>
  <si>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</si>
  <si>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</si>
  <si>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</si>
  <si>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</si>
  <si>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</si>
  <si>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</si>
  <si>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</si>
  <si>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</si>
  <si>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</si>
  <si>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</si>
  <si>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</si>
  <si>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</si>
  <si>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</si>
  <si>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</si>
  <si>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</si>
  <si>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</si>
  <si>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</si>
  <si>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</si>
  <si>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</si>
  <si>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</si>
  <si>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</si>
  <si>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</si>
  <si>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</si>
  <si>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</si>
  <si>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</si>
  <si>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</si>
  <si>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</si>
  <si>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</si>
  <si>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</si>
  <si>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</si>
  <si>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</si>
  <si>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</si>
  <si>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</si>
  <si>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</si>
  <si>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</si>
  <si>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</si>
  <si>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</si>
  <si>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</si>
  <si>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</si>
  <si>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</si>
  <si>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</si>
  <si>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</si>
  <si>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</si>
  <si>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</si>
  <si>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</si>
  <si>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</si>
  <si>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</si>
  <si>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</si>
  <si>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</si>
  <si>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</si>
  <si>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</si>
  <si>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</si>
  <si>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</si>
  <si>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</si>
  <si>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</si>
  <si>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</si>
  <si>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</si>
  <si>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</si>
  <si>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</si>
  <si>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</si>
  <si>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</si>
  <si>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</si>
  <si>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</si>
  <si>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</si>
  <si>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</si>
  <si>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</si>
  <si>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</si>
  <si>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</si>
  <si>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</si>
  <si>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</si>
  <si>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</si>
  <si>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</si>
  <si>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</si>
  <si>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</si>
  <si>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</si>
  <si>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</si>
  <si>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</si>
  <si>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</si>
  <si>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</si>
  <si>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</si>
  <si>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</si>
  <si>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</si>
  <si>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</si>
  <si>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</si>
  <si>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</si>
  <si>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</si>
  <si>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</si>
  <si>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</si>
  <si>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</si>
  <si>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</si>
  <si>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</si>
  <si>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</si>
  <si>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</si>
  <si>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</si>
  <si>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</si>
  <si>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</si>
  <si>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</si>
  <si>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</si>
  <si>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</si>
  <si>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</si>
  <si>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</si>
  <si>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</si>
  <si>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</si>
  <si>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</si>
  <si>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</si>
  <si>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</si>
  <si>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</si>
  <si>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</si>
  <si>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</si>
  <si>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</si>
  <si>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</si>
  <si>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</si>
  <si>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</si>
  <si>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</si>
  <si>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</si>
  <si>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</si>
  <si>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</si>
  <si>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</si>
  <si>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</si>
  <si>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</si>
  <si>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</si>
  <si>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</si>
  <si>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</si>
  <si>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</si>
  <si>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</si>
  <si>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</si>
  <si>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</si>
  <si>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</si>
  <si>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</si>
  <si>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</si>
  <si>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</si>
  <si>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</si>
  <si>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</si>
  <si>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</si>
  <si>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</si>
  <si>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</si>
  <si>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</si>
  <si>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</si>
  <si>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</si>
  <si>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</si>
  <si>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</si>
  <si>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</si>
  <si>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</si>
  <si>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</si>
  <si>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</si>
  <si>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</si>
  <si>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</si>
  <si>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</si>
  <si>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</si>
  <si>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</si>
  <si>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</si>
  <si>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</si>
  <si>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</si>
  <si>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</si>
  <si>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</si>
  <si>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</si>
  <si>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</si>
  <si>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</si>
  <si>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</si>
  <si>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</si>
  <si>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</si>
  <si>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</si>
  <si>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</si>
  <si>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</si>
  <si>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</si>
  <si>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</si>
  <si>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</si>
  <si>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</si>
  <si>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</si>
  <si>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</si>
  <si>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</si>
  <si>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</si>
  <si>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</si>
  <si>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</si>
  <si>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</si>
  <si>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</si>
  <si>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</si>
  <si>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</si>
  <si>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</si>
  <si>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</si>
  <si>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</si>
  <si>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</si>
  <si>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</si>
  <si>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</si>
  <si>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</si>
  <si>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</si>
  <si>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</si>
  <si>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</si>
  <si>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</si>
  <si>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</si>
  <si>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</si>
  <si>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</si>
  <si>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</si>
  <si>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</si>
  <si>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</si>
  <si>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</si>
  <si>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</si>
  <si>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</si>
  <si>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</si>
  <si>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</si>
  <si>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</si>
  <si>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</si>
  <si>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</si>
  <si>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</si>
  <si>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</si>
  <si>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</si>
  <si>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</si>
  <si>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</si>
  <si>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</si>
  <si>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</si>
  <si>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</si>
  <si>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</si>
  <si>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</si>
  <si>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</si>
  <si>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</si>
  <si>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</si>
  <si>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</si>
  <si>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</si>
  <si>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</si>
  <si>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</si>
  <si>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</si>
  <si>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</si>
  <si>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</si>
  <si>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</si>
  <si>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</si>
  <si>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</si>
  <si>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</si>
  <si>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</si>
  <si>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</si>
  <si>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</si>
  <si>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</si>
  <si>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</si>
  <si>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</si>
  <si>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</si>
  <si>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</si>
  <si>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</si>
  <si>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</si>
  <si>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</si>
  <si>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</si>
  <si>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</si>
  <si>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</si>
  <si>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</si>
  <si>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</si>
  <si>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</si>
  <si>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</si>
  <si>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</si>
  <si>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</si>
  <si>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</si>
  <si>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</si>
  <si>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</si>
  <si>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</si>
  <si>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</si>
  <si>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</si>
  <si>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</si>
  <si>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</si>
  <si>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</si>
  <si>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</si>
  <si>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</si>
  <si>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</si>
  <si>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</si>
  <si>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</si>
  <si>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</si>
  <si>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</si>
  <si>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</si>
  <si>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</si>
  <si>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</si>
  <si>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</si>
  <si>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</si>
  <si>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</si>
  <si>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</si>
  <si>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</si>
  <si>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</si>
  <si>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</si>
  <si>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</si>
  <si>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</si>
  <si>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</si>
  <si>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</si>
  <si>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</si>
  <si>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</si>
  <si>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</si>
  <si>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</si>
  <si>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</si>
  <si>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</si>
  <si>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</si>
  <si>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</si>
  <si>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</si>
  <si>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</si>
  <si>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</si>
  <si>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</si>
  <si>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</si>
  <si>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</si>
  <si>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</si>
  <si>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</si>
  <si>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</si>
  <si>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</si>
  <si>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</si>
  <si>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</si>
  <si>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</si>
  <si>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</si>
  <si>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</si>
  <si>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</si>
  <si>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</si>
  <si>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</si>
  <si>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</si>
  <si>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</si>
  <si>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</si>
  <si>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</si>
  <si>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</si>
  <si>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</si>
  <si>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</si>
  <si>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</si>
  <si>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</si>
  <si>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</si>
  <si>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</si>
  <si>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</si>
  <si>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</si>
  <si>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</si>
  <si>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</si>
  <si>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</si>
  <si>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</si>
  <si>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</si>
  <si>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</si>
  <si>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</si>
  <si>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</si>
  <si>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</si>
  <si>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</si>
  <si>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</si>
  <si>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</si>
  <si>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</si>
  <si>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</si>
  <si>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</si>
  <si>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</si>
  <si>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</si>
  <si>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</si>
  <si>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</si>
  <si>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</si>
  <si>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</si>
  <si>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</si>
  <si>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</si>
  <si>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</si>
  <si>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</si>
  <si>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</si>
  <si>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</si>
  <si>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</si>
  <si>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</si>
  <si>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</si>
  <si>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</si>
  <si>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</si>
  <si>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</si>
  <si>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</si>
  <si>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</si>
  <si>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</si>
  <si>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</si>
  <si>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</si>
  <si>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</si>
  <si>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</si>
  <si>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</si>
  <si>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</si>
  <si>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</si>
  <si>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</si>
  <si>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</si>
  <si>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</si>
  <si>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</si>
  <si>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</si>
  <si>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</si>
  <si>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</si>
  <si>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</si>
  <si>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</si>
  <si>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</si>
  <si>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</si>
  <si>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</si>
  <si>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</si>
  <si>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</si>
  <si>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</si>
  <si>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</si>
  <si>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</si>
  <si>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</si>
  <si>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</si>
  <si>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</si>
  <si>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</si>
  <si>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</si>
  <si>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</si>
  <si>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</si>
  <si>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</si>
  <si>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</si>
  <si>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</si>
  <si>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</si>
  <si>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</si>
  <si>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</si>
  <si>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</si>
  <si>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</si>
  <si>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</si>
  <si>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</si>
  <si>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</si>
  <si>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</si>
  <si>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</si>
  <si>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</si>
  <si>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</si>
  <si>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</si>
  <si>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</si>
  <si>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</si>
  <si>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</si>
  <si>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</si>
  <si>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</si>
  <si>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</si>
  <si>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</si>
  <si>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</si>
  <si>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</si>
  <si>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</si>
  <si>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</si>
  <si>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</si>
  <si>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</si>
  <si>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</si>
  <si>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</si>
  <si>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</si>
  <si>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</si>
  <si>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</si>
  <si>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</si>
  <si>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</si>
  <si>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</si>
  <si>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</si>
  <si>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</si>
  <si>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</si>
  <si>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</si>
  <si>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</si>
  <si>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</si>
  <si>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</si>
  <si>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</si>
  <si>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</si>
  <si>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</si>
  <si>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</si>
  <si>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</si>
  <si>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</si>
  <si>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</si>
  <si>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</si>
  <si>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</si>
  <si>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</si>
  <si>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</si>
  <si>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</si>
  <si>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</si>
  <si>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</si>
  <si>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</si>
  <si>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</si>
  <si>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</si>
  <si>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</si>
  <si>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</si>
  <si>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</si>
  <si>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</si>
  <si>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</si>
  <si>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</si>
  <si>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</si>
  <si>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</si>
  <si>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</si>
  <si>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</si>
  <si>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</si>
  <si>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</si>
  <si>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</si>
  <si>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</si>
  <si>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</si>
  <si>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</si>
  <si>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</si>
  <si>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</si>
  <si>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</si>
  <si>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</si>
  <si>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</si>
  <si>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</si>
  <si>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</si>
  <si>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</si>
  <si>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</si>
  <si>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</si>
  <si>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</si>
  <si>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</si>
  <si>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</si>
  <si>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</si>
  <si>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</si>
  <si>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</si>
  <si>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</si>
  <si>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</si>
  <si>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</si>
  <si>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</si>
  <si>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</si>
  <si>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</si>
  <si>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</si>
  <si>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</si>
  <si>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</si>
  <si>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</si>
  <si>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</si>
  <si>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</si>
  <si>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</si>
  <si>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</si>
  <si>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</si>
  <si>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</si>
  <si>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</si>
  <si>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</si>
  <si>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</si>
  <si>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</si>
  <si>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</si>
  <si>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</si>
  <si>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</si>
  <si>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</si>
  <si>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</si>
  <si>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</si>
  <si>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</si>
  <si>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</si>
  <si>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</si>
  <si>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</si>
  <si>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</si>
  <si>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</si>
  <si>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</si>
  <si>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</si>
  <si>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</si>
  <si>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</si>
  <si>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</si>
  <si>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</si>
  <si>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</si>
  <si>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</si>
  <si>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</si>
  <si>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</si>
  <si>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</si>
  <si>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</si>
  <si>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</si>
  <si>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</si>
  <si>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</si>
  <si>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</si>
  <si>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</si>
  <si>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</si>
  <si>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</si>
  <si>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</si>
  <si>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</si>
  <si>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</si>
  <si>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</si>
  <si>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</si>
  <si>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</si>
  <si>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</si>
  <si>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</si>
  <si>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</si>
  <si>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</si>
  <si>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</si>
  <si>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</si>
  <si>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</si>
  <si>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</si>
  <si>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</si>
  <si>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</si>
  <si>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</si>
  <si>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</si>
  <si>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</si>
  <si>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</si>
  <si>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</si>
  <si>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</si>
  <si>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</si>
  <si>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</si>
  <si>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</si>
  <si>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</si>
  <si>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</si>
  <si>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</si>
  <si>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</si>
  <si>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</si>
  <si>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</si>
  <si>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</si>
  <si>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</si>
  <si>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</si>
  <si>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</si>
  <si>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</si>
  <si>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</si>
  <si>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</si>
  <si>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</si>
  <si>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</si>
  <si>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</si>
  <si>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</si>
  <si>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</si>
  <si>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</si>
  <si>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</si>
  <si>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</si>
  <si>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</si>
  <si>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</si>
  <si>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</si>
  <si>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</si>
  <si>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</si>
  <si>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</si>
  <si>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</si>
  <si>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</si>
  <si>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</si>
  <si>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</si>
  <si>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</si>
  <si>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</si>
  <si>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</si>
  <si>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</si>
  <si>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</si>
  <si>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</si>
  <si>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</si>
  <si>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</si>
  <si>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</si>
  <si>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</si>
  <si>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</si>
  <si>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</si>
  <si>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</si>
  <si>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</si>
  <si>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</si>
  <si>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</si>
  <si>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</si>
  <si>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</si>
  <si>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</si>
  <si>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</si>
  <si>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</si>
  <si>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</si>
  <si>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</si>
  <si>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</si>
  <si>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</si>
  <si>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</si>
  <si>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</si>
  <si>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</si>
  <si>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</si>
  <si>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</si>
  <si>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</si>
  <si>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</si>
  <si>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</si>
  <si>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</si>
  <si>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</si>
  <si>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</si>
  <si>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</si>
  <si>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</si>
  <si>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</si>
  <si>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</si>
  <si>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</si>
  <si>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</si>
  <si>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</si>
  <si>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</si>
  <si>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</si>
  <si>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</si>
  <si>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</si>
  <si>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</si>
  <si>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</si>
  <si>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</si>
  <si>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</si>
  <si>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</si>
  <si>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</si>
  <si>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</si>
  <si>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</si>
  <si>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</si>
  <si>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</si>
  <si>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</si>
  <si>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</si>
  <si>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</si>
  <si>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</si>
  <si>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</si>
  <si>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</si>
  <si>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</si>
  <si>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</si>
  <si>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</si>
  <si>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</si>
  <si>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</si>
  <si>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</si>
  <si>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</si>
  <si>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</si>
  <si>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</si>
  <si>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</si>
  <si>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</si>
  <si>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</si>
  <si>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</si>
  <si>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</si>
  <si>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</si>
  <si>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</si>
  <si>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</si>
  <si>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</si>
  <si>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</si>
  <si>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</si>
  <si>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</si>
  <si>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</si>
  <si>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</si>
  <si>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</si>
  <si>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</si>
  <si>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</si>
  <si>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</si>
  <si>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</si>
  <si>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</si>
  <si>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</si>
  <si>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</si>
  <si>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</si>
  <si>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</si>
  <si>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</si>
  <si>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</si>
  <si>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</si>
  <si>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</si>
  <si>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</si>
  <si>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</si>
  <si>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</si>
  <si>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</si>
  <si>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</si>
  <si>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</si>
  <si>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</si>
  <si>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</si>
  <si>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</si>
  <si>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</si>
  <si>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</si>
  <si>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</si>
  <si>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</si>
  <si>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</si>
  <si>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</si>
  <si>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</si>
  <si>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</si>
  <si>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</si>
  <si>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</si>
  <si>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</si>
  <si>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</si>
  <si>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</si>
  <si>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</si>
  <si>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</si>
  <si>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</si>
  <si>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</si>
  <si>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</si>
  <si>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</si>
  <si>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</si>
  <si>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</si>
  <si>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</si>
  <si>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</si>
  <si>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</si>
  <si>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</si>
  <si>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</si>
  <si>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</si>
  <si>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</si>
  <si>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</si>
  <si>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</si>
  <si>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</si>
  <si>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</si>
  <si>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</si>
  <si>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</si>
  <si>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</si>
  <si>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</si>
  <si>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</si>
  <si>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</si>
  <si>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</si>
  <si>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</si>
  <si>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</si>
  <si>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</si>
  <si>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</si>
  <si>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</si>
  <si>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</si>
  <si>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</si>
  <si>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</si>
  <si>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</si>
  <si>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</si>
  <si>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</si>
  <si>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</si>
  <si>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</si>
  <si>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</si>
  <si>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</si>
  <si>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</si>
  <si>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</si>
  <si>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</si>
  <si>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</si>
  <si>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</si>
  <si>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</si>
  <si>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</si>
  <si>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</si>
  <si>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</si>
  <si>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</si>
  <si>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</si>
  <si>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</si>
  <si>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</si>
  <si>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</si>
  <si>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</si>
  <si>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</si>
  <si>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</si>
  <si>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</si>
  <si>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</si>
  <si>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</si>
  <si>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</si>
  <si>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</si>
  <si>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</si>
  <si>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</si>
  <si>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</si>
  <si>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</si>
  <si>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</si>
  <si>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</si>
  <si>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</si>
  <si>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</si>
  <si>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</si>
  <si>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</si>
  <si>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</si>
  <si>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</si>
  <si>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</si>
  <si>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</si>
  <si>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</si>
  <si>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</si>
  <si>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</si>
  <si>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</si>
  <si>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</si>
  <si>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</si>
  <si>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</si>
  <si>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</si>
  <si>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</si>
  <si>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</si>
  <si>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</si>
  <si>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</si>
  <si>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</si>
  <si>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</si>
  <si>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</si>
  <si>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</si>
  <si>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</si>
  <si>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</si>
  <si>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</si>
  <si>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</si>
  <si>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</si>
  <si>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</si>
  <si>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</si>
  <si>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</si>
  <si>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</si>
  <si>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</si>
  <si>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</si>
  <si>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</si>
  <si>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</si>
  <si>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</si>
  <si>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</si>
  <si>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</si>
  <si>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</si>
  <si>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</si>
  <si>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</si>
  <si>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</si>
  <si>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</si>
  <si>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</si>
  <si>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</si>
  <si>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</si>
  <si>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</si>
  <si>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</si>
  <si>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</si>
  <si>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</si>
  <si>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</si>
  <si>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</si>
  <si>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</si>
  <si>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</si>
  <si>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</si>
  <si>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</si>
  <si>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</si>
  <si>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</si>
  <si>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</si>
  <si>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</si>
  <si>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</si>
  <si>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</si>
  <si>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</si>
  <si>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</si>
  <si>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</si>
  <si>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</si>
  <si>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</si>
  <si>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</si>
  <si>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</si>
  <si>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</si>
  <si>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</si>
  <si>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</si>
  <si>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</si>
  <si>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</si>
  <si>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</si>
  <si>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</si>
  <si>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</si>
  <si>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</si>
  <si>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</si>
  <si>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</si>
  <si>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</si>
  <si>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</si>
  <si>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</si>
  <si>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</si>
  <si>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</si>
  <si>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</si>
  <si>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</si>
  <si>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</si>
  <si>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</si>
  <si>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</si>
  <si>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</si>
  <si>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</si>
  <si>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</si>
  <si>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</si>
  <si>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</si>
  <si>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</si>
  <si>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</si>
  <si>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</si>
  <si>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</si>
  <si>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</si>
  <si>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</si>
  <si>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</si>
  <si>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</si>
  <si>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</si>
  <si>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</si>
  <si>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</si>
  <si>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</si>
  <si>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</si>
  <si>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</si>
  <si>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</si>
  <si>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</si>
  <si>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</si>
  <si>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</si>
  <si>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</si>
  <si>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</si>
  <si>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</si>
  <si>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</si>
  <si>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</si>
  <si>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</si>
  <si>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</si>
  <si>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</si>
  <si>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</si>
  <si>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</si>
  <si>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</si>
  <si>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</si>
  <si>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</si>
  <si>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</si>
  <si>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</si>
  <si>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</si>
  <si>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</si>
  <si>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</si>
  <si>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</si>
  <si>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</si>
  <si>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</si>
  <si>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</si>
  <si>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</si>
  <si>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</si>
  <si>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</si>
  <si>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</si>
  <si>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</si>
  <si>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</si>
  <si>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</si>
  <si>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</si>
  <si>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</si>
  <si>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</si>
  <si>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</si>
  <si>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</si>
  <si>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</si>
  <si>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</si>
  <si>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</si>
  <si>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</si>
  <si>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</si>
  <si>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</si>
  <si>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</si>
  <si>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</si>
  <si>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</si>
  <si>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</si>
  <si>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</si>
  <si>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</si>
  <si>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</si>
  <si>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</si>
  <si>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</si>
  <si>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</si>
  <si>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</si>
  <si>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</si>
  <si>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</si>
  <si>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</si>
  <si>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</si>
  <si>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</si>
  <si>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</si>
  <si>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</si>
  <si>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</si>
  <si>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</si>
  <si>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</si>
  <si>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</si>
  <si>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</si>
  <si>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</si>
  <si>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</si>
  <si>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</si>
  <si>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</si>
  <si>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</si>
  <si>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</si>
  <si>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</si>
  <si>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</si>
  <si>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</si>
  <si>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</si>
  <si>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</si>
  <si>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</si>
  <si>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</si>
  <si>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</si>
  <si>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</si>
  <si>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</si>
  <si>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</si>
  <si>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</si>
  <si>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</si>
  <si>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</si>
  <si>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</si>
  <si>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</si>
  <si>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</si>
  <si>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</si>
  <si>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</si>
  <si>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</si>
  <si>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</si>
  <si>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</si>
  <si>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</si>
  <si>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</si>
  <si>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</si>
  <si>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</si>
  <si>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</si>
  <si>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</si>
  <si>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</si>
  <si>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</si>
  <si>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</si>
  <si>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</si>
  <si>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</si>
  <si>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</si>
  <si>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</si>
  <si>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</si>
  <si>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</si>
  <si>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</si>
  <si>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</si>
  <si>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</si>
  <si>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</si>
  <si>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</si>
  <si>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</si>
  <si>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</si>
  <si>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</si>
  <si>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</si>
  <si>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</si>
  <si>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</si>
  <si>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</si>
  <si>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</si>
  <si>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</si>
  <si>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</si>
  <si>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</si>
  <si>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</si>
  <si>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</si>
  <si>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</si>
  <si>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</si>
  <si>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</si>
  <si>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</si>
  <si>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</si>
  <si>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</si>
  <si>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</si>
  <si>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</si>
  <si>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</si>
  <si>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</si>
  <si>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</si>
  <si>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</si>
  <si>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</si>
  <si>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</si>
  <si>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</si>
  <si>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</si>
  <si>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</si>
  <si>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</si>
  <si>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</si>
  <si>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</si>
  <si>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</si>
  <si>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</si>
  <si>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</si>
  <si>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</si>
  <si>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</si>
  <si>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</si>
  <si>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</si>
  <si>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</si>
  <si>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</si>
  <si>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</si>
  <si>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</si>
  <si>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</si>
  <si>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</si>
  <si>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</si>
  <si>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</si>
  <si>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</si>
  <si>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</si>
  <si>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</si>
  <si>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</si>
  <si>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</si>
  <si>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</si>
  <si>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</si>
  <si>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</si>
  <si>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</si>
  <si>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</si>
  <si>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</si>
  <si>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</si>
  <si>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</si>
  <si>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</si>
  <si>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</si>
  <si>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</si>
  <si>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</si>
  <si>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</si>
  <si>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</si>
  <si>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</si>
  <si>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</si>
  <si>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</si>
  <si>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</si>
  <si>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</si>
  <si>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</si>
  <si>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</si>
  <si>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</si>
  <si>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</si>
  <si>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</si>
  <si>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</si>
  <si>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</si>
  <si>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</si>
  <si>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</si>
  <si>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</si>
  <si>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</si>
  <si>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</si>
  <si>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</si>
  <si>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</si>
  <si>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</si>
  <si>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</si>
  <si>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</si>
  <si>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</si>
  <si>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</si>
  <si>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</si>
  <si>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</si>
  <si>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</si>
  <si>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</si>
  <si>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</si>
  <si>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</si>
  <si>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</si>
  <si>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</si>
  <si>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</si>
  <si>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</si>
  <si>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</si>
  <si>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</si>
  <si>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</si>
  <si>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</si>
  <si>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</si>
  <si>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</si>
  <si>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</si>
  <si>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</si>
  <si>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</si>
  <si>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</si>
  <si>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</si>
  <si>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</si>
  <si>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</si>
  <si>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</si>
  <si>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</si>
  <si>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</si>
  <si>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</si>
  <si>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</si>
  <si>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</si>
  <si>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</si>
  <si>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</si>
  <si>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</si>
  <si>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</si>
  <si>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</si>
  <si>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</si>
  <si>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</si>
  <si>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</si>
  <si>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</si>
  <si>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</si>
  <si>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</si>
  <si>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</si>
  <si>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</si>
  <si>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</si>
  <si>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</si>
  <si>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</si>
  <si>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</si>
  <si>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</si>
  <si>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</si>
  <si>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</si>
  <si>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</si>
  <si>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</si>
  <si>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</si>
  <si>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</si>
  <si>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</si>
  <si>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</si>
  <si>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</si>
  <si>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</si>
  <si>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</si>
  <si>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</si>
  <si>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</si>
  <si>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</si>
  <si>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</si>
  <si>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</si>
  <si>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</si>
  <si>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</si>
  <si>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</si>
  <si>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</si>
  <si>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</si>
  <si>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</si>
  <si>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</si>
  <si>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</si>
  <si>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</si>
  <si>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</si>
  <si>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</si>
  <si>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</si>
  <si>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</si>
  <si>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</si>
  <si>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</si>
  <si>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</si>
  <si>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</si>
  <si>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</si>
  <si>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</si>
  <si>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</si>
  <si>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</si>
  <si>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</si>
  <si>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</si>
  <si>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</si>
  <si>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</si>
  <si>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</si>
  <si>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</si>
  <si>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</si>
  <si>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</si>
  <si>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</si>
  <si>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</si>
  <si>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</si>
  <si>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</si>
  <si>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</si>
  <si>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</si>
  <si>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</si>
  <si>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</si>
  <si>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</si>
  <si>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</si>
  <si>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</si>
  <si>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</si>
  <si>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</si>
  <si>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</si>
  <si>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</si>
  <si>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</si>
  <si>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</si>
  <si>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</si>
  <si>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</si>
  <si>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</si>
  <si>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</si>
  <si>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</si>
  <si>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</si>
  <si>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</si>
  <si>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</si>
  <si>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</si>
  <si>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</si>
  <si>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</si>
  <si>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</si>
  <si>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</si>
  <si>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</si>
  <si>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</si>
  <si>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</si>
  <si>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</si>
  <si>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</si>
  <si>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</si>
  <si>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</si>
  <si>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</si>
  <si>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</si>
  <si>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</si>
  <si>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</si>
  <si>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</si>
  <si>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</si>
  <si>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</si>
  <si>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</si>
  <si>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</si>
  <si>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</si>
  <si>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</si>
  <si>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</si>
  <si>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</si>
  <si>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</si>
  <si>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</si>
  <si>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</si>
  <si>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</si>
  <si>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</si>
  <si>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</si>
  <si>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</si>
  <si>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</si>
  <si>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</si>
  <si>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</si>
  <si>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</si>
  <si>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</si>
  <si>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</si>
  <si>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</si>
  <si>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</si>
  <si>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</si>
  <si>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</si>
  <si>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</si>
  <si>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</si>
  <si>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</si>
  <si>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</si>
  <si>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</si>
  <si>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</si>
  <si>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</si>
  <si>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</si>
  <si>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</si>
  <si>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</si>
  <si>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</si>
  <si>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</si>
  <si>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</si>
  <si>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</si>
  <si>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</si>
  <si>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</si>
  <si>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</si>
  <si>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</si>
  <si>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</si>
  <si>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</si>
  <si>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</si>
  <si>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</si>
  <si>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</si>
  <si>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</si>
  <si>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</si>
  <si>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</si>
  <si>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</si>
  <si>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</si>
  <si>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</si>
  <si>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</si>
  <si>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</si>
  <si>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</si>
  <si>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</si>
  <si>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</si>
  <si>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</si>
  <si>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</si>
  <si>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</si>
  <si>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</si>
  <si>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</si>
  <si>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</si>
  <si>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</si>
  <si>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</si>
  <si>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</si>
  <si>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</si>
  <si>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</si>
  <si>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</si>
  <si>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</si>
  <si>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</si>
  <si>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</si>
  <si>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</si>
  <si>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</si>
  <si>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</si>
  <si>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</si>
  <si>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</si>
  <si>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</si>
  <si>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</si>
  <si>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</si>
  <si>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</si>
  <si>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</si>
  <si>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</si>
  <si>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</si>
  <si>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</si>
  <si>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</si>
  <si>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</si>
  <si>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</si>
  <si>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</si>
  <si>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</si>
  <si>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</si>
  <si>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</si>
  <si>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</si>
  <si>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</si>
  <si>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</si>
  <si>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</si>
  <si>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</si>
  <si>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</si>
  <si>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</si>
  <si>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</si>
  <si>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</si>
  <si>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</si>
  <si>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</si>
  <si>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</si>
  <si>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</si>
  <si>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</si>
  <si>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</si>
  <si>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</si>
  <si>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</si>
  <si>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</si>
  <si>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</si>
  <si>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</si>
  <si>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</si>
  <si>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</si>
  <si>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</si>
  <si>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</si>
  <si>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</si>
  <si>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</si>
  <si>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</si>
  <si>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</si>
  <si>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</si>
  <si>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</si>
  <si>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</si>
  <si>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</si>
  <si>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</si>
  <si>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</si>
  <si>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</si>
  <si>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</si>
  <si>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</si>
  <si>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</si>
  <si>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</si>
  <si>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</si>
  <si>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</si>
  <si>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</si>
  <si>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</si>
  <si>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</si>
  <si>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</si>
  <si>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</si>
  <si>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</si>
  <si>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</si>
  <si>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</si>
  <si>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</si>
  <si>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</si>
  <si>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</si>
  <si>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</si>
  <si>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</si>
  <si>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</si>
  <si>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</si>
  <si>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</si>
  <si>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</si>
  <si>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</si>
  <si>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</si>
  <si>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</si>
  <si>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</si>
  <si>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</si>
  <si>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</si>
  <si>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</si>
  <si>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</si>
  <si>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</si>
  <si>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</si>
  <si>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</si>
  <si>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</si>
  <si>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</si>
  <si>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</si>
  <si>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</si>
  <si>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</si>
  <si>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</si>
  <si>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</si>
  <si>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</si>
  <si>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</si>
  <si>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</si>
  <si>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</si>
  <si>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</si>
  <si>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</si>
  <si>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</si>
  <si>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</si>
  <si>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</si>
  <si>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</si>
  <si>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</si>
  <si>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</si>
  <si>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</si>
  <si>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</si>
  <si>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</si>
  <si>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</si>
  <si>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</si>
  <si>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</si>
  <si>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</si>
  <si>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</si>
  <si>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</si>
  <si>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</si>
  <si>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</si>
  <si>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</si>
  <si>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</si>
  <si>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</si>
  <si>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</si>
  <si>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</si>
  <si>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</si>
  <si>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</si>
  <si>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</si>
  <si>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</si>
  <si>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</si>
  <si>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</si>
  <si>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</si>
  <si>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</si>
  <si>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</si>
  <si>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</si>
  <si>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</si>
  <si>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</si>
  <si>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</si>
  <si>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</si>
  <si>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</si>
  <si>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</si>
  <si>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</si>
  <si>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</si>
  <si>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</si>
  <si>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</si>
  <si>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</si>
  <si>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</si>
  <si>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</si>
  <si>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</si>
  <si>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</si>
  <si>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</si>
  <si>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</si>
  <si>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</si>
  <si>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</si>
  <si>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</si>
  <si>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</si>
  <si>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</si>
  <si>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</si>
  <si>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</si>
  <si>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</si>
  <si>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</si>
  <si>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</si>
  <si>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</si>
  <si>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</si>
  <si>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</si>
  <si>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</si>
  <si>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</si>
  <si>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</si>
  <si>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</si>
  <si>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</si>
  <si>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</si>
  <si>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</si>
  <si>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</si>
  <si>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</si>
  <si>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</si>
  <si>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</si>
  <si>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</si>
  <si>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</si>
  <si>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</si>
  <si>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</si>
  <si>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</si>
  <si>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</si>
  <si>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</si>
  <si>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</si>
  <si>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</si>
  <si>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</si>
  <si>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</si>
  <si>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</si>
  <si>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</si>
  <si>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</si>
  <si>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</si>
  <si>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</si>
  <si>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</si>
  <si>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</si>
  <si>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</si>
  <si>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</si>
  <si>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</si>
  <si>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</si>
  <si>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</si>
  <si>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</si>
  <si>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</si>
  <si>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</si>
  <si>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</si>
  <si>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</si>
  <si>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</si>
  <si>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</si>
  <si>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</si>
  <si>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</si>
  <si>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</si>
  <si>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</si>
  <si>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</si>
  <si>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</si>
  <si>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</si>
  <si>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</si>
  <si>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</si>
  <si>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</si>
  <si>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</si>
  <si>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</si>
  <si>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</si>
  <si>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</si>
  <si>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</si>
  <si>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</si>
  <si>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</si>
  <si>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</si>
  <si>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</si>
  <si>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</si>
  <si>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</si>
  <si>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</si>
  <si>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</si>
  <si>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</si>
  <si>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</si>
  <si>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</si>
  <si>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</si>
  <si>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</si>
  <si>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</si>
  <si>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</si>
  <si>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</si>
  <si>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</si>
  <si>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</si>
  <si>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</si>
  <si>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</si>
  <si>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</si>
  <si>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</si>
  <si>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</si>
  <si>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</si>
  <si>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</si>
  <si>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</si>
  <si>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</si>
  <si>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</si>
  <si>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</si>
  <si>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</si>
  <si>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</si>
  <si>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</si>
  <si>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</si>
  <si>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</si>
  <si>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</si>
  <si>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</si>
  <si>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</si>
  <si>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</si>
  <si>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</si>
  <si>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</si>
  <si>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</si>
  <si>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</si>
  <si>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</si>
  <si>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</si>
  <si>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</si>
  <si>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</si>
  <si>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</si>
  <si>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</si>
  <si>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</si>
  <si>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</si>
  <si>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</si>
  <si>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</si>
  <si>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</si>
  <si>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</si>
  <si>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</si>
  <si>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</si>
  <si>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</si>
  <si>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</si>
  <si>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</si>
  <si>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</si>
  <si>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</si>
  <si>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</si>
  <si>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</si>
  <si>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</si>
  <si>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</si>
  <si>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</si>
  <si>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</si>
  <si>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</si>
  <si>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</si>
  <si>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</si>
  <si>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</si>
  <si>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</si>
  <si>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</si>
  <si>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</si>
  <si>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</si>
  <si>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</si>
  <si>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</si>
  <si>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</si>
  <si>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</si>
  <si>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</si>
  <si>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</si>
  <si>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</si>
  <si>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</si>
  <si>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</si>
  <si>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</si>
  <si>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</si>
  <si>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</si>
  <si>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</si>
  <si>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</si>
  <si>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</si>
  <si>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</si>
  <si>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</si>
  <si>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</si>
  <si>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</si>
  <si>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</si>
  <si>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</si>
  <si>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</si>
  <si>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</si>
  <si>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</si>
  <si>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</si>
  <si>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</si>
  <si>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</si>
  <si>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</si>
  <si>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</si>
  <si>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</si>
  <si>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</si>
  <si>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</si>
  <si>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</si>
  <si>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</si>
  <si>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</si>
  <si>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</si>
  <si>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</si>
  <si>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</si>
  <si>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</si>
  <si>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</si>
  <si>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</si>
  <si>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</si>
  <si>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</si>
  <si>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</si>
  <si>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</si>
  <si>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</si>
  <si>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</si>
  <si>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</si>
  <si>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</si>
  <si>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</si>
  <si>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</si>
  <si>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</si>
  <si>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</si>
  <si>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</si>
  <si>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</si>
  <si>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</si>
  <si>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</si>
  <si>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</si>
  <si>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</si>
  <si>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</si>
  <si>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</si>
  <si>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</si>
  <si>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</si>
  <si>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</si>
  <si>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</si>
  <si>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</si>
  <si>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</si>
  <si>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</si>
  <si>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</si>
  <si>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</si>
  <si>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</si>
  <si>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</si>
  <si>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</si>
  <si>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</si>
  <si>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</si>
  <si>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</si>
  <si>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</si>
  <si>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</si>
  <si>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</si>
  <si>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</si>
  <si>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</si>
  <si>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</si>
  <si>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</si>
  <si>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</si>
  <si>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</si>
  <si>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</si>
  <si>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</si>
  <si>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</si>
  <si>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</si>
  <si>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</si>
  <si>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</si>
  <si>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</si>
  <si>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</si>
  <si>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</si>
  <si>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</si>
  <si>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</si>
  <si>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</si>
  <si>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</si>
  <si>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</si>
  <si>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</si>
  <si>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</si>
  <si>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</si>
  <si>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</si>
  <si>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</si>
  <si>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</si>
  <si>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</si>
  <si>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</si>
  <si>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</si>
  <si>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</si>
  <si>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</si>
  <si>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</si>
  <si>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</si>
  <si>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</si>
  <si>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</si>
  <si>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</si>
  <si>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</si>
  <si>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</si>
  <si>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</si>
  <si>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</si>
  <si>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</si>
  <si>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</si>
  <si>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</si>
  <si>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</si>
  <si>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</si>
  <si>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</si>
  <si>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</si>
  <si>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</si>
  <si>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</si>
  <si>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</si>
  <si>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</si>
  <si>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</si>
  <si>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</si>
  <si>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</si>
  <si>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</si>
  <si>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</si>
  <si>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</si>
  <si>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</si>
  <si>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</si>
  <si>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</si>
  <si>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</si>
  <si>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</si>
  <si>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</si>
  <si>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</si>
  <si>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</si>
  <si>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</si>
  <si>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</si>
  <si>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</si>
  <si>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</si>
  <si>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</si>
  <si>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</si>
  <si>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</si>
  <si>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</si>
  <si>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</si>
  <si>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</si>
  <si>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</si>
  <si>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</si>
  <si>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</si>
  <si>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</si>
  <si>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</si>
  <si>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</si>
  <si>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</si>
  <si>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</si>
  <si>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</si>
  <si>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</si>
  <si>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</si>
  <si>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</si>
  <si>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</si>
  <si>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</si>
  <si>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</si>
  <si>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</si>
  <si>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</si>
  <si>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</si>
  <si>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</si>
  <si>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</si>
  <si>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</si>
  <si>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</si>
  <si>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</si>
  <si>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</si>
  <si>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</si>
  <si>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</si>
  <si>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</si>
  <si>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</si>
  <si>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</si>
  <si>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</si>
  <si>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</si>
  <si>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</si>
  <si>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</si>
  <si>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</si>
  <si>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</si>
  <si>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</si>
  <si>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</si>
  <si>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</si>
  <si>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</si>
  <si>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</si>
  <si>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</si>
  <si>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</si>
  <si>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</si>
  <si>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</si>
  <si>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</si>
  <si>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</si>
  <si>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</si>
  <si>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</si>
  <si>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</si>
  <si>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</si>
  <si>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</si>
  <si>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</si>
  <si>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</si>
  <si>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</si>
  <si>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</si>
  <si>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</si>
  <si>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</si>
  <si>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</si>
  <si>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</si>
  <si>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</si>
  <si>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</si>
  <si>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</si>
  <si>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</si>
  <si>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</si>
  <si>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</si>
  <si>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</si>
  <si>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</si>
  <si>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</si>
  <si>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</si>
  <si>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</si>
  <si>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</si>
  <si>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</si>
  <si>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</si>
  <si>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</si>
  <si>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</si>
  <si>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</si>
  <si>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</si>
  <si>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</si>
  <si>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</si>
  <si>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</si>
  <si>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</si>
  <si>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</si>
  <si>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</si>
  <si>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</si>
  <si>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</si>
  <si>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</si>
  <si>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</si>
  <si>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</si>
  <si>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</si>
  <si>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</si>
  <si>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</si>
  <si>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</si>
  <si>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</si>
  <si>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</si>
  <si>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</si>
  <si>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</si>
  <si>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</si>
  <si>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</si>
  <si>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</si>
  <si>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</si>
  <si>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</si>
  <si>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</si>
  <si>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</si>
  <si>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</si>
  <si>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</si>
  <si>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</si>
  <si>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</si>
  <si>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</si>
  <si>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</si>
  <si>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</si>
  <si>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</si>
  <si>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</si>
  <si>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</si>
  <si>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</si>
  <si>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</si>
  <si>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</si>
  <si>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</si>
  <si>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</si>
  <si>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</si>
  <si>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</si>
  <si>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</si>
  <si>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</si>
  <si>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</si>
  <si>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</si>
  <si>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</si>
  <si>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</si>
  <si>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</si>
  <si>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</si>
  <si>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</si>
  <si>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</si>
  <si>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</si>
  <si>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</si>
  <si>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</si>
  <si>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</si>
  <si>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</si>
  <si>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</si>
  <si>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</si>
  <si>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</si>
  <si>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</si>
  <si>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</si>
  <si>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</si>
  <si>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</si>
  <si>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</si>
  <si>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</si>
  <si>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</si>
  <si>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</si>
  <si>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</si>
  <si>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</si>
  <si>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</si>
  <si>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</si>
  <si>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</si>
  <si>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</si>
  <si>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</si>
  <si>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</si>
  <si>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</si>
  <si>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</si>
  <si>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</si>
  <si>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</si>
  <si>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</si>
  <si>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</si>
  <si>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</si>
  <si>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</si>
  <si>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</si>
  <si>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</si>
  <si>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</si>
  <si>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</si>
  <si>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</si>
  <si>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</si>
  <si>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</si>
  <si>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</si>
  <si>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</si>
  <si>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</si>
  <si>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</si>
  <si>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</si>
  <si>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</si>
  <si>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</si>
  <si>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</si>
  <si>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</si>
  <si>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</si>
  <si>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</si>
  <si>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</si>
  <si>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</si>
  <si>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</si>
  <si>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</si>
  <si>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</si>
  <si>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</si>
  <si>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</si>
  <si>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</si>
  <si>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</si>
  <si>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</si>
  <si>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</si>
  <si>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</si>
  <si>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</si>
  <si>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</si>
  <si>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</si>
  <si>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</si>
  <si>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</si>
  <si>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</si>
  <si>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</si>
  <si>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</si>
  <si>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</si>
  <si>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</si>
  <si>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</si>
  <si>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</si>
  <si>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</si>
  <si>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</si>
  <si>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</si>
  <si>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</si>
  <si>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</si>
  <si>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</si>
  <si>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</si>
  <si>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</si>
  <si>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</si>
  <si>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</si>
  <si>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</si>
  <si>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</si>
  <si>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</si>
  <si>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</si>
  <si>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</si>
  <si>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</si>
  <si>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</si>
  <si>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</si>
  <si>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</si>
  <si>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</si>
  <si>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</si>
  <si>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</si>
  <si>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</si>
  <si>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</si>
  <si>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</si>
  <si>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</si>
  <si>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</si>
  <si>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</si>
  <si>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</si>
  <si>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</si>
  <si>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</si>
  <si>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</si>
  <si>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</si>
  <si>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</si>
  <si>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</si>
  <si>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</si>
  <si>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</si>
  <si>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</si>
  <si>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</si>
  <si>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</si>
  <si>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</si>
  <si>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</si>
  <si>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</si>
  <si>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</si>
  <si>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</si>
  <si>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</si>
  <si>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</si>
  <si>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</si>
  <si>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</si>
  <si>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</si>
  <si>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</si>
  <si>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</si>
  <si>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</si>
  <si>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</si>
  <si>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</si>
  <si>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</si>
  <si>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</si>
  <si>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</si>
  <si>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</si>
  <si>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</si>
  <si>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</si>
  <si>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</si>
  <si>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</si>
  <si>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</si>
  <si>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</si>
  <si>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</si>
  <si>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</si>
  <si>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</si>
  <si>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</si>
  <si>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</si>
  <si>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</si>
  <si>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</si>
  <si>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</si>
  <si>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</si>
  <si>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</si>
  <si>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</si>
  <si>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</si>
  <si>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</si>
  <si>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</si>
  <si>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</si>
  <si>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</si>
  <si>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</si>
  <si>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</si>
  <si>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</si>
  <si>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</si>
  <si>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</si>
  <si>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</si>
  <si>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</si>
  <si>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</si>
  <si>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</si>
  <si>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</si>
  <si>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</si>
  <si>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</si>
  <si>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</si>
  <si>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</si>
  <si>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</si>
  <si>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</si>
  <si>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</si>
  <si>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</si>
  <si>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</si>
  <si>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</si>
  <si>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</si>
  <si>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</si>
  <si>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</si>
  <si>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</si>
  <si>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</si>
  <si>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</si>
  <si>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</si>
  <si>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</si>
  <si>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</si>
  <si>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</si>
  <si>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</si>
  <si>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</si>
  <si>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</si>
  <si>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</si>
  <si>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</si>
  <si>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</si>
  <si>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</si>
  <si>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</si>
  <si>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</si>
  <si>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</si>
  <si>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</si>
  <si>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</si>
  <si>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</si>
  <si>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</si>
  <si>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</si>
  <si>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</si>
  <si>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</si>
  <si>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</si>
  <si>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</si>
  <si>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</si>
  <si>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</si>
  <si>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</si>
  <si>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</si>
  <si>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</si>
  <si>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</si>
  <si>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</si>
  <si>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</si>
  <si>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</si>
  <si>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</si>
  <si>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</si>
  <si>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</si>
  <si>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</si>
  <si>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</si>
  <si>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</si>
  <si>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</si>
  <si>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</si>
  <si>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</si>
  <si>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</si>
  <si>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</si>
  <si>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</si>
  <si>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</si>
  <si>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</si>
  <si>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</si>
  <si>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</si>
  <si>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</si>
  <si>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</si>
  <si>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</si>
  <si>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</si>
  <si>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</si>
  <si>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</si>
  <si>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</si>
  <si>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</si>
  <si>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</si>
  <si>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</si>
  <si>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</si>
  <si>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</si>
  <si>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</si>
  <si>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</si>
  <si>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</si>
  <si>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</si>
  <si>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</si>
  <si>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</si>
  <si>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</si>
  <si>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</si>
  <si>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</si>
  <si>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</si>
  <si>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</si>
  <si>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</si>
  <si>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</si>
  <si>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</si>
  <si>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</si>
  <si>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</si>
  <si>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</si>
  <si>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</si>
  <si>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</si>
  <si>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</si>
  <si>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</si>
  <si>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</si>
  <si>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</si>
  <si>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</si>
  <si>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</si>
  <si>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</si>
  <si>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</si>
  <si>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</si>
  <si>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</si>
  <si>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</si>
  <si>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</si>
  <si>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</si>
  <si>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</si>
  <si>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</si>
  <si>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</si>
  <si>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</si>
  <si>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</si>
  <si>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</si>
  <si>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</si>
  <si>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</si>
  <si>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</si>
  <si>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</si>
  <si>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</si>
  <si>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</si>
  <si>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</si>
  <si>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</si>
  <si>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</si>
  <si>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</si>
  <si>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</si>
  <si>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</si>
  <si>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</si>
  <si>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</si>
  <si>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</si>
  <si>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</si>
  <si>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</si>
  <si>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</si>
  <si>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</si>
  <si>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</si>
  <si>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</si>
  <si>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</si>
  <si>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</si>
  <si>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</si>
  <si>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</si>
  <si>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</si>
  <si>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</si>
  <si>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</si>
  <si>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</si>
  <si>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</si>
  <si>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</si>
  <si>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</si>
  <si>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</si>
  <si>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</si>
  <si>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</si>
  <si>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</si>
  <si>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</si>
  <si>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</si>
  <si>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</si>
  <si>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</si>
  <si>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</si>
  <si>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</si>
  <si>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</si>
  <si>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</si>
  <si>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</si>
  <si>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</si>
  <si>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</si>
  <si>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</si>
  <si>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</si>
  <si>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</si>
  <si>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</si>
  <si>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</si>
  <si>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</si>
  <si>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</si>
  <si>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</si>
  <si>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</si>
  <si>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</si>
  <si>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</si>
  <si>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</si>
  <si>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</si>
  <si>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</si>
  <si>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</si>
  <si>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</si>
  <si>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</si>
  <si>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</si>
  <si>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</si>
  <si>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</si>
  <si>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</si>
  <si>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</si>
  <si>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</si>
  <si>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</si>
  <si>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</si>
  <si>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</si>
  <si>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</si>
  <si>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</si>
  <si>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</si>
  <si>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</si>
  <si>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</si>
  <si>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</si>
  <si>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</si>
  <si>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</si>
  <si>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</si>
  <si>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</si>
  <si>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</si>
  <si>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</si>
  <si>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</si>
  <si>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</si>
  <si>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</si>
  <si>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</si>
  <si>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</si>
  <si>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</si>
  <si>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</si>
  <si>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</si>
  <si>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</si>
  <si>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</si>
  <si>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</si>
  <si>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</si>
  <si>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</si>
  <si>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</si>
  <si>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</si>
  <si>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</si>
  <si>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</si>
  <si>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</si>
  <si>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</si>
  <si>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</si>
  <si>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</si>
  <si>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</si>
  <si>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</si>
  <si>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</si>
  <si>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</si>
  <si>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</si>
  <si>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</si>
  <si>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</si>
  <si>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</si>
  <si>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</si>
  <si>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</si>
  <si>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</si>
  <si>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</si>
  <si>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</si>
  <si>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</si>
  <si>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</si>
  <si>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</si>
  <si>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</si>
  <si>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</si>
  <si>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</si>
  <si>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</si>
  <si>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</si>
  <si>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</si>
  <si>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</si>
  <si>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</si>
  <si>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</si>
  <si>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</si>
  <si>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</si>
  <si>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</si>
  <si>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</si>
  <si>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</si>
  <si>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</si>
  <si>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</si>
  <si>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</si>
  <si>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</si>
  <si>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</si>
  <si>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</si>
  <si>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</si>
  <si>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</si>
  <si>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</si>
  <si>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</si>
  <si>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</si>
  <si>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</si>
  <si>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</si>
  <si>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</si>
  <si>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</si>
  <si>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</si>
  <si>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</si>
  <si>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</si>
  <si>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</si>
  <si>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</si>
  <si>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</si>
  <si>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</si>
  <si>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</si>
  <si>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</si>
  <si>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</si>
  <si>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</si>
  <si>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</si>
  <si>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</si>
  <si>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</si>
  <si>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</si>
  <si>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</si>
  <si>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</si>
  <si>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</si>
  <si>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</si>
  <si>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</si>
  <si>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</si>
  <si>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</si>
  <si>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</si>
  <si>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</si>
  <si>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</si>
  <si>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</si>
  <si>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</si>
  <si>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</si>
  <si>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</si>
  <si>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</si>
  <si>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</si>
  <si>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</si>
  <si>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</si>
  <si>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</si>
  <si>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</si>
  <si>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</si>
  <si>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</si>
  <si>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</si>
  <si>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</si>
  <si>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</si>
  <si>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</si>
  <si>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</si>
  <si>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</si>
  <si>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</si>
  <si>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</si>
  <si>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</si>
  <si>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</si>
  <si>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</si>
  <si>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</si>
  <si>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</si>
  <si>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</si>
  <si>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</si>
  <si>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</si>
  <si>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</si>
  <si>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</si>
  <si>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</si>
  <si>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</si>
  <si>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</si>
  <si>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</si>
  <si>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</si>
  <si>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</si>
  <si>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</si>
  <si>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</si>
  <si>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</si>
  <si>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</si>
  <si>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</si>
  <si>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</si>
  <si>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</si>
  <si>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</si>
  <si>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</si>
  <si>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</si>
  <si>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</si>
  <si>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</si>
  <si>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</si>
  <si>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</si>
  <si>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</si>
  <si>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</si>
  <si>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</si>
  <si>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</si>
  <si>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</si>
  <si>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</si>
  <si>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</si>
  <si>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</si>
  <si>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</si>
  <si>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</si>
  <si>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</si>
  <si>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</si>
  <si>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</si>
  <si>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</si>
  <si>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</si>
  <si>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</si>
  <si>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</si>
  <si>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</si>
  <si>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</si>
  <si>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</si>
  <si>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</si>
  <si>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</si>
  <si>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</si>
  <si>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</si>
  <si>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</si>
  <si>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</si>
  <si>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</si>
  <si>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</si>
  <si>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</si>
  <si>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</si>
  <si>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</si>
  <si>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</si>
  <si>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</si>
  <si>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</si>
  <si>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</si>
  <si>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</si>
  <si>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</si>
  <si>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</si>
  <si>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</si>
  <si>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</si>
  <si>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</si>
  <si>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</si>
  <si>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</si>
  <si>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</si>
  <si>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</si>
  <si>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</si>
  <si>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</si>
  <si>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</si>
  <si>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</si>
  <si>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</si>
  <si>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</si>
  <si>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</si>
  <si>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</si>
  <si>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</si>
  <si>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</si>
  <si>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</si>
  <si>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</si>
  <si>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</si>
  <si>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</si>
  <si>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</si>
  <si>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</si>
  <si>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</si>
  <si>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</si>
  <si>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</si>
  <si>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</si>
  <si>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</si>
  <si>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</si>
  <si>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</si>
  <si>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</si>
  <si>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</si>
  <si>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</si>
  <si>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</si>
  <si>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</si>
  <si>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</si>
  <si>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</si>
  <si>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</si>
  <si>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</si>
  <si>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</si>
  <si>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</si>
  <si>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</si>
  <si>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</si>
  <si>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</si>
  <si>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</si>
  <si>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</si>
  <si>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</si>
  <si>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</si>
  <si>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</si>
  <si>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</si>
  <si>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</si>
  <si>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</si>
  <si>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</si>
  <si>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</si>
  <si>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</si>
  <si>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</si>
  <si>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</si>
  <si>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</si>
  <si>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</si>
  <si>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</si>
  <si>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</si>
  <si>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</si>
  <si>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</si>
  <si>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</si>
  <si>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</si>
  <si>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</si>
  <si>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</si>
  <si>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</si>
  <si>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</si>
  <si>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</si>
  <si>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</si>
  <si>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</si>
  <si>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</si>
  <si>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</si>
  <si>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</si>
  <si>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</si>
  <si>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</si>
  <si>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</si>
  <si>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</si>
  <si>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</si>
  <si>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</si>
  <si>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</si>
  <si>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</si>
  <si>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</si>
  <si>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</si>
  <si>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</si>
  <si>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</si>
  <si>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</si>
  <si>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</si>
  <si>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</si>
  <si>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</si>
  <si>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</si>
  <si>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</si>
  <si>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</si>
  <si>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</si>
  <si>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</si>
  <si>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</si>
  <si>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</si>
  <si>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</si>
  <si>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</si>
  <si>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</si>
  <si>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</si>
  <si>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</si>
  <si>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</si>
  <si>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</si>
  <si>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</si>
  <si>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</si>
  <si>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</si>
  <si>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</si>
  <si>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</si>
  <si>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</si>
  <si>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</si>
  <si>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</si>
  <si>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</si>
  <si>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</si>
  <si>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</si>
  <si>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</si>
  <si>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</si>
  <si>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</si>
  <si>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</si>
  <si>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</si>
  <si>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</si>
  <si>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</si>
  <si>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</si>
  <si>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</si>
  <si>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</si>
  <si>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</si>
  <si>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</si>
  <si>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</si>
  <si>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</si>
  <si>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</si>
  <si>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</si>
  <si>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</si>
  <si>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</si>
  <si>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</si>
  <si>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</si>
  <si>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</si>
  <si>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</si>
  <si>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</si>
  <si>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</si>
  <si>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</si>
  <si>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</si>
  <si>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</si>
  <si>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</si>
  <si>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</si>
  <si>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</si>
  <si>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</si>
  <si>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</si>
  <si>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</si>
  <si>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</si>
  <si>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</si>
  <si>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</si>
  <si>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</si>
  <si>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</si>
  <si>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</si>
  <si>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</si>
  <si>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</si>
  <si>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</si>
  <si>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</si>
  <si>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</si>
  <si>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</si>
  <si>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</si>
  <si>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</si>
  <si>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</si>
  <si>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</si>
  <si>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</si>
  <si>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</si>
  <si>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</si>
  <si>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</si>
  <si>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</si>
  <si>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</si>
  <si>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</si>
  <si>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</si>
  <si>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</si>
  <si>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</si>
  <si>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</si>
  <si>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</si>
  <si>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</si>
  <si>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</si>
  <si>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</si>
  <si>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</si>
  <si>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</si>
  <si>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</si>
  <si>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</si>
  <si>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</si>
  <si>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</si>
  <si>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</si>
  <si>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</si>
  <si>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</si>
  <si>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</si>
  <si>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</si>
  <si>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</si>
  <si>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</si>
  <si>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</si>
  <si>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</si>
  <si>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</si>
  <si>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</si>
  <si>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</si>
  <si>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</si>
  <si>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</si>
  <si>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</si>
  <si>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</si>
  <si>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</si>
  <si>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</si>
  <si>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</si>
  <si>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</si>
  <si>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</si>
  <si>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</si>
  <si>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</si>
  <si>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</si>
  <si>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</si>
  <si>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</si>
  <si>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</si>
  <si>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</si>
  <si>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</si>
  <si>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</si>
  <si>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</si>
  <si>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</si>
  <si>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</si>
  <si>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</si>
  <si>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</si>
  <si>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</si>
  <si>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</si>
  <si>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</si>
  <si>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</si>
  <si>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</si>
  <si>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</si>
  <si>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</si>
  <si>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</si>
  <si>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</si>
  <si>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</si>
  <si>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</si>
  <si>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</si>
  <si>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</si>
  <si>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</si>
  <si>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</si>
  <si>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</si>
  <si>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</si>
  <si>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</si>
  <si>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</si>
  <si>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</si>
  <si>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</si>
  <si>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</si>
  <si>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</si>
  <si>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</si>
  <si>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</si>
  <si>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</si>
  <si>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</si>
  <si>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</si>
  <si>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</si>
  <si>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</si>
  <si>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</si>
  <si>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</si>
  <si>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</si>
  <si>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</si>
  <si>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</si>
  <si>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</si>
  <si>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</si>
  <si>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</si>
  <si>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</si>
  <si>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</si>
  <si>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</si>
  <si>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</si>
  <si>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</si>
  <si>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</si>
  <si>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</si>
  <si>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</si>
  <si>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</si>
  <si>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</si>
  <si>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</si>
  <si>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</si>
  <si>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</si>
  <si>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</si>
  <si>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</si>
  <si>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</si>
  <si>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</si>
  <si>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</si>
  <si>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</si>
  <si>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</si>
  <si>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</si>
  <si>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</si>
  <si>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</si>
  <si>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</si>
  <si>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</si>
  <si>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</si>
  <si>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</si>
  <si>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</si>
  <si>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</si>
  <si>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</si>
  <si>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</si>
  <si>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</si>
  <si>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</si>
  <si>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</si>
  <si>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</si>
  <si>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</si>
  <si>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</si>
  <si>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</si>
  <si>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</si>
  <si>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</si>
  <si>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</si>
  <si>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</si>
  <si>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</si>
  <si>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</si>
  <si>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</si>
  <si>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</si>
  <si>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</si>
  <si>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</si>
  <si>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</si>
  <si>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</si>
  <si>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</si>
  <si>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</si>
  <si>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</si>
  <si>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</si>
  <si>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</si>
  <si>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</si>
  <si>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</si>
  <si>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</si>
  <si>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</si>
  <si>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</si>
  <si>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</si>
  <si>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</si>
  <si>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</si>
  <si>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</si>
  <si>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</si>
  <si>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</si>
  <si>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</si>
  <si>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</si>
  <si>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</si>
  <si>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</si>
  <si>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</si>
  <si>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</si>
  <si>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</si>
  <si>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</si>
  <si>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</si>
  <si>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</si>
  <si>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</si>
  <si>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</si>
  <si>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</si>
  <si>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</si>
  <si>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</si>
  <si>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</si>
  <si>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</si>
  <si>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</si>
  <si>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</si>
  <si>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</si>
  <si>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</si>
  <si>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</si>
  <si>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</si>
  <si>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</si>
  <si>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</si>
  <si>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</si>
  <si>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</si>
  <si>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</si>
  <si>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</si>
  <si>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</si>
  <si>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</si>
  <si>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</si>
  <si>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</si>
  <si>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</si>
  <si>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</si>
  <si>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</si>
  <si>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</si>
  <si>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</si>
  <si>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</si>
  <si>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</si>
  <si>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</si>
  <si>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</si>
  <si>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</si>
  <si>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</si>
  <si>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</si>
  <si>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</si>
  <si>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</si>
  <si>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</si>
  <si>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</si>
  <si>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</si>
  <si>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</si>
  <si>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</si>
  <si>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</si>
  <si>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</si>
  <si>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</si>
  <si>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</si>
  <si>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</si>
  <si>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</si>
  <si>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</si>
  <si>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</si>
  <si>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</si>
  <si>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</si>
  <si>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</si>
  <si>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</si>
  <si>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</si>
  <si>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</si>
  <si>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</si>
  <si>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</si>
  <si>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</si>
  <si>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</si>
  <si>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</si>
  <si>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</si>
  <si>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</si>
  <si>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</si>
  <si>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</si>
  <si>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</si>
  <si>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</si>
  <si>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</si>
  <si>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</si>
  <si>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</si>
  <si>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</si>
  <si>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</si>
  <si>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</si>
  <si>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</si>
  <si>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</si>
  <si>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</si>
  <si>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</si>
  <si>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</si>
  <si>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</si>
  <si>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</si>
  <si>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</si>
  <si>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</si>
  <si>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</si>
  <si>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</si>
  <si>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</si>
  <si>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</si>
  <si>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</si>
  <si>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</si>
  <si>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</si>
  <si>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</si>
  <si>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</si>
  <si>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</si>
  <si>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</si>
  <si>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</si>
  <si>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</si>
  <si>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</si>
  <si>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</si>
  <si>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</si>
  <si>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</si>
  <si>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</si>
  <si>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</si>
  <si>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</si>
  <si>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</si>
  <si>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</si>
  <si>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</si>
  <si>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</si>
  <si>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</si>
  <si>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</si>
  <si>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</si>
  <si>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</si>
  <si>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</si>
  <si>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</si>
  <si>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</si>
  <si>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</si>
  <si>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</si>
  <si>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</si>
  <si>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</si>
  <si>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</si>
  <si>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</si>
  <si>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</si>
  <si>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</si>
  <si>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</si>
  <si>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</si>
  <si>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</si>
  <si>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</si>
  <si>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</si>
  <si>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</si>
  <si>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</si>
  <si>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</si>
  <si>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</si>
  <si>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</si>
  <si>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</si>
  <si>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</si>
  <si>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</si>
  <si>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</si>
  <si>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</si>
  <si>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</si>
  <si>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</si>
  <si>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</si>
  <si>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</si>
  <si>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</si>
  <si>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</si>
  <si>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</si>
  <si>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</si>
  <si>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</si>
  <si>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</si>
  <si>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</si>
  <si>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</si>
  <si>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</si>
  <si>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</si>
  <si>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</si>
  <si>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</si>
  <si>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</si>
  <si>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</si>
  <si>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</si>
  <si>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</si>
  <si>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</si>
  <si>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</si>
  <si>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</si>
  <si>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</si>
  <si>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</si>
  <si>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</si>
  <si>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</si>
  <si>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</si>
  <si>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</si>
  <si>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</si>
  <si>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</si>
  <si>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</si>
  <si>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</si>
  <si>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</si>
  <si>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</si>
  <si>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</si>
  <si>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</si>
  <si>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</si>
  <si>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</si>
  <si>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</si>
  <si>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</si>
  <si>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</si>
  <si>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</si>
  <si>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</si>
  <si>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</si>
  <si>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</si>
  <si>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</si>
  <si>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</si>
  <si>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</si>
  <si>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</si>
  <si>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</si>
  <si>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</si>
  <si>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</si>
  <si>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</si>
  <si>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</si>
  <si>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</si>
  <si>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</si>
  <si>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</si>
  <si>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</si>
  <si>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</si>
  <si>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</si>
  <si>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</si>
  <si>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</si>
  <si>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</si>
  <si>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</si>
  <si>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</si>
  <si>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</si>
  <si>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</si>
  <si>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</si>
  <si>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</si>
  <si>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</si>
  <si>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</si>
  <si>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</si>
  <si>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</si>
  <si>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</si>
  <si>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</si>
  <si>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</si>
  <si>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</si>
  <si>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</si>
  <si>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</si>
  <si>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</si>
  <si>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</si>
  <si>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</si>
  <si>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</si>
  <si>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</si>
  <si>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</si>
  <si>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</si>
  <si>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</si>
  <si>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</si>
  <si>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</si>
  <si>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</si>
  <si>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</si>
  <si>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</si>
  <si>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</si>
  <si>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</si>
  <si>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</si>
  <si>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</si>
  <si>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</si>
  <si>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</si>
  <si>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</si>
  <si>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</si>
  <si>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</si>
  <si>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</si>
  <si>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</si>
  <si>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</si>
  <si>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</si>
  <si>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</si>
  <si>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</si>
  <si>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</si>
  <si>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</si>
  <si>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</si>
  <si>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</si>
  <si>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</si>
  <si>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</si>
  <si>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</si>
  <si>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</si>
  <si>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</si>
  <si>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</si>
  <si>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</si>
  <si>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</si>
  <si>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</si>
  <si>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</si>
  <si>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</si>
  <si>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</si>
  <si>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</si>
  <si>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</si>
  <si>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</si>
  <si>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</si>
  <si>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</si>
  <si>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</si>
  <si>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</si>
  <si>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</si>
  <si>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</si>
  <si>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</si>
  <si>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</si>
  <si>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</si>
  <si>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</si>
  <si>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</si>
  <si>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</si>
  <si>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</si>
  <si>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</si>
  <si>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</si>
  <si>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</si>
  <si>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</si>
  <si>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</si>
  <si>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</si>
  <si>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</si>
  <si>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</si>
  <si>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</si>
  <si>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</si>
  <si>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</si>
  <si>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</si>
  <si>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</si>
  <si>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</si>
  <si>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</si>
  <si>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</si>
  <si>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</si>
  <si>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</si>
  <si>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</si>
  <si>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</si>
  <si>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</si>
  <si>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</si>
  <si>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</si>
  <si>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</si>
  <si>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</si>
  <si>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</si>
  <si>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</si>
  <si>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</si>
  <si>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</si>
  <si>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</si>
  <si>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</si>
  <si>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</si>
  <si>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</si>
  <si>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</si>
  <si>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</si>
  <si>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</si>
  <si>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</si>
  <si>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</si>
  <si>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</si>
  <si>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</si>
  <si>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</si>
  <si>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</si>
  <si>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</si>
  <si>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</si>
  <si>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</si>
  <si>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</si>
  <si>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</si>
  <si>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</si>
  <si>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</si>
  <si>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</si>
  <si>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</si>
  <si>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</si>
  <si>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</si>
  <si>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</si>
  <si>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</si>
  <si>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</si>
  <si>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</si>
  <si>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</si>
  <si>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</si>
  <si>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</si>
  <si>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</si>
  <si>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</si>
  <si>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</si>
  <si>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</si>
  <si>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</si>
  <si>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</si>
  <si>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</si>
  <si>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</si>
  <si>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</si>
  <si>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</si>
  <si>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</si>
  <si>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</si>
  <si>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</si>
  <si>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</si>
  <si>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</si>
  <si>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</si>
  <si>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</si>
  <si>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</si>
  <si>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</si>
  <si>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</si>
  <si>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</si>
  <si>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</si>
  <si>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</si>
  <si>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</si>
  <si>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</si>
  <si>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</si>
  <si>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</si>
  <si>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</si>
  <si>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</si>
  <si>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</si>
  <si>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</si>
  <si>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</si>
  <si>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</si>
  <si>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</si>
  <si>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</si>
  <si>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</si>
  <si>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</si>
  <si>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</si>
  <si>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</si>
  <si>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</si>
  <si>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</si>
  <si>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</si>
  <si>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</si>
  <si>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</si>
  <si>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</si>
  <si>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</si>
  <si>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</si>
  <si>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</si>
  <si>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</si>
  <si>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</si>
  <si>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</si>
  <si>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</si>
  <si>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</si>
  <si>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</si>
  <si>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</si>
  <si>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</si>
  <si>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</si>
  <si>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</si>
  <si>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</si>
  <si>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</si>
  <si>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</si>
  <si>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</si>
  <si>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</si>
  <si>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</si>
  <si>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</si>
  <si>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</si>
  <si>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</si>
  <si>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</si>
  <si>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</si>
  <si>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</si>
  <si>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</si>
  <si>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</si>
  <si>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</si>
  <si>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</si>
  <si>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</si>
  <si>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</si>
  <si>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</si>
  <si>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</si>
  <si>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</si>
  <si>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</si>
  <si>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</si>
  <si>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</si>
  <si>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</si>
  <si>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</si>
  <si>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</si>
  <si>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</si>
  <si>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</si>
  <si>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</si>
  <si>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</si>
  <si>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</si>
  <si>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</si>
  <si>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</si>
  <si>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</si>
  <si>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</si>
  <si>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</si>
  <si>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</si>
  <si>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</si>
  <si>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</si>
  <si>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</si>
  <si>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</si>
  <si>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</si>
  <si>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</si>
  <si>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</si>
  <si>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</si>
  <si>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</si>
  <si>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</si>
  <si>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</si>
  <si>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</si>
  <si>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</si>
  <si>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</si>
  <si>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</si>
  <si>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</si>
  <si>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</si>
  <si>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</si>
  <si>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</si>
  <si>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</si>
  <si>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</si>
  <si>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</si>
  <si>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</si>
  <si>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</si>
  <si>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</si>
  <si>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</si>
  <si>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</si>
  <si>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</si>
  <si>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</si>
  <si>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</si>
  <si>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</si>
  <si>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</si>
  <si>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</si>
  <si>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</si>
  <si>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</si>
  <si>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</si>
  <si>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</si>
  <si>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</si>
  <si>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</si>
  <si>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</si>
  <si>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</si>
  <si>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</si>
  <si>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</si>
  <si>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</si>
  <si>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</si>
  <si>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Asian Paints Ltd is an Indian multinational paint company, headquartered in Mumbai. The company is engaged in the business of manufacturing, selling and distribution of paints, coatings, products related to home décor, bath fittings and providing related services.Asian Paints is India's largest paints company by market share.The company has 27 paint manufacturing facilities in 15 countries, servicing consumers in over 60 countries. Asian Paints is also present in the home improvement and décor space in India.</t>
  </si>
  <si>
    <t>Rreturn on Equity (ROE)</t>
  </si>
  <si>
    <t>Average Shareholder Equity</t>
  </si>
  <si>
    <t>((current year EQ capital + Reserve)+(last years EQ capital + Reserve)/2</t>
  </si>
  <si>
    <t>Return on Equity (ROE)</t>
  </si>
  <si>
    <t>ROE = AVE - net profit</t>
  </si>
  <si>
    <t>average shareholder equity = take data from balance sheet</t>
  </si>
  <si>
    <t>ROE - Dupont Equation</t>
  </si>
  <si>
    <t>Revenue</t>
  </si>
  <si>
    <t>NPM = net profit / revenue</t>
  </si>
  <si>
    <t>Average Totoal Asset</t>
  </si>
  <si>
    <t>average total asset = (current years total asset + last years)/2</t>
  </si>
  <si>
    <t>Asset Turnover Ratio (B)</t>
  </si>
  <si>
    <t>whatever percentage will get convert into numver and then but "x"end that numbers</t>
  </si>
  <si>
    <t>Net Profit Margin (A)</t>
  </si>
  <si>
    <t>Equity Multiplier (C)</t>
  </si>
  <si>
    <t>Rreturn on Asset (ROA)</t>
  </si>
  <si>
    <t>ROA -  Dupont Equation</t>
  </si>
  <si>
    <t>Return on Asset (A*B)</t>
  </si>
  <si>
    <t>Return on Equity (A*B*C)</t>
  </si>
  <si>
    <t>Financial Summary</t>
  </si>
  <si>
    <t>Return on Asset (ROA)</t>
  </si>
  <si>
    <t>Altman's Z Score Analysis</t>
  </si>
  <si>
    <t>Working Capital/ Total Assets</t>
  </si>
  <si>
    <t>Working Capital</t>
  </si>
  <si>
    <t>working capital</t>
  </si>
  <si>
    <t>total assets - total liablities</t>
  </si>
  <si>
    <t>Retained Earnings/ Total Assets</t>
  </si>
  <si>
    <t>Retained Earnings</t>
  </si>
  <si>
    <t>Retained Earning = no of shares*EPS*Retained earnings</t>
  </si>
  <si>
    <t>EBIT/ Total Assets</t>
  </si>
  <si>
    <t>Market Cap/ Long term Liabilities</t>
  </si>
  <si>
    <t>Market Cap</t>
  </si>
  <si>
    <t>Market Cap =(no of Equity share * Price)/10000000</t>
  </si>
  <si>
    <t>Long Term Liabilities</t>
  </si>
  <si>
    <t>Total Sales</t>
  </si>
  <si>
    <t>Sales/ Total Assets</t>
  </si>
  <si>
    <t>Market Cap/ Long term Liabilities (D)</t>
  </si>
  <si>
    <t>Sales/ Total Assets (E)</t>
  </si>
  <si>
    <t>Altman Z Score</t>
  </si>
  <si>
    <t>Final Score</t>
  </si>
  <si>
    <t>Financial sability</t>
  </si>
  <si>
    <t>Beta Regression</t>
  </si>
  <si>
    <t>NIFTY 50 - Weekly Returns</t>
  </si>
  <si>
    <t>Returns</t>
  </si>
  <si>
    <t xml:space="preserve"> Returns</t>
  </si>
  <si>
    <t>EBT Growth</t>
  </si>
  <si>
    <t>Inventor Days</t>
  </si>
  <si>
    <t>Weighted Average Cost of Capital</t>
  </si>
  <si>
    <t>4Years Avarage</t>
  </si>
  <si>
    <t>4Years Median</t>
  </si>
  <si>
    <t>Intrest</t>
  </si>
  <si>
    <t>EBIT margin</t>
  </si>
  <si>
    <t>Average Total Assets</t>
  </si>
  <si>
    <t>Average Equity</t>
  </si>
  <si>
    <t>Return On Equity (ROE)</t>
  </si>
  <si>
    <t>Return On Captial Employed (ROCE)</t>
  </si>
  <si>
    <t>Return On Assets (ROA)</t>
  </si>
  <si>
    <t>Capital Employed</t>
  </si>
  <si>
    <t>Ave CE</t>
  </si>
  <si>
    <t xml:space="preserve">Debt to Asset </t>
  </si>
  <si>
    <t>Financial Leverage Ratio</t>
  </si>
  <si>
    <t>Debt to Equity Ratio</t>
  </si>
  <si>
    <t>Receivables Turnover Ratio</t>
  </si>
  <si>
    <t>Ave Receivable</t>
  </si>
  <si>
    <t>Profitability Ratio</t>
  </si>
  <si>
    <t>Leverage Ratio</t>
  </si>
  <si>
    <t>Efficiency Ratio</t>
  </si>
  <si>
    <t>Growth Ratio</t>
  </si>
  <si>
    <t>Return on market</t>
  </si>
  <si>
    <t>Total market Return</t>
  </si>
  <si>
    <t>Trent</t>
  </si>
  <si>
    <t>Vedant Fashions</t>
  </si>
  <si>
    <t>V2 Retail</t>
  </si>
  <si>
    <t xml:space="preserve">Income Statement </t>
  </si>
  <si>
    <t>02/13/2026</t>
  </si>
  <si>
    <t>01/30/2026</t>
  </si>
  <si>
    <t>01/23/2026</t>
  </si>
  <si>
    <t>01/16/2026</t>
  </si>
  <si>
    <t>12/26/2025</t>
  </si>
  <si>
    <t>12/19/2025</t>
  </si>
  <si>
    <t>11/28/2025</t>
  </si>
  <si>
    <t>11/21/2025</t>
  </si>
  <si>
    <t>11/14/2025</t>
  </si>
  <si>
    <t>10/31/2025</t>
  </si>
  <si>
    <t>10/24/2025</t>
  </si>
  <si>
    <t>10/17/2025</t>
  </si>
  <si>
    <t>09/26/2025</t>
  </si>
  <si>
    <t>09/19/2025</t>
  </si>
  <si>
    <t>08/29/2025</t>
  </si>
  <si>
    <t>08/22/2025</t>
  </si>
  <si>
    <t>Avenue Super.</t>
  </si>
  <si>
    <t>Page Industries</t>
  </si>
  <si>
    <t>Company Overview</t>
  </si>
  <si>
    <t>Key Assumptions &amp; Methodology</t>
  </si>
  <si>
    <t>Parameter</t>
  </si>
  <si>
    <t>Value</t>
  </si>
  <si>
    <t>Rationale</t>
  </si>
  <si>
    <t>Valuation Date</t>
  </si>
  <si>
    <t>Revenue Growth%</t>
  </si>
  <si>
    <t>Terminal Growth Rate</t>
  </si>
  <si>
    <t>Conservative long term growth considering India's GDP and retail sector potential</t>
  </si>
  <si>
    <t>Risk-Free Rate (Rf)</t>
  </si>
  <si>
    <t>10-years Government Bond Yield</t>
  </si>
  <si>
    <t>Equity Risk Premium (ERP)</t>
  </si>
  <si>
    <t>Expected return over risk free rate for equity investors</t>
  </si>
  <si>
    <t>Effective tax rate based on historical data</t>
  </si>
  <si>
    <t>Revenue Projections &amp; Growth Assumptions</t>
  </si>
  <si>
    <t>Revenue (in Cr)</t>
  </si>
  <si>
    <t>Revenue Growth %</t>
  </si>
  <si>
    <t>Chosen</t>
  </si>
  <si>
    <t>Base Case</t>
  </si>
  <si>
    <t>Best Case</t>
  </si>
  <si>
    <t>Worst Case</t>
  </si>
  <si>
    <t>EBITDA Margin %</t>
  </si>
  <si>
    <t xml:space="preserve">EBITDA </t>
  </si>
  <si>
    <t>Less: Deperciation</t>
  </si>
  <si>
    <t>Intrest%Sales</t>
  </si>
  <si>
    <t>NOPAT</t>
  </si>
  <si>
    <t>Add: Deperication</t>
  </si>
  <si>
    <t>Less Reinvestment</t>
  </si>
  <si>
    <t xml:space="preserve">Free Cash Flow of From </t>
  </si>
  <si>
    <t>Other Borrowings</t>
  </si>
  <si>
    <t>Computers</t>
  </si>
  <si>
    <t>Trade receivables</t>
  </si>
  <si>
    <t>Particular</t>
  </si>
  <si>
    <t>Interest paid</t>
  </si>
  <si>
    <t>Share application money</t>
  </si>
  <si>
    <t>Application money refund</t>
  </si>
  <si>
    <r>
      <t>1.28%</t>
    </r>
    <r>
      <rPr>
        <vertAlign val="superscript"/>
        <sz val="11"/>
        <color theme="1"/>
        <rFont val="Calibri"/>
        <family val="2"/>
        <scheme val="minor"/>
      </rPr>
      <t>1</t>
    </r>
  </si>
  <si>
    <t>Calulation of Present Value</t>
  </si>
  <si>
    <t>Enterprice Value</t>
  </si>
  <si>
    <t>Add: Cash &amp; Investment</t>
  </si>
  <si>
    <t>Terminal Growth / WACC</t>
  </si>
  <si>
    <t>Sensitivity Analysis</t>
  </si>
  <si>
    <t>Key Risks &amp; Considerations</t>
  </si>
  <si>
    <t>Upside Risks:</t>
  </si>
  <si>
    <t>Downside Risks:</t>
  </si>
  <si>
    <r>
      <t>Competition:</t>
    </r>
    <r>
      <rPr>
        <sz val="12"/>
        <color rgb="FF000000"/>
        <rFont val="Arial Nova"/>
        <family val="2"/>
      </rPr>
      <t> Intensifying competition from global fast fashion brands and e-commerce</t>
    </r>
  </si>
  <si>
    <r>
      <t>Execution Risk:</t>
    </r>
    <r>
      <rPr>
        <sz val="12"/>
        <color rgb="FF000000"/>
        <rFont val="Arial Nova"/>
        <family val="2"/>
      </rPr>
      <t> Challenges in maintaining quality and brand positioning during rapid expansion</t>
    </r>
  </si>
  <si>
    <r>
      <t>Economic Slowdown:</t>
    </r>
    <r>
      <rPr>
        <sz val="12"/>
        <color rgb="FF000000"/>
        <rFont val="Arial Nova"/>
        <family val="2"/>
      </rPr>
      <t> Consumer discretionary spending could be impacted by economic headwinds</t>
    </r>
  </si>
  <si>
    <r>
      <t>Real Estate Costs:</t>
    </r>
    <r>
      <rPr>
        <sz val="12"/>
        <color rgb="FF000000"/>
        <rFont val="Arial Nova"/>
        <family val="2"/>
      </rPr>
      <t> Rising rental costs in prime locations could pressure margins</t>
    </r>
  </si>
  <si>
    <r>
      <t>Inventory Management:</t>
    </r>
    <r>
      <rPr>
        <sz val="12"/>
        <color rgb="FF000000"/>
        <rFont val="Arial Nova"/>
        <family val="2"/>
      </rPr>
      <t> Working capital requirements may increase with scale</t>
    </r>
  </si>
  <si>
    <t>Conclusion &amp; Recommendation</t>
  </si>
  <si>
    <t>Key findings:</t>
  </si>
  <si>
    <t>The company has demonstrated exceptional growth with revenue CAGR of ~60% over FY21-25.</t>
  </si>
  <si>
    <t>Healthy EBITDA margins with margins expanding from 4% to 16.5%.</t>
  </si>
  <si>
    <t>However, current valuation apprears stretched with PE of ~102x of trailing earnings.</t>
  </si>
  <si>
    <t>₹ in Crores</t>
  </si>
  <si>
    <r>
      <t>Levered Beta</t>
    </r>
    <r>
      <rPr>
        <vertAlign val="superscript"/>
        <sz val="12"/>
        <color theme="1"/>
        <rFont val="Arial"/>
        <family val="2"/>
      </rPr>
      <t>4</t>
    </r>
  </si>
  <si>
    <r>
      <t xml:space="preserve"> Tax Rate </t>
    </r>
    <r>
      <rPr>
        <b/>
        <vertAlign val="superscript"/>
        <sz val="13"/>
        <color theme="1"/>
        <rFont val="Arial"/>
        <family val="2"/>
      </rPr>
      <t>1</t>
    </r>
  </si>
  <si>
    <r>
      <t>Beta</t>
    </r>
    <r>
      <rPr>
        <b/>
        <vertAlign val="superscript"/>
        <sz val="13"/>
        <color theme="1"/>
        <rFont val="Arial"/>
        <family val="2"/>
      </rPr>
      <t>2</t>
    </r>
  </si>
  <si>
    <r>
      <t>Beta</t>
    </r>
    <r>
      <rPr>
        <b/>
        <vertAlign val="superscript"/>
        <sz val="13"/>
        <color theme="1"/>
        <rFont val="Arial"/>
        <family val="2"/>
      </rPr>
      <t>3</t>
    </r>
  </si>
  <si>
    <r>
      <t>Faster Store Expansion:</t>
    </r>
    <r>
      <rPr>
        <sz val="12"/>
        <color rgb="FF000000"/>
        <rFont val="Arial Nova"/>
        <family val="2"/>
      </rPr>
      <t> Company may exceed planned store additions, especially for Zudio format</t>
    </r>
  </si>
  <si>
    <r>
      <t>Market Share Gains:</t>
    </r>
    <r>
      <rPr>
        <sz val="12"/>
        <color rgb="FF000000"/>
        <rFont val="Arial Nova"/>
        <family val="2"/>
      </rPr>
      <t> Continued market share gains from unorganized retail</t>
    </r>
  </si>
  <si>
    <r>
      <t>Margin Expansion:</t>
    </r>
    <r>
      <rPr>
        <sz val="12"/>
        <color rgb="FF000000"/>
        <rFont val="Arial Nova"/>
        <family val="2"/>
      </rPr>
      <t> Higher private label penetration could drive margins beyond projections</t>
    </r>
  </si>
  <si>
    <r>
      <t>Digital Growth:</t>
    </r>
    <r>
      <rPr>
        <sz val="12"/>
        <color rgb="FF000000"/>
        <rFont val="Arial Nova"/>
        <family val="2"/>
      </rPr>
      <t> Omnichannel integration could accelerate revenue growth</t>
    </r>
  </si>
  <si>
    <t>Net Profit</t>
  </si>
  <si>
    <t>DMART</t>
  </si>
  <si>
    <t>Trent Comparble Valuation</t>
  </si>
  <si>
    <t>Implied Equity Value</t>
  </si>
  <si>
    <t>01/29/2026</t>
  </si>
  <si>
    <t>01/28/2026</t>
  </si>
  <si>
    <t>01/27/2026</t>
  </si>
  <si>
    <t>01/22/2026</t>
  </si>
  <si>
    <t>01/21/2026</t>
  </si>
  <si>
    <t>01/20/2026</t>
  </si>
  <si>
    <t>01/19/2026</t>
  </si>
  <si>
    <t>01/14/2026</t>
  </si>
  <si>
    <t>08/21/2025</t>
  </si>
  <si>
    <t>08/25/2025</t>
  </si>
  <si>
    <t>08/26/2025</t>
  </si>
  <si>
    <t>08/28/2025</t>
  </si>
  <si>
    <t>09/15/2025</t>
  </si>
  <si>
    <t>09/16/2025</t>
  </si>
  <si>
    <t>09/17/2025</t>
  </si>
  <si>
    <t>09/18/2025</t>
  </si>
  <si>
    <t>09/22/2025</t>
  </si>
  <si>
    <t>09/23/2025</t>
  </si>
  <si>
    <t>09/24/2025</t>
  </si>
  <si>
    <t>09/25/2025</t>
  </si>
  <si>
    <t>09/29/2025</t>
  </si>
  <si>
    <t>09/30/2025</t>
  </si>
  <si>
    <t>10/13/2025</t>
  </si>
  <si>
    <t>10/14/2025</t>
  </si>
  <si>
    <t>10/15/2025</t>
  </si>
  <si>
    <t>10/16/2025</t>
  </si>
  <si>
    <t>10/20/2025</t>
  </si>
  <si>
    <t>10/21/2025</t>
  </si>
  <si>
    <t>10/23/2025</t>
  </si>
  <si>
    <t>10/27/2025</t>
  </si>
  <si>
    <t>10/28/2025</t>
  </si>
  <si>
    <t>10/29/2025</t>
  </si>
  <si>
    <t>10/30/2025</t>
  </si>
  <si>
    <t>11/13/2025</t>
  </si>
  <si>
    <t>11/17/2025</t>
  </si>
  <si>
    <t>11/18/2025</t>
  </si>
  <si>
    <t>11/19/2025</t>
  </si>
  <si>
    <t>11/20/2025</t>
  </si>
  <si>
    <t>11/24/2025</t>
  </si>
  <si>
    <t>11/25/2025</t>
  </si>
  <si>
    <t>11/26/2025</t>
  </si>
  <si>
    <t>11/27/2025</t>
  </si>
  <si>
    <t>12/15/2025</t>
  </si>
  <si>
    <t>12/16/2025</t>
  </si>
  <si>
    <t>12/17/2025</t>
  </si>
  <si>
    <t>12/18/2025</t>
  </si>
  <si>
    <t>12/22/2025</t>
  </si>
  <si>
    <t>12/23/2025</t>
  </si>
  <si>
    <t>12/24/2025</t>
  </si>
  <si>
    <t>12/29/2025</t>
  </si>
  <si>
    <t>12/30/2025</t>
  </si>
  <si>
    <t>12/31/2025</t>
  </si>
  <si>
    <t>01/13/2026</t>
  </si>
  <si>
    <r>
      <t xml:space="preserve">Note : </t>
    </r>
    <r>
      <rPr>
        <i/>
        <sz val="12"/>
        <color theme="0" tint="-0.249977111117893"/>
        <rFont val="Arial"/>
        <family val="2"/>
      </rPr>
      <t>VAR is calculated using 2 years Daily Returns</t>
    </r>
  </si>
  <si>
    <t>Calcualtion of Value at Risk - Trent (Historical)</t>
  </si>
  <si>
    <t>Calcualtion of Value at Risk - Trent(Simulation)</t>
  </si>
  <si>
    <t>Trent Ltd is engaged in retailing of apparels, footwear, accessories, toys, games, food, grocery &amp; non food products through various of its retail formats/ concepts</t>
  </si>
  <si>
    <r>
      <rPr>
        <b/>
        <sz val="11"/>
        <color theme="1"/>
        <rFont val="Arial"/>
        <family val="2"/>
      </rPr>
      <t xml:space="preserve">B) </t>
    </r>
    <r>
      <rPr>
        <sz val="11"/>
        <color theme="1"/>
        <rFont val="Arial"/>
        <family val="2"/>
      </rPr>
      <t>Asset turnover ratio = revenue/ATA</t>
    </r>
  </si>
  <si>
    <t xml:space="preserve">   52 Week (High - INR 6,261 &amp; Low - 3,645)</t>
  </si>
  <si>
    <t>Working Capital / Total Assets (A)</t>
  </si>
  <si>
    <t>Retained Earning / Total Assets (B)</t>
  </si>
  <si>
    <t>EBIT / Total Assets (C)</t>
  </si>
  <si>
    <t>( TRENT | BSE Code: 500251)</t>
  </si>
  <si>
    <t>Diffrence</t>
  </si>
  <si>
    <t>PV of FCFF (Fy 26-30)</t>
  </si>
  <si>
    <t>FCFF (FY30)</t>
  </si>
  <si>
    <t>Upside/Downside</t>
  </si>
  <si>
    <t xml:space="preserve">Trent Weekly Returns </t>
  </si>
  <si>
    <t>Based on Management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</si>
</sst>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1">
    <numFmt numFmtId="7" formatCode="&quot;₹&quot;\ #,##0.00;&quot;₹&quot;\ \-#,##0.00"/>
    <numFmt numFmtId="43" formatCode="_ * #,##0.00_ ;_ * \-#,##0.00_ ;_ * &quot;-&quot;??_ ;_ @_ "/>
    <numFmt numFmtId="164" formatCode="_(* #,##0.00_);_(* \(#,##0.00\);_(* &quot;-&quot;??_);_(@_)"/>
    <numFmt numFmtId="165" formatCode="[$-409]mmm\-yy;@"/>
    <numFmt numFmtId="166" formatCode="&quot;₹&quot;\ #,##0.00;&quot;₹&quot;\ \-#,##0.00;\-"/>
    <numFmt numFmtId="167" formatCode="&quot;₹&quot;\ #,##0.00;\(&quot;₹&quot;\ \-#,##0.00\);\-"/>
    <numFmt numFmtId="168" formatCode="&quot;₹&quot;\ #,##0.00;\(&quot;₹&quot;\ #,##0.00\);\-"/>
    <numFmt numFmtId="169" formatCode="0.00&quot;x&quot;"/>
    <numFmt numFmtId="170" formatCode="#,##0.0"/>
    <numFmt numFmtId="171" formatCode="0&quot;A&quot;"/>
    <numFmt numFmtId="172" formatCode="0&quot;E&quot;"/>
    <numFmt numFmtId="173" formatCode="0.0"/>
    <numFmt numFmtId="174" formatCode="dd\/mm\/yyyy"/>
    <numFmt numFmtId="175" formatCode="#,##0.00;\(#,##0.00\);\-"/>
    <numFmt numFmtId="176" formatCode="mmm/yy&quot;A&quot;"/>
    <numFmt numFmtId="177" formatCode="mmm/yy&quot;F&quot;"/>
    <numFmt numFmtId="178" formatCode="0.000"/>
    <numFmt numFmtId="179" formatCode="0.0&quot;x&quot;"/>
    <numFmt numFmtId="180" formatCode="0.0%"/>
    <numFmt numFmtId="181" formatCode="#,##0.00;\(#,##0.00\)"/>
    <numFmt numFmtId="182" formatCode="&quot;₹&quot;\ #,##0.00;\(&quot;₹&quot;\ #,##0.00\)"/>
    <numFmt numFmtId="183" formatCode="&quot;₹&quot;\ #,##0;\(&quot;₹&quot;\ #,##0\);\-"/>
    <numFmt numFmtId="184" formatCode="mmm/yy&quot;E&quot;"/>
    <numFmt numFmtId="185" formatCode=";;;"/>
    <numFmt numFmtId="186" formatCode="#,##0;\ \-#,##0"/>
    <numFmt numFmtId="187" formatCode="\(0.00&quot;x premium&quot;\)"/>
    <numFmt numFmtId="188" formatCode="0.0000000"/>
    <numFmt numFmtId="189" formatCode="#,##0.0;\(#,##0.0\)"/>
    <numFmt numFmtId="190" formatCode="0.00%;\(0.00%\)"/>
    <numFmt numFmtId="191" formatCode="0.00&quot;x&quot;;\(0.00&quot;x&quot;\)"/>
    <numFmt numFmtId="192" formatCode="&quot;&quot;"/>
  </numFmts>
  <fonts count="93">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u/>
      <sz val="11"/>
      <color theme="1"/>
      <name val="Calibri"/>
      <family val="2"/>
    </font>
    <font>
      <sz val="11"/>
      <color rgb="FF22222F"/>
      <name val="Arial"/>
      <family val="2"/>
    </font>
    <font>
      <sz val="11"/>
      <color rgb="FF22222F"/>
      <name val="Arial"/>
      <family val="2"/>
    </font>
    <font>
      <sz val="11"/>
      <color rgb="FF606F7B"/>
      <name val="Arial"/>
      <family val="2"/>
    </font>
    <font>
      <i/>
      <sz val="11"/>
      <color theme="1"/>
      <name val="Calibri"/>
      <family val="2"/>
      <scheme val="minor"/>
    </font>
    <font>
      <vertAlign val="superscript"/>
      <sz val="11"/>
      <color theme="1"/>
      <name val="Calibri"/>
      <family val="2"/>
      <scheme val="minor"/>
    </font>
    <font>
      <b/>
      <sz val="11"/>
      <color theme="0"/>
      <name val="Calibri"/>
      <family val="2"/>
    </font>
    <font>
      <b/>
      <sz val="11"/>
      <color rgb="FF22222F"/>
      <name val="Arial"/>
      <family val="2"/>
    </font>
    <font>
      <sz val="11"/>
      <color rgb="FF7030A0"/>
      <name val="Calibri"/>
      <family val="2"/>
      <scheme val="minor"/>
    </font>
    <font>
      <sz val="9"/>
      <color rgb="FF4A4A4A"/>
      <name val="Arial"/>
      <family val="2"/>
    </font>
    <font>
      <b/>
      <sz val="14"/>
      <color theme="1"/>
      <name val="Calibri"/>
      <family val="2"/>
      <scheme val="minor"/>
    </font>
    <font>
      <b/>
      <sz val="22"/>
      <color theme="1"/>
      <name val="Calibri"/>
      <family val="2"/>
      <scheme val="minor"/>
    </font>
    <font>
      <b/>
      <sz val="11"/>
      <color theme="1"/>
      <name val="Arial"/>
      <family val="2"/>
    </font>
    <font>
      <b/>
      <sz val="11"/>
      <color theme="0"/>
      <name val="Arial"/>
      <family val="2"/>
    </font>
    <font>
      <sz val="11"/>
      <color theme="1"/>
      <name val="Arial"/>
      <family val="2"/>
    </font>
    <font>
      <b/>
      <sz val="11"/>
      <color rgb="FFCC9900"/>
      <name val="Arial"/>
      <family val="2"/>
    </font>
    <font>
      <b/>
      <sz val="22"/>
      <color theme="1"/>
      <name val="Arial"/>
      <family val="2"/>
    </font>
    <font>
      <i/>
      <sz val="11"/>
      <color theme="0" tint="-0.499984740745262"/>
      <name val="Arial"/>
      <family val="2"/>
    </font>
    <font>
      <b/>
      <sz val="12"/>
      <color theme="0"/>
      <name val="Arial"/>
      <family val="2"/>
    </font>
    <font>
      <b/>
      <sz val="14"/>
      <color theme="0"/>
      <name val="Arial"/>
      <family val="2"/>
    </font>
    <font>
      <b/>
      <sz val="16"/>
      <color theme="0"/>
      <name val="Arial"/>
      <family val="2"/>
    </font>
    <font>
      <b/>
      <sz val="12"/>
      <color theme="1"/>
      <name val="Arial"/>
      <family val="2"/>
    </font>
    <font>
      <sz val="12"/>
      <color theme="1"/>
      <name val="Arial"/>
      <family val="2"/>
    </font>
    <font>
      <i/>
      <sz val="12"/>
      <color theme="0" tint="-0.34998626667073579"/>
      <name val="Arial"/>
      <family val="2"/>
    </font>
    <font>
      <i/>
      <sz val="12"/>
      <color theme="0" tint="-0.499984740745262"/>
      <name val="Arial"/>
      <family val="2"/>
    </font>
    <font>
      <b/>
      <sz val="24"/>
      <color rgb="FFCFAC46"/>
      <name val="Arial"/>
      <family val="2"/>
    </font>
    <font>
      <b/>
      <sz val="12"/>
      <color rgb="FF85804D"/>
      <name val="Arial"/>
      <family val="2"/>
    </font>
    <font>
      <sz val="12"/>
      <color theme="1"/>
      <name val="Calibri"/>
      <family val="2"/>
      <scheme val="minor"/>
    </font>
    <font>
      <sz val="12"/>
      <name val="Arial"/>
      <family val="2"/>
    </font>
    <font>
      <b/>
      <sz val="14"/>
      <color theme="0"/>
      <name val="Calibri"/>
      <family val="2"/>
      <scheme val="minor"/>
    </font>
    <font>
      <sz val="12"/>
      <color rgb="FF22222F"/>
      <name val="Arial"/>
      <family val="2"/>
    </font>
    <font>
      <i/>
      <sz val="10"/>
      <color theme="0" tint="-0.249977111117893"/>
      <name val="Arial"/>
      <family val="2"/>
    </font>
    <font>
      <sz val="11"/>
      <color rgb="FF7030A0"/>
      <name val="Arial"/>
      <family val="2"/>
    </font>
    <font>
      <i/>
      <sz val="11"/>
      <color theme="1"/>
      <name val="Arial"/>
      <family val="2"/>
    </font>
    <font>
      <i/>
      <sz val="9"/>
      <color theme="1"/>
      <name val="Arial"/>
      <family val="2"/>
    </font>
    <font>
      <b/>
      <i/>
      <sz val="14"/>
      <color rgb="FFCFAC5A"/>
      <name val="Arial"/>
      <family val="2"/>
    </font>
    <font>
      <b/>
      <sz val="12"/>
      <color rgb="FF000000"/>
      <name val="Arial"/>
      <family val="2"/>
    </font>
    <font>
      <sz val="10"/>
      <color rgb="FF000000"/>
      <name val="Arial"/>
      <family val="2"/>
    </font>
    <font>
      <i/>
      <sz val="11"/>
      <color theme="0" tint="-0.249977111117893"/>
      <name val="Arial"/>
      <family val="2"/>
    </font>
    <font>
      <b/>
      <sz val="12"/>
      <color rgb="FFCFAC5A"/>
      <name val="Arial"/>
      <family val="2"/>
    </font>
    <font>
      <sz val="11"/>
      <color rgb="FFCFAC5A"/>
      <name val="Calibri"/>
      <family val="2"/>
      <scheme val="minor"/>
    </font>
    <font>
      <b/>
      <sz val="16"/>
      <color rgb="FFCFAC5A"/>
      <name val="Arial"/>
      <family val="2"/>
    </font>
    <font>
      <sz val="11"/>
      <color rgb="FFCFAC5A"/>
      <name val="Arial"/>
      <family val="2"/>
    </font>
    <font>
      <b/>
      <sz val="22"/>
      <name val="Arial"/>
      <family val="2"/>
    </font>
    <font>
      <sz val="30"/>
      <color theme="1"/>
      <name val="Arial"/>
      <family val="2"/>
    </font>
    <font>
      <b/>
      <u/>
      <sz val="12"/>
      <color rgb="FF1A1A1A"/>
      <name val="Arial Nova"/>
      <family val="2"/>
    </font>
    <font>
      <b/>
      <sz val="12"/>
      <color rgb="FF000000"/>
      <name val="Arial Nova"/>
      <family val="2"/>
    </font>
    <font>
      <sz val="12"/>
      <color rgb="FF000000"/>
      <name val="Arial Nova"/>
      <family val="2"/>
    </font>
    <font>
      <b/>
      <sz val="18"/>
      <color rgb="FFCFAC5A"/>
      <name val="Arial"/>
      <family val="2"/>
    </font>
    <font>
      <b/>
      <i/>
      <sz val="8"/>
      <color rgb="FFCFAC5A"/>
      <name val="Arial"/>
      <family val="2"/>
    </font>
    <font>
      <sz val="11"/>
      <color theme="0" tint="-0.499984740745262"/>
      <name val="Arial"/>
      <family val="2"/>
    </font>
    <font>
      <b/>
      <sz val="14"/>
      <color theme="1"/>
      <name val="Arial"/>
      <family val="2"/>
    </font>
    <font>
      <vertAlign val="superscript"/>
      <sz val="12"/>
      <color theme="1"/>
      <name val="Arial"/>
      <family val="2"/>
    </font>
    <font>
      <sz val="12"/>
      <color rgb="FF0070C0"/>
      <name val="Arial"/>
      <family val="2"/>
    </font>
    <font>
      <b/>
      <sz val="20"/>
      <color theme="0"/>
      <name val="Arial"/>
      <family val="2"/>
    </font>
    <font>
      <b/>
      <sz val="13"/>
      <color theme="1"/>
      <name val="Arial"/>
      <family val="2"/>
    </font>
    <font>
      <b/>
      <vertAlign val="superscript"/>
      <sz val="13"/>
      <color theme="1"/>
      <name val="Arial"/>
      <family val="2"/>
    </font>
    <font>
      <b/>
      <i/>
      <sz val="20"/>
      <color rgb="FFCFAC5A"/>
      <name val="Arial"/>
      <family val="2"/>
    </font>
    <font>
      <i/>
      <sz val="12"/>
      <color theme="1"/>
      <name val="Arial"/>
      <family val="2"/>
    </font>
    <font>
      <sz val="12"/>
      <color rgb="FFCFAC5A"/>
      <name val="Arial"/>
      <family val="2"/>
    </font>
    <font>
      <sz val="14"/>
      <color rgb="FFCFAC5A"/>
      <name val="Arial"/>
      <family val="2"/>
    </font>
    <font>
      <sz val="12"/>
      <color rgb="FFC00000"/>
      <name val="Arial"/>
      <family val="2"/>
    </font>
    <font>
      <b/>
      <i/>
      <sz val="11"/>
      <color theme="0" tint="-0.499984740745262"/>
      <name val="Calibri"/>
      <family val="2"/>
      <scheme val="minor"/>
    </font>
    <font>
      <sz val="14"/>
      <color theme="1"/>
      <name val="Arial"/>
      <family val="2"/>
    </font>
    <font>
      <sz val="12"/>
      <color theme="0"/>
      <name val="Arial"/>
      <family val="2"/>
    </font>
    <font>
      <b/>
      <sz val="14"/>
      <name val="Arial"/>
      <family val="2"/>
    </font>
    <font>
      <sz val="14"/>
      <name val="Arial"/>
      <family val="2"/>
    </font>
    <font>
      <i/>
      <sz val="12"/>
      <color theme="0" tint="-0.249977111117893"/>
      <name val="Arial"/>
      <family val="2"/>
    </font>
    <font>
      <sz val="12"/>
      <color theme="0" tint="-0.499984740745262"/>
      <name val="Arial"/>
      <family val="2"/>
    </font>
    <font>
      <i/>
      <sz val="10"/>
      <color theme="1"/>
      <name val="Arial"/>
      <family val="2"/>
    </font>
    <font>
      <b/>
      <sz val="12"/>
      <color rgb="FFCC9900"/>
      <name val="Arial"/>
      <family val="2"/>
    </font>
    <font>
      <b/>
      <sz val="15"/>
      <color rgb="FFCC9900"/>
      <name val="Arial"/>
      <family val="2"/>
    </font>
    <font>
      <b/>
      <sz val="20"/>
      <color rgb="FFCFAC46"/>
      <name val="Arial"/>
      <family val="2"/>
    </font>
    <font>
      <sz val="11"/>
      <color rgb="FF22222F"/>
      <name val="Arial"/>
      <family val="2"/>
    </font>
    <font>
      <sz val="12"/>
      <color rgb="FF22222F"/>
      <name val="Arial"/>
      <family val="2"/>
    </font>
    <font>
      <b/>
      <i/>
      <sz val="12"/>
      <color theme="0" tint="-0.249977111117893"/>
      <name val="Arial"/>
      <family val="2"/>
    </font>
    <font>
      <b/>
      <sz val="22"/>
      <name val="Calibri"/>
      <family val="2"/>
      <scheme val="minor"/>
    </font>
    <font>
      <b/>
      <sz val="14"/>
      <color rgb="FFCFAC46"/>
      <name val="Arial"/>
      <family val="2"/>
    </font>
    <font>
      <b/>
      <sz val="11"/>
      <name val="Arial"/>
      <family val="2"/>
    </font>
    <font>
      <b/>
      <sz val="18"/>
      <color theme="0"/>
      <name val="Calibri"/>
      <family val="2"/>
      <scheme val="minor"/>
    </font>
    <font>
      <b/>
      <i/>
      <sz val="11"/>
      <color theme="1"/>
      <name val="Calibri"/>
      <family val="2"/>
      <scheme val="minor"/>
    </font>
    <font>
      <b/>
      <sz val="16"/>
      <color rgb="FFCFAC46"/>
      <name val="Calibri"/>
      <family val="2"/>
      <scheme val="minor"/>
    </font>
    <font>
      <b/>
      <sz val="20"/>
      <color theme="1"/>
      <name val="Arial"/>
      <family val="2"/>
    </font>
    <font>
      <b/>
      <i/>
      <sz val="11"/>
      <color theme="0" tint="-0.34998626667073579"/>
      <name val="Arial"/>
      <family val="2"/>
    </font>
    <font>
      <b/>
      <sz val="12"/>
      <color theme="1"/>
      <name val="Calibri"/>
      <family val="2"/>
      <scheme val="minor"/>
    </font>
  </fonts>
  <fills count="16">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theme="0"/>
        <bgColor indexed="64"/>
      </patternFill>
    </fill>
    <fill>
      <patternFill patternType="solid">
        <fgColor rgb="FFCFAC5A"/>
        <bgColor indexed="64"/>
      </patternFill>
    </fill>
    <fill>
      <patternFill patternType="solid">
        <fgColor rgb="FFF5ECD5"/>
        <bgColor indexed="64"/>
      </patternFill>
    </fill>
    <fill>
      <patternFill patternType="solid">
        <fgColor rgb="FFF5ECFA"/>
        <bgColor indexed="64"/>
      </patternFill>
    </fill>
    <fill>
      <patternFill patternType="solid">
        <fgColor rgb="FFCFAC46"/>
        <bgColor indexed="64"/>
      </patternFill>
    </fill>
    <fill>
      <patternFill patternType="solid">
        <fgColor theme="0"/>
        <bgColor theme="4"/>
      </patternFill>
    </fill>
    <fill>
      <patternFill patternType="solid">
        <fgColor rgb="FFD6C6A2"/>
        <bgColor indexed="64"/>
      </patternFill>
    </fill>
    <fill>
      <patternFill patternType="solid">
        <fgColor rgb="FFD6C6A2"/>
        <bgColor theme="4"/>
      </patternFill>
    </fill>
  </fills>
  <borders count="104">
    <border>
      <left/>
      <right/>
      <top/>
      <bottom/>
      <diagonal/>
    </border>
    <border>
      <left/>
      <right/>
      <top style="thin">
        <color auto="1"/>
      </top>
      <bottom/>
      <diagonal/>
    </border>
    <border>
      <left/>
      <right/>
      <top/>
      <bottom style="thin">
        <color auto="1"/>
      </bottom>
      <diagonal/>
    </border>
    <border>
      <left/>
      <right/>
      <top/>
      <bottom style="medium">
        <color indexed="64"/>
      </bottom>
      <diagonal/>
    </border>
    <border>
      <left/>
      <right/>
      <top style="thin">
        <color auto="1"/>
      </top>
      <bottom style="medium">
        <color auto="1"/>
      </bottom>
      <diagonal/>
    </border>
    <border>
      <left/>
      <right/>
      <top style="thin">
        <color auto="1"/>
      </top>
      <bottom style="thin">
        <color auto="1"/>
      </bottom>
      <diagonal/>
    </border>
    <border>
      <left/>
      <right/>
      <top/>
      <bottom style="thin">
        <color rgb="FF7030A0"/>
      </bottom>
      <diagonal/>
    </border>
    <border>
      <left/>
      <right/>
      <top style="dashed">
        <color theme="1"/>
      </top>
      <bottom style="dashed">
        <color theme="1"/>
      </bottom>
      <diagonal/>
    </border>
    <border>
      <left/>
      <right/>
      <top/>
      <bottom style="thin">
        <color theme="1"/>
      </bottom>
      <diagonal/>
    </border>
    <border>
      <left/>
      <right/>
      <top style="thin">
        <color theme="1"/>
      </top>
      <bottom style="thin">
        <color theme="1"/>
      </bottom>
      <diagonal/>
    </border>
    <border>
      <left/>
      <right/>
      <top style="thin">
        <color theme="1"/>
      </top>
      <bottom/>
      <diagonal/>
    </border>
    <border>
      <left/>
      <right/>
      <top style="thin">
        <color rgb="FF85804D"/>
      </top>
      <bottom style="thin">
        <color rgb="FF85804D"/>
      </bottom>
      <diagonal/>
    </border>
    <border>
      <left/>
      <right/>
      <top style="thin">
        <color rgb="FFCFAC5A"/>
      </top>
      <bottom style="medium">
        <color rgb="FFCFAC5A"/>
      </bottom>
      <diagonal/>
    </border>
    <border>
      <left/>
      <right style="thin">
        <color theme="0"/>
      </right>
      <top/>
      <bottom/>
      <diagonal/>
    </border>
    <border>
      <left/>
      <right style="thick">
        <color theme="0"/>
      </right>
      <top/>
      <bottom/>
      <diagonal/>
    </border>
    <border>
      <left/>
      <right style="thick">
        <color theme="0"/>
      </right>
      <top/>
      <bottom style="thin">
        <color auto="1"/>
      </bottom>
      <diagonal/>
    </border>
    <border>
      <left/>
      <right style="thick">
        <color theme="0"/>
      </right>
      <top style="thin">
        <color theme="1"/>
      </top>
      <bottom/>
      <diagonal/>
    </border>
    <border>
      <left/>
      <right style="thick">
        <color theme="0"/>
      </right>
      <top style="thin">
        <color rgb="FFCFAC46"/>
      </top>
      <bottom style="thin">
        <color rgb="FFCFAC46"/>
      </bottom>
      <diagonal/>
    </border>
    <border>
      <left/>
      <right style="thick">
        <color theme="0"/>
      </right>
      <top/>
      <bottom style="thin">
        <color theme="1"/>
      </bottom>
      <diagonal/>
    </border>
    <border>
      <left/>
      <right style="thick">
        <color theme="0"/>
      </right>
      <top style="thin">
        <color rgb="FFCFAC5A"/>
      </top>
      <bottom style="medium">
        <color rgb="FFCFAC5A"/>
      </bottom>
      <diagonal/>
    </border>
    <border>
      <left/>
      <right style="thick">
        <color theme="0"/>
      </right>
      <top style="thin">
        <color rgb="FFCFAC5A"/>
      </top>
      <bottom/>
      <diagonal/>
    </border>
    <border>
      <left/>
      <right/>
      <top style="thin">
        <color rgb="FFCFAC5A"/>
      </top>
      <bottom/>
      <diagonal/>
    </border>
    <border>
      <left style="thick">
        <color theme="0"/>
      </left>
      <right style="thick">
        <color theme="0"/>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top style="thick">
        <color theme="0"/>
      </top>
      <bottom/>
      <diagonal/>
    </border>
    <border>
      <left style="thick">
        <color theme="0"/>
      </left>
      <right/>
      <top/>
      <bottom/>
      <diagonal/>
    </border>
    <border>
      <left style="thick">
        <color theme="0"/>
      </left>
      <right style="thick">
        <color theme="0"/>
      </right>
      <top style="thin">
        <color rgb="FFCFAC46"/>
      </top>
      <bottom style="thin">
        <color rgb="FFCFAC46"/>
      </bottom>
      <diagonal/>
    </border>
    <border>
      <left style="thick">
        <color theme="0"/>
      </left>
      <right style="thick">
        <color theme="0"/>
      </right>
      <top/>
      <bottom/>
      <diagonal/>
    </border>
    <border>
      <left style="thick">
        <color theme="0"/>
      </left>
      <right style="thick">
        <color theme="0"/>
      </right>
      <top style="thin">
        <color rgb="FFCFAC5A"/>
      </top>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ck">
        <color theme="0"/>
      </left>
      <right style="thick">
        <color theme="0"/>
      </right>
      <top/>
      <bottom style="thick">
        <color theme="0"/>
      </bottom>
      <diagonal/>
    </border>
    <border>
      <left/>
      <right style="thick">
        <color theme="0"/>
      </right>
      <top style="thin">
        <color rgb="FF85804D"/>
      </top>
      <bottom style="thin">
        <color rgb="FF85804D"/>
      </bottom>
      <diagonal/>
    </border>
    <border>
      <left/>
      <right style="thick">
        <color theme="0"/>
      </right>
      <top style="thin">
        <color rgb="FF85804D"/>
      </top>
      <bottom/>
      <diagonal/>
    </border>
    <border>
      <left style="thick">
        <color theme="0"/>
      </left>
      <right style="thick">
        <color theme="0"/>
      </right>
      <top style="thin">
        <color rgb="FF85804D"/>
      </top>
      <bottom style="thin">
        <color rgb="FF85804D"/>
      </bottom>
      <diagonal/>
    </border>
    <border>
      <left style="thick">
        <color theme="0"/>
      </left>
      <right/>
      <top style="thick">
        <color theme="0"/>
      </top>
      <bottom style="thick">
        <color theme="0"/>
      </bottom>
      <diagonal/>
    </border>
    <border>
      <left/>
      <right style="thick">
        <color theme="0"/>
      </right>
      <top style="thin">
        <color auto="1"/>
      </top>
      <bottom style="thin">
        <color auto="1"/>
      </bottom>
      <diagonal/>
    </border>
    <border>
      <left/>
      <right style="thick">
        <color theme="0"/>
      </right>
      <top style="thin">
        <color theme="1"/>
      </top>
      <bottom style="thin">
        <color theme="1"/>
      </bottom>
      <diagonal/>
    </border>
    <border>
      <left style="thick">
        <color theme="0"/>
      </left>
      <right style="thick">
        <color theme="0"/>
      </right>
      <top style="thin">
        <color theme="1"/>
      </top>
      <bottom style="thin">
        <color theme="1"/>
      </bottom>
      <diagonal/>
    </border>
    <border>
      <left style="thick">
        <color theme="0"/>
      </left>
      <right style="thick">
        <color theme="0"/>
      </right>
      <top style="thin">
        <color rgb="FFCFAC5A"/>
      </top>
      <bottom style="medium">
        <color rgb="FFCFAC5A"/>
      </bottom>
      <diagonal/>
    </border>
    <border>
      <left style="thick">
        <color theme="0"/>
      </left>
      <right style="thick">
        <color theme="0"/>
      </right>
      <top style="medium">
        <color rgb="FFCFAC5A"/>
      </top>
      <bottom style="medium">
        <color rgb="FFCFAC5A"/>
      </bottom>
      <diagonal/>
    </border>
    <border>
      <left/>
      <right style="thick">
        <color theme="0"/>
      </right>
      <top style="medium">
        <color rgb="FFCFAC5A"/>
      </top>
      <bottom style="medium">
        <color rgb="FFCFAC5A"/>
      </bottom>
      <diagonal/>
    </border>
    <border>
      <left/>
      <right/>
      <top style="thin">
        <color rgb="FFCFAC5A"/>
      </top>
      <bottom style="thin">
        <color rgb="FFCFAC5A"/>
      </bottom>
      <diagonal/>
    </border>
    <border>
      <left/>
      <right/>
      <top style="medium">
        <color rgb="FFCFAC5A"/>
      </top>
      <bottom style="medium">
        <color rgb="FFCFAC5A"/>
      </bottom>
      <diagonal/>
    </border>
    <border>
      <left/>
      <right/>
      <top style="medium">
        <color rgb="FFCFAC5A"/>
      </top>
      <bottom/>
      <diagonal/>
    </border>
    <border>
      <left/>
      <right/>
      <top/>
      <bottom style="medium">
        <color rgb="FFCFAC5A"/>
      </bottom>
      <diagonal/>
    </border>
    <border>
      <left/>
      <right/>
      <top style="medium">
        <color rgb="FFAEAA80"/>
      </top>
      <bottom style="medium">
        <color rgb="FFAEAA80"/>
      </bottom>
      <diagonal/>
    </border>
    <border>
      <left/>
      <right/>
      <top/>
      <bottom style="thin">
        <color rgb="FFCFAC5A"/>
      </bottom>
      <diagonal/>
    </border>
    <border>
      <left/>
      <right style="thick">
        <color theme="0"/>
      </right>
      <top style="thin">
        <color auto="1"/>
      </top>
      <bottom/>
      <diagonal/>
    </border>
    <border>
      <left style="thick">
        <color theme="0"/>
      </left>
      <right style="thick">
        <color theme="0"/>
      </right>
      <top style="thin">
        <color auto="1"/>
      </top>
      <bottom/>
      <diagonal/>
    </border>
    <border>
      <left/>
      <right style="thick">
        <color theme="0"/>
      </right>
      <top/>
      <bottom style="thin">
        <color rgb="FFCFAC5A"/>
      </bottom>
      <diagonal/>
    </border>
    <border>
      <left/>
      <right style="thick">
        <color theme="0"/>
      </right>
      <top/>
      <bottom style="medium">
        <color rgb="FFCFAC5A"/>
      </bottom>
      <diagonal/>
    </border>
    <border>
      <left/>
      <right style="thick">
        <color theme="0"/>
      </right>
      <top style="thin">
        <color rgb="FFCFAC5A"/>
      </top>
      <bottom style="thin">
        <color rgb="FFCFAC5A"/>
      </bottom>
      <diagonal/>
    </border>
    <border>
      <left/>
      <right style="thick">
        <color theme="0"/>
      </right>
      <top style="thin">
        <color auto="1"/>
      </top>
      <bottom style="medium">
        <color auto="1"/>
      </bottom>
      <diagonal/>
    </border>
    <border>
      <left style="thick">
        <color theme="0"/>
      </left>
      <right style="thick">
        <color theme="0"/>
      </right>
      <top style="thin">
        <color rgb="FFCFAC5A"/>
      </top>
      <bottom style="thin">
        <color rgb="FFCFAC5A"/>
      </bottom>
      <diagonal/>
    </border>
    <border>
      <left style="thick">
        <color theme="0"/>
      </left>
      <right style="thick">
        <color theme="0"/>
      </right>
      <top style="thin">
        <color auto="1"/>
      </top>
      <bottom style="medium">
        <color auto="1"/>
      </bottom>
      <diagonal/>
    </border>
    <border>
      <left style="thick">
        <color theme="0"/>
      </left>
      <right style="thick">
        <color theme="0"/>
      </right>
      <top/>
      <bottom style="thin">
        <color rgb="FFCFAC5A"/>
      </bottom>
      <diagonal/>
    </border>
    <border>
      <left style="thick">
        <color theme="0"/>
      </left>
      <right style="thick">
        <color theme="0"/>
      </right>
      <top/>
      <bottom style="thin">
        <color auto="1"/>
      </bottom>
      <diagonal/>
    </border>
    <border>
      <left/>
      <right style="thick">
        <color theme="0"/>
      </right>
      <top style="medium">
        <color rgb="FFCFAC5A"/>
      </top>
      <bottom/>
      <diagonal/>
    </border>
    <border>
      <left/>
      <right/>
      <top style="medium">
        <color rgb="FFCFAC5A"/>
      </top>
      <bottom style="thin">
        <color rgb="FFCFAC5A"/>
      </bottom>
      <diagonal/>
    </border>
    <border>
      <left style="thick">
        <color theme="0"/>
      </left>
      <right style="thick">
        <color theme="0"/>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medium">
        <color rgb="FFCFAC5A"/>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ck">
        <color theme="0"/>
      </right>
      <top style="medium">
        <color rgb="FFCFAC5A"/>
      </top>
      <bottom style="thin">
        <color auto="1"/>
      </bottom>
      <diagonal/>
    </border>
    <border>
      <left style="thick">
        <color theme="0"/>
      </left>
      <right style="thick">
        <color theme="0"/>
      </right>
      <top style="thin">
        <color auto="1"/>
      </top>
      <bottom style="thin">
        <color rgb="FFCFAC5A"/>
      </bottom>
      <diagonal/>
    </border>
    <border>
      <left/>
      <right style="thin">
        <color auto="1"/>
      </right>
      <top/>
      <bottom/>
      <diagonal/>
    </border>
    <border>
      <left/>
      <right/>
      <top style="thin">
        <color rgb="FFCFAC46"/>
      </top>
      <bottom style="medium">
        <color rgb="FFCFAC5A"/>
      </bottom>
      <diagonal/>
    </border>
    <border>
      <left/>
      <right style="thick">
        <color theme="0"/>
      </right>
      <top style="thin">
        <color rgb="FFCFAC46"/>
      </top>
      <bottom style="medium">
        <color rgb="FFCFAC5A"/>
      </bottom>
      <diagonal/>
    </border>
    <border>
      <left/>
      <right/>
      <top style="thin">
        <color rgb="FFCC9900"/>
      </top>
      <bottom style="thin">
        <color rgb="FFCC9900"/>
      </bottom>
      <diagonal/>
    </border>
    <border>
      <left/>
      <right/>
      <top style="thin">
        <color rgb="FFCFAC46"/>
      </top>
      <bottom style="thin">
        <color rgb="FFCFAC46"/>
      </bottom>
      <diagonal/>
    </border>
    <border>
      <left/>
      <right style="thick">
        <color theme="0"/>
      </right>
      <top style="thin">
        <color rgb="FFCFAC46"/>
      </top>
      <bottom/>
      <diagonal/>
    </border>
    <border>
      <left/>
      <right/>
      <top/>
      <bottom style="thin">
        <color rgb="FFCFAC46"/>
      </bottom>
      <diagonal/>
    </border>
    <border>
      <left/>
      <right style="thick">
        <color theme="0"/>
      </right>
      <top/>
      <bottom style="thin">
        <color rgb="FFCFAC46"/>
      </bottom>
      <diagonal/>
    </border>
    <border>
      <left style="thick">
        <color theme="0"/>
      </left>
      <right style="thick">
        <color theme="0"/>
      </right>
      <top style="thin">
        <color rgb="FFCFAC46"/>
      </top>
      <bottom/>
      <diagonal/>
    </border>
    <border>
      <left style="thick">
        <color theme="0"/>
      </left>
      <right/>
      <top style="thin">
        <color auto="1"/>
      </top>
      <bottom style="thin">
        <color auto="1"/>
      </bottom>
      <diagonal/>
    </border>
    <border>
      <left/>
      <right/>
      <top style="thin">
        <color theme="0" tint="-0.499984740745262"/>
      </top>
      <bottom style="thin">
        <color theme="0" tint="-0.499984740745262"/>
      </bottom>
      <diagonal/>
    </border>
    <border>
      <left style="thick">
        <color theme="0"/>
      </left>
      <right style="thick">
        <color theme="0"/>
      </right>
      <top style="thin">
        <color theme="0" tint="-0.499984740745262"/>
      </top>
      <bottom style="thin">
        <color theme="0" tint="-0.499984740745262"/>
      </bottom>
      <diagonal/>
    </border>
    <border>
      <left/>
      <right/>
      <top style="thin">
        <color rgb="FFCFAC46"/>
      </top>
      <bottom style="medium">
        <color rgb="FFCFAC46"/>
      </bottom>
      <diagonal/>
    </border>
    <border>
      <left/>
      <right style="thick">
        <color theme="0"/>
      </right>
      <top style="thin">
        <color rgb="FFCFAC46"/>
      </top>
      <bottom style="medium">
        <color rgb="FFCFAC46"/>
      </bottom>
      <diagonal/>
    </border>
    <border>
      <left style="thick">
        <color theme="0"/>
      </left>
      <right style="thick">
        <color theme="0"/>
      </right>
      <top style="thin">
        <color rgb="FFCFAC46"/>
      </top>
      <bottom style="medium">
        <color rgb="FFCFAC46"/>
      </bottom>
      <diagonal/>
    </border>
    <border>
      <left style="thick">
        <color theme="0"/>
      </left>
      <right style="thick">
        <color theme="0"/>
      </right>
      <top style="medium">
        <color rgb="FFCFAC46"/>
      </top>
      <bottom/>
      <diagonal/>
    </border>
    <border>
      <left/>
      <right/>
      <top style="thin">
        <color rgb="FFCFAC46"/>
      </top>
      <bottom/>
      <diagonal/>
    </border>
    <border>
      <left/>
      <right style="thin">
        <color theme="1"/>
      </right>
      <top style="thin">
        <color rgb="FFCFAC46"/>
      </top>
      <bottom/>
      <diagonal/>
    </border>
    <border>
      <left/>
      <right style="thin">
        <color theme="1"/>
      </right>
      <top/>
      <bottom/>
      <diagonal/>
    </border>
    <border>
      <left/>
      <right style="thin">
        <color theme="1"/>
      </right>
      <top/>
      <bottom style="thin">
        <color rgb="FFCFAC46"/>
      </bottom>
      <diagonal/>
    </border>
    <border>
      <left/>
      <right/>
      <top style="medium">
        <color rgb="FFCFAC46"/>
      </top>
      <bottom style="medium">
        <color rgb="FFCFAC46"/>
      </bottom>
      <diagonal/>
    </border>
    <border>
      <left/>
      <right/>
      <top style="medium">
        <color rgb="FFCFAC46"/>
      </top>
      <bottom style="thin">
        <color rgb="FFCFAC46"/>
      </bottom>
      <diagonal/>
    </border>
    <border>
      <left/>
      <right/>
      <top style="medium">
        <color rgb="FFCFAC46"/>
      </top>
      <bottom/>
      <diagonal/>
    </border>
    <border>
      <left/>
      <right/>
      <top/>
      <bottom style="medium">
        <color rgb="FFCFAC46"/>
      </bottom>
      <diagonal/>
    </border>
    <border>
      <left style="thick">
        <color theme="0"/>
      </left>
      <right style="thick">
        <color theme="0"/>
      </right>
      <top/>
      <bottom style="thin">
        <color rgb="FFCFAC46"/>
      </bottom>
      <diagonal/>
    </border>
    <border>
      <left/>
      <right/>
      <top style="medium">
        <color rgb="FFF5ECD5"/>
      </top>
      <bottom style="medium">
        <color rgb="FFF5ECD5"/>
      </bottom>
      <diagonal/>
    </border>
    <border>
      <left/>
      <right style="thick">
        <color theme="0"/>
      </right>
      <top/>
      <bottom style="thin">
        <color rgb="FF7030A0"/>
      </bottom>
      <diagonal/>
    </border>
    <border>
      <left style="thick">
        <color theme="0"/>
      </left>
      <right style="thick">
        <color theme="0"/>
      </right>
      <top/>
      <bottom style="thin">
        <color rgb="FF7030A0"/>
      </bottom>
      <diagonal/>
    </border>
    <border>
      <left style="thick">
        <color theme="0"/>
      </left>
      <right/>
      <top style="thin">
        <color theme="1"/>
      </top>
      <bottom style="thin">
        <color theme="1"/>
      </bottom>
      <diagonal/>
    </border>
    <border>
      <left/>
      <right/>
      <top style="hair">
        <color theme="1"/>
      </top>
      <bottom style="hair">
        <color theme="1"/>
      </bottom>
      <diagonal/>
    </border>
  </borders>
  <cellStyleXfs count="8">
    <xf numFmtId="0" fontId="0" fillId="0" borderId="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2"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cellStyleXfs>
  <cellXfs count="871">
    <xf numFmtId="0" fontId="0" fillId="0" borderId="0" xfId="0"/>
    <xf numFmtId="43" fontId="2" fillId="0" borderId="0" xfId="1" applyFont="1" applyBorder="1"/>
    <xf numFmtId="43" fontId="0" fillId="0" borderId="0" xfId="1" applyFont="1" applyBorder="1"/>
    <xf numFmtId="43" fontId="4" fillId="0" borderId="0" xfId="1" applyFont="1" applyBorder="1"/>
    <xf numFmtId="165" fontId="3" fillId="3" borderId="0" xfId="0" applyNumberFormat="1" applyFont="1" applyFill="1" applyBorder="1" applyAlignment="1">
      <alignment horizontal="center"/>
    </xf>
    <xf numFmtId="165" fontId="3" fillId="3" borderId="0" xfId="1" applyNumberFormat="1" applyFont="1" applyFill="1" applyBorder="1"/>
    <xf numFmtId="165" fontId="7" fillId="0" borderId="0" xfId="1" applyNumberFormat="1" applyFont="1" applyFill="1" applyBorder="1"/>
    <xf numFmtId="164" fontId="0" fillId="0" borderId="0" xfId="1" applyNumberFormat="1" applyFont="1" applyBorder="1"/>
    <xf numFmtId="0" fontId="0" fillId="0" borderId="0" xfId="0" applyFont="1"/>
    <xf numFmtId="0" fontId="2" fillId="0" borderId="0" xfId="0" applyFont="1"/>
    <xf numFmtId="10" fontId="0" fillId="0" borderId="0" xfId="4" applyNumberFormat="1" applyFont="1"/>
    <xf numFmtId="43" fontId="0" fillId="0" borderId="0" xfId="1" applyFont="1" applyBorder="1" applyAlignment="1">
      <alignment horizontal="right"/>
    </xf>
    <xf numFmtId="0" fontId="0" fillId="0" borderId="0" xfId="0" applyFill="1"/>
    <xf numFmtId="0" fontId="2" fillId="0" borderId="0" xfId="0" applyFont="1" applyFill="1"/>
    <xf numFmtId="0" fontId="0" fillId="0" borderId="0" xfId="0" applyAlignment="1">
      <alignment horizontal="center"/>
    </xf>
    <xf numFmtId="0" fontId="0" fillId="0" borderId="0" xfId="0" applyBorder="1"/>
    <xf numFmtId="0" fontId="0" fillId="0" borderId="0" xfId="0" applyFill="1" applyBorder="1"/>
    <xf numFmtId="0" fontId="10" fillId="0" borderId="0" xfId="0" applyFont="1" applyFill="1" applyAlignment="1">
      <alignment horizontal="right" vertical="center" wrapText="1" indent="1"/>
    </xf>
    <xf numFmtId="3" fontId="0" fillId="0" borderId="0" xfId="0" applyNumberFormat="1" applyFill="1"/>
    <xf numFmtId="0" fontId="2" fillId="0" borderId="0" xfId="0" applyFont="1" applyBorder="1"/>
    <xf numFmtId="17" fontId="11" fillId="0" borderId="0" xfId="0" applyNumberFormat="1" applyFont="1" applyFill="1" applyBorder="1" applyAlignment="1">
      <alignment horizontal="right" vertical="center" wrapText="1" indent="1"/>
    </xf>
    <xf numFmtId="0" fontId="9" fillId="0" borderId="0" xfId="0" applyFont="1" applyFill="1" applyBorder="1" applyAlignment="1">
      <alignment horizontal="left" vertical="center" indent="2"/>
    </xf>
    <xf numFmtId="3" fontId="9" fillId="0" borderId="0" xfId="0" applyNumberFormat="1" applyFont="1" applyFill="1" applyBorder="1" applyAlignment="1">
      <alignment horizontal="right" vertical="center" wrapText="1" indent="1"/>
    </xf>
    <xf numFmtId="0" fontId="9" fillId="0" borderId="0" xfId="0" applyFont="1" applyFill="1" applyBorder="1" applyAlignment="1">
      <alignment horizontal="left" vertical="center"/>
    </xf>
    <xf numFmtId="0" fontId="10" fillId="0" borderId="0" xfId="0" applyFont="1" applyFill="1" applyBorder="1" applyAlignment="1">
      <alignment horizontal="left" vertical="center"/>
    </xf>
    <xf numFmtId="0" fontId="10" fillId="0" borderId="0" xfId="0" applyFont="1" applyFill="1" applyBorder="1" applyAlignment="1">
      <alignment horizontal="right" vertical="center" wrapText="1" indent="1"/>
    </xf>
    <xf numFmtId="3" fontId="10" fillId="0" borderId="0" xfId="0" applyNumberFormat="1" applyFont="1" applyFill="1" applyBorder="1" applyAlignment="1">
      <alignment horizontal="right" vertical="center" wrapText="1" indent="1"/>
    </xf>
    <xf numFmtId="0" fontId="9" fillId="0" borderId="0" xfId="0" applyFont="1" applyFill="1" applyBorder="1" applyAlignment="1">
      <alignment horizontal="right" vertical="center" wrapText="1" indent="1"/>
    </xf>
    <xf numFmtId="10" fontId="0" fillId="0" borderId="0" xfId="4" applyNumberFormat="1" applyFont="1" applyBorder="1"/>
    <xf numFmtId="10" fontId="0" fillId="0" borderId="0" xfId="0" applyNumberFormat="1" applyBorder="1"/>
    <xf numFmtId="17" fontId="0" fillId="0" borderId="0" xfId="0" applyNumberFormat="1"/>
    <xf numFmtId="3" fontId="0" fillId="0" borderId="0" xfId="0" applyNumberFormat="1"/>
    <xf numFmtId="170" fontId="0" fillId="0" borderId="0" xfId="0" applyNumberFormat="1"/>
    <xf numFmtId="0" fontId="0" fillId="0" borderId="0" xfId="0" applyFill="1" applyBorder="1" applyAlignment="1"/>
    <xf numFmtId="170" fontId="0" fillId="0" borderId="0" xfId="0" applyNumberFormat="1" applyFont="1"/>
    <xf numFmtId="0" fontId="0" fillId="0" borderId="0" xfId="0" applyAlignment="1">
      <alignment horizontal="left"/>
    </xf>
    <xf numFmtId="0" fontId="12" fillId="0" borderId="0" xfId="0" applyFont="1" applyFill="1" applyBorder="1" applyAlignment="1">
      <alignment horizontal="centerContinuous"/>
    </xf>
    <xf numFmtId="0" fontId="12" fillId="0" borderId="0" xfId="0" applyFont="1" applyFill="1" applyBorder="1" applyAlignment="1">
      <alignment horizontal="center"/>
    </xf>
    <xf numFmtId="3" fontId="9" fillId="0" borderId="0" xfId="0" applyNumberFormat="1" applyFont="1" applyFill="1" applyAlignment="1">
      <alignment horizontal="right" vertical="center" wrapText="1" indent="1"/>
    </xf>
    <xf numFmtId="173" fontId="0" fillId="0" borderId="0" xfId="0" applyNumberFormat="1"/>
    <xf numFmtId="10" fontId="0" fillId="0" borderId="0" xfId="0" applyNumberFormat="1"/>
    <xf numFmtId="2" fontId="0" fillId="0" borderId="0" xfId="0" applyNumberFormat="1"/>
    <xf numFmtId="43" fontId="0" fillId="0" borderId="0" xfId="0" applyNumberFormat="1"/>
    <xf numFmtId="17" fontId="2" fillId="0" borderId="0" xfId="0" applyNumberFormat="1" applyFont="1" applyBorder="1"/>
    <xf numFmtId="0" fontId="0" fillId="0" borderId="0" xfId="0" applyFont="1" applyFill="1" applyBorder="1"/>
    <xf numFmtId="0" fontId="0" fillId="0" borderId="0" xfId="0" applyNumberFormat="1" applyAlignment="1">
      <alignment horizontal="center"/>
    </xf>
    <xf numFmtId="2" fontId="0" fillId="0" borderId="0" xfId="0" applyNumberFormat="1" applyAlignment="1">
      <alignment horizontal="center"/>
    </xf>
    <xf numFmtId="2" fontId="0" fillId="0" borderId="0" xfId="0" applyNumberFormat="1" applyAlignment="1">
      <alignment horizontal="left"/>
    </xf>
    <xf numFmtId="2" fontId="0" fillId="0" borderId="0" xfId="0" applyNumberFormat="1" applyAlignment="1">
      <alignment horizontal="left" indent="1"/>
    </xf>
    <xf numFmtId="0" fontId="15" fillId="0" borderId="0" xfId="0" applyFont="1" applyFill="1" applyBorder="1" applyAlignment="1">
      <alignment horizontal="left" vertical="center" indent="2"/>
    </xf>
    <xf numFmtId="0" fontId="15" fillId="0" borderId="0" xfId="0" applyFont="1" applyFill="1" applyBorder="1" applyAlignment="1">
      <alignment horizontal="left" vertical="center"/>
    </xf>
    <xf numFmtId="0" fontId="14" fillId="0" borderId="0" xfId="0" applyFont="1" applyFill="1"/>
    <xf numFmtId="0" fontId="14" fillId="0" borderId="0" xfId="0" applyFont="1" applyFill="1" applyAlignment="1">
      <alignment horizontal="right"/>
    </xf>
    <xf numFmtId="0" fontId="3" fillId="0" borderId="0" xfId="0" applyFont="1" applyFill="1" applyAlignment="1">
      <alignment horizontal="right"/>
    </xf>
    <xf numFmtId="0" fontId="3" fillId="0" borderId="0" xfId="0" applyFont="1" applyFill="1"/>
    <xf numFmtId="0" fontId="6" fillId="0" borderId="0" xfId="0" applyFont="1" applyFill="1"/>
    <xf numFmtId="173" fontId="0" fillId="0" borderId="0" xfId="4" applyNumberFormat="1" applyFont="1" applyBorder="1"/>
    <xf numFmtId="0" fontId="2" fillId="0" borderId="0" xfId="0" applyFont="1" applyFill="1" applyBorder="1"/>
    <xf numFmtId="0" fontId="4" fillId="0" borderId="0" xfId="6"/>
    <xf numFmtId="0" fontId="18" fillId="0" borderId="0" xfId="0" applyFont="1"/>
    <xf numFmtId="0" fontId="0" fillId="0" borderId="6" xfId="0" applyBorder="1"/>
    <xf numFmtId="0" fontId="0" fillId="0" borderId="0" xfId="0" applyAlignment="1">
      <alignment horizontal="left" vertical="top" wrapText="1"/>
    </xf>
    <xf numFmtId="0" fontId="0" fillId="0" borderId="0" xfId="0" applyAlignment="1">
      <alignment horizontal="center" vertical="top" wrapText="1"/>
    </xf>
    <xf numFmtId="0" fontId="2" fillId="0" borderId="0" xfId="0" applyFont="1" applyAlignment="1">
      <alignment horizontal="left" vertical="top" wrapText="1"/>
    </xf>
    <xf numFmtId="17" fontId="2" fillId="0" borderId="0" xfId="0" applyNumberFormat="1" applyFont="1"/>
    <xf numFmtId="10" fontId="2" fillId="0" borderId="0" xfId="4" applyNumberFormat="1" applyFont="1" applyFill="1"/>
    <xf numFmtId="0" fontId="16" fillId="0" borderId="0" xfId="0" applyFont="1" applyFill="1"/>
    <xf numFmtId="0" fontId="0" fillId="0" borderId="3" xfId="0" applyBorder="1"/>
    <xf numFmtId="43" fontId="19" fillId="0" borderId="0" xfId="0" applyNumberFormat="1" applyFont="1"/>
    <xf numFmtId="0" fontId="0" fillId="0" borderId="7" xfId="0" applyBorder="1"/>
    <xf numFmtId="0" fontId="9" fillId="0" borderId="0" xfId="0" applyFont="1" applyFill="1" applyBorder="1" applyAlignment="1">
      <alignment vertical="center"/>
    </xf>
    <xf numFmtId="0" fontId="22" fillId="0" borderId="0" xfId="0" applyFont="1"/>
    <xf numFmtId="17" fontId="22" fillId="0" borderId="0" xfId="0" applyNumberFormat="1" applyFont="1"/>
    <xf numFmtId="10" fontId="22" fillId="0" borderId="0" xfId="4" applyNumberFormat="1" applyFont="1"/>
    <xf numFmtId="0" fontId="21" fillId="0" borderId="0" xfId="0" applyFont="1" applyFill="1" applyAlignment="1">
      <alignment horizontal="center"/>
    </xf>
    <xf numFmtId="0" fontId="22" fillId="0" borderId="0" xfId="0" applyFont="1" applyFill="1"/>
    <xf numFmtId="0" fontId="20" fillId="0" borderId="0" xfId="0" applyFont="1" applyFill="1" applyBorder="1" applyAlignment="1">
      <alignment horizontal="right"/>
    </xf>
    <xf numFmtId="0" fontId="2" fillId="8" borderId="3" xfId="0" applyFont="1" applyFill="1" applyBorder="1" applyAlignment="1">
      <alignment horizontal="left"/>
    </xf>
    <xf numFmtId="0" fontId="2" fillId="8" borderId="3" xfId="0" applyFont="1" applyFill="1" applyBorder="1" applyAlignment="1">
      <alignment horizontal="right"/>
    </xf>
    <xf numFmtId="0" fontId="22" fillId="0" borderId="0" xfId="0" applyFont="1" applyBorder="1"/>
    <xf numFmtId="0" fontId="20" fillId="0" borderId="0" xfId="0" applyFont="1"/>
    <xf numFmtId="7" fontId="22" fillId="0" borderId="0" xfId="0" applyNumberFormat="1" applyFont="1"/>
    <xf numFmtId="10" fontId="22" fillId="0" borderId="0" xfId="4" applyNumberFormat="1" applyFont="1" applyFill="1" applyBorder="1"/>
    <xf numFmtId="0" fontId="23" fillId="0" borderId="8" xfId="0" applyFont="1" applyFill="1" applyBorder="1"/>
    <xf numFmtId="0" fontId="20" fillId="0" borderId="0" xfId="0" applyFont="1" applyFill="1"/>
    <xf numFmtId="0" fontId="23" fillId="0" borderId="0" xfId="0" applyFont="1" applyFill="1" applyBorder="1"/>
    <xf numFmtId="0" fontId="20" fillId="0" borderId="0" xfId="0" applyFont="1" applyBorder="1"/>
    <xf numFmtId="168" fontId="22" fillId="0" borderId="0" xfId="0" applyNumberFormat="1" applyFont="1" applyBorder="1"/>
    <xf numFmtId="168" fontId="22" fillId="0" borderId="0" xfId="0" applyNumberFormat="1" applyFont="1"/>
    <xf numFmtId="168" fontId="20" fillId="0" borderId="0" xfId="0" applyNumberFormat="1" applyFont="1" applyBorder="1"/>
    <xf numFmtId="167" fontId="30" fillId="0" borderId="0" xfId="0" applyNumberFormat="1" applyFont="1"/>
    <xf numFmtId="10" fontId="31" fillId="0" borderId="0" xfId="4" applyNumberFormat="1" applyFont="1"/>
    <xf numFmtId="0" fontId="30" fillId="0" borderId="0" xfId="0" applyFont="1"/>
    <xf numFmtId="167" fontId="30" fillId="0" borderId="0" xfId="0" applyNumberFormat="1" applyFont="1" applyBorder="1"/>
    <xf numFmtId="10" fontId="31" fillId="0" borderId="0" xfId="4" applyNumberFormat="1" applyFont="1" applyBorder="1"/>
    <xf numFmtId="0" fontId="30" fillId="0" borderId="0" xfId="0" applyFont="1" applyBorder="1"/>
    <xf numFmtId="7" fontId="30" fillId="0" borderId="0" xfId="0" applyNumberFormat="1" applyFont="1" applyBorder="1"/>
    <xf numFmtId="166" fontId="30" fillId="0" borderId="0" xfId="0" applyNumberFormat="1" applyFont="1" applyBorder="1"/>
    <xf numFmtId="10" fontId="30" fillId="0" borderId="0" xfId="4" applyNumberFormat="1" applyFont="1"/>
    <xf numFmtId="10" fontId="30" fillId="0" borderId="0" xfId="4" applyNumberFormat="1" applyFont="1" applyBorder="1"/>
    <xf numFmtId="183" fontId="30" fillId="0" borderId="0" xfId="0" applyNumberFormat="1" applyFont="1" applyBorder="1"/>
    <xf numFmtId="167" fontId="30" fillId="0" borderId="13" xfId="0" applyNumberFormat="1" applyFont="1" applyBorder="1"/>
    <xf numFmtId="0" fontId="30" fillId="0" borderId="13" xfId="0" applyFont="1" applyBorder="1"/>
    <xf numFmtId="0" fontId="22" fillId="0" borderId="14" xfId="0" applyFont="1" applyBorder="1"/>
    <xf numFmtId="0" fontId="29" fillId="0" borderId="14" xfId="0" applyFont="1" applyBorder="1"/>
    <xf numFmtId="10" fontId="31" fillId="0" borderId="14" xfId="4" applyNumberFormat="1" applyFont="1" applyBorder="1"/>
    <xf numFmtId="0" fontId="30" fillId="0" borderId="14" xfId="0" applyFont="1" applyBorder="1"/>
    <xf numFmtId="0" fontId="33" fillId="0" borderId="18" xfId="0" applyFont="1" applyFill="1" applyBorder="1"/>
    <xf numFmtId="7" fontId="30" fillId="0" borderId="23" xfId="0" applyNumberFormat="1" applyFont="1" applyBorder="1"/>
    <xf numFmtId="10" fontId="31" fillId="11" borderId="14" xfId="4" applyNumberFormat="1" applyFont="1" applyFill="1" applyBorder="1"/>
    <xf numFmtId="0" fontId="30" fillId="11" borderId="14" xfId="0" applyFont="1" applyFill="1" applyBorder="1"/>
    <xf numFmtId="7" fontId="30" fillId="11" borderId="14" xfId="0" applyNumberFormat="1" applyFont="1" applyFill="1" applyBorder="1"/>
    <xf numFmtId="166" fontId="30" fillId="11" borderId="14" xfId="0" applyNumberFormat="1" applyFont="1" applyFill="1" applyBorder="1"/>
    <xf numFmtId="10" fontId="30" fillId="11" borderId="14" xfId="4" applyNumberFormat="1" applyFont="1" applyFill="1" applyBorder="1"/>
    <xf numFmtId="0" fontId="22" fillId="0" borderId="29" xfId="0" applyFont="1" applyBorder="1"/>
    <xf numFmtId="0" fontId="23" fillId="0" borderId="29" xfId="0" applyFont="1" applyFill="1" applyBorder="1"/>
    <xf numFmtId="0" fontId="23" fillId="0" borderId="14" xfId="0" applyFont="1" applyFill="1" applyBorder="1"/>
    <xf numFmtId="0" fontId="29" fillId="0" borderId="30" xfId="0" applyFont="1" applyFill="1" applyBorder="1"/>
    <xf numFmtId="17" fontId="29" fillId="0" borderId="17" xfId="0" applyNumberFormat="1" applyFont="1" applyFill="1" applyBorder="1"/>
    <xf numFmtId="0" fontId="26" fillId="0" borderId="31" xfId="0" applyFont="1" applyFill="1" applyBorder="1"/>
    <xf numFmtId="17" fontId="26" fillId="0" borderId="0" xfId="0" applyNumberFormat="1" applyFont="1" applyFill="1" applyBorder="1"/>
    <xf numFmtId="17" fontId="26" fillId="0" borderId="14" xfId="0" applyNumberFormat="1" applyFont="1" applyFill="1" applyBorder="1"/>
    <xf numFmtId="0" fontId="30" fillId="0" borderId="31" xfId="0" applyFont="1" applyBorder="1"/>
    <xf numFmtId="167" fontId="30" fillId="0" borderId="14" xfId="0" applyNumberFormat="1" applyFont="1" applyBorder="1"/>
    <xf numFmtId="43" fontId="30" fillId="0" borderId="31" xfId="1" applyFont="1" applyBorder="1"/>
    <xf numFmtId="7" fontId="30" fillId="0" borderId="14" xfId="0" applyNumberFormat="1" applyFont="1" applyBorder="1"/>
    <xf numFmtId="43" fontId="30" fillId="0" borderId="31" xfId="1" applyFont="1" applyFill="1" applyBorder="1"/>
    <xf numFmtId="43" fontId="30" fillId="0" borderId="31" xfId="1" applyFont="1" applyFill="1" applyBorder="1" applyAlignment="1">
      <alignment horizontal="left"/>
    </xf>
    <xf numFmtId="0" fontId="34" fillId="0" borderId="31" xfId="0" applyFont="1" applyBorder="1"/>
    <xf numFmtId="0" fontId="22" fillId="0" borderId="31" xfId="0" applyFont="1" applyBorder="1"/>
    <xf numFmtId="0" fontId="23" fillId="0" borderId="18" xfId="0" applyFont="1" applyFill="1" applyBorder="1"/>
    <xf numFmtId="0" fontId="20" fillId="0" borderId="31" xfId="0" applyFont="1" applyBorder="1"/>
    <xf numFmtId="0" fontId="29" fillId="0" borderId="31" xfId="0" applyFont="1" applyBorder="1"/>
    <xf numFmtId="183" fontId="30" fillId="0" borderId="14" xfId="0" applyNumberFormat="1" applyFont="1" applyBorder="1"/>
    <xf numFmtId="0" fontId="22" fillId="0" borderId="23" xfId="0" applyFont="1" applyBorder="1"/>
    <xf numFmtId="0" fontId="32" fillId="0" borderId="14" xfId="0" applyFont="1" applyBorder="1"/>
    <xf numFmtId="43" fontId="30" fillId="0" borderId="22" xfId="5" applyFont="1" applyBorder="1"/>
    <xf numFmtId="10" fontId="31" fillId="0" borderId="31" xfId="4" applyNumberFormat="1" applyFont="1" applyBorder="1"/>
    <xf numFmtId="0" fontId="30" fillId="0" borderId="36" xfId="0" applyFont="1" applyBorder="1"/>
    <xf numFmtId="7" fontId="30" fillId="0" borderId="11" xfId="0" applyNumberFormat="1" applyFont="1" applyBorder="1"/>
    <xf numFmtId="43" fontId="30" fillId="0" borderId="36" xfId="5" applyFont="1" applyBorder="1"/>
    <xf numFmtId="182" fontId="30" fillId="11" borderId="36" xfId="0" applyNumberFormat="1" applyFont="1" applyFill="1" applyBorder="1"/>
    <xf numFmtId="43" fontId="24" fillId="0" borderId="28" xfId="0" applyNumberFormat="1" applyFont="1" applyBorder="1"/>
    <xf numFmtId="0" fontId="22" fillId="0" borderId="33" xfId="0" applyFont="1" applyBorder="1"/>
    <xf numFmtId="0" fontId="22" fillId="0" borderId="24" xfId="0" applyFont="1" applyBorder="1"/>
    <xf numFmtId="0" fontId="21" fillId="0" borderId="26" xfId="0" applyFont="1" applyFill="1" applyBorder="1"/>
    <xf numFmtId="0" fontId="21" fillId="0" borderId="27" xfId="0" applyFont="1" applyFill="1" applyBorder="1"/>
    <xf numFmtId="0" fontId="33" fillId="0" borderId="35" xfId="0" applyFont="1" applyFill="1" applyBorder="1"/>
    <xf numFmtId="0" fontId="21" fillId="0" borderId="35" xfId="0" applyFont="1" applyFill="1" applyBorder="1"/>
    <xf numFmtId="10" fontId="31" fillId="0" borderId="14" xfId="4" applyNumberFormat="1" applyFont="1" applyBorder="1" applyAlignment="1">
      <alignment horizontal="right"/>
    </xf>
    <xf numFmtId="167" fontId="30" fillId="0" borderId="36" xfId="0" applyNumberFormat="1" applyFont="1" applyBorder="1"/>
    <xf numFmtId="7" fontId="30" fillId="0" borderId="36" xfId="0" applyNumberFormat="1" applyFont="1" applyBorder="1"/>
    <xf numFmtId="10" fontId="31" fillId="0" borderId="37" xfId="4" applyNumberFormat="1" applyFont="1" applyBorder="1"/>
    <xf numFmtId="7" fontId="30" fillId="0" borderId="24" xfId="0" applyNumberFormat="1" applyFont="1" applyBorder="1"/>
    <xf numFmtId="182" fontId="30" fillId="0" borderId="36" xfId="0" applyNumberFormat="1" applyFont="1" applyBorder="1"/>
    <xf numFmtId="166" fontId="30" fillId="0" borderId="14" xfId="0" applyNumberFormat="1" applyFont="1" applyBorder="1"/>
    <xf numFmtId="10" fontId="30" fillId="0" borderId="14" xfId="4" applyNumberFormat="1" applyFont="1" applyBorder="1"/>
    <xf numFmtId="0" fontId="32" fillId="0" borderId="31" xfId="0" applyFont="1" applyBorder="1"/>
    <xf numFmtId="167" fontId="30" fillId="0" borderId="31" xfId="0" applyNumberFormat="1" applyFont="1" applyBorder="1"/>
    <xf numFmtId="167" fontId="30" fillId="0" borderId="38" xfId="0" applyNumberFormat="1" applyFont="1" applyBorder="1"/>
    <xf numFmtId="7" fontId="30" fillId="0" borderId="38" xfId="0" applyNumberFormat="1" applyFont="1" applyBorder="1"/>
    <xf numFmtId="7" fontId="30" fillId="0" borderId="22" xfId="0" applyNumberFormat="1" applyFont="1" applyBorder="1"/>
    <xf numFmtId="7" fontId="30" fillId="0" borderId="31" xfId="0" applyNumberFormat="1" applyFont="1" applyBorder="1"/>
    <xf numFmtId="182" fontId="30" fillId="0" borderId="38" xfId="0" applyNumberFormat="1" applyFont="1" applyBorder="1"/>
    <xf numFmtId="166" fontId="30" fillId="0" borderId="31" xfId="0" applyNumberFormat="1" applyFont="1" applyBorder="1"/>
    <xf numFmtId="10" fontId="30" fillId="0" borderId="31" xfId="4" applyNumberFormat="1" applyFont="1" applyBorder="1"/>
    <xf numFmtId="0" fontId="22" fillId="0" borderId="35" xfId="0" applyFont="1" applyBorder="1"/>
    <xf numFmtId="167" fontId="30" fillId="0" borderId="0" xfId="0" applyNumberFormat="1" applyFont="1" applyFill="1"/>
    <xf numFmtId="10" fontId="31" fillId="0" borderId="0" xfId="4" applyNumberFormat="1" applyFont="1" applyFill="1"/>
    <xf numFmtId="0" fontId="30" fillId="0" borderId="0" xfId="0" applyFont="1" applyFill="1"/>
    <xf numFmtId="167" fontId="30" fillId="0" borderId="0" xfId="0" applyNumberFormat="1" applyFont="1" applyFill="1" applyBorder="1"/>
    <xf numFmtId="10" fontId="31" fillId="0" borderId="0" xfId="4" applyNumberFormat="1" applyFont="1" applyFill="1" applyBorder="1"/>
    <xf numFmtId="0" fontId="30" fillId="0" borderId="0" xfId="0" applyFont="1" applyFill="1" applyBorder="1"/>
    <xf numFmtId="167" fontId="30" fillId="0" borderId="36" xfId="0" applyNumberFormat="1" applyFont="1" applyFill="1" applyBorder="1"/>
    <xf numFmtId="7" fontId="30" fillId="0" borderId="0" xfId="0" applyNumberFormat="1" applyFont="1" applyFill="1" applyBorder="1"/>
    <xf numFmtId="182" fontId="30" fillId="0" borderId="36" xfId="0" applyNumberFormat="1" applyFont="1" applyFill="1" applyBorder="1"/>
    <xf numFmtId="166" fontId="30" fillId="0" borderId="0" xfId="0" applyNumberFormat="1" applyFont="1" applyFill="1" applyBorder="1"/>
    <xf numFmtId="10" fontId="30" fillId="0" borderId="0" xfId="4" applyNumberFormat="1" applyFont="1" applyFill="1" applyBorder="1"/>
    <xf numFmtId="167" fontId="30" fillId="11" borderId="36" xfId="0" applyNumberFormat="1" applyFont="1" applyFill="1" applyBorder="1"/>
    <xf numFmtId="7" fontId="29" fillId="0" borderId="41" xfId="0" applyNumberFormat="1" applyFont="1" applyBorder="1"/>
    <xf numFmtId="43" fontId="29" fillId="0" borderId="42" xfId="1" applyFont="1" applyFill="1" applyBorder="1"/>
    <xf numFmtId="7" fontId="29" fillId="0" borderId="42" xfId="0" applyNumberFormat="1" applyFont="1" applyBorder="1"/>
    <xf numFmtId="167" fontId="30" fillId="0" borderId="24" xfId="0" applyNumberFormat="1" applyFont="1" applyBorder="1"/>
    <xf numFmtId="0" fontId="22" fillId="0" borderId="27" xfId="0" applyFont="1" applyBorder="1"/>
    <xf numFmtId="10" fontId="31" fillId="11" borderId="31" xfId="4" applyNumberFormat="1" applyFont="1" applyFill="1" applyBorder="1"/>
    <xf numFmtId="0" fontId="30" fillId="11" borderId="31" xfId="0" applyFont="1" applyFill="1" applyBorder="1"/>
    <xf numFmtId="167" fontId="30" fillId="11" borderId="31" xfId="0" applyNumberFormat="1" applyFont="1" applyFill="1" applyBorder="1"/>
    <xf numFmtId="167" fontId="30" fillId="11" borderId="38" xfId="0" applyNumberFormat="1" applyFont="1" applyFill="1" applyBorder="1"/>
    <xf numFmtId="167" fontId="30" fillId="11" borderId="14" xfId="0" applyNumberFormat="1" applyFont="1" applyFill="1" applyBorder="1"/>
    <xf numFmtId="17" fontId="27" fillId="9" borderId="0" xfId="0" applyNumberFormat="1" applyFont="1" applyFill="1" applyBorder="1"/>
    <xf numFmtId="0" fontId="23" fillId="0" borderId="24" xfId="0" applyFont="1" applyFill="1" applyBorder="1"/>
    <xf numFmtId="0" fontId="29" fillId="0" borderId="22" xfId="0" applyFont="1" applyBorder="1"/>
    <xf numFmtId="168" fontId="30" fillId="0" borderId="23" xfId="0" applyNumberFormat="1" applyFont="1" applyBorder="1"/>
    <xf numFmtId="168" fontId="30" fillId="0" borderId="24" xfId="0" applyNumberFormat="1" applyFont="1" applyBorder="1"/>
    <xf numFmtId="183" fontId="30" fillId="0" borderId="31" xfId="0" applyNumberFormat="1" applyFont="1" applyBorder="1"/>
    <xf numFmtId="0" fontId="29" fillId="0" borderId="42" xfId="0" applyFont="1" applyBorder="1"/>
    <xf numFmtId="183" fontId="29" fillId="0" borderId="42" xfId="0" applyNumberFormat="1" applyFont="1" applyBorder="1"/>
    <xf numFmtId="168" fontId="22" fillId="0" borderId="35" xfId="0" applyNumberFormat="1" applyFont="1" applyBorder="1"/>
    <xf numFmtId="168" fontId="22" fillId="0" borderId="26" xfId="0" applyNumberFormat="1" applyFont="1" applyBorder="1"/>
    <xf numFmtId="168" fontId="22" fillId="0" borderId="27" xfId="0" applyNumberFormat="1" applyFont="1" applyBorder="1"/>
    <xf numFmtId="0" fontId="29" fillId="10" borderId="43" xfId="0" applyFont="1" applyFill="1" applyBorder="1"/>
    <xf numFmtId="183" fontId="29" fillId="10" borderId="43" xfId="0" applyNumberFormat="1" applyFont="1" applyFill="1" applyBorder="1"/>
    <xf numFmtId="0" fontId="2" fillId="0" borderId="14" xfId="0" applyFont="1" applyFill="1" applyBorder="1" applyAlignment="1">
      <alignment horizontal="center"/>
    </xf>
    <xf numFmtId="0" fontId="20" fillId="0" borderId="14" xfId="0" applyFont="1" applyFill="1" applyBorder="1"/>
    <xf numFmtId="0" fontId="0" fillId="0" borderId="14" xfId="0" applyBorder="1" applyAlignment="1">
      <alignment horizontal="left"/>
    </xf>
    <xf numFmtId="0" fontId="20" fillId="0" borderId="14" xfId="0" applyFont="1" applyFill="1" applyBorder="1" applyAlignment="1">
      <alignment horizontal="right"/>
    </xf>
    <xf numFmtId="15" fontId="0" fillId="0" borderId="14" xfId="0" applyNumberFormat="1" applyBorder="1"/>
    <xf numFmtId="0" fontId="20" fillId="0" borderId="31" xfId="0" applyFont="1" applyFill="1" applyBorder="1" applyAlignment="1">
      <alignment horizontal="right"/>
    </xf>
    <xf numFmtId="0" fontId="0" fillId="0" borderId="31" xfId="0" applyBorder="1"/>
    <xf numFmtId="170" fontId="0" fillId="0" borderId="31" xfId="0" applyNumberFormat="1" applyFont="1" applyBorder="1"/>
    <xf numFmtId="0" fontId="0" fillId="0" borderId="14" xfId="0" applyBorder="1"/>
    <xf numFmtId="0" fontId="35" fillId="0" borderId="14" xfId="0" applyFont="1" applyBorder="1" applyAlignment="1">
      <alignment horizontal="left"/>
    </xf>
    <xf numFmtId="171" fontId="35" fillId="0" borderId="31" xfId="0" applyNumberFormat="1" applyFont="1" applyBorder="1"/>
    <xf numFmtId="170" fontId="35" fillId="0" borderId="31" xfId="0" applyNumberFormat="1" applyFont="1" applyBorder="1"/>
    <xf numFmtId="0" fontId="35" fillId="0" borderId="0" xfId="0" applyFont="1"/>
    <xf numFmtId="0" fontId="30" fillId="0" borderId="14" xfId="0" applyFont="1" applyBorder="1" applyAlignment="1">
      <alignment horizontal="left"/>
    </xf>
    <xf numFmtId="171" fontId="30" fillId="0" borderId="14" xfId="0" applyNumberFormat="1" applyFont="1" applyBorder="1"/>
    <xf numFmtId="170" fontId="30" fillId="0" borderId="14" xfId="0" applyNumberFormat="1" applyFont="1" applyBorder="1"/>
    <xf numFmtId="170" fontId="30" fillId="0" borderId="0" xfId="0" applyNumberFormat="1" applyFont="1"/>
    <xf numFmtId="171" fontId="30" fillId="0" borderId="31" xfId="0" applyNumberFormat="1" applyFont="1" applyBorder="1"/>
    <xf numFmtId="170" fontId="30" fillId="0" borderId="31" xfId="0" applyNumberFormat="1" applyFont="1" applyBorder="1"/>
    <xf numFmtId="171" fontId="35" fillId="0" borderId="14" xfId="0" applyNumberFormat="1" applyFont="1" applyBorder="1"/>
    <xf numFmtId="10" fontId="35" fillId="0" borderId="0" xfId="4" applyNumberFormat="1" applyFont="1"/>
    <xf numFmtId="0" fontId="35" fillId="6" borderId="14" xfId="0" applyFont="1" applyFill="1" applyBorder="1" applyAlignment="1">
      <alignment horizontal="left"/>
    </xf>
    <xf numFmtId="172" fontId="35" fillId="6" borderId="14" xfId="0" applyNumberFormat="1" applyFont="1" applyFill="1" applyBorder="1"/>
    <xf numFmtId="170" fontId="35" fillId="6" borderId="31" xfId="0" applyNumberFormat="1" applyFont="1" applyFill="1" applyBorder="1"/>
    <xf numFmtId="10" fontId="35" fillId="6" borderId="0" xfId="4" applyNumberFormat="1" applyFont="1" applyFill="1"/>
    <xf numFmtId="0" fontId="30" fillId="6" borderId="14" xfId="0" applyFont="1" applyFill="1" applyBorder="1" applyAlignment="1">
      <alignment horizontal="left"/>
    </xf>
    <xf numFmtId="172" fontId="30" fillId="6" borderId="14" xfId="0" applyNumberFormat="1" applyFont="1" applyFill="1" applyBorder="1"/>
    <xf numFmtId="170" fontId="30" fillId="6" borderId="14" xfId="0" applyNumberFormat="1" applyFont="1" applyFill="1" applyBorder="1"/>
    <xf numFmtId="10" fontId="36" fillId="6" borderId="0" xfId="4" applyNumberFormat="1" applyFont="1" applyFill="1"/>
    <xf numFmtId="172" fontId="30" fillId="6" borderId="31" xfId="0" applyNumberFormat="1" applyFont="1" applyFill="1" applyBorder="1"/>
    <xf numFmtId="170" fontId="30" fillId="6" borderId="31" xfId="0" applyNumberFormat="1" applyFont="1" applyFill="1" applyBorder="1"/>
    <xf numFmtId="10" fontId="30" fillId="6" borderId="31" xfId="4" applyNumberFormat="1" applyFont="1" applyFill="1" applyBorder="1"/>
    <xf numFmtId="10" fontId="30" fillId="6" borderId="14" xfId="4" applyNumberFormat="1" applyFont="1" applyFill="1" applyBorder="1"/>
    <xf numFmtId="0" fontId="37" fillId="0" borderId="0" xfId="0" applyFont="1"/>
    <xf numFmtId="0" fontId="27" fillId="0" borderId="0" xfId="0" applyFont="1"/>
    <xf numFmtId="0" fontId="0" fillId="9" borderId="0" xfId="0" applyFill="1" applyBorder="1"/>
    <xf numFmtId="0" fontId="0" fillId="9" borderId="0" xfId="0" applyFill="1" applyBorder="1" applyAlignment="1"/>
    <xf numFmtId="0" fontId="22" fillId="11" borderId="14" xfId="0" applyFont="1" applyFill="1" applyBorder="1"/>
    <xf numFmtId="10" fontId="2" fillId="0" borderId="9" xfId="4" applyNumberFormat="1" applyFont="1" applyBorder="1"/>
    <xf numFmtId="10" fontId="0" fillId="0" borderId="7" xfId="4" applyNumberFormat="1" applyFont="1" applyBorder="1"/>
    <xf numFmtId="0" fontId="2" fillId="11" borderId="12" xfId="0" applyFont="1" applyFill="1" applyBorder="1"/>
    <xf numFmtId="10" fontId="2" fillId="11" borderId="12" xfId="0" applyNumberFormat="1" applyFont="1" applyFill="1" applyBorder="1"/>
    <xf numFmtId="0" fontId="1" fillId="0" borderId="0" xfId="2" applyFont="1" applyFill="1" applyBorder="1" applyAlignment="1" applyProtection="1">
      <alignment horizontal="left" vertical="center" indent="1"/>
    </xf>
    <xf numFmtId="0" fontId="35" fillId="0" borderId="0" xfId="0" applyFont="1" applyAlignment="1"/>
    <xf numFmtId="0" fontId="38" fillId="0" borderId="0" xfId="0" applyFont="1" applyFill="1" applyBorder="1" applyAlignment="1">
      <alignment vertical="center" wrapText="1"/>
    </xf>
    <xf numFmtId="0" fontId="22" fillId="0" borderId="0" xfId="0" applyFont="1" applyAlignment="1">
      <alignment horizontal="right"/>
    </xf>
    <xf numFmtId="43" fontId="24" fillId="0" borderId="0" xfId="0" applyNumberFormat="1" applyFont="1" applyFill="1"/>
    <xf numFmtId="0" fontId="39" fillId="0" borderId="0" xfId="0" applyFont="1"/>
    <xf numFmtId="2" fontId="22" fillId="0" borderId="0" xfId="0" applyNumberFormat="1" applyFont="1"/>
    <xf numFmtId="0" fontId="41" fillId="0" borderId="0" xfId="0" applyFont="1"/>
    <xf numFmtId="10" fontId="22" fillId="0" borderId="0" xfId="0" applyNumberFormat="1" applyFont="1"/>
    <xf numFmtId="10" fontId="22" fillId="5" borderId="0" xfId="0" applyNumberFormat="1" applyFont="1" applyFill="1"/>
    <xf numFmtId="0" fontId="42" fillId="0" borderId="0" xfId="0" applyFont="1"/>
    <xf numFmtId="0" fontId="22" fillId="0" borderId="0" xfId="0" applyFont="1" applyFill="1" applyBorder="1"/>
    <xf numFmtId="0" fontId="43" fillId="0" borderId="0" xfId="0" applyFont="1"/>
    <xf numFmtId="0" fontId="44" fillId="0" borderId="0" xfId="0" applyFont="1" applyAlignment="1">
      <alignment horizontal="left" vertical="center"/>
    </xf>
    <xf numFmtId="0" fontId="22" fillId="0" borderId="0" xfId="0" applyFont="1" applyAlignment="1">
      <alignment horizontal="left" vertical="center"/>
    </xf>
    <xf numFmtId="0" fontId="45" fillId="0" borderId="0" xfId="0" applyFont="1" applyAlignment="1">
      <alignment horizontal="left" vertical="center"/>
    </xf>
    <xf numFmtId="0" fontId="46" fillId="0" borderId="0" xfId="0" applyFont="1" applyFill="1" applyBorder="1" applyAlignment="1">
      <alignment horizontal="left" vertical="center"/>
    </xf>
    <xf numFmtId="0" fontId="6" fillId="9" borderId="0" xfId="0" applyFont="1" applyFill="1"/>
    <xf numFmtId="0" fontId="47" fillId="13" borderId="0" xfId="0" applyFont="1" applyFill="1" applyBorder="1" applyAlignment="1">
      <alignment vertical="center"/>
    </xf>
    <xf numFmtId="0" fontId="48" fillId="8" borderId="0" xfId="0" applyFont="1" applyFill="1" applyBorder="1"/>
    <xf numFmtId="0" fontId="49" fillId="13" borderId="0" xfId="0" applyFont="1" applyFill="1" applyBorder="1" applyAlignment="1">
      <alignment vertical="center"/>
    </xf>
    <xf numFmtId="0" fontId="20" fillId="14" borderId="46" xfId="0" applyFont="1" applyFill="1" applyBorder="1"/>
    <xf numFmtId="0" fontId="22" fillId="5" borderId="0" xfId="0" applyFont="1" applyFill="1"/>
    <xf numFmtId="10" fontId="40" fillId="5" borderId="0" xfId="0" applyNumberFormat="1" applyFont="1" applyFill="1"/>
    <xf numFmtId="43" fontId="25" fillId="0" borderId="0" xfId="0" applyNumberFormat="1" applyFont="1"/>
    <xf numFmtId="17" fontId="6" fillId="9" borderId="0" xfId="0" applyNumberFormat="1" applyFont="1" applyFill="1"/>
    <xf numFmtId="17" fontId="6" fillId="0" borderId="0" xfId="0" applyNumberFormat="1" applyFont="1" applyFill="1"/>
    <xf numFmtId="3" fontId="2" fillId="0" borderId="0" xfId="0" applyNumberFormat="1" applyFont="1"/>
    <xf numFmtId="0" fontId="2" fillId="0" borderId="5" xfId="0" applyFont="1" applyBorder="1"/>
    <xf numFmtId="3" fontId="2" fillId="0" borderId="5" xfId="0" applyNumberFormat="1" applyFont="1" applyBorder="1"/>
    <xf numFmtId="3" fontId="2" fillId="0" borderId="0" xfId="0" applyNumberFormat="1" applyFont="1" applyBorder="1"/>
    <xf numFmtId="0" fontId="0" fillId="0" borderId="5" xfId="0" applyBorder="1"/>
    <xf numFmtId="3" fontId="0" fillId="0" borderId="5" xfId="0" applyNumberFormat="1" applyBorder="1"/>
    <xf numFmtId="0" fontId="22" fillId="0" borderId="51" xfId="0" applyFont="1" applyBorder="1"/>
    <xf numFmtId="10" fontId="0" fillId="0" borderId="0" xfId="0" applyNumberFormat="1" applyBorder="1" applyAlignment="1">
      <alignment horizontal="right"/>
    </xf>
    <xf numFmtId="175" fontId="22" fillId="0" borderId="0" xfId="0" applyNumberFormat="1" applyFont="1" applyBorder="1"/>
    <xf numFmtId="0" fontId="22" fillId="14" borderId="0" xfId="0" applyFont="1" applyFill="1"/>
    <xf numFmtId="10" fontId="22" fillId="0" borderId="46" xfId="0" applyNumberFormat="1" applyFont="1" applyBorder="1"/>
    <xf numFmtId="0" fontId="50" fillId="14" borderId="46" xfId="0" applyFont="1" applyFill="1" applyBorder="1"/>
    <xf numFmtId="175" fontId="20" fillId="11" borderId="12" xfId="0" applyNumberFormat="1" applyFont="1" applyFill="1" applyBorder="1"/>
    <xf numFmtId="4" fontId="22" fillId="0" borderId="46" xfId="0" applyNumberFormat="1" applyFont="1" applyBorder="1"/>
    <xf numFmtId="43" fontId="51" fillId="0" borderId="0" xfId="0" applyNumberFormat="1" applyFont="1"/>
    <xf numFmtId="0" fontId="22" fillId="0" borderId="20" xfId="0" applyFont="1" applyBorder="1"/>
    <xf numFmtId="175" fontId="22" fillId="0" borderId="31" xfId="0" applyNumberFormat="1" applyFont="1" applyBorder="1"/>
    <xf numFmtId="175" fontId="22" fillId="0" borderId="14" xfId="0" applyNumberFormat="1" applyFont="1" applyBorder="1"/>
    <xf numFmtId="0" fontId="22" fillId="0" borderId="54" xfId="0" applyFont="1" applyBorder="1"/>
    <xf numFmtId="0" fontId="22" fillId="0" borderId="63" xfId="0" applyFont="1" applyBorder="1"/>
    <xf numFmtId="0" fontId="22" fillId="0" borderId="60" xfId="0" applyFont="1" applyBorder="1"/>
    <xf numFmtId="0" fontId="22" fillId="0" borderId="0" xfId="0" applyFont="1" applyAlignment="1">
      <alignment vertical="top"/>
    </xf>
    <xf numFmtId="0" fontId="22" fillId="0" borderId="0" xfId="0" applyFont="1" applyBorder="1" applyAlignment="1">
      <alignment vertical="top"/>
    </xf>
    <xf numFmtId="0" fontId="22" fillId="0" borderId="14" xfId="0" applyFont="1" applyBorder="1" applyAlignment="1">
      <alignment vertical="top"/>
    </xf>
    <xf numFmtId="0" fontId="22" fillId="0" borderId="31" xfId="0" applyFont="1" applyBorder="1" applyAlignment="1">
      <alignment vertical="top"/>
    </xf>
    <xf numFmtId="0" fontId="52" fillId="0" borderId="0" xfId="0" applyFont="1"/>
    <xf numFmtId="0" fontId="22" fillId="0" borderId="46" xfId="0" applyFont="1" applyBorder="1"/>
    <xf numFmtId="15" fontId="22" fillId="0" borderId="0" xfId="0" applyNumberFormat="1" applyFont="1"/>
    <xf numFmtId="175" fontId="22" fillId="0" borderId="0" xfId="0" applyNumberFormat="1" applyFont="1" applyFill="1" applyBorder="1"/>
    <xf numFmtId="4" fontId="22" fillId="0" borderId="21" xfId="0" applyNumberFormat="1" applyFont="1" applyBorder="1"/>
    <xf numFmtId="43" fontId="20" fillId="5" borderId="12" xfId="0" applyNumberFormat="1" applyFont="1" applyFill="1" applyBorder="1"/>
    <xf numFmtId="169" fontId="22" fillId="0" borderId="0" xfId="4" applyNumberFormat="1" applyFont="1"/>
    <xf numFmtId="4" fontId="20" fillId="0" borderId="46" xfId="0" applyNumberFormat="1" applyFont="1" applyBorder="1"/>
    <xf numFmtId="2" fontId="22" fillId="0" borderId="0" xfId="0" applyNumberFormat="1" applyFont="1" applyFill="1" applyBorder="1"/>
    <xf numFmtId="10" fontId="20" fillId="0" borderId="0" xfId="0" applyNumberFormat="1" applyFont="1" applyFill="1" applyBorder="1"/>
    <xf numFmtId="169" fontId="22" fillId="0" borderId="0" xfId="4" applyNumberFormat="1" applyFont="1" applyFill="1"/>
    <xf numFmtId="185" fontId="22" fillId="0" borderId="0" xfId="0" applyNumberFormat="1" applyFont="1"/>
    <xf numFmtId="187" fontId="25" fillId="0" borderId="0" xfId="0" applyNumberFormat="1" applyFont="1" applyAlignment="1">
      <alignment horizontal="center"/>
    </xf>
    <xf numFmtId="0" fontId="2" fillId="0" borderId="51" xfId="0" applyFont="1" applyBorder="1"/>
    <xf numFmtId="175" fontId="6" fillId="8" borderId="0" xfId="0" applyNumberFormat="1" applyFont="1" applyFill="1" applyBorder="1"/>
    <xf numFmtId="0" fontId="53" fillId="0" borderId="0" xfId="0" applyNumberFormat="1" applyFont="1" applyAlignment="1">
      <alignment horizontal="left" vertical="center"/>
    </xf>
    <xf numFmtId="0" fontId="54" fillId="0" borderId="0" xfId="0" applyNumberFormat="1" applyFont="1" applyAlignment="1">
      <alignment horizontal="left" vertical="center"/>
    </xf>
    <xf numFmtId="0" fontId="56" fillId="0" borderId="0" xfId="0" applyFont="1"/>
    <xf numFmtId="9" fontId="22" fillId="0" borderId="0" xfId="4" applyFont="1" applyFill="1" applyBorder="1"/>
    <xf numFmtId="0" fontId="58" fillId="8" borderId="0" xfId="0" applyFont="1" applyFill="1" applyBorder="1" applyAlignment="1">
      <alignment horizontal="right"/>
    </xf>
    <xf numFmtId="0" fontId="58" fillId="8" borderId="0" xfId="0" applyFont="1" applyFill="1" applyBorder="1" applyAlignment="1">
      <alignment horizontal="left"/>
    </xf>
    <xf numFmtId="0" fontId="22" fillId="0" borderId="2" xfId="0" applyFont="1" applyBorder="1"/>
    <xf numFmtId="0" fontId="22" fillId="0" borderId="68" xfId="0" applyFont="1" applyBorder="1"/>
    <xf numFmtId="0" fontId="20" fillId="11" borderId="0" xfId="0" applyFont="1" applyFill="1" applyBorder="1" applyAlignment="1">
      <alignment horizontal="left" vertical="center"/>
    </xf>
    <xf numFmtId="0" fontId="20" fillId="11" borderId="0" xfId="0" applyFont="1" applyFill="1" applyBorder="1" applyAlignment="1">
      <alignment horizontal="right" vertical="center"/>
    </xf>
    <xf numFmtId="0" fontId="20" fillId="11" borderId="0" xfId="0" applyFont="1" applyFill="1" applyBorder="1" applyAlignment="1">
      <alignment horizontal="center" vertical="center"/>
    </xf>
    <xf numFmtId="0" fontId="22" fillId="0" borderId="72" xfId="0" applyFont="1" applyBorder="1"/>
    <xf numFmtId="0" fontId="22" fillId="0" borderId="49" xfId="0" applyFont="1" applyBorder="1"/>
    <xf numFmtId="10" fontId="36" fillId="0" borderId="0" xfId="0" applyNumberFormat="1" applyFont="1"/>
    <xf numFmtId="10" fontId="36" fillId="0" borderId="0" xfId="4" applyNumberFormat="1" applyFont="1"/>
    <xf numFmtId="0" fontId="30" fillId="0" borderId="1" xfId="0" applyFont="1" applyBorder="1"/>
    <xf numFmtId="0" fontId="30" fillId="0" borderId="52" xfId="0" applyFont="1" applyBorder="1"/>
    <xf numFmtId="10" fontId="30" fillId="5" borderId="1" xfId="4" applyNumberFormat="1" applyFont="1" applyFill="1" applyBorder="1"/>
    <xf numFmtId="0" fontId="59" fillId="0" borderId="49" xfId="0" applyFont="1" applyBorder="1"/>
    <xf numFmtId="0" fontId="59" fillId="0" borderId="51" xfId="0" applyFont="1" applyBorder="1"/>
    <xf numFmtId="2" fontId="30" fillId="5" borderId="0" xfId="0" applyNumberFormat="1" applyFont="1" applyFill="1"/>
    <xf numFmtId="10" fontId="30" fillId="5" borderId="1" xfId="0" applyNumberFormat="1" applyFont="1" applyFill="1" applyBorder="1"/>
    <xf numFmtId="2" fontId="30" fillId="0" borderId="0" xfId="0" applyNumberFormat="1" applyFont="1" applyAlignment="1"/>
    <xf numFmtId="10" fontId="30" fillId="0" borderId="0" xfId="0" applyNumberFormat="1" applyFont="1" applyAlignment="1"/>
    <xf numFmtId="2" fontId="30" fillId="5" borderId="1" xfId="0" applyNumberFormat="1" applyFont="1" applyFill="1" applyBorder="1" applyAlignment="1"/>
    <xf numFmtId="0" fontId="29" fillId="0" borderId="15" xfId="0" applyFont="1" applyBorder="1" applyAlignment="1">
      <alignment horizontal="right"/>
    </xf>
    <xf numFmtId="0" fontId="29" fillId="0" borderId="2" xfId="0" applyFont="1" applyBorder="1" applyAlignment="1">
      <alignment horizontal="right"/>
    </xf>
    <xf numFmtId="2" fontId="36" fillId="0" borderId="14" xfId="0" applyNumberFormat="1" applyFont="1" applyBorder="1"/>
    <xf numFmtId="10" fontId="30" fillId="0" borderId="0" xfId="0" applyNumberFormat="1" applyFont="1"/>
    <xf numFmtId="0" fontId="36" fillId="0" borderId="52" xfId="0" applyFont="1" applyBorder="1"/>
    <xf numFmtId="10" fontId="30" fillId="0" borderId="52" xfId="4" applyNumberFormat="1" applyFont="1" applyBorder="1"/>
    <xf numFmtId="9" fontId="30" fillId="0" borderId="1" xfId="0" applyNumberFormat="1" applyFont="1" applyBorder="1"/>
    <xf numFmtId="10" fontId="30" fillId="5" borderId="0" xfId="0" applyNumberFormat="1" applyFont="1" applyFill="1"/>
    <xf numFmtId="0" fontId="30" fillId="0" borderId="5" xfId="0" applyFont="1" applyBorder="1"/>
    <xf numFmtId="10" fontId="30" fillId="0" borderId="64" xfId="0" applyNumberFormat="1" applyFont="1" applyBorder="1"/>
    <xf numFmtId="0" fontId="30" fillId="0" borderId="5" xfId="0" applyFont="1" applyFill="1" applyBorder="1"/>
    <xf numFmtId="10" fontId="30" fillId="0" borderId="31" xfId="0" applyNumberFormat="1" applyFont="1" applyBorder="1"/>
    <xf numFmtId="0" fontId="29" fillId="10" borderId="47" xfId="0" applyFont="1" applyFill="1" applyBorder="1"/>
    <xf numFmtId="10" fontId="29" fillId="10" borderId="44" xfId="0" applyNumberFormat="1" applyFont="1" applyFill="1" applyBorder="1"/>
    <xf numFmtId="0" fontId="30" fillId="11" borderId="40" xfId="0" applyFont="1" applyFill="1" applyBorder="1"/>
    <xf numFmtId="0" fontId="30" fillId="11" borderId="40" xfId="0" applyFont="1" applyFill="1" applyBorder="1" applyAlignment="1"/>
    <xf numFmtId="3" fontId="30" fillId="11" borderId="40" xfId="0" applyNumberFormat="1" applyFont="1" applyFill="1" applyBorder="1" applyAlignment="1"/>
    <xf numFmtId="3" fontId="30" fillId="11" borderId="64" xfId="0" applyNumberFormat="1" applyFont="1" applyFill="1" applyBorder="1" applyAlignment="1"/>
    <xf numFmtId="10" fontId="30" fillId="11" borderId="40" xfId="4" applyNumberFormat="1" applyFont="1" applyFill="1" applyBorder="1"/>
    <xf numFmtId="10" fontId="30" fillId="11" borderId="5" xfId="4" applyNumberFormat="1" applyFont="1" applyFill="1" applyBorder="1"/>
    <xf numFmtId="10" fontId="30" fillId="11" borderId="64" xfId="4" applyNumberFormat="1" applyFont="1" applyFill="1" applyBorder="1"/>
    <xf numFmtId="2" fontId="30" fillId="11" borderId="5" xfId="0" applyNumberFormat="1" applyFont="1" applyFill="1" applyBorder="1" applyAlignment="1">
      <alignment vertical="center" wrapText="1"/>
    </xf>
    <xf numFmtId="2" fontId="30" fillId="11" borderId="64" xfId="0" applyNumberFormat="1" applyFont="1" applyFill="1" applyBorder="1"/>
    <xf numFmtId="0" fontId="30" fillId="0" borderId="40" xfId="0" applyFont="1" applyBorder="1"/>
    <xf numFmtId="0" fontId="30" fillId="0" borderId="40" xfId="0" applyFont="1" applyBorder="1" applyAlignment="1"/>
    <xf numFmtId="3" fontId="30" fillId="0" borderId="40" xfId="0" applyNumberFormat="1" applyFont="1" applyBorder="1" applyAlignment="1"/>
    <xf numFmtId="3" fontId="30" fillId="0" borderId="64" xfId="0" applyNumberFormat="1" applyFont="1" applyBorder="1" applyAlignment="1"/>
    <xf numFmtId="10" fontId="30" fillId="0" borderId="40" xfId="4" applyNumberFormat="1" applyFont="1" applyBorder="1"/>
    <xf numFmtId="10" fontId="30" fillId="0" borderId="5" xfId="4" applyNumberFormat="1" applyFont="1" applyFill="1" applyBorder="1"/>
    <xf numFmtId="10" fontId="30" fillId="0" borderId="64" xfId="4" applyNumberFormat="1" applyFont="1" applyFill="1" applyBorder="1"/>
    <xf numFmtId="0" fontId="61" fillId="7" borderId="5" xfId="0" applyFont="1" applyFill="1" applyBorder="1" applyAlignment="1">
      <alignment vertical="center" wrapText="1"/>
    </xf>
    <xf numFmtId="2" fontId="30" fillId="0" borderId="64" xfId="0" applyNumberFormat="1" applyFont="1" applyBorder="1"/>
    <xf numFmtId="2" fontId="61" fillId="7" borderId="5" xfId="0" applyNumberFormat="1" applyFont="1" applyFill="1" applyBorder="1" applyAlignment="1">
      <alignment vertical="center" wrapText="1"/>
    </xf>
    <xf numFmtId="0" fontId="30" fillId="0" borderId="73" xfId="0" applyFont="1" applyBorder="1"/>
    <xf numFmtId="0" fontId="29" fillId="5" borderId="21" xfId="0" applyFont="1" applyFill="1" applyBorder="1"/>
    <xf numFmtId="10" fontId="29" fillId="5" borderId="21" xfId="4" applyNumberFormat="1" applyFont="1" applyFill="1" applyBorder="1"/>
    <xf numFmtId="2" fontId="29" fillId="5" borderId="21" xfId="0" applyNumberFormat="1" applyFont="1" applyFill="1" applyBorder="1"/>
    <xf numFmtId="0" fontId="29" fillId="5" borderId="51" xfId="0" applyFont="1" applyFill="1" applyBorder="1"/>
    <xf numFmtId="10" fontId="29" fillId="5" borderId="51" xfId="4" applyNumberFormat="1" applyFont="1" applyFill="1" applyBorder="1"/>
    <xf numFmtId="2" fontId="29" fillId="5" borderId="51" xfId="0" applyNumberFormat="1" applyFont="1" applyFill="1" applyBorder="1"/>
    <xf numFmtId="0" fontId="30" fillId="11" borderId="69" xfId="0" applyFont="1" applyFill="1" applyBorder="1" applyAlignment="1">
      <alignment horizontal="left" vertical="center"/>
    </xf>
    <xf numFmtId="14" fontId="30" fillId="11" borderId="70" xfId="0" applyNumberFormat="1" applyFont="1" applyFill="1" applyBorder="1" applyAlignment="1">
      <alignment horizontal="right" vertical="center"/>
    </xf>
    <xf numFmtId="0" fontId="30" fillId="11" borderId="65" xfId="0" applyFont="1" applyFill="1" applyBorder="1" applyAlignment="1">
      <alignment horizontal="left" vertical="center"/>
    </xf>
    <xf numFmtId="9" fontId="30" fillId="11" borderId="66" xfId="0" applyNumberFormat="1" applyFont="1" applyFill="1" applyBorder="1" applyAlignment="1">
      <alignment horizontal="right" vertical="center"/>
    </xf>
    <xf numFmtId="10" fontId="30" fillId="11" borderId="66" xfId="0" applyNumberFormat="1" applyFont="1" applyFill="1" applyBorder="1" applyAlignment="1">
      <alignment horizontal="right" vertical="center"/>
    </xf>
    <xf numFmtId="0" fontId="63" fillId="14" borderId="48" xfId="0" applyFont="1" applyFill="1" applyBorder="1"/>
    <xf numFmtId="0" fontId="63" fillId="14" borderId="48" xfId="0" applyFont="1" applyFill="1" applyBorder="1" applyAlignment="1">
      <alignment horizontal="right"/>
    </xf>
    <xf numFmtId="0" fontId="63" fillId="14" borderId="49" xfId="0" applyFont="1" applyFill="1" applyBorder="1"/>
    <xf numFmtId="0" fontId="63" fillId="14" borderId="49" xfId="0" applyFont="1" applyFill="1" applyBorder="1" applyAlignment="1">
      <alignment horizontal="center"/>
    </xf>
    <xf numFmtId="0" fontId="63" fillId="14" borderId="49" xfId="0" applyFont="1" applyFill="1" applyBorder="1" applyAlignment="1">
      <alignment horizontal="right"/>
    </xf>
    <xf numFmtId="0" fontId="63" fillId="14" borderId="55" xfId="0" applyFont="1" applyFill="1" applyBorder="1" applyAlignment="1">
      <alignment horizontal="right"/>
    </xf>
    <xf numFmtId="0" fontId="63" fillId="14" borderId="47" xfId="0" applyFont="1" applyFill="1" applyBorder="1" applyAlignment="1">
      <alignment horizontal="left" vertical="center"/>
    </xf>
    <xf numFmtId="0" fontId="63" fillId="14" borderId="47" xfId="0" applyFont="1" applyFill="1" applyBorder="1" applyAlignment="1">
      <alignment horizontal="right" vertical="center"/>
    </xf>
    <xf numFmtId="0" fontId="65" fillId="0" borderId="0" xfId="0" applyFont="1"/>
    <xf numFmtId="0" fontId="66" fillId="0" borderId="0" xfId="0" applyFont="1" applyFill="1" applyBorder="1" applyAlignment="1">
      <alignment horizontal="left" vertical="center"/>
    </xf>
    <xf numFmtId="0" fontId="66" fillId="0" borderId="0" xfId="0" quotePrefix="1" applyFont="1" applyFill="1" applyBorder="1" applyAlignment="1">
      <alignment horizontal="left" vertical="center"/>
    </xf>
    <xf numFmtId="0" fontId="63" fillId="14" borderId="21" xfId="0" applyFont="1" applyFill="1" applyBorder="1"/>
    <xf numFmtId="176" fontId="63" fillId="14" borderId="21" xfId="0" applyNumberFormat="1" applyFont="1" applyFill="1" applyBorder="1"/>
    <xf numFmtId="177" fontId="63" fillId="14" borderId="21" xfId="0" applyNumberFormat="1" applyFont="1" applyFill="1" applyBorder="1"/>
    <xf numFmtId="0" fontId="67" fillId="14" borderId="46" xfId="0" applyFont="1" applyFill="1" applyBorder="1"/>
    <xf numFmtId="0" fontId="59" fillId="14" borderId="46" xfId="0" applyFont="1" applyFill="1" applyBorder="1"/>
    <xf numFmtId="0" fontId="68" fillId="14" borderId="46" xfId="0" applyFont="1" applyFill="1" applyBorder="1"/>
    <xf numFmtId="10" fontId="30" fillId="11" borderId="0" xfId="4" applyNumberFormat="1" applyFont="1" applyFill="1" applyBorder="1"/>
    <xf numFmtId="2" fontId="30" fillId="11" borderId="0" xfId="4" applyNumberFormat="1" applyFont="1" applyFill="1" applyBorder="1"/>
    <xf numFmtId="175" fontId="30" fillId="0" borderId="0" xfId="0" applyNumberFormat="1" applyFont="1" applyBorder="1"/>
    <xf numFmtId="0" fontId="29" fillId="0" borderId="1" xfId="0" applyFont="1" applyBorder="1"/>
    <xf numFmtId="0" fontId="29" fillId="0" borderId="0" xfId="0" applyFont="1" applyBorder="1"/>
    <xf numFmtId="0" fontId="30" fillId="11" borderId="0" xfId="0" applyFont="1" applyFill="1"/>
    <xf numFmtId="178" fontId="30" fillId="0" borderId="0" xfId="0" applyNumberFormat="1" applyFont="1" applyBorder="1"/>
    <xf numFmtId="0" fontId="63" fillId="0" borderId="47" xfId="0" applyFont="1" applyBorder="1"/>
    <xf numFmtId="184" fontId="63" fillId="0" borderId="47" xfId="0" applyNumberFormat="1" applyFont="1" applyBorder="1"/>
    <xf numFmtId="0" fontId="35" fillId="0" borderId="0" xfId="0" applyFont="1" applyBorder="1"/>
    <xf numFmtId="10" fontId="35" fillId="0" borderId="0" xfId="4" applyNumberFormat="1" applyFont="1" applyBorder="1"/>
    <xf numFmtId="186" fontId="35" fillId="0" borderId="5" xfId="0" applyNumberFormat="1" applyFont="1" applyBorder="1"/>
    <xf numFmtId="10" fontId="35" fillId="0" borderId="5" xfId="0" applyNumberFormat="1" applyFont="1" applyBorder="1"/>
    <xf numFmtId="186" fontId="30" fillId="11" borderId="5" xfId="0" applyNumberFormat="1" applyFont="1" applyFill="1" applyBorder="1"/>
    <xf numFmtId="186" fontId="30" fillId="0" borderId="5" xfId="0" applyNumberFormat="1" applyFont="1" applyBorder="1"/>
    <xf numFmtId="2" fontId="30" fillId="0" borderId="5" xfId="4" applyNumberFormat="1" applyFont="1" applyFill="1" applyBorder="1"/>
    <xf numFmtId="175" fontId="30" fillId="0" borderId="5" xfId="0" applyNumberFormat="1" applyFont="1" applyBorder="1"/>
    <xf numFmtId="175" fontId="69" fillId="0" borderId="5" xfId="0" applyNumberFormat="1" applyFont="1" applyFill="1" applyBorder="1"/>
    <xf numFmtId="175" fontId="30" fillId="0" borderId="4" xfId="0" applyNumberFormat="1" applyFont="1" applyFill="1" applyBorder="1"/>
    <xf numFmtId="0" fontId="29" fillId="0" borderId="12" xfId="0" applyFont="1" applyBorder="1"/>
    <xf numFmtId="175" fontId="29" fillId="0" borderId="12" xfId="0" applyNumberFormat="1" applyFont="1" applyBorder="1"/>
    <xf numFmtId="0" fontId="70" fillId="0" borderId="51" xfId="0" applyFont="1" applyFill="1" applyBorder="1"/>
    <xf numFmtId="10" fontId="2" fillId="5" borderId="74" xfId="0" applyNumberFormat="1" applyFont="1" applyFill="1" applyBorder="1"/>
    <xf numFmtId="10" fontId="20" fillId="5" borderId="74" xfId="0" applyNumberFormat="1" applyFont="1" applyFill="1" applyBorder="1"/>
    <xf numFmtId="0" fontId="2" fillId="0" borderId="54" xfId="0" applyFont="1" applyBorder="1"/>
    <xf numFmtId="10" fontId="2" fillId="11" borderId="14" xfId="0" applyNumberFormat="1" applyFont="1" applyFill="1" applyBorder="1"/>
    <xf numFmtId="39" fontId="0" fillId="0" borderId="40" xfId="0" applyNumberFormat="1" applyBorder="1"/>
    <xf numFmtId="0" fontId="2" fillId="0" borderId="60" xfId="0" applyFont="1" applyBorder="1"/>
    <xf numFmtId="10" fontId="2" fillId="11" borderId="31" xfId="0" applyNumberFormat="1" applyFont="1" applyFill="1" applyBorder="1"/>
    <xf numFmtId="39" fontId="0" fillId="0" borderId="64" xfId="0" applyNumberFormat="1" applyBorder="1"/>
    <xf numFmtId="39" fontId="0" fillId="14" borderId="40" xfId="0" applyNumberFormat="1" applyFill="1" applyBorder="1"/>
    <xf numFmtId="10" fontId="2" fillId="11" borderId="20" xfId="0" applyNumberFormat="1" applyFont="1" applyFill="1" applyBorder="1"/>
    <xf numFmtId="0" fontId="20" fillId="5" borderId="19" xfId="0" applyFont="1" applyFill="1" applyBorder="1"/>
    <xf numFmtId="175" fontId="20" fillId="11" borderId="19" xfId="0" applyNumberFormat="1" applyFont="1" applyFill="1" applyBorder="1"/>
    <xf numFmtId="186" fontId="30" fillId="11" borderId="40" xfId="0" applyNumberFormat="1" applyFont="1" applyFill="1" applyBorder="1"/>
    <xf numFmtId="2" fontId="30" fillId="11" borderId="40" xfId="4" applyNumberFormat="1" applyFont="1" applyFill="1" applyBorder="1"/>
    <xf numFmtId="175" fontId="30" fillId="11" borderId="40" xfId="0" applyNumberFormat="1" applyFont="1" applyFill="1" applyBorder="1"/>
    <xf numFmtId="175" fontId="69" fillId="11" borderId="40" xfId="0" applyNumberFormat="1" applyFont="1" applyFill="1" applyBorder="1"/>
    <xf numFmtId="175" fontId="30" fillId="11" borderId="57" xfId="0" applyNumberFormat="1" applyFont="1" applyFill="1" applyBorder="1"/>
    <xf numFmtId="175" fontId="30" fillId="11" borderId="14" xfId="0" applyNumberFormat="1" applyFont="1" applyFill="1" applyBorder="1"/>
    <xf numFmtId="0" fontId="30" fillId="0" borderId="14" xfId="0" applyFont="1" applyFill="1" applyBorder="1"/>
    <xf numFmtId="0" fontId="29" fillId="0" borderId="52" xfId="0" applyFont="1" applyBorder="1"/>
    <xf numFmtId="186" fontId="30" fillId="0" borderId="40" xfId="0" applyNumberFormat="1" applyFont="1" applyBorder="1"/>
    <xf numFmtId="10" fontId="30" fillId="0" borderId="40" xfId="4" applyNumberFormat="1" applyFont="1" applyFill="1" applyBorder="1"/>
    <xf numFmtId="2" fontId="30" fillId="0" borderId="40" xfId="4" applyNumberFormat="1" applyFont="1" applyFill="1" applyBorder="1"/>
    <xf numFmtId="175" fontId="30" fillId="0" borderId="40" xfId="0" applyNumberFormat="1" applyFont="1" applyBorder="1"/>
    <xf numFmtId="175" fontId="69" fillId="0" borderId="40" xfId="0" applyNumberFormat="1" applyFont="1" applyFill="1" applyBorder="1"/>
    <xf numFmtId="175" fontId="30" fillId="0" borderId="57" xfId="0" applyNumberFormat="1" applyFont="1" applyFill="1" applyBorder="1"/>
    <xf numFmtId="175" fontId="30" fillId="0" borderId="14" xfId="0" applyNumberFormat="1" applyFont="1" applyBorder="1"/>
    <xf numFmtId="178" fontId="30" fillId="0" borderId="14" xfId="0" applyNumberFormat="1" applyFont="1" applyBorder="1"/>
    <xf numFmtId="175" fontId="29" fillId="0" borderId="19" xfId="0" applyNumberFormat="1" applyFont="1" applyBorder="1"/>
    <xf numFmtId="186" fontId="30" fillId="0" borderId="64" xfId="0" applyNumberFormat="1" applyFont="1" applyBorder="1"/>
    <xf numFmtId="2" fontId="30" fillId="0" borderId="64" xfId="4" applyNumberFormat="1" applyFont="1" applyFill="1" applyBorder="1"/>
    <xf numFmtId="175" fontId="30" fillId="0" borderId="64" xfId="0" applyNumberFormat="1" applyFont="1" applyBorder="1"/>
    <xf numFmtId="175" fontId="69" fillId="0" borderId="64" xfId="0" applyNumberFormat="1" applyFont="1" applyFill="1" applyBorder="1"/>
    <xf numFmtId="175" fontId="30" fillId="0" borderId="59" xfId="0" applyNumberFormat="1" applyFont="1" applyFill="1" applyBorder="1"/>
    <xf numFmtId="175" fontId="30" fillId="0" borderId="31" xfId="0" applyNumberFormat="1" applyFont="1" applyBorder="1"/>
    <xf numFmtId="178" fontId="30" fillId="0" borderId="31" xfId="0" applyNumberFormat="1" applyFont="1" applyBorder="1"/>
    <xf numFmtId="175" fontId="29" fillId="0" borderId="43" xfId="0" applyNumberFormat="1" applyFont="1" applyBorder="1"/>
    <xf numFmtId="0" fontId="47" fillId="13" borderId="14" xfId="0" applyFont="1" applyFill="1" applyBorder="1" applyAlignment="1">
      <alignment vertical="center"/>
    </xf>
    <xf numFmtId="176" fontId="63" fillId="0" borderId="45" xfId="0" applyNumberFormat="1" applyFont="1" applyBorder="1"/>
    <xf numFmtId="10" fontId="35" fillId="0" borderId="14" xfId="4" applyNumberFormat="1" applyFont="1" applyBorder="1"/>
    <xf numFmtId="186" fontId="35" fillId="0" borderId="14" xfId="0" applyNumberFormat="1" applyFont="1" applyBorder="1"/>
    <xf numFmtId="0" fontId="35" fillId="0" borderId="14" xfId="0" applyFont="1" applyBorder="1"/>
    <xf numFmtId="0" fontId="47" fillId="13" borderId="31" xfId="0" applyFont="1" applyFill="1" applyBorder="1" applyAlignment="1">
      <alignment vertical="center"/>
    </xf>
    <xf numFmtId="184" fontId="63" fillId="0" borderId="44" xfId="0" applyNumberFormat="1" applyFont="1" applyBorder="1"/>
    <xf numFmtId="10" fontId="35" fillId="0" borderId="31" xfId="4" applyNumberFormat="1" applyFont="1" applyBorder="1"/>
    <xf numFmtId="186" fontId="35" fillId="0" borderId="64" xfId="0" applyNumberFormat="1" applyFont="1" applyBorder="1"/>
    <xf numFmtId="0" fontId="35" fillId="11" borderId="31" xfId="0" applyFont="1" applyFill="1" applyBorder="1"/>
    <xf numFmtId="10" fontId="35" fillId="0" borderId="64" xfId="0" applyNumberFormat="1" applyFont="1" applyBorder="1"/>
    <xf numFmtId="185" fontId="35" fillId="0" borderId="31" xfId="0" applyNumberFormat="1" applyFont="1" applyBorder="1"/>
    <xf numFmtId="0" fontId="0" fillId="0" borderId="22" xfId="0" applyBorder="1"/>
    <xf numFmtId="0" fontId="35" fillId="0" borderId="31" xfId="0" applyFont="1" applyBorder="1"/>
    <xf numFmtId="0" fontId="46" fillId="0" borderId="31" xfId="0" applyFont="1" applyFill="1" applyBorder="1" applyAlignment="1">
      <alignment horizontal="left" vertical="center"/>
    </xf>
    <xf numFmtId="0" fontId="29" fillId="0" borderId="0" xfId="0" applyFont="1"/>
    <xf numFmtId="175" fontId="30" fillId="0" borderId="15" xfId="0" applyNumberFormat="1" applyFont="1" applyBorder="1"/>
    <xf numFmtId="175" fontId="30" fillId="0" borderId="61" xfId="0" applyNumberFormat="1" applyFont="1" applyBorder="1"/>
    <xf numFmtId="175" fontId="30" fillId="0" borderId="2" xfId="0" applyNumberFormat="1" applyFont="1" applyBorder="1"/>
    <xf numFmtId="175" fontId="29" fillId="0" borderId="52" xfId="0" applyNumberFormat="1" applyFont="1" applyBorder="1"/>
    <xf numFmtId="175" fontId="29" fillId="0" borderId="53" xfId="0" applyNumberFormat="1" applyFont="1" applyBorder="1"/>
    <xf numFmtId="175" fontId="29" fillId="0" borderId="1" xfId="0" applyNumberFormat="1" applyFont="1" applyBorder="1"/>
    <xf numFmtId="0" fontId="29" fillId="10" borderId="12" xfId="0" applyFont="1" applyFill="1" applyBorder="1"/>
    <xf numFmtId="0" fontId="30" fillId="10" borderId="12" xfId="0" applyFont="1" applyFill="1" applyBorder="1"/>
    <xf numFmtId="0" fontId="30" fillId="10" borderId="19" xfId="0" applyFont="1" applyFill="1" applyBorder="1"/>
    <xf numFmtId="175" fontId="29" fillId="10" borderId="19" xfId="0" applyNumberFormat="1" applyFont="1" applyFill="1" applyBorder="1"/>
    <xf numFmtId="175" fontId="29" fillId="10" borderId="43" xfId="0" applyNumberFormat="1" applyFont="1" applyFill="1" applyBorder="1"/>
    <xf numFmtId="175" fontId="29" fillId="10" borderId="12" xfId="0" applyNumberFormat="1" applyFont="1" applyFill="1" applyBorder="1"/>
    <xf numFmtId="0" fontId="29" fillId="0" borderId="12" xfId="0" applyFont="1" applyFill="1" applyBorder="1"/>
    <xf numFmtId="0" fontId="30" fillId="0" borderId="12" xfId="0" applyFont="1" applyFill="1" applyBorder="1"/>
    <xf numFmtId="175" fontId="29" fillId="0" borderId="12" xfId="0" applyNumberFormat="1" applyFont="1" applyFill="1" applyBorder="1"/>
    <xf numFmtId="175" fontId="29" fillId="0" borderId="19" xfId="0" applyNumberFormat="1" applyFont="1" applyFill="1" applyBorder="1"/>
    <xf numFmtId="0" fontId="30" fillId="0" borderId="62" xfId="0" applyFont="1" applyBorder="1"/>
    <xf numFmtId="0" fontId="30" fillId="0" borderId="54" xfId="0" applyFont="1" applyBorder="1"/>
    <xf numFmtId="175" fontId="29" fillId="0" borderId="20" xfId="0" applyNumberFormat="1" applyFont="1" applyBorder="1"/>
    <xf numFmtId="175" fontId="29" fillId="0" borderId="32" xfId="0" applyNumberFormat="1" applyFont="1" applyBorder="1"/>
    <xf numFmtId="175" fontId="29" fillId="0" borderId="21" xfId="0" applyNumberFormat="1" applyFont="1" applyBorder="1"/>
    <xf numFmtId="175" fontId="29" fillId="0" borderId="54" xfId="0" applyNumberFormat="1" applyFont="1" applyBorder="1"/>
    <xf numFmtId="175" fontId="29" fillId="0" borderId="60" xfId="0" applyNumberFormat="1" applyFont="1" applyBorder="1"/>
    <xf numFmtId="175" fontId="29" fillId="0" borderId="51" xfId="0" applyNumberFormat="1" applyFont="1" applyBorder="1"/>
    <xf numFmtId="10" fontId="29" fillId="10" borderId="12" xfId="4" applyNumberFormat="1" applyFont="1" applyFill="1" applyBorder="1"/>
    <xf numFmtId="10" fontId="29" fillId="10" borderId="19" xfId="4" applyNumberFormat="1" applyFont="1" applyFill="1" applyBorder="1"/>
    <xf numFmtId="175" fontId="30" fillId="0" borderId="14" xfId="0" applyNumberFormat="1" applyFont="1" applyBorder="1" applyAlignment="1">
      <alignment horizontal="right"/>
    </xf>
    <xf numFmtId="10" fontId="30" fillId="0" borderId="14" xfId="0" applyNumberFormat="1" applyFont="1" applyBorder="1"/>
    <xf numFmtId="0" fontId="29" fillId="10" borderId="4" xfId="0" applyFont="1" applyFill="1" applyBorder="1" applyAlignment="1"/>
    <xf numFmtId="0" fontId="29" fillId="10" borderId="57" xfId="0" applyFont="1" applyFill="1" applyBorder="1" applyAlignment="1"/>
    <xf numFmtId="10" fontId="29" fillId="10" borderId="59" xfId="4" applyNumberFormat="1" applyFont="1" applyFill="1" applyBorder="1" applyAlignment="1"/>
    <xf numFmtId="10" fontId="29" fillId="10" borderId="57" xfId="4" applyNumberFormat="1" applyFont="1" applyFill="1" applyBorder="1" applyAlignment="1"/>
    <xf numFmtId="0" fontId="30" fillId="0" borderId="46" xfId="0" applyFont="1" applyBorder="1"/>
    <xf numFmtId="0" fontId="30" fillId="0" borderId="56" xfId="0" applyFont="1" applyBorder="1"/>
    <xf numFmtId="10" fontId="30" fillId="0" borderId="58" xfId="0" applyNumberFormat="1" applyFont="1" applyBorder="1"/>
    <xf numFmtId="10" fontId="30" fillId="0" borderId="56" xfId="0" applyNumberFormat="1" applyFont="1" applyBorder="1"/>
    <xf numFmtId="0" fontId="29" fillId="10" borderId="19" xfId="0" applyFont="1" applyFill="1" applyBorder="1"/>
    <xf numFmtId="10" fontId="29" fillId="10" borderId="43" xfId="0" applyNumberFormat="1" applyFont="1" applyFill="1" applyBorder="1"/>
    <xf numFmtId="10" fontId="29" fillId="10" borderId="19" xfId="0" applyNumberFormat="1" applyFont="1" applyFill="1" applyBorder="1"/>
    <xf numFmtId="0" fontId="29" fillId="5" borderId="0" xfId="0" applyFont="1" applyFill="1"/>
    <xf numFmtId="10" fontId="29" fillId="5" borderId="0" xfId="0" applyNumberFormat="1" applyFont="1" applyFill="1"/>
    <xf numFmtId="0" fontId="30" fillId="0" borderId="14" xfId="0" applyFont="1" applyBorder="1" applyAlignment="1">
      <alignment vertical="top"/>
    </xf>
    <xf numFmtId="0" fontId="30" fillId="0" borderId="31" xfId="0" applyFont="1" applyBorder="1" applyAlignment="1">
      <alignment vertical="top"/>
    </xf>
    <xf numFmtId="10" fontId="29" fillId="5" borderId="0" xfId="4" applyNumberFormat="1" applyFont="1" applyFill="1"/>
    <xf numFmtId="0" fontId="73" fillId="14" borderId="46" xfId="0" applyFont="1" applyFill="1" applyBorder="1"/>
    <xf numFmtId="0" fontId="74" fillId="14" borderId="46" xfId="0" applyFont="1" applyFill="1" applyBorder="1"/>
    <xf numFmtId="17" fontId="73" fillId="14" borderId="46" xfId="0" applyNumberFormat="1" applyFont="1" applyFill="1" applyBorder="1"/>
    <xf numFmtId="0" fontId="71" fillId="14" borderId="46" xfId="0" applyFont="1" applyFill="1" applyBorder="1"/>
    <xf numFmtId="17" fontId="59" fillId="14" borderId="46" xfId="0" applyNumberFormat="1" applyFont="1" applyFill="1" applyBorder="1"/>
    <xf numFmtId="43" fontId="24" fillId="0" borderId="0" xfId="0" applyNumberFormat="1" applyFont="1"/>
    <xf numFmtId="0" fontId="75" fillId="0" borderId="0" xfId="0" applyFont="1"/>
    <xf numFmtId="0" fontId="21" fillId="0" borderId="0" xfId="0" applyFont="1" applyFill="1" applyAlignment="1"/>
    <xf numFmtId="2" fontId="22" fillId="0" borderId="0" xfId="4" applyNumberFormat="1" applyFont="1"/>
    <xf numFmtId="0" fontId="20" fillId="0" borderId="0" xfId="0" applyFont="1" applyFill="1" applyBorder="1" applyAlignment="1">
      <alignment horizontal="center"/>
    </xf>
    <xf numFmtId="10" fontId="22" fillId="0" borderId="0" xfId="4" applyNumberFormat="1" applyFont="1" applyBorder="1"/>
    <xf numFmtId="2" fontId="22" fillId="0" borderId="0" xfId="0" applyNumberFormat="1" applyFont="1" applyBorder="1"/>
    <xf numFmtId="0" fontId="41" fillId="0" borderId="0" xfId="0" applyFont="1" applyFill="1" applyBorder="1" applyAlignment="1">
      <alignment horizontal="centerContinuous"/>
    </xf>
    <xf numFmtId="0" fontId="22" fillId="0" borderId="0" xfId="0" applyFont="1" applyFill="1" applyBorder="1" applyAlignment="1"/>
    <xf numFmtId="0" fontId="41" fillId="0" borderId="0" xfId="0" applyFont="1" applyFill="1" applyBorder="1" applyAlignment="1">
      <alignment horizontal="center"/>
    </xf>
    <xf numFmtId="10" fontId="22" fillId="0" borderId="0" xfId="4" applyNumberFormat="1" applyFont="1" applyFill="1"/>
    <xf numFmtId="0" fontId="22" fillId="12" borderId="0" xfId="0" applyFont="1" applyFill="1"/>
    <xf numFmtId="0" fontId="29" fillId="0" borderId="17" xfId="0" applyFont="1" applyBorder="1"/>
    <xf numFmtId="0" fontId="29" fillId="0" borderId="78" xfId="0" applyFont="1" applyBorder="1" applyAlignment="1">
      <alignment horizontal="right"/>
    </xf>
    <xf numFmtId="0" fontId="30" fillId="0" borderId="41" xfId="0" applyFont="1" applyBorder="1"/>
    <xf numFmtId="2" fontId="30" fillId="0" borderId="9" xfId="0" applyNumberFormat="1" applyFont="1" applyBorder="1"/>
    <xf numFmtId="10" fontId="30" fillId="0" borderId="9" xfId="0" applyNumberFormat="1" applyFont="1" applyBorder="1"/>
    <xf numFmtId="0" fontId="30" fillId="0" borderId="9" xfId="0" applyFont="1" applyBorder="1"/>
    <xf numFmtId="0" fontId="30" fillId="0" borderId="16" xfId="0" applyFont="1" applyBorder="1"/>
    <xf numFmtId="10" fontId="30" fillId="0" borderId="10" xfId="0" applyNumberFormat="1" applyFont="1" applyBorder="1"/>
    <xf numFmtId="0" fontId="29" fillId="10" borderId="76" xfId="0" applyFont="1" applyFill="1" applyBorder="1"/>
    <xf numFmtId="2" fontId="29" fillId="10" borderId="75" xfId="0" applyNumberFormat="1" applyFont="1" applyFill="1" applyBorder="1"/>
    <xf numFmtId="4" fontId="30" fillId="0" borderId="0" xfId="0" applyNumberFormat="1" applyFont="1"/>
    <xf numFmtId="0" fontId="76" fillId="8" borderId="0" xfId="0" applyFont="1" applyFill="1" applyBorder="1" applyAlignment="1">
      <alignment horizontal="center"/>
    </xf>
    <xf numFmtId="15" fontId="77" fillId="0" borderId="0" xfId="0" applyNumberFormat="1" applyFont="1"/>
    <xf numFmtId="3" fontId="22" fillId="0" borderId="0" xfId="0" applyNumberFormat="1" applyFont="1" applyBorder="1"/>
    <xf numFmtId="179" fontId="22" fillId="0" borderId="0" xfId="0" applyNumberFormat="1" applyFont="1" applyBorder="1"/>
    <xf numFmtId="43" fontId="29" fillId="0" borderId="0" xfId="0" applyNumberFormat="1" applyFont="1"/>
    <xf numFmtId="0" fontId="72" fillId="0" borderId="0" xfId="0" applyFont="1"/>
    <xf numFmtId="0" fontId="26" fillId="0" borderId="0" xfId="0" applyFont="1" applyFill="1"/>
    <xf numFmtId="17" fontId="26" fillId="0" borderId="0" xfId="0" applyNumberFormat="1" applyFont="1" applyFill="1" applyAlignment="1">
      <alignment horizontal="right"/>
    </xf>
    <xf numFmtId="0" fontId="78" fillId="0" borderId="0" xfId="0" applyFont="1" applyFill="1" applyBorder="1" applyAlignment="1">
      <alignment vertical="center"/>
    </xf>
    <xf numFmtId="0" fontId="78" fillId="11" borderId="0" xfId="0" applyFont="1" applyFill="1" applyBorder="1" applyAlignment="1">
      <alignment vertical="center"/>
    </xf>
    <xf numFmtId="0" fontId="30" fillId="0" borderId="0" xfId="0" applyFont="1" applyAlignment="1"/>
    <xf numFmtId="0" fontId="30" fillId="0" borderId="10" xfId="0" applyFont="1" applyBorder="1"/>
    <xf numFmtId="10" fontId="30" fillId="0" borderId="10" xfId="4" applyNumberFormat="1" applyFont="1" applyBorder="1"/>
    <xf numFmtId="10" fontId="30" fillId="11" borderId="10" xfId="4" applyNumberFormat="1" applyFont="1" applyFill="1" applyBorder="1"/>
    <xf numFmtId="0" fontId="30" fillId="0" borderId="8" xfId="0" applyFont="1" applyBorder="1"/>
    <xf numFmtId="10" fontId="30" fillId="0" borderId="8" xfId="4" applyNumberFormat="1" applyFont="1" applyBorder="1"/>
    <xf numFmtId="10" fontId="30" fillId="11" borderId="8" xfId="4" applyNumberFormat="1" applyFont="1" applyFill="1" applyBorder="1"/>
    <xf numFmtId="0" fontId="30" fillId="0" borderId="8" xfId="0" applyFont="1" applyBorder="1" applyAlignment="1">
      <alignment horizontal="right"/>
    </xf>
    <xf numFmtId="10" fontId="30" fillId="11" borderId="0" xfId="4" applyNumberFormat="1" applyFont="1" applyFill="1"/>
    <xf numFmtId="169" fontId="30" fillId="0" borderId="10" xfId="0" applyNumberFormat="1" applyFont="1" applyBorder="1"/>
    <xf numFmtId="169" fontId="30" fillId="11" borderId="10" xfId="0" applyNumberFormat="1" applyFont="1" applyFill="1" applyBorder="1"/>
    <xf numFmtId="2" fontId="30" fillId="0" borderId="0" xfId="0" applyNumberFormat="1" applyFont="1" applyFill="1" applyBorder="1"/>
    <xf numFmtId="2" fontId="30" fillId="11" borderId="0" xfId="0" applyNumberFormat="1" applyFont="1" applyFill="1" applyBorder="1"/>
    <xf numFmtId="2" fontId="30" fillId="0" borderId="8" xfId="4" applyNumberFormat="1" applyFont="1" applyBorder="1"/>
    <xf numFmtId="2" fontId="30" fillId="11" borderId="8" xfId="4" applyNumberFormat="1" applyFont="1" applyFill="1" applyBorder="1"/>
    <xf numFmtId="2" fontId="30" fillId="0" borderId="8" xfId="0" applyNumberFormat="1" applyFont="1" applyFill="1" applyBorder="1"/>
    <xf numFmtId="2" fontId="30" fillId="0" borderId="0" xfId="4" applyNumberFormat="1" applyFont="1" applyBorder="1"/>
    <xf numFmtId="169" fontId="30" fillId="0" borderId="0" xfId="0" applyNumberFormat="1" applyFont="1" applyBorder="1"/>
    <xf numFmtId="169" fontId="30" fillId="11" borderId="0" xfId="0" applyNumberFormat="1" applyFont="1" applyFill="1" applyBorder="1"/>
    <xf numFmtId="2" fontId="30" fillId="0" borderId="0" xfId="0" applyNumberFormat="1" applyFont="1" applyBorder="1"/>
    <xf numFmtId="181" fontId="30" fillId="0" borderId="8" xfId="0" applyNumberFormat="1" applyFont="1" applyBorder="1"/>
    <xf numFmtId="181" fontId="30" fillId="11" borderId="8" xfId="0" applyNumberFormat="1" applyFont="1" applyFill="1" applyBorder="1"/>
    <xf numFmtId="43" fontId="30" fillId="0" borderId="0" xfId="1" applyFont="1" applyBorder="1"/>
    <xf numFmtId="0" fontId="79" fillId="0" borderId="0" xfId="0" applyFont="1" applyFill="1" applyBorder="1" applyAlignment="1">
      <alignment vertical="center"/>
    </xf>
    <xf numFmtId="2" fontId="0" fillId="0" borderId="0" xfId="0" applyNumberFormat="1" applyAlignment="1">
      <alignment horizontal="right"/>
    </xf>
    <xf numFmtId="0" fontId="0" fillId="0" borderId="0" xfId="0" applyAlignment="1">
      <alignment horizontal="right"/>
    </xf>
    <xf numFmtId="0" fontId="80" fillId="0" borderId="0" xfId="0" applyFont="1" applyBorder="1"/>
    <xf numFmtId="0" fontId="5" fillId="0" borderId="0" xfId="2" applyFill="1" applyBorder="1" applyAlignment="1" applyProtection="1">
      <alignment horizontal="left" vertical="center" indent="1"/>
    </xf>
    <xf numFmtId="0" fontId="81" fillId="0" borderId="0" xfId="0" applyFont="1" applyFill="1" applyBorder="1" applyAlignment="1">
      <alignment horizontal="right" vertical="center" wrapText="1" indent="1"/>
    </xf>
    <xf numFmtId="0" fontId="0" fillId="0" borderId="0" xfId="0" applyBorder="1" applyAlignment="1">
      <alignment horizontal="left"/>
    </xf>
    <xf numFmtId="0" fontId="0" fillId="0" borderId="0" xfId="0" applyBorder="1" applyAlignment="1">
      <alignment horizontal="center"/>
    </xf>
    <xf numFmtId="0" fontId="0" fillId="0" borderId="0" xfId="0" applyFill="1" applyBorder="1" applyAlignment="1">
      <alignment horizontal="left"/>
    </xf>
    <xf numFmtId="2" fontId="0" fillId="0" borderId="0" xfId="0" applyNumberFormat="1" applyFill="1" applyBorder="1" applyAlignment="1">
      <alignment horizontal="left"/>
    </xf>
    <xf numFmtId="0" fontId="0" fillId="0" borderId="0" xfId="0" applyNumberFormat="1" applyBorder="1" applyAlignment="1">
      <alignment horizontal="center"/>
    </xf>
    <xf numFmtId="0" fontId="0" fillId="0" borderId="0" xfId="0" applyNumberFormat="1" applyBorder="1" applyAlignment="1">
      <alignment horizontal="center" wrapText="1"/>
    </xf>
    <xf numFmtId="0" fontId="30" fillId="0" borderId="0" xfId="0" applyFont="1" applyFill="1" applyBorder="1" applyAlignment="1">
      <alignment horizontal="right"/>
    </xf>
    <xf numFmtId="0" fontId="29" fillId="0" borderId="0" xfId="0" applyFont="1" applyAlignment="1"/>
    <xf numFmtId="0" fontId="30" fillId="0" borderId="0" xfId="0" applyFont="1" applyFill="1" applyBorder="1" applyAlignment="1"/>
    <xf numFmtId="0" fontId="82" fillId="0" borderId="0" xfId="0" applyFont="1" applyFill="1" applyBorder="1" applyAlignment="1">
      <alignment vertical="center" wrapText="1"/>
    </xf>
    <xf numFmtId="179" fontId="30" fillId="0" borderId="0" xfId="0" applyNumberFormat="1" applyFont="1" applyFill="1" applyBorder="1"/>
    <xf numFmtId="0" fontId="73" fillId="0" borderId="80" xfId="0" applyFont="1" applyFill="1" applyBorder="1" applyAlignment="1">
      <alignment horizontal="right" wrapText="1"/>
    </xf>
    <xf numFmtId="0" fontId="22" fillId="0" borderId="14" xfId="0" applyFont="1" applyBorder="1" applyAlignment="1">
      <alignment horizontal="left"/>
    </xf>
    <xf numFmtId="0" fontId="73" fillId="0" borderId="30" xfId="0" applyFont="1" applyFill="1" applyBorder="1" applyAlignment="1">
      <alignment horizontal="right" wrapText="1"/>
    </xf>
    <xf numFmtId="0" fontId="22" fillId="0" borderId="31" xfId="0" applyFont="1" applyBorder="1" applyAlignment="1">
      <alignment horizontal="right"/>
    </xf>
    <xf numFmtId="3" fontId="30" fillId="0" borderId="5" xfId="0" applyNumberFormat="1" applyFont="1" applyFill="1" applyBorder="1" applyAlignment="1">
      <alignment horizontal="right"/>
    </xf>
    <xf numFmtId="179" fontId="30" fillId="0" borderId="5" xfId="0" applyNumberFormat="1" applyFont="1" applyFill="1" applyBorder="1" applyAlignment="1">
      <alignment horizontal="right"/>
    </xf>
    <xf numFmtId="0" fontId="30" fillId="0" borderId="40" xfId="0" applyFont="1" applyFill="1" applyBorder="1" applyAlignment="1">
      <alignment horizontal="left"/>
    </xf>
    <xf numFmtId="0" fontId="30" fillId="0" borderId="64" xfId="0" applyFont="1" applyFill="1" applyBorder="1" applyAlignment="1">
      <alignment horizontal="center"/>
    </xf>
    <xf numFmtId="4" fontId="30" fillId="0" borderId="64" xfId="0" applyNumberFormat="1" applyFont="1" applyFill="1" applyBorder="1" applyAlignment="1">
      <alignment horizontal="right"/>
    </xf>
    <xf numFmtId="3" fontId="22" fillId="0" borderId="31" xfId="0" applyNumberFormat="1" applyFont="1" applyBorder="1"/>
    <xf numFmtId="2" fontId="22" fillId="0" borderId="31" xfId="0" applyNumberFormat="1" applyFont="1" applyBorder="1"/>
    <xf numFmtId="3" fontId="30" fillId="0" borderId="64" xfId="0" applyNumberFormat="1" applyFont="1" applyFill="1" applyBorder="1" applyAlignment="1">
      <alignment horizontal="right"/>
    </xf>
    <xf numFmtId="3" fontId="30" fillId="0" borderId="40" xfId="0" applyNumberFormat="1" applyFont="1" applyFill="1" applyBorder="1" applyAlignment="1">
      <alignment horizontal="right"/>
    </xf>
    <xf numFmtId="3" fontId="22" fillId="0" borderId="14" xfId="0" applyNumberFormat="1" applyFont="1" applyBorder="1"/>
    <xf numFmtId="3" fontId="22" fillId="0" borderId="35" xfId="0" applyNumberFormat="1" applyFont="1" applyBorder="1"/>
    <xf numFmtId="179" fontId="30" fillId="0" borderId="64" xfId="0" applyNumberFormat="1" applyFont="1" applyFill="1" applyBorder="1" applyAlignment="1">
      <alignment horizontal="right"/>
    </xf>
    <xf numFmtId="179" fontId="22" fillId="0" borderId="35" xfId="0" applyNumberFormat="1" applyFont="1" applyBorder="1"/>
    <xf numFmtId="0" fontId="22" fillId="0" borderId="22" xfId="0" applyFont="1" applyBorder="1"/>
    <xf numFmtId="0" fontId="30" fillId="0" borderId="31" xfId="0" applyFont="1" applyFill="1" applyBorder="1"/>
    <xf numFmtId="0" fontId="29" fillId="10" borderId="86" xfId="0" applyFont="1" applyFill="1" applyBorder="1"/>
    <xf numFmtId="0" fontId="29" fillId="10" borderId="87" xfId="0" applyFont="1" applyFill="1" applyBorder="1"/>
    <xf numFmtId="173" fontId="29" fillId="10" borderId="86" xfId="0" applyNumberFormat="1" applyFont="1" applyFill="1" applyBorder="1"/>
    <xf numFmtId="173" fontId="29" fillId="10" borderId="88" xfId="0" applyNumberFormat="1" applyFont="1" applyFill="1" applyBorder="1"/>
    <xf numFmtId="0" fontId="32" fillId="0" borderId="0" xfId="0" applyFont="1" applyFill="1" applyBorder="1"/>
    <xf numFmtId="0" fontId="30" fillId="0" borderId="89" xfId="0" applyFont="1" applyFill="1" applyBorder="1"/>
    <xf numFmtId="0" fontId="32" fillId="0" borderId="0" xfId="0" applyFont="1" applyFill="1" applyBorder="1" applyAlignment="1">
      <alignment horizontal="center"/>
    </xf>
    <xf numFmtId="0" fontId="22" fillId="0" borderId="2" xfId="0" applyFont="1" applyBorder="1" applyAlignment="1">
      <alignment horizontal="right"/>
    </xf>
    <xf numFmtId="0" fontId="22" fillId="0" borderId="0" xfId="0" applyFont="1" applyBorder="1" applyAlignment="1">
      <alignment horizontal="right"/>
    </xf>
    <xf numFmtId="0" fontId="73" fillId="0" borderId="78" xfId="0" applyFont="1" applyFill="1" applyBorder="1" applyAlignment="1">
      <alignment horizontal="center"/>
    </xf>
    <xf numFmtId="0" fontId="73" fillId="0" borderId="78" xfId="0" applyFont="1" applyFill="1" applyBorder="1"/>
    <xf numFmtId="0" fontId="30" fillId="6" borderId="40" xfId="0" applyFont="1" applyFill="1" applyBorder="1" applyAlignment="1">
      <alignment horizontal="left"/>
    </xf>
    <xf numFmtId="0" fontId="30" fillId="6" borderId="40" xfId="0" applyFont="1" applyFill="1" applyBorder="1" applyAlignment="1">
      <alignment horizontal="center"/>
    </xf>
    <xf numFmtId="4" fontId="30" fillId="6" borderId="64" xfId="0" applyNumberFormat="1" applyFont="1" applyFill="1" applyBorder="1" applyAlignment="1">
      <alignment horizontal="right"/>
    </xf>
    <xf numFmtId="3" fontId="30" fillId="6" borderId="64" xfId="0" applyNumberFormat="1" applyFont="1" applyFill="1" applyBorder="1" applyAlignment="1">
      <alignment horizontal="right"/>
    </xf>
    <xf numFmtId="3" fontId="30" fillId="6" borderId="5" xfId="0" applyNumberFormat="1" applyFont="1" applyFill="1" applyBorder="1" applyAlignment="1">
      <alignment horizontal="right"/>
    </xf>
    <xf numFmtId="3" fontId="30" fillId="6" borderId="40" xfId="0" applyNumberFormat="1" applyFont="1" applyFill="1" applyBorder="1" applyAlignment="1">
      <alignment horizontal="right"/>
    </xf>
    <xf numFmtId="179" fontId="30" fillId="6" borderId="5" xfId="0" applyNumberFormat="1" applyFont="1" applyFill="1" applyBorder="1" applyAlignment="1">
      <alignment horizontal="right"/>
    </xf>
    <xf numFmtId="179" fontId="30" fillId="6" borderId="64" xfId="0" applyNumberFormat="1" applyFont="1" applyFill="1" applyBorder="1" applyAlignment="1">
      <alignment horizontal="right"/>
    </xf>
    <xf numFmtId="0" fontId="30" fillId="0" borderId="84" xfId="0" applyFont="1" applyFill="1" applyBorder="1"/>
    <xf numFmtId="179" fontId="30" fillId="0" borderId="85" xfId="0" applyNumberFormat="1" applyFont="1" applyFill="1" applyBorder="1"/>
    <xf numFmtId="179" fontId="30" fillId="0" borderId="84" xfId="0" applyNumberFormat="1" applyFont="1" applyFill="1" applyBorder="1"/>
    <xf numFmtId="0" fontId="29" fillId="0" borderId="84" xfId="0" applyFont="1" applyFill="1" applyBorder="1"/>
    <xf numFmtId="179" fontId="29" fillId="0" borderId="85" xfId="0" applyNumberFormat="1" applyFont="1" applyFill="1" applyBorder="1"/>
    <xf numFmtId="179" fontId="29" fillId="0" borderId="84" xfId="0" applyNumberFormat="1" applyFont="1" applyFill="1" applyBorder="1"/>
    <xf numFmtId="0" fontId="73" fillId="0" borderId="17" xfId="0" applyFont="1" applyFill="1" applyBorder="1" applyAlignment="1">
      <alignment horizontal="center"/>
    </xf>
    <xf numFmtId="0" fontId="22" fillId="0" borderId="61" xfId="0" applyFont="1" applyBorder="1" applyAlignment="1">
      <alignment horizontal="center"/>
    </xf>
    <xf numFmtId="0" fontId="73" fillId="0" borderId="81" xfId="0" applyFont="1" applyFill="1" applyBorder="1" applyAlignment="1">
      <alignment horizontal="right" wrapText="1"/>
    </xf>
    <xf numFmtId="0" fontId="73" fillId="0" borderId="17" xfId="0" applyFont="1" applyFill="1" applyBorder="1" applyAlignment="1">
      <alignment horizontal="left"/>
    </xf>
    <xf numFmtId="0" fontId="73" fillId="0" borderId="17" xfId="0" applyFont="1" applyFill="1" applyBorder="1" applyAlignment="1">
      <alignment horizontal="right" wrapText="1"/>
    </xf>
    <xf numFmtId="0" fontId="22" fillId="0" borderId="15" xfId="0" applyFont="1" applyBorder="1" applyAlignment="1">
      <alignment horizontal="right"/>
    </xf>
    <xf numFmtId="0" fontId="73" fillId="0" borderId="78" xfId="0" applyFont="1" applyFill="1" applyBorder="1" applyAlignment="1"/>
    <xf numFmtId="0" fontId="73" fillId="0" borderId="17" xfId="0" applyFont="1" applyFill="1" applyBorder="1" applyAlignment="1"/>
    <xf numFmtId="0" fontId="73" fillId="0" borderId="30" xfId="0" applyFont="1" applyFill="1" applyBorder="1" applyAlignment="1">
      <alignment horizontal="center"/>
    </xf>
    <xf numFmtId="0" fontId="22" fillId="0" borderId="61" xfId="0" applyFont="1" applyBorder="1" applyAlignment="1">
      <alignment horizontal="right"/>
    </xf>
    <xf numFmtId="0" fontId="22" fillId="0" borderId="78" xfId="0" applyFont="1" applyBorder="1"/>
    <xf numFmtId="3" fontId="30" fillId="6" borderId="83" xfId="0" applyNumberFormat="1" applyFont="1" applyFill="1" applyBorder="1" applyAlignment="1">
      <alignment horizontal="right"/>
    </xf>
    <xf numFmtId="3" fontId="30" fillId="0" borderId="83" xfId="0" applyNumberFormat="1" applyFont="1" applyFill="1" applyBorder="1" applyAlignment="1">
      <alignment horizontal="right"/>
    </xf>
    <xf numFmtId="179" fontId="30" fillId="0" borderId="31" xfId="0" applyNumberFormat="1" applyFont="1" applyFill="1" applyBorder="1"/>
    <xf numFmtId="0" fontId="30" fillId="6" borderId="9" xfId="0" applyFont="1" applyFill="1" applyBorder="1"/>
    <xf numFmtId="0" fontId="30" fillId="6" borderId="41" xfId="0" applyFont="1" applyFill="1" applyBorder="1"/>
    <xf numFmtId="3" fontId="30" fillId="6" borderId="9" xfId="0" applyNumberFormat="1" applyFont="1" applyFill="1" applyBorder="1"/>
    <xf numFmtId="3" fontId="30" fillId="6" borderId="42" xfId="0" applyNumberFormat="1" applyFont="1" applyFill="1" applyBorder="1"/>
    <xf numFmtId="0" fontId="59" fillId="0" borderId="78" xfId="0" applyFont="1" applyFill="1" applyBorder="1"/>
    <xf numFmtId="0" fontId="71" fillId="0" borderId="78" xfId="0" applyFont="1" applyFill="1" applyBorder="1"/>
    <xf numFmtId="0" fontId="59" fillId="0" borderId="78" xfId="0" applyFont="1" applyFill="1" applyBorder="1" applyAlignment="1">
      <alignment horizontal="right"/>
    </xf>
    <xf numFmtId="0" fontId="59" fillId="14" borderId="0" xfId="0" applyFont="1" applyFill="1"/>
    <xf numFmtId="0" fontId="71" fillId="14" borderId="0" xfId="0" applyFont="1" applyFill="1"/>
    <xf numFmtId="0" fontId="71" fillId="0" borderId="0" xfId="0" applyFont="1" applyFill="1"/>
    <xf numFmtId="0" fontId="30" fillId="5" borderId="90" xfId="0" applyFont="1" applyFill="1" applyBorder="1" applyAlignment="1">
      <alignment horizontal="right"/>
    </xf>
    <xf numFmtId="2" fontId="30" fillId="0" borderId="5" xfId="0" applyNumberFormat="1" applyFont="1" applyBorder="1"/>
    <xf numFmtId="0" fontId="30" fillId="5" borderId="82" xfId="0" applyFont="1" applyFill="1" applyBorder="1" applyAlignment="1">
      <alignment horizontal="right"/>
    </xf>
    <xf numFmtId="0" fontId="17" fillId="0" borderId="31" xfId="0" applyFont="1" applyBorder="1"/>
    <xf numFmtId="0" fontId="30" fillId="5" borderId="79" xfId="0" applyFont="1" applyFill="1" applyBorder="1" applyAlignment="1">
      <alignment horizontal="right"/>
    </xf>
    <xf numFmtId="2" fontId="30" fillId="0" borderId="40" xfId="0" applyNumberFormat="1" applyFont="1" applyBorder="1"/>
    <xf numFmtId="0" fontId="30" fillId="5" borderId="91" xfId="0" applyFont="1" applyFill="1" applyBorder="1"/>
    <xf numFmtId="0" fontId="30" fillId="5" borderId="92" xfId="0" applyFont="1" applyFill="1" applyBorder="1"/>
    <xf numFmtId="0" fontId="30" fillId="5" borderId="93" xfId="0" applyFont="1" applyFill="1" applyBorder="1"/>
    <xf numFmtId="0" fontId="0" fillId="14" borderId="0" xfId="0" applyFill="1"/>
    <xf numFmtId="188" fontId="30" fillId="0" borderId="0" xfId="0" applyNumberFormat="1" applyFont="1"/>
    <xf numFmtId="174" fontId="30" fillId="0" borderId="0" xfId="0" applyNumberFormat="1" applyFont="1" applyAlignment="1">
      <alignment horizontal="left"/>
    </xf>
    <xf numFmtId="0" fontId="29" fillId="0" borderId="9" xfId="0" applyFont="1" applyBorder="1"/>
    <xf numFmtId="10" fontId="30" fillId="0" borderId="9" xfId="4" applyNumberFormat="1" applyFont="1" applyBorder="1"/>
    <xf numFmtId="173" fontId="30" fillId="0" borderId="9" xfId="4" applyNumberFormat="1" applyFont="1" applyBorder="1"/>
    <xf numFmtId="0" fontId="30" fillId="0" borderId="81" xfId="0" applyFont="1" applyBorder="1"/>
    <xf numFmtId="0" fontId="29" fillId="0" borderId="87" xfId="0" applyFont="1" applyBorder="1" applyAlignment="1">
      <alignment horizontal="left"/>
    </xf>
    <xf numFmtId="0" fontId="29" fillId="0" borderId="87" xfId="0" applyFont="1" applyBorder="1" applyAlignment="1">
      <alignment horizontal="right"/>
    </xf>
    <xf numFmtId="0" fontId="29" fillId="0" borderId="86" xfId="0" applyFont="1" applyBorder="1" applyAlignment="1">
      <alignment horizontal="right"/>
    </xf>
    <xf numFmtId="180" fontId="30" fillId="0" borderId="14" xfId="4" applyNumberFormat="1" applyFont="1" applyBorder="1" applyAlignment="1">
      <alignment horizontal="left"/>
    </xf>
    <xf numFmtId="10" fontId="30" fillId="0" borderId="14" xfId="0" applyNumberFormat="1" applyFont="1" applyBorder="1" applyAlignment="1">
      <alignment horizontal="right"/>
    </xf>
    <xf numFmtId="10" fontId="30" fillId="0" borderId="14" xfId="4" applyNumberFormat="1" applyFont="1" applyBorder="1" applyAlignment="1">
      <alignment horizontal="right"/>
    </xf>
    <xf numFmtId="173" fontId="30" fillId="0" borderId="14" xfId="0" applyNumberFormat="1" applyFont="1" applyBorder="1" applyAlignment="1">
      <alignment horizontal="right"/>
    </xf>
    <xf numFmtId="173" fontId="30" fillId="0" borderId="0" xfId="0" applyNumberFormat="1" applyFont="1" applyBorder="1" applyAlignment="1">
      <alignment horizontal="right"/>
    </xf>
    <xf numFmtId="180" fontId="30" fillId="0" borderId="41" xfId="4" applyNumberFormat="1" applyFont="1" applyBorder="1" applyAlignment="1">
      <alignment horizontal="left"/>
    </xf>
    <xf numFmtId="10" fontId="30" fillId="0" borderId="41" xfId="0" applyNumberFormat="1" applyFont="1" applyBorder="1" applyAlignment="1">
      <alignment horizontal="right"/>
    </xf>
    <xf numFmtId="10" fontId="30" fillId="0" borderId="41" xfId="4" applyNumberFormat="1" applyFont="1" applyBorder="1" applyAlignment="1">
      <alignment horizontal="right"/>
    </xf>
    <xf numFmtId="173" fontId="30" fillId="0" borderId="41" xfId="0" applyNumberFormat="1" applyFont="1" applyBorder="1" applyAlignment="1">
      <alignment horizontal="right"/>
    </xf>
    <xf numFmtId="173" fontId="30" fillId="0" borderId="9" xfId="0" applyNumberFormat="1" applyFont="1" applyBorder="1" applyAlignment="1">
      <alignment horizontal="right"/>
    </xf>
    <xf numFmtId="9" fontId="30" fillId="0" borderId="41" xfId="0" applyNumberFormat="1" applyFont="1" applyBorder="1" applyAlignment="1">
      <alignment horizontal="left"/>
    </xf>
    <xf numFmtId="0" fontId="83" fillId="0" borderId="0" xfId="0" applyFont="1"/>
    <xf numFmtId="0" fontId="30" fillId="14" borderId="0" xfId="0" applyFont="1" applyFill="1"/>
    <xf numFmtId="0" fontId="59" fillId="14" borderId="78" xfId="0" applyFont="1" applyFill="1" applyBorder="1"/>
    <xf numFmtId="0" fontId="59" fillId="14" borderId="78" xfId="0" applyFont="1" applyFill="1" applyBorder="1" applyAlignment="1">
      <alignment horizontal="right"/>
    </xf>
    <xf numFmtId="0" fontId="71" fillId="14" borderId="78" xfId="0" applyFont="1" applyFill="1" applyBorder="1"/>
    <xf numFmtId="43" fontId="84" fillId="0" borderId="0" xfId="0" applyNumberFormat="1" applyFont="1"/>
    <xf numFmtId="0" fontId="40" fillId="0" borderId="0" xfId="0" applyFont="1" applyFill="1"/>
    <xf numFmtId="0" fontId="59" fillId="0" borderId="0" xfId="0" applyFont="1"/>
    <xf numFmtId="0" fontId="22" fillId="0" borderId="0" xfId="0" applyFont="1" applyAlignment="1">
      <alignment horizontal="left" vertical="top" wrapText="1"/>
    </xf>
    <xf numFmtId="0" fontId="85" fillId="0" borderId="0" xfId="0" applyFont="1" applyAlignment="1">
      <alignment horizontal="left" vertical="top" wrapText="1"/>
    </xf>
    <xf numFmtId="0" fontId="22" fillId="0" borderId="0" xfId="0" applyFont="1" applyAlignment="1">
      <alignment horizontal="center" vertical="top" wrapText="1"/>
    </xf>
    <xf numFmtId="0" fontId="20" fillId="0" borderId="0" xfId="0" applyFont="1" applyAlignment="1">
      <alignment horizontal="left" vertical="top" wrapText="1"/>
    </xf>
    <xf numFmtId="170" fontId="22" fillId="0" borderId="0" xfId="0" applyNumberFormat="1" applyFont="1"/>
    <xf numFmtId="0" fontId="2" fillId="0" borderId="0" xfId="6" applyFont="1"/>
    <xf numFmtId="0" fontId="85" fillId="0" borderId="1" xfId="0" applyFont="1" applyBorder="1"/>
    <xf numFmtId="0" fontId="22" fillId="0" borderId="1" xfId="0" applyFont="1" applyBorder="1"/>
    <xf numFmtId="17" fontId="20" fillId="0" borderId="95" xfId="0" applyNumberFormat="1" applyFont="1" applyBorder="1"/>
    <xf numFmtId="0" fontId="40" fillId="14" borderId="0" xfId="0" applyFont="1" applyFill="1"/>
    <xf numFmtId="10" fontId="20" fillId="10" borderId="78" xfId="4" applyNumberFormat="1" applyFont="1" applyFill="1" applyBorder="1"/>
    <xf numFmtId="10" fontId="20" fillId="11" borderId="78" xfId="4" applyNumberFormat="1" applyFont="1" applyFill="1" applyBorder="1"/>
    <xf numFmtId="10" fontId="20" fillId="0" borderId="78" xfId="4" applyNumberFormat="1" applyFont="1" applyFill="1" applyBorder="1"/>
    <xf numFmtId="170" fontId="22" fillId="0" borderId="79" xfId="0" applyNumberFormat="1" applyFont="1" applyBorder="1"/>
    <xf numFmtId="170" fontId="22" fillId="0" borderId="14" xfId="0" applyNumberFormat="1" applyFont="1" applyBorder="1"/>
    <xf numFmtId="10" fontId="20" fillId="10" borderId="17" xfId="4" applyNumberFormat="1" applyFont="1" applyFill="1" applyBorder="1"/>
    <xf numFmtId="170" fontId="22" fillId="0" borderId="82" xfId="0" applyNumberFormat="1" applyFont="1" applyBorder="1"/>
    <xf numFmtId="170" fontId="22" fillId="0" borderId="31" xfId="0" applyNumberFormat="1" applyFont="1" applyBorder="1"/>
    <xf numFmtId="10" fontId="20" fillId="10" borderId="30" xfId="4" applyNumberFormat="1" applyFont="1" applyFill="1" applyBorder="1"/>
    <xf numFmtId="10" fontId="20" fillId="0" borderId="17" xfId="4" applyNumberFormat="1" applyFont="1" applyFill="1" applyBorder="1"/>
    <xf numFmtId="0" fontId="22" fillId="0" borderId="81" xfId="0" applyFont="1" applyBorder="1"/>
    <xf numFmtId="10" fontId="20" fillId="0" borderId="30" xfId="4" applyNumberFormat="1" applyFont="1" applyFill="1" applyBorder="1"/>
    <xf numFmtId="0" fontId="22" fillId="0" borderId="98" xfId="0" applyFont="1" applyBorder="1"/>
    <xf numFmtId="170" fontId="22" fillId="0" borderId="98" xfId="0" applyNumberFormat="1" applyFont="1" applyBorder="1"/>
    <xf numFmtId="0" fontId="20" fillId="10" borderId="17" xfId="0" applyFont="1" applyFill="1" applyBorder="1"/>
    <xf numFmtId="0" fontId="20" fillId="0" borderId="17" xfId="0" applyFont="1" applyFill="1" applyBorder="1"/>
    <xf numFmtId="17" fontId="20" fillId="0" borderId="80" xfId="0" applyNumberFormat="1" applyFont="1" applyBorder="1"/>
    <xf numFmtId="0" fontId="22" fillId="0" borderId="86" xfId="0" applyFont="1" applyBorder="1"/>
    <xf numFmtId="0" fontId="22" fillId="0" borderId="97" xfId="0" applyFont="1" applyBorder="1"/>
    <xf numFmtId="0" fontId="22" fillId="0" borderId="96" xfId="0" applyFont="1" applyBorder="1"/>
    <xf numFmtId="189" fontId="22" fillId="0" borderId="79" xfId="0" applyNumberFormat="1" applyFont="1" applyBorder="1"/>
    <xf numFmtId="189" fontId="22" fillId="0" borderId="82" xfId="0" applyNumberFormat="1" applyFont="1" applyBorder="1"/>
    <xf numFmtId="189" fontId="22" fillId="0" borderId="14" xfId="0" applyNumberFormat="1" applyFont="1" applyBorder="1"/>
    <xf numFmtId="189" fontId="22" fillId="0" borderId="0" xfId="0" applyNumberFormat="1" applyFont="1"/>
    <xf numFmtId="169" fontId="20" fillId="0" borderId="17" xfId="4" applyNumberFormat="1" applyFont="1" applyFill="1" applyBorder="1"/>
    <xf numFmtId="169" fontId="20" fillId="0" borderId="30" xfId="4" applyNumberFormat="1" applyFont="1" applyFill="1" applyBorder="1"/>
    <xf numFmtId="169" fontId="20" fillId="0" borderId="78" xfId="4" applyNumberFormat="1" applyFont="1" applyFill="1" applyBorder="1"/>
    <xf numFmtId="0" fontId="22" fillId="0" borderId="0" xfId="0" applyFont="1" applyBorder="1" applyAlignment="1">
      <alignment horizontal="center" vertical="top" wrapText="1"/>
    </xf>
    <xf numFmtId="0" fontId="20" fillId="0" borderId="0" xfId="0" applyFont="1" applyBorder="1" applyAlignment="1">
      <alignment horizontal="center" vertical="center" wrapText="1"/>
    </xf>
    <xf numFmtId="0" fontId="20" fillId="11" borderId="17" xfId="0" applyFont="1" applyFill="1" applyBorder="1"/>
    <xf numFmtId="10" fontId="20" fillId="11" borderId="17" xfId="4" applyNumberFormat="1" applyFont="1" applyFill="1" applyBorder="1"/>
    <xf numFmtId="10" fontId="20" fillId="11" borderId="30" xfId="4" applyNumberFormat="1" applyFont="1" applyFill="1" applyBorder="1"/>
    <xf numFmtId="17" fontId="2" fillId="0" borderId="95" xfId="0" applyNumberFormat="1" applyFont="1" applyBorder="1"/>
    <xf numFmtId="170" fontId="0" fillId="0" borderId="79" xfId="0" applyNumberFormat="1" applyBorder="1"/>
    <xf numFmtId="170" fontId="0" fillId="0" borderId="81" xfId="0" applyNumberFormat="1" applyBorder="1"/>
    <xf numFmtId="170" fontId="0" fillId="0" borderId="82" xfId="0" applyNumberFormat="1" applyBorder="1"/>
    <xf numFmtId="170" fontId="0" fillId="0" borderId="98" xfId="0" applyNumberFormat="1" applyBorder="1"/>
    <xf numFmtId="170" fontId="0" fillId="0" borderId="14" xfId="0" applyNumberFormat="1" applyBorder="1"/>
    <xf numFmtId="170" fontId="0" fillId="0" borderId="31" xfId="0" applyNumberFormat="1" applyBorder="1"/>
    <xf numFmtId="10" fontId="2" fillId="0" borderId="97" xfId="4" applyNumberFormat="1" applyFont="1" applyFill="1" applyBorder="1"/>
    <xf numFmtId="10" fontId="2" fillId="0" borderId="86" xfId="4" applyNumberFormat="1" applyFont="1" applyFill="1" applyBorder="1"/>
    <xf numFmtId="0" fontId="0" fillId="0" borderId="86" xfId="0" applyBorder="1"/>
    <xf numFmtId="0" fontId="0" fillId="0" borderId="97" xfId="0" applyBorder="1"/>
    <xf numFmtId="2" fontId="20" fillId="10" borderId="17" xfId="4" applyNumberFormat="1" applyFont="1" applyFill="1" applyBorder="1"/>
    <xf numFmtId="2" fontId="20" fillId="10" borderId="30" xfId="4" applyNumberFormat="1" applyFont="1" applyFill="1" applyBorder="1"/>
    <xf numFmtId="2" fontId="20" fillId="10" borderId="78" xfId="4" applyNumberFormat="1" applyFont="1" applyFill="1" applyBorder="1"/>
    <xf numFmtId="170" fontId="88" fillId="0" borderId="0" xfId="0" applyNumberFormat="1" applyFont="1" applyFill="1" applyAlignment="1">
      <alignment horizontal="right"/>
    </xf>
    <xf numFmtId="0" fontId="89" fillId="0" borderId="0" xfId="0" applyFont="1" applyFill="1" applyAlignment="1">
      <alignment horizontal="left" vertical="top" wrapText="1"/>
    </xf>
    <xf numFmtId="0" fontId="16" fillId="14" borderId="0" xfId="0" applyFont="1" applyFill="1"/>
    <xf numFmtId="0" fontId="30" fillId="0" borderId="0" xfId="0" applyFont="1" applyBorder="1" applyAlignment="1">
      <alignment horizontal="left"/>
    </xf>
    <xf numFmtId="4" fontId="30" fillId="0" borderId="0" xfId="0" applyNumberFormat="1" applyFont="1" applyBorder="1"/>
    <xf numFmtId="174" fontId="30" fillId="0" borderId="0" xfId="0" applyNumberFormat="1" applyFont="1" applyBorder="1" applyAlignment="1">
      <alignment horizontal="left"/>
    </xf>
    <xf numFmtId="0" fontId="29" fillId="0" borderId="17" xfId="0" applyFont="1" applyBorder="1" applyAlignment="1">
      <alignment horizontal="right"/>
    </xf>
    <xf numFmtId="4" fontId="30" fillId="0" borderId="14" xfId="0" applyNumberFormat="1" applyFont="1" applyBorder="1"/>
    <xf numFmtId="177" fontId="0" fillId="0" borderId="0" xfId="0" applyNumberFormat="1"/>
    <xf numFmtId="0" fontId="30" fillId="11" borderId="87" xfId="0" applyFont="1" applyFill="1" applyBorder="1"/>
    <xf numFmtId="0" fontId="21" fillId="11" borderId="31" xfId="0" applyFont="1" applyFill="1" applyBorder="1"/>
    <xf numFmtId="7" fontId="30" fillId="0" borderId="13" xfId="0" applyNumberFormat="1" applyFont="1" applyBorder="1"/>
    <xf numFmtId="0" fontId="29" fillId="0" borderId="88" xfId="0" applyFont="1" applyBorder="1"/>
    <xf numFmtId="7" fontId="29" fillId="0" borderId="88" xfId="0" applyNumberFormat="1" applyFont="1" applyBorder="1"/>
    <xf numFmtId="7" fontId="29" fillId="0" borderId="86" xfId="0" applyNumberFormat="1" applyFont="1" applyBorder="1"/>
    <xf numFmtId="7" fontId="29" fillId="0" borderId="87" xfId="0" applyNumberFormat="1" applyFont="1" applyBorder="1"/>
    <xf numFmtId="0" fontId="27" fillId="9" borderId="0" xfId="0" applyFont="1" applyFill="1" applyBorder="1"/>
    <xf numFmtId="17" fontId="27" fillId="9" borderId="0" xfId="0" applyNumberFormat="1" applyFont="1" applyFill="1" applyBorder="1" applyAlignment="1">
      <alignment horizontal="right"/>
    </xf>
    <xf numFmtId="190" fontId="30" fillId="0" borderId="10" xfId="4" applyNumberFormat="1" applyFont="1" applyBorder="1"/>
    <xf numFmtId="190" fontId="30" fillId="0" borderId="0" xfId="4" applyNumberFormat="1" applyFont="1" applyBorder="1"/>
    <xf numFmtId="190" fontId="30" fillId="0" borderId="2" xfId="4" applyNumberFormat="1" applyFont="1" applyBorder="1"/>
    <xf numFmtId="190" fontId="30" fillId="0" borderId="1" xfId="4" applyNumberFormat="1" applyFont="1" applyBorder="1"/>
    <xf numFmtId="191" fontId="30" fillId="0" borderId="10" xfId="0" applyNumberFormat="1" applyFont="1" applyBorder="1"/>
    <xf numFmtId="190" fontId="30" fillId="0" borderId="0" xfId="4" applyNumberFormat="1" applyFont="1" applyBorder="1" applyAlignment="1">
      <alignment horizontal="right"/>
    </xf>
    <xf numFmtId="0" fontId="21" fillId="0" borderId="0" xfId="0" applyFont="1" applyFill="1" applyBorder="1" applyAlignment="1">
      <alignment horizontal="center"/>
    </xf>
    <xf numFmtId="0" fontId="21" fillId="0" borderId="81" xfId="0" applyFont="1" applyFill="1" applyBorder="1" applyAlignment="1">
      <alignment horizontal="center"/>
    </xf>
    <xf numFmtId="0" fontId="21" fillId="0" borderId="80" xfId="0" applyFont="1" applyFill="1" applyBorder="1" applyAlignment="1">
      <alignment horizontal="center"/>
    </xf>
    <xf numFmtId="0" fontId="2" fillId="0" borderId="80" xfId="0" applyFont="1" applyFill="1" applyBorder="1" applyAlignment="1">
      <alignment horizontal="center"/>
    </xf>
    <xf numFmtId="0" fontId="2" fillId="0" borderId="29" xfId="0" applyFont="1" applyFill="1" applyBorder="1" applyAlignment="1">
      <alignment horizontal="center"/>
    </xf>
    <xf numFmtId="183" fontId="29" fillId="0" borderId="17" xfId="0" applyNumberFormat="1" applyFont="1" applyBorder="1"/>
    <xf numFmtId="183" fontId="29" fillId="0" borderId="30" xfId="0" applyNumberFormat="1" applyFont="1" applyBorder="1"/>
    <xf numFmtId="10" fontId="0" fillId="0" borderId="9" xfId="4" applyNumberFormat="1" applyFont="1" applyBorder="1"/>
    <xf numFmtId="0" fontId="2" fillId="0" borderId="14" xfId="0" applyFont="1" applyBorder="1"/>
    <xf numFmtId="43" fontId="0" fillId="0" borderId="14" xfId="0" applyNumberFormat="1" applyBorder="1"/>
    <xf numFmtId="43" fontId="0" fillId="0" borderId="41" xfId="0" applyNumberFormat="1" applyBorder="1"/>
    <xf numFmtId="43" fontId="0" fillId="0" borderId="100" xfId="0" applyNumberFormat="1" applyBorder="1"/>
    <xf numFmtId="17" fontId="2" fillId="0" borderId="31" xfId="0" applyNumberFormat="1" applyFont="1" applyBorder="1"/>
    <xf numFmtId="10" fontId="0" fillId="0" borderId="31" xfId="4" applyNumberFormat="1" applyFont="1" applyBorder="1"/>
    <xf numFmtId="10" fontId="0" fillId="0" borderId="42" xfId="4" applyNumberFormat="1" applyFont="1" applyBorder="1"/>
    <xf numFmtId="0" fontId="0" fillId="0" borderId="101" xfId="0" applyBorder="1"/>
    <xf numFmtId="17" fontId="2" fillId="0" borderId="14" xfId="0" applyNumberFormat="1" applyFont="1" applyBorder="1"/>
    <xf numFmtId="10" fontId="0" fillId="0" borderId="14" xfId="4" applyNumberFormat="1" applyFont="1" applyBorder="1"/>
    <xf numFmtId="10" fontId="0" fillId="0" borderId="41" xfId="4" applyNumberFormat="1" applyFont="1" applyBorder="1"/>
    <xf numFmtId="0" fontId="0" fillId="0" borderId="100" xfId="0" applyBorder="1"/>
    <xf numFmtId="0" fontId="0" fillId="0" borderId="10" xfId="0" applyBorder="1"/>
    <xf numFmtId="0" fontId="0" fillId="0" borderId="51" xfId="0" applyBorder="1"/>
    <xf numFmtId="43" fontId="2" fillId="0" borderId="41" xfId="0" applyNumberFormat="1" applyFont="1" applyBorder="1"/>
    <xf numFmtId="10" fontId="2" fillId="0" borderId="42" xfId="4" applyNumberFormat="1" applyFont="1" applyBorder="1"/>
    <xf numFmtId="10" fontId="2" fillId="0" borderId="41" xfId="4" applyNumberFormat="1" applyFont="1" applyBorder="1"/>
    <xf numFmtId="10" fontId="2" fillId="0" borderId="102" xfId="4" applyNumberFormat="1" applyFont="1" applyBorder="1"/>
    <xf numFmtId="0" fontId="2" fillId="0" borderId="56" xfId="0" applyFont="1" applyBorder="1"/>
    <xf numFmtId="17" fontId="2" fillId="0" borderId="58" xfId="0" applyNumberFormat="1" applyFont="1" applyBorder="1"/>
    <xf numFmtId="10" fontId="22" fillId="0" borderId="0" xfId="0" applyNumberFormat="1" applyFont="1" applyFill="1" applyBorder="1"/>
    <xf numFmtId="0" fontId="55" fillId="0" borderId="0" xfId="0" applyNumberFormat="1" applyFont="1" applyAlignment="1">
      <alignment horizontal="center" wrapText="1"/>
    </xf>
    <xf numFmtId="0" fontId="57" fillId="14" borderId="0" xfId="0" applyFont="1" applyFill="1" applyAlignment="1">
      <alignment horizontal="left" wrapText="1"/>
    </xf>
    <xf numFmtId="43" fontId="91" fillId="0" borderId="0" xfId="0" applyNumberFormat="1" applyFont="1" applyFill="1" applyBorder="1"/>
    <xf numFmtId="0" fontId="91" fillId="0" borderId="14" xfId="0" applyFont="1" applyFill="1" applyBorder="1"/>
    <xf numFmtId="10" fontId="91" fillId="0" borderId="0" xfId="4" applyNumberFormat="1" applyFont="1" applyFill="1" applyBorder="1"/>
    <xf numFmtId="0" fontId="57" fillId="0" borderId="0" xfId="0" applyFont="1" applyFill="1" applyAlignment="1">
      <alignment horizontal="left" wrapText="1"/>
    </xf>
    <xf numFmtId="0" fontId="48" fillId="0" borderId="0" xfId="0" applyFont="1" applyFill="1"/>
    <xf numFmtId="0" fontId="28" fillId="9" borderId="0" xfId="0" applyFont="1" applyFill="1" applyBorder="1" applyAlignment="1">
      <alignment horizontal="center" vertical="center"/>
    </xf>
    <xf numFmtId="0" fontId="22" fillId="12" borderId="25" xfId="0" applyFont="1" applyFill="1" applyBorder="1" applyAlignment="1">
      <alignment horizontal="center"/>
    </xf>
    <xf numFmtId="0" fontId="22" fillId="12" borderId="26" xfId="0" applyFont="1" applyFill="1" applyBorder="1" applyAlignment="1">
      <alignment horizontal="center"/>
    </xf>
    <xf numFmtId="0" fontId="22" fillId="12" borderId="27" xfId="0" applyFont="1" applyFill="1" applyBorder="1" applyAlignment="1">
      <alignment horizontal="center"/>
    </xf>
    <xf numFmtId="0" fontId="33" fillId="8" borderId="39" xfId="0" applyFont="1" applyFill="1" applyBorder="1" applyAlignment="1">
      <alignment horizontal="left"/>
    </xf>
    <xf numFmtId="0" fontId="33" fillId="8" borderId="33" xfId="0" applyFont="1" applyFill="1" applyBorder="1" applyAlignment="1">
      <alignment horizontal="left"/>
    </xf>
    <xf numFmtId="0" fontId="33" fillId="8" borderId="34" xfId="0" applyFont="1" applyFill="1" applyBorder="1" applyAlignment="1">
      <alignment horizontal="left"/>
    </xf>
    <xf numFmtId="0" fontId="27" fillId="9" borderId="0" xfId="0" applyFont="1" applyFill="1" applyBorder="1" applyAlignment="1">
      <alignment horizontal="center" vertical="center"/>
    </xf>
    <xf numFmtId="0" fontId="30" fillId="9" borderId="0" xfId="0" applyFont="1" applyFill="1" applyAlignment="1">
      <alignment horizontal="center"/>
    </xf>
    <xf numFmtId="0" fontId="27" fillId="9" borderId="0" xfId="0" applyFont="1" applyFill="1" applyAlignment="1">
      <alignment horizontal="center"/>
    </xf>
    <xf numFmtId="0" fontId="62" fillId="9" borderId="46" xfId="0" applyFont="1" applyFill="1" applyBorder="1" applyAlignment="1">
      <alignment horizontal="center"/>
    </xf>
    <xf numFmtId="0" fontId="22" fillId="9" borderId="0" xfId="0" applyFont="1" applyFill="1" applyBorder="1" applyAlignment="1">
      <alignment horizontal="center"/>
    </xf>
    <xf numFmtId="0" fontId="59" fillId="13" borderId="46" xfId="0" applyFont="1" applyFill="1" applyBorder="1" applyAlignment="1">
      <alignment horizontal="center" vertical="center"/>
    </xf>
    <xf numFmtId="0" fontId="63" fillId="14" borderId="47" xfId="0" applyFont="1" applyFill="1" applyBorder="1" applyAlignment="1">
      <alignment horizontal="center" vertical="center"/>
    </xf>
    <xf numFmtId="0" fontId="30" fillId="11" borderId="70" xfId="0" applyFont="1" applyFill="1" applyBorder="1" applyAlignment="1">
      <alignment horizontal="center" vertical="center"/>
    </xf>
    <xf numFmtId="0" fontId="30" fillId="11" borderId="71" xfId="0" applyFont="1" applyFill="1" applyBorder="1" applyAlignment="1">
      <alignment horizontal="center" vertical="center"/>
    </xf>
    <xf numFmtId="0" fontId="30" fillId="11" borderId="66" xfId="0" applyFont="1" applyFill="1" applyBorder="1" applyAlignment="1">
      <alignment horizontal="center" vertical="center"/>
    </xf>
    <xf numFmtId="0" fontId="30" fillId="11" borderId="67" xfId="0" applyFont="1" applyFill="1" applyBorder="1" applyAlignment="1">
      <alignment horizontal="center" vertical="center"/>
    </xf>
    <xf numFmtId="0" fontId="90" fillId="15" borderId="50" xfId="0" applyFont="1" applyFill="1" applyBorder="1" applyAlignment="1">
      <alignment horizontal="center" vertical="center"/>
    </xf>
    <xf numFmtId="0" fontId="3" fillId="9" borderId="0" xfId="0" applyFont="1" applyFill="1" applyAlignment="1">
      <alignment horizontal="center"/>
    </xf>
    <xf numFmtId="0" fontId="90" fillId="10" borderId="78" xfId="0" applyFont="1" applyFill="1" applyBorder="1" applyAlignment="1">
      <alignment horizontal="center" vertical="center"/>
    </xf>
    <xf numFmtId="0" fontId="59" fillId="14" borderId="77" xfId="0" applyFont="1" applyFill="1" applyBorder="1" applyAlignment="1">
      <alignment horizontal="center"/>
    </xf>
    <xf numFmtId="0" fontId="28" fillId="12" borderId="0" xfId="0" applyFont="1" applyFill="1" applyAlignment="1">
      <alignment horizontal="center"/>
    </xf>
    <xf numFmtId="0" fontId="3" fillId="12" borderId="0" xfId="0" applyFont="1" applyFill="1" applyAlignment="1">
      <alignment horizontal="center"/>
    </xf>
    <xf numFmtId="0" fontId="0" fillId="9" borderId="0" xfId="0" applyFill="1" applyBorder="1" applyAlignment="1">
      <alignment horizontal="center"/>
    </xf>
    <xf numFmtId="0" fontId="0" fillId="9" borderId="14" xfId="0" applyFill="1" applyBorder="1" applyAlignment="1">
      <alignment horizontal="center"/>
    </xf>
    <xf numFmtId="43" fontId="8" fillId="4" borderId="0" xfId="2" applyNumberFormat="1" applyFont="1" applyFill="1" applyBorder="1" applyAlignment="1" applyProtection="1">
      <alignment horizontal="center"/>
    </xf>
    <xf numFmtId="43" fontId="5" fillId="4" borderId="0" xfId="2" applyNumberFormat="1" applyFill="1" applyBorder="1" applyAlignment="1" applyProtection="1">
      <alignment horizontal="center"/>
    </xf>
    <xf numFmtId="43" fontId="3" fillId="2" borderId="0" xfId="3" applyNumberFormat="1" applyFont="1" applyBorder="1" applyAlignment="1">
      <alignment horizontal="center"/>
    </xf>
    <xf numFmtId="0" fontId="86" fillId="14" borderId="94" xfId="0" applyFont="1" applyFill="1" applyBorder="1" applyAlignment="1">
      <alignment horizontal="center"/>
    </xf>
    <xf numFmtId="0" fontId="22" fillId="0" borderId="0" xfId="0" applyFont="1" applyAlignment="1">
      <alignment horizontal="left" vertical="center" wrapText="1"/>
    </xf>
    <xf numFmtId="0" fontId="87" fillId="12" borderId="99" xfId="0" applyNumberFormat="1" applyFont="1" applyFill="1" applyBorder="1" applyAlignment="1">
      <alignment horizontal="center" vertical="center"/>
    </xf>
    <xf numFmtId="0" fontId="0" fillId="0" borderId="0" xfId="0" applyFont="1" applyAlignment="1">
      <alignment horizontal="left" vertical="center" wrapText="1"/>
    </xf>
    <xf numFmtId="0" fontId="20" fillId="0" borderId="0" xfId="0" applyFont="1" applyFill="1" applyBorder="1"/>
    <xf numFmtId="0" fontId="41" fillId="0" borderId="0" xfId="0" applyFont="1" applyBorder="1"/>
    <xf numFmtId="192" fontId="0" fillId="0" borderId="0" xfId="0" applyNumberFormat="1" applyFill="1" applyBorder="1"/>
    <xf numFmtId="192" fontId="30" fillId="0" borderId="0" xfId="0" applyNumberFormat="1" applyFont="1" applyFill="1" applyBorder="1"/>
    <xf numFmtId="192" fontId="0" fillId="0" borderId="0" xfId="0" applyNumberFormat="1" applyBorder="1"/>
    <xf numFmtId="0" fontId="92" fillId="0" borderId="78" xfId="0" applyFont="1" applyBorder="1" applyAlignment="1">
      <alignment horizontal="right"/>
    </xf>
    <xf numFmtId="0" fontId="92" fillId="0" borderId="78" xfId="0" applyFont="1" applyBorder="1" applyAlignment="1">
      <alignment horizontal="left"/>
    </xf>
    <xf numFmtId="0" fontId="92" fillId="0" borderId="78" xfId="0" applyFont="1" applyBorder="1" applyAlignment="1">
      <alignment horizontal="center"/>
    </xf>
    <xf numFmtId="0" fontId="2" fillId="0" borderId="103" xfId="0" applyFont="1" applyBorder="1"/>
    <xf numFmtId="0" fontId="0" fillId="0" borderId="103" xfId="0" applyBorder="1"/>
    <xf numFmtId="10" fontId="0" fillId="0" borderId="103" xfId="4" applyNumberFormat="1" applyFont="1" applyBorder="1"/>
    <xf numFmtId="173" fontId="0" fillId="0" borderId="103" xfId="4" applyNumberFormat="1" applyFont="1" applyBorder="1"/>
    <xf numFmtId="180" fontId="0" fillId="0" borderId="0" xfId="4" applyNumberFormat="1" applyFont="1" applyBorder="1" applyAlignment="1">
      <alignment horizontal="left"/>
    </xf>
    <xf numFmtId="10" fontId="0" fillId="0" borderId="0" xfId="4" applyNumberFormat="1" applyFont="1" applyBorder="1" applyAlignment="1">
      <alignment horizontal="right"/>
    </xf>
    <xf numFmtId="173" fontId="0" fillId="0" borderId="0" xfId="0" applyNumberFormat="1" applyBorder="1" applyAlignment="1">
      <alignment horizontal="right"/>
    </xf>
    <xf numFmtId="180" fontId="0" fillId="0" borderId="103" xfId="4" applyNumberFormat="1" applyFont="1" applyBorder="1" applyAlignment="1">
      <alignment horizontal="left"/>
    </xf>
    <xf numFmtId="10" fontId="0" fillId="0" borderId="103" xfId="0" applyNumberFormat="1" applyBorder="1" applyAlignment="1">
      <alignment horizontal="right"/>
    </xf>
    <xf numFmtId="10" fontId="0" fillId="0" borderId="103" xfId="4" applyNumberFormat="1" applyFont="1" applyBorder="1" applyAlignment="1">
      <alignment horizontal="right"/>
    </xf>
    <xf numFmtId="173" fontId="0" fillId="0" borderId="103" xfId="0" applyNumberFormat="1" applyBorder="1" applyAlignment="1">
      <alignment horizontal="right"/>
    </xf>
    <xf numFmtId="9" fontId="0" fillId="0" borderId="103" xfId="0" applyNumberFormat="1" applyBorder="1" applyAlignment="1">
      <alignment horizontal="left"/>
    </xf>
    <xf numFmtId="0" fontId="2" fillId="0" borderId="78" xfId="0" applyFont="1" applyBorder="1" applyAlignment="1">
      <alignment horizontal="center" vertical="top"/>
    </xf>
  </cellXfs>
  <cellStyles count="8">
    <cellStyle name="Accent6" xfId="3" builtinId="49"/>
    <cellStyle name="Comma" xfId="1" builtinId="3"/>
    <cellStyle name="Comma 2" xfId="5"/>
    <cellStyle name="Hyperlink" xfId="2" builtinId="8"/>
    <cellStyle name="Normal" xfId="0" builtinId="0"/>
    <cellStyle name="Normal 2" xfId="7"/>
    <cellStyle name="Normal 3" xfId="6"/>
    <cellStyle name="Percent" xfId="4" builtinId="5"/>
  </cellStyles>
  <dxfs count="1">
    <dxf>
      <font>
        <b/>
        <i val="0"/>
        <color theme="0"/>
      </font>
      <fill>
        <patternFill>
          <bgColor theme="5"/>
        </patternFill>
      </fill>
    </dxf>
  </dxfs>
  <tableStyles count="0" defaultTableStyle="TableStyleMedium9" defaultPivotStyle="PivotStyleLight16"/>
  <colors>
    <mruColors>
      <color rgb="FFCFAC6F"/>
      <color rgb="FFCFAC46"/>
      <color rgb="FFCFAC5A"/>
      <color rgb="FFF5ECFA"/>
      <color rgb="FFDDDDDD"/>
      <color rgb="FFF5ECD5"/>
      <color rgb="FF081A2D"/>
      <color rgb="FFD6C6A2"/>
      <color rgb="FF3BBDF5"/>
      <color rgb="FFAEAA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CFAC5A"/>
                </a:solidFill>
              </a:rPr>
              <a:t>Sales</a:t>
            </a:r>
            <a:r>
              <a:rPr lang="en-IN" sz="1800" b="1" baseline="0">
                <a:solidFill>
                  <a:srgbClr val="CFAC5A"/>
                </a:solidFill>
              </a:rPr>
              <a:t> Forecasting </a:t>
            </a:r>
            <a:r>
              <a:rPr lang="en-IN" b="1" baseline="0">
                <a:solidFill>
                  <a:srgbClr val="CFAC5A"/>
                </a:solidFill>
              </a:rPr>
              <a:t> </a:t>
            </a:r>
            <a:endParaRPr lang="en-IN" b="1">
              <a:solidFill>
                <a:srgbClr val="CFAC5A"/>
              </a:solidFill>
            </a:endParaRPr>
          </a:p>
        </c:rich>
      </c:tx>
      <c:layout>
        <c:manualLayout>
          <c:xMode val="edge"/>
          <c:yMode val="edge"/>
          <c:x val="0.30108077137693295"/>
          <c:y val="5.51639596588755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24890388947654"/>
          <c:y val="0.18877971657597239"/>
          <c:w val="0.80593357622000505"/>
          <c:h val="0.58042963070046605"/>
        </c:manualLayout>
      </c:layout>
      <c:barChart>
        <c:barDir val="col"/>
        <c:grouping val="clustered"/>
        <c:varyColors val="0"/>
        <c:ser>
          <c:idx val="0"/>
          <c:order val="0"/>
          <c:tx>
            <c:strRef>
              <c:f>Forcasting!$D$9</c:f>
              <c:strCache>
                <c:ptCount val="1"/>
                <c:pt idx="0">
                  <c:v>Sales</c:v>
                </c:pt>
              </c:strCache>
            </c:strRef>
          </c:tx>
          <c:spPr>
            <a:solidFill>
              <a:schemeClr val="bg1">
                <a:lumMod val="50000"/>
              </a:schemeClr>
            </a:solidFill>
            <a:ln>
              <a:noFill/>
            </a:ln>
            <a:effectLst/>
          </c:spPr>
          <c:invertIfNegative val="0"/>
          <c:dPt>
            <c:idx val="10"/>
            <c:invertIfNegative val="0"/>
            <c:bubble3D val="0"/>
            <c:spPr>
              <a:solidFill>
                <a:srgbClr val="CFAC5A"/>
              </a:solidFill>
              <a:ln>
                <a:noFill/>
              </a:ln>
              <a:effectLst/>
            </c:spPr>
            <c:extLst>
              <c:ext xmlns:c16="http://schemas.microsoft.com/office/drawing/2014/chart" uri="{C3380CC4-5D6E-409C-BE32-E72D297353CC}">
                <c16:uniqueId val="{00000008-A561-424D-AA3D-F2C6D693B191}"/>
              </c:ext>
            </c:extLst>
          </c:dPt>
          <c:dPt>
            <c:idx val="11"/>
            <c:invertIfNegative val="0"/>
            <c:bubble3D val="0"/>
            <c:spPr>
              <a:solidFill>
                <a:srgbClr val="CFAC5A"/>
              </a:solidFill>
              <a:ln>
                <a:noFill/>
              </a:ln>
              <a:effectLst/>
            </c:spPr>
            <c:extLst>
              <c:ext xmlns:c16="http://schemas.microsoft.com/office/drawing/2014/chart" uri="{C3380CC4-5D6E-409C-BE32-E72D297353CC}">
                <c16:uniqueId val="{00000007-A561-424D-AA3D-F2C6D693B191}"/>
              </c:ext>
            </c:extLst>
          </c:dPt>
          <c:dPt>
            <c:idx val="12"/>
            <c:invertIfNegative val="0"/>
            <c:bubble3D val="0"/>
            <c:spPr>
              <a:solidFill>
                <a:srgbClr val="CFAC5A"/>
              </a:solidFill>
              <a:ln>
                <a:noFill/>
              </a:ln>
              <a:effectLst/>
            </c:spPr>
            <c:extLst>
              <c:ext xmlns:c16="http://schemas.microsoft.com/office/drawing/2014/chart" uri="{C3380CC4-5D6E-409C-BE32-E72D297353CC}">
                <c16:uniqueId val="{00000006-A561-424D-AA3D-F2C6D693B191}"/>
              </c:ext>
            </c:extLst>
          </c:dPt>
          <c:dPt>
            <c:idx val="13"/>
            <c:invertIfNegative val="0"/>
            <c:bubble3D val="0"/>
            <c:spPr>
              <a:solidFill>
                <a:srgbClr val="CFAC5A"/>
              </a:solidFill>
              <a:ln>
                <a:noFill/>
              </a:ln>
              <a:effectLst/>
            </c:spPr>
            <c:extLst>
              <c:ext xmlns:c16="http://schemas.microsoft.com/office/drawing/2014/chart" uri="{C3380CC4-5D6E-409C-BE32-E72D297353CC}">
                <c16:uniqueId val="{00000005-A561-424D-AA3D-F2C6D693B191}"/>
              </c:ext>
            </c:extLst>
          </c:dPt>
          <c:dPt>
            <c:idx val="14"/>
            <c:invertIfNegative val="0"/>
            <c:bubble3D val="0"/>
            <c:spPr>
              <a:solidFill>
                <a:srgbClr val="CFAC5A"/>
              </a:solidFill>
              <a:ln>
                <a:noFill/>
              </a:ln>
              <a:effectLst/>
            </c:spPr>
            <c:extLst>
              <c:ext xmlns:c16="http://schemas.microsoft.com/office/drawing/2014/chart" uri="{C3380CC4-5D6E-409C-BE32-E72D297353CC}">
                <c16:uniqueId val="{00000004-A561-424D-AA3D-F2C6D693B191}"/>
              </c:ext>
            </c:extLst>
          </c:dPt>
          <c:cat>
            <c:multiLvlStrRef>
              <c:f>Forcasting!$B$11:$C$25</c:f>
              <c:multiLvlStrCache>
                <c:ptCount val="15"/>
                <c:lvl>
                  <c:pt idx="0">
                    <c:v>2016A</c:v>
                  </c:pt>
                  <c:pt idx="1">
                    <c:v>2017A</c:v>
                  </c:pt>
                  <c:pt idx="2">
                    <c:v>2018A</c:v>
                  </c:pt>
                  <c:pt idx="3">
                    <c:v>2019A</c:v>
                  </c:pt>
                  <c:pt idx="4">
                    <c:v>2020A</c:v>
                  </c:pt>
                  <c:pt idx="5">
                    <c:v>2021A</c:v>
                  </c:pt>
                  <c:pt idx="6">
                    <c:v>2022A</c:v>
                  </c:pt>
                  <c:pt idx="7">
                    <c:v>2023A</c:v>
                  </c:pt>
                  <c:pt idx="8">
                    <c:v>2024A</c:v>
                  </c:pt>
                  <c:pt idx="9">
                    <c:v>2025A</c:v>
                  </c:pt>
                  <c:pt idx="10">
                    <c:v>2026E</c:v>
                  </c:pt>
                  <c:pt idx="11">
                    <c:v>2027E</c:v>
                  </c:pt>
                  <c:pt idx="12">
                    <c:v>2028E</c:v>
                  </c:pt>
                  <c:pt idx="13">
                    <c:v>2029E</c:v>
                  </c:pt>
                  <c:pt idx="14">
                    <c:v>2030E</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lvl>
              </c:multiLvlStrCache>
            </c:multiLvlStrRef>
          </c:cat>
          <c:val>
            <c:numRef>
              <c:f>Forcasting!$D$11:$D$25</c:f>
              <c:numCache>
                <c:formatCode>#,##0.0</c:formatCode>
                <c:ptCount val="15"/>
                <c:pt idx="0">
                  <c:v>1686.17</c:v>
                </c:pt>
                <c:pt idx="1">
                  <c:v>1812.44</c:v>
                </c:pt>
                <c:pt idx="2">
                  <c:v>2157.46</c:v>
                </c:pt>
                <c:pt idx="3">
                  <c:v>2630.24</c:v>
                </c:pt>
                <c:pt idx="4">
                  <c:v>3485.98</c:v>
                </c:pt>
                <c:pt idx="5">
                  <c:v>2592.96</c:v>
                </c:pt>
                <c:pt idx="6">
                  <c:v>4498.0200000000004</c:v>
                </c:pt>
                <c:pt idx="7">
                  <c:v>8242.02</c:v>
                </c:pt>
                <c:pt idx="8">
                  <c:v>12375.11</c:v>
                </c:pt>
                <c:pt idx="9">
                  <c:v>17134.61</c:v>
                </c:pt>
                <c:pt idx="10">
                  <c:v>13931.76</c:v>
                </c:pt>
                <c:pt idx="11">
                  <c:v>15435.443454545451</c:v>
                </c:pt>
                <c:pt idx="12">
                  <c:v>16939.126909090905</c:v>
                </c:pt>
                <c:pt idx="13">
                  <c:v>18442.810363636359</c:v>
                </c:pt>
                <c:pt idx="14">
                  <c:v>19946.493818181814</c:v>
                </c:pt>
              </c:numCache>
            </c:numRef>
          </c:val>
          <c:extLst>
            <c:ext xmlns:c16="http://schemas.microsoft.com/office/drawing/2014/chart" uri="{C3380CC4-5D6E-409C-BE32-E72D297353CC}">
              <c16:uniqueId val="{00000000-440A-4B08-A37F-8BC0A4D50177}"/>
            </c:ext>
          </c:extLst>
        </c:ser>
        <c:dLbls>
          <c:showLegendKey val="0"/>
          <c:showVal val="0"/>
          <c:showCatName val="0"/>
          <c:showSerName val="0"/>
          <c:showPercent val="0"/>
          <c:showBubbleSize val="0"/>
        </c:dLbls>
        <c:gapWidth val="219"/>
        <c:overlap val="-27"/>
        <c:axId val="2130820047"/>
        <c:axId val="2130815055"/>
      </c:barChart>
      <c:lineChart>
        <c:grouping val="standard"/>
        <c:varyColors val="0"/>
        <c:ser>
          <c:idx val="1"/>
          <c:order val="1"/>
          <c:tx>
            <c:strRef>
              <c:f>Forcasting!$E$9</c:f>
              <c:strCache>
                <c:ptCount val="1"/>
                <c:pt idx="0">
                  <c:v>Sales Growth</c:v>
                </c:pt>
              </c:strCache>
            </c:strRef>
          </c:tx>
          <c:spPr>
            <a:ln w="28575" cap="rnd">
              <a:solidFill>
                <a:schemeClr val="tx1"/>
              </a:solidFill>
              <a:round/>
            </a:ln>
            <a:effectLst/>
          </c:spPr>
          <c:marker>
            <c:symbol val="circle"/>
            <c:size val="7"/>
            <c:spPr>
              <a:solidFill>
                <a:schemeClr val="bg1"/>
              </a:solidFill>
              <a:ln w="9525">
                <a:solidFill>
                  <a:schemeClr val="tx1"/>
                </a:solidFill>
              </a:ln>
              <a:effectLst/>
            </c:spPr>
          </c:marker>
          <c:dPt>
            <c:idx val="5"/>
            <c:marker>
              <c:symbol val="circle"/>
              <c:size val="7"/>
              <c:spPr>
                <a:solidFill>
                  <a:srgbClr val="C00000"/>
                </a:solidFill>
                <a:ln w="9525">
                  <a:solidFill>
                    <a:schemeClr val="tx1"/>
                  </a:solidFill>
                </a:ln>
                <a:effectLst/>
              </c:spPr>
            </c:marker>
            <c:bubble3D val="0"/>
            <c:extLst>
              <c:ext xmlns:c16="http://schemas.microsoft.com/office/drawing/2014/chart" uri="{C3380CC4-5D6E-409C-BE32-E72D297353CC}">
                <c16:uniqueId val="{0000001F-A561-424D-AA3D-F2C6D693B191}"/>
              </c:ext>
            </c:extLst>
          </c:dPt>
          <c:dPt>
            <c:idx val="10"/>
            <c:marker>
              <c:symbol val="circle"/>
              <c:size val="7"/>
              <c:spPr>
                <a:solidFill>
                  <a:schemeClr val="accent2"/>
                </a:solidFill>
                <a:ln w="9525">
                  <a:solidFill>
                    <a:schemeClr val="tx1"/>
                  </a:solidFill>
                </a:ln>
                <a:effectLst/>
              </c:spPr>
            </c:marker>
            <c:bubble3D val="0"/>
            <c:extLst>
              <c:ext xmlns:c16="http://schemas.microsoft.com/office/drawing/2014/chart" uri="{C3380CC4-5D6E-409C-BE32-E72D297353CC}">
                <c16:uniqueId val="{00000024-A561-424D-AA3D-F2C6D693B191}"/>
              </c:ext>
            </c:extLst>
          </c:dPt>
          <c:dLbls>
            <c:dLbl>
              <c:idx val="1"/>
              <c:layout>
                <c:manualLayout>
                  <c:x val="-4.8687692163036984E-2"/>
                  <c:y val="3.72781518842527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B-A561-424D-AA3D-F2C6D693B191}"/>
                </c:ext>
              </c:extLst>
            </c:dLbl>
            <c:dLbl>
              <c:idx val="2"/>
              <c:delete val="1"/>
              <c:extLst>
                <c:ext xmlns:c15="http://schemas.microsoft.com/office/drawing/2012/chart" uri="{CE6537A1-D6FC-4f65-9D91-7224C49458BB}"/>
                <c:ext xmlns:c16="http://schemas.microsoft.com/office/drawing/2014/chart" uri="{C3380CC4-5D6E-409C-BE32-E72D297353CC}">
                  <c16:uniqueId val="{0000001C-A561-424D-AA3D-F2C6D693B191}"/>
                </c:ext>
              </c:extLst>
            </c:dLbl>
            <c:dLbl>
              <c:idx val="3"/>
              <c:layout>
                <c:manualLayout>
                  <c:x val="-3.5875141593816724E-2"/>
                  <c:y val="5.591722782637912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D-A561-424D-AA3D-F2C6D693B191}"/>
                </c:ext>
              </c:extLst>
            </c:dLbl>
            <c:dLbl>
              <c:idx val="4"/>
              <c:delete val="1"/>
              <c:extLst>
                <c:ext xmlns:c15="http://schemas.microsoft.com/office/drawing/2012/chart" uri="{CE6537A1-D6FC-4f65-9D91-7224C49458BB}"/>
                <c:ext xmlns:c16="http://schemas.microsoft.com/office/drawing/2014/chart" uri="{C3380CC4-5D6E-409C-BE32-E72D297353CC}">
                  <c16:uniqueId val="{0000001E-A561-424D-AA3D-F2C6D693B191}"/>
                </c:ext>
              </c:extLst>
            </c:dLbl>
            <c:dLbl>
              <c:idx val="5"/>
              <c:layout>
                <c:manualLayout>
                  <c:x val="-0.12300048546451448"/>
                  <c:y val="-3.7278151884252805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 xmlns:c16="http://schemas.microsoft.com/office/drawing/2014/chart" uri="{C3380CC4-5D6E-409C-BE32-E72D297353CC}">
                  <c16:uniqueId val="{0000001F-A561-424D-AA3D-F2C6D693B191}"/>
                </c:ext>
              </c:extLst>
            </c:dLbl>
            <c:dLbl>
              <c:idx val="6"/>
              <c:delete val="1"/>
              <c:extLst>
                <c:ext xmlns:c15="http://schemas.microsoft.com/office/drawing/2012/chart" uri="{CE6537A1-D6FC-4f65-9D91-7224C49458BB}"/>
                <c:ext xmlns:c16="http://schemas.microsoft.com/office/drawing/2014/chart" uri="{C3380CC4-5D6E-409C-BE32-E72D297353CC}">
                  <c16:uniqueId val="{00000020-A561-424D-AA3D-F2C6D693B191}"/>
                </c:ext>
              </c:extLst>
            </c:dLbl>
            <c:dLbl>
              <c:idx val="7"/>
              <c:layout>
                <c:manualLayout>
                  <c:x val="-1.5375060683064309E-2"/>
                  <c:y val="-1.863907594212640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1-A561-424D-AA3D-F2C6D693B191}"/>
                </c:ext>
              </c:extLst>
            </c:dLbl>
            <c:dLbl>
              <c:idx val="8"/>
              <c:delete val="1"/>
              <c:extLst>
                <c:ext xmlns:c15="http://schemas.microsoft.com/office/drawing/2012/chart" uri="{CE6537A1-D6FC-4f65-9D91-7224C49458BB}"/>
                <c:ext xmlns:c16="http://schemas.microsoft.com/office/drawing/2014/chart" uri="{C3380CC4-5D6E-409C-BE32-E72D297353CC}">
                  <c16:uniqueId val="{00000022-A561-424D-AA3D-F2C6D693B191}"/>
                </c:ext>
              </c:extLst>
            </c:dLbl>
            <c:dLbl>
              <c:idx val="9"/>
              <c:layout>
                <c:manualLayout>
                  <c:x val="-7.6875303415321547E-3"/>
                  <c:y val="-4.659768985531600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3-A561-424D-AA3D-F2C6D693B191}"/>
                </c:ext>
              </c:extLst>
            </c:dLbl>
            <c:dLbl>
              <c:idx val="10"/>
              <c:layout>
                <c:manualLayout>
                  <c:x val="-3.5875141593816814E-2"/>
                  <c:y val="2.0968960434892204E-2"/>
                </c:manualLayout>
              </c:layout>
              <c:numFmt formatCode="0.0%" sourceLinked="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4694232011683435E-2"/>
                      <c:h val="6.4722723565258961E-2"/>
                    </c:manualLayout>
                  </c15:layout>
                </c:ext>
                <c:ext xmlns:c16="http://schemas.microsoft.com/office/drawing/2014/chart" uri="{C3380CC4-5D6E-409C-BE32-E72D297353CC}">
                  <c16:uniqueId val="{00000024-A561-424D-AA3D-F2C6D693B191}"/>
                </c:ext>
              </c:extLst>
            </c:dLbl>
            <c:dLbl>
              <c:idx val="11"/>
              <c:layout>
                <c:manualLayout>
                  <c:x val="-3.8437651707660773E-2"/>
                  <c:y val="-0.130473531594884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5-A561-424D-AA3D-F2C6D693B191}"/>
                </c:ext>
              </c:extLst>
            </c:dLbl>
            <c:dLbl>
              <c:idx val="12"/>
              <c:delete val="1"/>
              <c:extLst>
                <c:ext xmlns:c15="http://schemas.microsoft.com/office/drawing/2012/chart" uri="{CE6537A1-D6FC-4f65-9D91-7224C49458BB}"/>
                <c:ext xmlns:c16="http://schemas.microsoft.com/office/drawing/2014/chart" uri="{C3380CC4-5D6E-409C-BE32-E72D297353CC}">
                  <c16:uniqueId val="{00000026-A561-424D-AA3D-F2C6D693B191}"/>
                </c:ext>
              </c:extLst>
            </c:dLbl>
            <c:dLbl>
              <c:idx val="13"/>
              <c:layout>
                <c:manualLayout>
                  <c:x val="-5.8937732618413285E-2"/>
                  <c:y val="-0.2096896043489220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7-A561-424D-AA3D-F2C6D693B191}"/>
                </c:ext>
              </c:extLst>
            </c:dLbl>
            <c:dLbl>
              <c:idx val="14"/>
              <c:layout>
                <c:manualLayout>
                  <c:x val="-3.8437651707660773E-2"/>
                  <c:y val="-0.2423079872476432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8-A561-424D-AA3D-F2C6D693B191}"/>
                </c:ext>
              </c:extLst>
            </c:dLbl>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Forcasting!$B$11:$C$25</c:f>
              <c:multiLvlStrCache>
                <c:ptCount val="15"/>
                <c:lvl>
                  <c:pt idx="0">
                    <c:v>2016A</c:v>
                  </c:pt>
                  <c:pt idx="1">
                    <c:v>2017A</c:v>
                  </c:pt>
                  <c:pt idx="2">
                    <c:v>2018A</c:v>
                  </c:pt>
                  <c:pt idx="3">
                    <c:v>2019A</c:v>
                  </c:pt>
                  <c:pt idx="4">
                    <c:v>2020A</c:v>
                  </c:pt>
                  <c:pt idx="5">
                    <c:v>2021A</c:v>
                  </c:pt>
                  <c:pt idx="6">
                    <c:v>2022A</c:v>
                  </c:pt>
                  <c:pt idx="7">
                    <c:v>2023A</c:v>
                  </c:pt>
                  <c:pt idx="8">
                    <c:v>2024A</c:v>
                  </c:pt>
                  <c:pt idx="9">
                    <c:v>2025A</c:v>
                  </c:pt>
                  <c:pt idx="10">
                    <c:v>2026E</c:v>
                  </c:pt>
                  <c:pt idx="11">
                    <c:v>2027E</c:v>
                  </c:pt>
                  <c:pt idx="12">
                    <c:v>2028E</c:v>
                  </c:pt>
                  <c:pt idx="13">
                    <c:v>2029E</c:v>
                  </c:pt>
                  <c:pt idx="14">
                    <c:v>2030E</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lvl>
              </c:multiLvlStrCache>
            </c:multiLvlStrRef>
          </c:cat>
          <c:val>
            <c:numRef>
              <c:f>Forcasting!$E$11:$E$25</c:f>
              <c:numCache>
                <c:formatCode>0.00%</c:formatCode>
                <c:ptCount val="15"/>
                <c:pt idx="1">
                  <c:v>7.4885687682736624E-2</c:v>
                </c:pt>
                <c:pt idx="2">
                  <c:v>0.19036216371300574</c:v>
                </c:pt>
                <c:pt idx="3">
                  <c:v>0.21913731888424337</c:v>
                </c:pt>
                <c:pt idx="4">
                  <c:v>0.32534673641949041</c:v>
                </c:pt>
                <c:pt idx="5">
                  <c:v>-0.25617473422107984</c:v>
                </c:pt>
                <c:pt idx="6">
                  <c:v>0.73470473898556099</c:v>
                </c:pt>
                <c:pt idx="7">
                  <c:v>0.83236624114610414</c:v>
                </c:pt>
                <c:pt idx="8">
                  <c:v>0.50146566011730132</c:v>
                </c:pt>
                <c:pt idx="9">
                  <c:v>0.38460264191591031</c:v>
                </c:pt>
                <c:pt idx="10">
                  <c:v>-0.18692284213063504</c:v>
                </c:pt>
                <c:pt idx="11">
                  <c:v>0.10793205270155748</c:v>
                </c:pt>
                <c:pt idx="12">
                  <c:v>9.7417573973402449E-2</c:v>
                </c:pt>
                <c:pt idx="13">
                  <c:v>8.8769832271488269E-2</c:v>
                </c:pt>
                <c:pt idx="14">
                  <c:v>8.15322298986636E-2</c:v>
                </c:pt>
              </c:numCache>
            </c:numRef>
          </c:val>
          <c:smooth val="1"/>
          <c:extLst>
            <c:ext xmlns:c16="http://schemas.microsoft.com/office/drawing/2014/chart" uri="{C3380CC4-5D6E-409C-BE32-E72D297353CC}">
              <c16:uniqueId val="{00000001-440A-4B08-A37F-8BC0A4D50177}"/>
            </c:ext>
          </c:extLst>
        </c:ser>
        <c:dLbls>
          <c:showLegendKey val="0"/>
          <c:showVal val="0"/>
          <c:showCatName val="0"/>
          <c:showSerName val="0"/>
          <c:showPercent val="0"/>
          <c:showBubbleSize val="0"/>
        </c:dLbls>
        <c:marker val="1"/>
        <c:smooth val="0"/>
        <c:axId val="2130813807"/>
        <c:axId val="2130826287"/>
      </c:lineChart>
      <c:catAx>
        <c:axId val="2130820047"/>
        <c:scaling>
          <c:orientation val="minMax"/>
        </c:scaling>
        <c:delete val="1"/>
        <c:axPos val="b"/>
        <c:numFmt formatCode="General" sourceLinked="1"/>
        <c:majorTickMark val="none"/>
        <c:minorTickMark val="none"/>
        <c:tickLblPos val="nextTo"/>
        <c:crossAx val="2130815055"/>
        <c:crosses val="autoZero"/>
        <c:auto val="1"/>
        <c:lblAlgn val="ctr"/>
        <c:lblOffset val="100"/>
        <c:noMultiLvlLbl val="0"/>
      </c:catAx>
      <c:valAx>
        <c:axId val="2130815055"/>
        <c:scaling>
          <c:orientation val="minMax"/>
        </c:scaling>
        <c:delete val="0"/>
        <c:axPos val="l"/>
        <c:numFmt formatCode="#,##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30820047"/>
        <c:crosses val="autoZero"/>
        <c:crossBetween val="between"/>
        <c:majorUnit val="10000"/>
      </c:valAx>
      <c:valAx>
        <c:axId val="2130826287"/>
        <c:scaling>
          <c:orientation val="minMax"/>
          <c:max val="1"/>
          <c:min val="-0.4"/>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30813807"/>
        <c:crosses val="max"/>
        <c:crossBetween val="between"/>
        <c:majorUnit val="0.4"/>
      </c:valAx>
      <c:catAx>
        <c:axId val="2130813807"/>
        <c:scaling>
          <c:orientation val="minMax"/>
        </c:scaling>
        <c:delete val="1"/>
        <c:axPos val="b"/>
        <c:numFmt formatCode="General" sourceLinked="1"/>
        <c:majorTickMark val="none"/>
        <c:minorTickMark val="none"/>
        <c:tickLblPos val="nextTo"/>
        <c:crossAx val="2130826287"/>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FAC5A"/>
                </a:solidFill>
                <a:latin typeface="+mn-lt"/>
                <a:ea typeface="+mn-ea"/>
                <a:cs typeface="+mn-cs"/>
              </a:defRPr>
            </a:pPr>
            <a:r>
              <a:rPr lang="en-IN" sz="1800" b="1">
                <a:solidFill>
                  <a:srgbClr val="CFAC5A"/>
                </a:solidFill>
              </a:rPr>
              <a:t>EBITDA</a:t>
            </a:r>
            <a:r>
              <a:rPr lang="en-IN" sz="1800" b="1" baseline="0">
                <a:solidFill>
                  <a:srgbClr val="CFAC5A"/>
                </a:solidFill>
              </a:rPr>
              <a:t> Forecasting</a:t>
            </a:r>
            <a:endParaRPr lang="en-IN" b="1">
              <a:solidFill>
                <a:srgbClr val="CFAC5A"/>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CFAC5A"/>
              </a:solidFill>
              <a:latin typeface="+mn-lt"/>
              <a:ea typeface="+mn-ea"/>
              <a:cs typeface="+mn-cs"/>
            </a:defRPr>
          </a:pPr>
          <a:endParaRPr lang="en-US"/>
        </a:p>
      </c:txPr>
    </c:title>
    <c:autoTitleDeleted val="0"/>
    <c:plotArea>
      <c:layout>
        <c:manualLayout>
          <c:layoutTarget val="inner"/>
          <c:xMode val="edge"/>
          <c:yMode val="edge"/>
          <c:x val="0.11383619174965275"/>
          <c:y val="0.17430836768238295"/>
          <c:w val="0.80295824322020015"/>
          <c:h val="0.68296774123729831"/>
        </c:manualLayout>
      </c:layout>
      <c:barChart>
        <c:barDir val="col"/>
        <c:grouping val="clustered"/>
        <c:varyColors val="0"/>
        <c:ser>
          <c:idx val="0"/>
          <c:order val="0"/>
          <c:tx>
            <c:strRef>
              <c:f>Forcasting!$I$9</c:f>
              <c:strCache>
                <c:ptCount val="1"/>
                <c:pt idx="0">
                  <c:v>EBITDA</c:v>
                </c:pt>
              </c:strCache>
            </c:strRef>
          </c:tx>
          <c:spPr>
            <a:solidFill>
              <a:schemeClr val="bg1">
                <a:lumMod val="50000"/>
              </a:schemeClr>
            </a:solidFill>
            <a:ln>
              <a:noFill/>
            </a:ln>
            <a:effectLst/>
          </c:spPr>
          <c:invertIfNegative val="0"/>
          <c:dPt>
            <c:idx val="10"/>
            <c:invertIfNegative val="0"/>
            <c:bubble3D val="0"/>
            <c:spPr>
              <a:solidFill>
                <a:srgbClr val="CFAC5A"/>
              </a:solidFill>
              <a:ln>
                <a:noFill/>
              </a:ln>
              <a:effectLst/>
            </c:spPr>
            <c:extLst>
              <c:ext xmlns:c16="http://schemas.microsoft.com/office/drawing/2014/chart" uri="{C3380CC4-5D6E-409C-BE32-E72D297353CC}">
                <c16:uniqueId val="{0000000A-66CD-4B85-8711-397A0907DC6C}"/>
              </c:ext>
            </c:extLst>
          </c:dPt>
          <c:dPt>
            <c:idx val="11"/>
            <c:invertIfNegative val="0"/>
            <c:bubble3D val="0"/>
            <c:spPr>
              <a:solidFill>
                <a:srgbClr val="CFAC5A"/>
              </a:solidFill>
              <a:ln>
                <a:noFill/>
              </a:ln>
              <a:effectLst/>
            </c:spPr>
            <c:extLst>
              <c:ext xmlns:c16="http://schemas.microsoft.com/office/drawing/2014/chart" uri="{C3380CC4-5D6E-409C-BE32-E72D297353CC}">
                <c16:uniqueId val="{00000009-66CD-4B85-8711-397A0907DC6C}"/>
              </c:ext>
            </c:extLst>
          </c:dPt>
          <c:dPt>
            <c:idx val="12"/>
            <c:invertIfNegative val="0"/>
            <c:bubble3D val="0"/>
            <c:spPr>
              <a:solidFill>
                <a:srgbClr val="CFAC5A"/>
              </a:solidFill>
              <a:ln>
                <a:noFill/>
              </a:ln>
              <a:effectLst/>
            </c:spPr>
            <c:extLst>
              <c:ext xmlns:c16="http://schemas.microsoft.com/office/drawing/2014/chart" uri="{C3380CC4-5D6E-409C-BE32-E72D297353CC}">
                <c16:uniqueId val="{00000008-66CD-4B85-8711-397A0907DC6C}"/>
              </c:ext>
            </c:extLst>
          </c:dPt>
          <c:dPt>
            <c:idx val="13"/>
            <c:invertIfNegative val="0"/>
            <c:bubble3D val="0"/>
            <c:spPr>
              <a:solidFill>
                <a:srgbClr val="CFAC5A"/>
              </a:solidFill>
              <a:ln>
                <a:noFill/>
              </a:ln>
              <a:effectLst/>
            </c:spPr>
            <c:extLst>
              <c:ext xmlns:c16="http://schemas.microsoft.com/office/drawing/2014/chart" uri="{C3380CC4-5D6E-409C-BE32-E72D297353CC}">
                <c16:uniqueId val="{00000007-66CD-4B85-8711-397A0907DC6C}"/>
              </c:ext>
            </c:extLst>
          </c:dPt>
          <c:dPt>
            <c:idx val="14"/>
            <c:invertIfNegative val="0"/>
            <c:bubble3D val="0"/>
            <c:spPr>
              <a:solidFill>
                <a:srgbClr val="CFAC5A"/>
              </a:solidFill>
              <a:ln>
                <a:noFill/>
              </a:ln>
              <a:effectLst/>
            </c:spPr>
            <c:extLst>
              <c:ext xmlns:c16="http://schemas.microsoft.com/office/drawing/2014/chart" uri="{C3380CC4-5D6E-409C-BE32-E72D297353CC}">
                <c16:uniqueId val="{00000006-66CD-4B85-8711-397A0907DC6C}"/>
              </c:ext>
            </c:extLst>
          </c:dPt>
          <c:cat>
            <c:multiLvlStrRef>
              <c:f>Forcasting!$G$11:$H$25</c:f>
              <c:multiLvlStrCache>
                <c:ptCount val="15"/>
                <c:lvl>
                  <c:pt idx="0">
                    <c:v>2016A</c:v>
                  </c:pt>
                  <c:pt idx="1">
                    <c:v>2017A</c:v>
                  </c:pt>
                  <c:pt idx="2">
                    <c:v>2018A</c:v>
                  </c:pt>
                  <c:pt idx="3">
                    <c:v>2019A</c:v>
                  </c:pt>
                  <c:pt idx="4">
                    <c:v>2020A</c:v>
                  </c:pt>
                  <c:pt idx="5">
                    <c:v>2021A</c:v>
                  </c:pt>
                  <c:pt idx="6">
                    <c:v>2022A</c:v>
                  </c:pt>
                  <c:pt idx="7">
                    <c:v>2023A</c:v>
                  </c:pt>
                  <c:pt idx="8">
                    <c:v>2024A</c:v>
                  </c:pt>
                  <c:pt idx="9">
                    <c:v>2025A</c:v>
                  </c:pt>
                  <c:pt idx="10">
                    <c:v>2026E</c:v>
                  </c:pt>
                  <c:pt idx="11">
                    <c:v>2027E</c:v>
                  </c:pt>
                  <c:pt idx="12">
                    <c:v>2028E</c:v>
                  </c:pt>
                  <c:pt idx="13">
                    <c:v>2029E</c:v>
                  </c:pt>
                  <c:pt idx="14">
                    <c:v>2030E</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lvl>
              </c:multiLvlStrCache>
            </c:multiLvlStrRef>
          </c:cat>
          <c:val>
            <c:numRef>
              <c:f>Forcasting!$I$11:$I$25</c:f>
              <c:numCache>
                <c:formatCode>#,##0.0</c:formatCode>
                <c:ptCount val="15"/>
                <c:pt idx="0">
                  <c:v>89.760000000000105</c:v>
                </c:pt>
                <c:pt idx="1">
                  <c:v>133.53000000000009</c:v>
                </c:pt>
                <c:pt idx="2">
                  <c:v>208.50000000000011</c:v>
                </c:pt>
                <c:pt idx="3">
                  <c:v>240.63999999999976</c:v>
                </c:pt>
                <c:pt idx="4">
                  <c:v>528.97</c:v>
                </c:pt>
                <c:pt idx="5">
                  <c:v>113.87</c:v>
                </c:pt>
                <c:pt idx="6">
                  <c:v>594.72000000000071</c:v>
                </c:pt>
                <c:pt idx="7">
                  <c:v>1114.1500000000015</c:v>
                </c:pt>
                <c:pt idx="8">
                  <c:v>1970.6900000000005</c:v>
                </c:pt>
                <c:pt idx="9">
                  <c:v>2819.9599999999996</c:v>
                </c:pt>
                <c:pt idx="10">
                  <c:v>2201.7226666666675</c:v>
                </c:pt>
                <c:pt idx="11">
                  <c:v>2459.9487878787886</c:v>
                </c:pt>
                <c:pt idx="12">
                  <c:v>2718.1749090909102</c:v>
                </c:pt>
                <c:pt idx="13">
                  <c:v>2976.4010303030313</c:v>
                </c:pt>
                <c:pt idx="14">
                  <c:v>3234.6271515151529</c:v>
                </c:pt>
              </c:numCache>
            </c:numRef>
          </c:val>
          <c:extLst>
            <c:ext xmlns:c16="http://schemas.microsoft.com/office/drawing/2014/chart" uri="{C3380CC4-5D6E-409C-BE32-E72D297353CC}">
              <c16:uniqueId val="{00000000-20CB-484C-95F0-E1E2E6B4A5C1}"/>
            </c:ext>
          </c:extLst>
        </c:ser>
        <c:dLbls>
          <c:showLegendKey val="0"/>
          <c:showVal val="0"/>
          <c:showCatName val="0"/>
          <c:showSerName val="0"/>
          <c:showPercent val="0"/>
          <c:showBubbleSize val="0"/>
        </c:dLbls>
        <c:gapWidth val="219"/>
        <c:overlap val="-27"/>
        <c:axId val="1837622271"/>
        <c:axId val="1837619359"/>
      </c:barChart>
      <c:lineChart>
        <c:grouping val="standard"/>
        <c:varyColors val="0"/>
        <c:ser>
          <c:idx val="1"/>
          <c:order val="1"/>
          <c:tx>
            <c:strRef>
              <c:f>Forcasting!$J$9</c:f>
              <c:strCache>
                <c:ptCount val="1"/>
                <c:pt idx="0">
                  <c:v>EBITDA Growth</c:v>
                </c:pt>
              </c:strCache>
            </c:strRef>
          </c:tx>
          <c:spPr>
            <a:ln w="28575" cap="rnd">
              <a:solidFill>
                <a:schemeClr val="tx1"/>
              </a:solidFill>
              <a:round/>
            </a:ln>
            <a:effectLst/>
          </c:spPr>
          <c:marker>
            <c:symbol val="circle"/>
            <c:size val="7"/>
            <c:spPr>
              <a:solidFill>
                <a:srgbClr val="F5ECD5"/>
              </a:solidFill>
              <a:ln w="9525" cmpd="sng">
                <a:solidFill>
                  <a:schemeClr val="tx1"/>
                </a:solidFill>
              </a:ln>
              <a:effectLst/>
            </c:spPr>
          </c:marker>
          <c:dPt>
            <c:idx val="5"/>
            <c:marker>
              <c:symbol val="circle"/>
              <c:size val="7"/>
              <c:spPr>
                <a:solidFill>
                  <a:srgbClr val="C00000"/>
                </a:solidFill>
                <a:ln w="9525" cmpd="sng">
                  <a:solidFill>
                    <a:schemeClr val="tx1"/>
                  </a:solidFill>
                </a:ln>
                <a:effectLst/>
              </c:spPr>
            </c:marker>
            <c:bubble3D val="0"/>
            <c:extLst>
              <c:ext xmlns:c16="http://schemas.microsoft.com/office/drawing/2014/chart" uri="{C3380CC4-5D6E-409C-BE32-E72D297353CC}">
                <c16:uniqueId val="{0000000F-66CD-4B85-8711-397A0907DC6C}"/>
              </c:ext>
            </c:extLst>
          </c:dPt>
          <c:dLbls>
            <c:dLbl>
              <c:idx val="1"/>
              <c:layout>
                <c:manualLayout>
                  <c:x val="-8.2702692142665402E-2"/>
                  <c:y val="5.286070040011803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66CD-4B85-8711-397A0907DC6C}"/>
                </c:ext>
              </c:extLst>
            </c:dLbl>
            <c:dLbl>
              <c:idx val="2"/>
              <c:delete val="1"/>
              <c:extLst>
                <c:ext xmlns:c15="http://schemas.microsoft.com/office/drawing/2012/chart" uri="{CE6537A1-D6FC-4f65-9D91-7224C49458BB}"/>
                <c:ext xmlns:c16="http://schemas.microsoft.com/office/drawing/2014/chart" uri="{C3380CC4-5D6E-409C-BE32-E72D297353CC}">
                  <c16:uniqueId val="{0000000C-66CD-4B85-8711-397A0907DC6C}"/>
                </c:ext>
              </c:extLst>
            </c:dLbl>
            <c:dLbl>
              <c:idx val="3"/>
              <c:layout>
                <c:manualLayout>
                  <c:x val="-4.9009002751209126E-2"/>
                  <c:y val="4.757463036010623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66CD-4B85-8711-397A0907DC6C}"/>
                </c:ext>
              </c:extLst>
            </c:dLbl>
            <c:dLbl>
              <c:idx val="4"/>
              <c:layout>
                <c:manualLayout>
                  <c:x val="-7.3513504126813747E-2"/>
                  <c:y val="-3.70024902800826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66CD-4B85-8711-397A0907DC6C}"/>
                </c:ext>
              </c:extLst>
            </c:dLbl>
            <c:dLbl>
              <c:idx val="5"/>
              <c:layout>
                <c:manualLayout>
                  <c:x val="-1.0722940002017322E-2"/>
                  <c:y val="-5.0217665380112138E-2"/>
                </c:manualLayout>
              </c:layout>
              <c:numFmt formatCode="0.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92875423553355"/>
                      <c:h val="5.4729555083555287E-2"/>
                    </c:manualLayout>
                  </c15:layout>
                </c:ext>
                <c:ext xmlns:c16="http://schemas.microsoft.com/office/drawing/2014/chart" uri="{C3380CC4-5D6E-409C-BE32-E72D297353CC}">
                  <c16:uniqueId val="{0000000F-66CD-4B85-8711-397A0907DC6C}"/>
                </c:ext>
              </c:extLst>
            </c:dLbl>
            <c:dLbl>
              <c:idx val="6"/>
              <c:layout>
                <c:manualLayout>
                  <c:x val="-1.2252250687802337E-2"/>
                  <c:y val="-2.114428016004721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66CD-4B85-8711-397A0907DC6C}"/>
                </c:ext>
              </c:extLst>
            </c:dLbl>
            <c:dLbl>
              <c:idx val="7"/>
              <c:delete val="1"/>
              <c:extLst>
                <c:ext xmlns:c15="http://schemas.microsoft.com/office/drawing/2012/chart" uri="{CE6537A1-D6FC-4f65-9D91-7224C49458BB}"/>
                <c:ext xmlns:c16="http://schemas.microsoft.com/office/drawing/2014/chart" uri="{C3380CC4-5D6E-409C-BE32-E72D297353CC}">
                  <c16:uniqueId val="{00000011-66CD-4B85-8711-397A0907DC6C}"/>
                </c:ext>
              </c:extLst>
            </c:dLbl>
            <c:dLbl>
              <c:idx val="8"/>
              <c:layout>
                <c:manualLayout>
                  <c:x val="-3.3693689391456276E-2"/>
                  <c:y val="-0.1744403113203895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66CD-4B85-8711-397A0907DC6C}"/>
                </c:ext>
              </c:extLst>
            </c:dLbl>
            <c:dLbl>
              <c:idx val="9"/>
              <c:layout>
                <c:manualLayout>
                  <c:x val="-1.2252250687802281E-2"/>
                  <c:y val="-0.2273010117205075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66CD-4B85-8711-397A0907DC6C}"/>
                </c:ext>
              </c:extLst>
            </c:dLbl>
            <c:dLbl>
              <c:idx val="10"/>
              <c:layout>
                <c:manualLayout>
                  <c:x val="-3.0633748268022103E-2"/>
                  <c:y val="2.6430558313052722E-2"/>
                </c:manualLayout>
              </c:layout>
              <c:numFmt formatCode="0.0%;\(0.0%\)" sourceLinked="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291410017021764"/>
                      <c:h val="9.9852198151873364E-2"/>
                    </c:manualLayout>
                  </c15:layout>
                </c:ext>
                <c:ext xmlns:c16="http://schemas.microsoft.com/office/drawing/2014/chart" uri="{C3380CC4-5D6E-409C-BE32-E72D297353CC}">
                  <c16:uniqueId val="{00000014-66CD-4B85-8711-397A0907DC6C}"/>
                </c:ext>
              </c:extLst>
            </c:dLbl>
            <c:dLbl>
              <c:idx val="11"/>
              <c:layout>
                <c:manualLayout>
                  <c:x val="-4.9009002751209237E-2"/>
                  <c:y val="-0.306592062320684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66CD-4B85-8711-397A0907DC6C}"/>
                </c:ext>
              </c:extLst>
            </c:dLbl>
            <c:dLbl>
              <c:idx val="12"/>
              <c:layout>
                <c:manualLayout>
                  <c:x val="-3.063062671950458E-3"/>
                  <c:y val="-0.3858831129208617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66CD-4B85-8711-397A0907DC6C}"/>
                </c:ext>
              </c:extLst>
            </c:dLbl>
            <c:dLbl>
              <c:idx val="13"/>
              <c:delete val="1"/>
              <c:extLst>
                <c:ext xmlns:c15="http://schemas.microsoft.com/office/drawing/2012/chart" uri="{CE6537A1-D6FC-4f65-9D91-7224C49458BB}"/>
                <c:ext xmlns:c16="http://schemas.microsoft.com/office/drawing/2014/chart" uri="{C3380CC4-5D6E-409C-BE32-E72D297353CC}">
                  <c16:uniqueId val="{00000018-66CD-4B85-8711-397A0907DC6C}"/>
                </c:ext>
              </c:extLst>
            </c:dLbl>
            <c:dLbl>
              <c:idx val="14"/>
              <c:layout>
                <c:manualLayout>
                  <c:x val="-4.2882877407308097E-2"/>
                  <c:y val="-0.44931595340100333"/>
                </c:manualLayout>
              </c:layout>
              <c:numFmt formatCode="0.0%;\(0.0%\)" sourceLinked="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0529847133877785E-2"/>
                      <c:h val="6.8135777911802545E-2"/>
                    </c:manualLayout>
                  </c15:layout>
                </c:ext>
                <c:ext xmlns:c16="http://schemas.microsoft.com/office/drawing/2014/chart" uri="{C3380CC4-5D6E-409C-BE32-E72D297353CC}">
                  <c16:uniqueId val="{00000016-66CD-4B85-8711-397A0907DC6C}"/>
                </c:ext>
              </c:extLst>
            </c:dLbl>
            <c:numFmt formatCode="0.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Forcasting!$G$11:$H$25</c:f>
              <c:multiLvlStrCache>
                <c:ptCount val="15"/>
                <c:lvl>
                  <c:pt idx="0">
                    <c:v>2016A</c:v>
                  </c:pt>
                  <c:pt idx="1">
                    <c:v>2017A</c:v>
                  </c:pt>
                  <c:pt idx="2">
                    <c:v>2018A</c:v>
                  </c:pt>
                  <c:pt idx="3">
                    <c:v>2019A</c:v>
                  </c:pt>
                  <c:pt idx="4">
                    <c:v>2020A</c:v>
                  </c:pt>
                  <c:pt idx="5">
                    <c:v>2021A</c:v>
                  </c:pt>
                  <c:pt idx="6">
                    <c:v>2022A</c:v>
                  </c:pt>
                  <c:pt idx="7">
                    <c:v>2023A</c:v>
                  </c:pt>
                  <c:pt idx="8">
                    <c:v>2024A</c:v>
                  </c:pt>
                  <c:pt idx="9">
                    <c:v>2025A</c:v>
                  </c:pt>
                  <c:pt idx="10">
                    <c:v>2026E</c:v>
                  </c:pt>
                  <c:pt idx="11">
                    <c:v>2027E</c:v>
                  </c:pt>
                  <c:pt idx="12">
                    <c:v>2028E</c:v>
                  </c:pt>
                  <c:pt idx="13">
                    <c:v>2029E</c:v>
                  </c:pt>
                  <c:pt idx="14">
                    <c:v>2030E</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lvl>
              </c:multiLvlStrCache>
            </c:multiLvlStrRef>
          </c:cat>
          <c:val>
            <c:numRef>
              <c:f>Forcasting!$J$11:$J$25</c:f>
              <c:numCache>
                <c:formatCode>0.00%</c:formatCode>
                <c:ptCount val="15"/>
                <c:pt idx="1">
                  <c:v>0.48763368983957145</c:v>
                </c:pt>
                <c:pt idx="2">
                  <c:v>0.56144686587283732</c:v>
                </c:pt>
                <c:pt idx="3">
                  <c:v>0.154148681055154</c:v>
                </c:pt>
                <c:pt idx="4">
                  <c:v>1.1981798537234067</c:v>
                </c:pt>
                <c:pt idx="5">
                  <c:v>-0.78473259353082403</c:v>
                </c:pt>
                <c:pt idx="6">
                  <c:v>4.222797927461146</c:v>
                </c:pt>
                <c:pt idx="7">
                  <c:v>0.87340260963142335</c:v>
                </c:pt>
                <c:pt idx="8">
                  <c:v>0.76878337746263781</c:v>
                </c:pt>
                <c:pt idx="9">
                  <c:v>0.43095058076105275</c:v>
                </c:pt>
                <c:pt idx="10">
                  <c:v>-0.21923620666014132</c:v>
                </c:pt>
                <c:pt idx="11">
                  <c:v>0.11728367297188558</c:v>
                </c:pt>
                <c:pt idx="12">
                  <c:v>0.10497215327591825</c:v>
                </c:pt>
                <c:pt idx="13">
                  <c:v>9.4999817836772138E-2</c:v>
                </c:pt>
                <c:pt idx="14">
                  <c:v>8.675783894142497E-2</c:v>
                </c:pt>
              </c:numCache>
            </c:numRef>
          </c:val>
          <c:smooth val="1"/>
          <c:extLst>
            <c:ext xmlns:c16="http://schemas.microsoft.com/office/drawing/2014/chart" uri="{C3380CC4-5D6E-409C-BE32-E72D297353CC}">
              <c16:uniqueId val="{00000001-20CB-484C-95F0-E1E2E6B4A5C1}"/>
            </c:ext>
          </c:extLst>
        </c:ser>
        <c:dLbls>
          <c:showLegendKey val="0"/>
          <c:showVal val="0"/>
          <c:showCatName val="0"/>
          <c:showSerName val="0"/>
          <c:showPercent val="0"/>
          <c:showBubbleSize val="0"/>
        </c:dLbls>
        <c:marker val="1"/>
        <c:smooth val="0"/>
        <c:axId val="1837623935"/>
        <c:axId val="1837623103"/>
      </c:lineChart>
      <c:catAx>
        <c:axId val="1837622271"/>
        <c:scaling>
          <c:orientation val="minMax"/>
        </c:scaling>
        <c:delete val="1"/>
        <c:axPos val="b"/>
        <c:numFmt formatCode="General" sourceLinked="1"/>
        <c:majorTickMark val="none"/>
        <c:minorTickMark val="none"/>
        <c:tickLblPos val="nextTo"/>
        <c:crossAx val="1837619359"/>
        <c:crosses val="autoZero"/>
        <c:auto val="1"/>
        <c:lblAlgn val="ctr"/>
        <c:lblOffset val="100"/>
        <c:noMultiLvlLbl val="0"/>
      </c:catAx>
      <c:valAx>
        <c:axId val="1837619359"/>
        <c:scaling>
          <c:orientation val="minMax"/>
        </c:scaling>
        <c:delete val="0"/>
        <c:axPos val="l"/>
        <c:numFmt formatCode="#,##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37622271"/>
        <c:crosses val="autoZero"/>
        <c:crossBetween val="between"/>
        <c:majorUnit val="750"/>
      </c:valAx>
      <c:valAx>
        <c:axId val="1837623103"/>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37623935"/>
        <c:crosses val="max"/>
        <c:crossBetween val="between"/>
        <c:majorUnit val="2"/>
      </c:valAx>
      <c:catAx>
        <c:axId val="1837623935"/>
        <c:scaling>
          <c:orientation val="minMax"/>
        </c:scaling>
        <c:delete val="1"/>
        <c:axPos val="b"/>
        <c:numFmt formatCode="General" sourceLinked="1"/>
        <c:majorTickMark val="none"/>
        <c:minorTickMark val="none"/>
        <c:tickLblPos val="nextTo"/>
        <c:crossAx val="1837623103"/>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CFAC5A"/>
                </a:solidFill>
              </a:rPr>
              <a:t>EPS</a:t>
            </a:r>
            <a:r>
              <a:rPr lang="en-US" sz="1800" b="1" baseline="0">
                <a:solidFill>
                  <a:srgbClr val="CFAC5A"/>
                </a:solidFill>
              </a:rPr>
              <a:t> Forecasting</a:t>
            </a:r>
            <a:endParaRPr lang="en-US" sz="1800" b="1">
              <a:solidFill>
                <a:srgbClr val="CFAC5A"/>
              </a:solidFill>
            </a:endParaRPr>
          </a:p>
        </c:rich>
      </c:tx>
      <c:layout>
        <c:manualLayout>
          <c:xMode val="edge"/>
          <c:yMode val="edge"/>
          <c:x val="0.33034383441428028"/>
          <c:y val="7.256235827664399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056792523278694E-2"/>
          <c:y val="0.19041941185923189"/>
          <c:w val="0.89546047755070068"/>
          <c:h val="0.78190476190476188"/>
        </c:manualLayout>
      </c:layout>
      <c:barChart>
        <c:barDir val="col"/>
        <c:grouping val="clustered"/>
        <c:varyColors val="0"/>
        <c:ser>
          <c:idx val="0"/>
          <c:order val="0"/>
          <c:tx>
            <c:strRef>
              <c:f>Forcasting!$N$9</c:f>
              <c:strCache>
                <c:ptCount val="1"/>
                <c:pt idx="0">
                  <c:v>EPS </c:v>
                </c:pt>
              </c:strCache>
            </c:strRef>
          </c:tx>
          <c:spPr>
            <a:solidFill>
              <a:schemeClr val="bg1">
                <a:lumMod val="50000"/>
              </a:schemeClr>
            </a:solidFill>
            <a:ln>
              <a:noFill/>
            </a:ln>
            <a:effectLst/>
          </c:spPr>
          <c:invertIfNegative val="0"/>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8-3A09-4ECF-92A8-046DC00DAF70}"/>
              </c:ext>
            </c:extLst>
          </c:dPt>
          <c:dPt>
            <c:idx val="6"/>
            <c:invertIfNegative val="0"/>
            <c:bubble3D val="0"/>
            <c:spPr>
              <a:solidFill>
                <a:srgbClr val="C00000"/>
              </a:solidFill>
              <a:ln>
                <a:noFill/>
              </a:ln>
              <a:effectLst/>
            </c:spPr>
            <c:extLst>
              <c:ext xmlns:c16="http://schemas.microsoft.com/office/drawing/2014/chart" uri="{C3380CC4-5D6E-409C-BE32-E72D297353CC}">
                <c16:uniqueId val="{0000000A-3A09-4ECF-92A8-046DC00DAF70}"/>
              </c:ext>
            </c:extLst>
          </c:dPt>
          <c:dPt>
            <c:idx val="11"/>
            <c:invertIfNegative val="0"/>
            <c:bubble3D val="0"/>
            <c:spPr>
              <a:solidFill>
                <a:srgbClr val="CFAC5A"/>
              </a:solidFill>
              <a:ln>
                <a:noFill/>
              </a:ln>
              <a:effectLst/>
            </c:spPr>
            <c:extLst>
              <c:ext xmlns:c16="http://schemas.microsoft.com/office/drawing/2014/chart" uri="{C3380CC4-5D6E-409C-BE32-E72D297353CC}">
                <c16:uniqueId val="{00000014-3A09-4ECF-92A8-046DC00DAF70}"/>
              </c:ext>
            </c:extLst>
          </c:dPt>
          <c:dPt>
            <c:idx val="12"/>
            <c:invertIfNegative val="0"/>
            <c:bubble3D val="0"/>
            <c:spPr>
              <a:solidFill>
                <a:srgbClr val="CFAC5A"/>
              </a:solidFill>
              <a:ln>
                <a:noFill/>
              </a:ln>
              <a:effectLst/>
            </c:spPr>
            <c:extLst>
              <c:ext xmlns:c16="http://schemas.microsoft.com/office/drawing/2014/chart" uri="{C3380CC4-5D6E-409C-BE32-E72D297353CC}">
                <c16:uniqueId val="{00000013-3A09-4ECF-92A8-046DC00DAF70}"/>
              </c:ext>
            </c:extLst>
          </c:dPt>
          <c:dPt>
            <c:idx val="13"/>
            <c:invertIfNegative val="0"/>
            <c:bubble3D val="0"/>
            <c:spPr>
              <a:solidFill>
                <a:srgbClr val="CFAC5A"/>
              </a:solidFill>
              <a:ln>
                <a:noFill/>
              </a:ln>
              <a:effectLst/>
            </c:spPr>
            <c:extLst>
              <c:ext xmlns:c16="http://schemas.microsoft.com/office/drawing/2014/chart" uri="{C3380CC4-5D6E-409C-BE32-E72D297353CC}">
                <c16:uniqueId val="{00000012-3A09-4ECF-92A8-046DC00DAF70}"/>
              </c:ext>
            </c:extLst>
          </c:dPt>
          <c:dPt>
            <c:idx val="14"/>
            <c:invertIfNegative val="0"/>
            <c:bubble3D val="0"/>
            <c:spPr>
              <a:solidFill>
                <a:srgbClr val="CFAC5A"/>
              </a:solidFill>
              <a:ln>
                <a:noFill/>
              </a:ln>
              <a:effectLst/>
            </c:spPr>
            <c:extLst>
              <c:ext xmlns:c16="http://schemas.microsoft.com/office/drawing/2014/chart" uri="{C3380CC4-5D6E-409C-BE32-E72D297353CC}">
                <c16:uniqueId val="{00000011-3A09-4ECF-92A8-046DC00DAF70}"/>
              </c:ext>
            </c:extLst>
          </c:dPt>
          <c:dPt>
            <c:idx val="15"/>
            <c:invertIfNegative val="0"/>
            <c:bubble3D val="0"/>
            <c:spPr>
              <a:solidFill>
                <a:srgbClr val="CFAC5A"/>
              </a:solidFill>
              <a:ln>
                <a:noFill/>
              </a:ln>
              <a:effectLst/>
            </c:spPr>
            <c:extLst>
              <c:ext xmlns:c16="http://schemas.microsoft.com/office/drawing/2014/chart" uri="{C3380CC4-5D6E-409C-BE32-E72D297353CC}">
                <c16:uniqueId val="{00000010-3A09-4ECF-92A8-046DC00DAF70}"/>
              </c:ext>
            </c:extLst>
          </c:dPt>
          <c:dLbls>
            <c:dLbl>
              <c:idx val="1"/>
              <c:layout>
                <c:manualLayout>
                  <c:x val="0"/>
                  <c:y val="8.3333333333333329E-2"/>
                </c:manualLayout>
              </c:layout>
              <c:numFmt formatCode="#,##0.00;\(#,##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3A09-4ECF-92A8-046DC00DAF70}"/>
                </c:ext>
              </c:extLst>
            </c:dLbl>
            <c:dLbl>
              <c:idx val="2"/>
              <c:delete val="1"/>
              <c:extLst>
                <c:ext xmlns:c15="http://schemas.microsoft.com/office/drawing/2012/chart" uri="{CE6537A1-D6FC-4f65-9D91-7224C49458BB}"/>
                <c:ext xmlns:c16="http://schemas.microsoft.com/office/drawing/2014/chart" uri="{C3380CC4-5D6E-409C-BE32-E72D297353CC}">
                  <c16:uniqueId val="{00000002-3A09-4ECF-92A8-046DC00DAF70}"/>
                </c:ext>
              </c:extLst>
            </c:dLbl>
            <c:dLbl>
              <c:idx val="4"/>
              <c:delete val="1"/>
              <c:extLst>
                <c:ext xmlns:c15="http://schemas.microsoft.com/office/drawing/2012/chart" uri="{CE6537A1-D6FC-4f65-9D91-7224C49458BB}"/>
                <c:ext xmlns:c16="http://schemas.microsoft.com/office/drawing/2014/chart" uri="{C3380CC4-5D6E-409C-BE32-E72D297353CC}">
                  <c16:uniqueId val="{00000003-3A09-4ECF-92A8-046DC00DAF70}"/>
                </c:ext>
              </c:extLst>
            </c:dLbl>
            <c:dLbl>
              <c:idx val="5"/>
              <c:delete val="1"/>
              <c:extLst>
                <c:ext xmlns:c15="http://schemas.microsoft.com/office/drawing/2012/chart" uri="{CE6537A1-D6FC-4f65-9D91-7224C49458BB}"/>
                <c:ext xmlns:c16="http://schemas.microsoft.com/office/drawing/2014/chart" uri="{C3380CC4-5D6E-409C-BE32-E72D297353CC}">
                  <c16:uniqueId val="{00000009-3A09-4ECF-92A8-046DC00DAF70}"/>
                </c:ext>
              </c:extLst>
            </c:dLbl>
            <c:dLbl>
              <c:idx val="6"/>
              <c:layout>
                <c:manualLayout>
                  <c:x val="0"/>
                  <c:y val="0.20833369787109954"/>
                </c:manualLayout>
              </c:layout>
              <c:numFmt formatCode="#,##0.00;\(#,##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3A09-4ECF-92A8-046DC00DAF70}"/>
                </c:ext>
              </c:extLst>
            </c:dLbl>
            <c:dLbl>
              <c:idx val="7"/>
              <c:delete val="1"/>
              <c:extLst>
                <c:ext xmlns:c15="http://schemas.microsoft.com/office/drawing/2012/chart" uri="{CE6537A1-D6FC-4f65-9D91-7224C49458BB}"/>
                <c:ext xmlns:c16="http://schemas.microsoft.com/office/drawing/2014/chart" uri="{C3380CC4-5D6E-409C-BE32-E72D297353CC}">
                  <c16:uniqueId val="{0000000B-3A09-4ECF-92A8-046DC00DAF70}"/>
                </c:ext>
              </c:extLst>
            </c:dLbl>
            <c:dLbl>
              <c:idx val="12"/>
              <c:layout>
                <c:manualLayout>
                  <c:x val="-1.8214683712295964E-2"/>
                  <c:y val="-9.0702947845804575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3A09-4ECF-92A8-046DC00DAF70}"/>
                </c:ext>
              </c:extLst>
            </c:dLbl>
            <c:dLbl>
              <c:idx val="13"/>
              <c:layout>
                <c:manualLayout>
                  <c:x val="-2.4286244949728062E-2"/>
                  <c:y val="-5.442176870748299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3A09-4ECF-92A8-046DC00DAF70}"/>
                </c:ext>
              </c:extLst>
            </c:dLbl>
            <c:dLbl>
              <c:idx val="14"/>
              <c:layout>
                <c:manualLayout>
                  <c:x val="-3.0357806187161053E-3"/>
                  <c:y val="1.3605442176870665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3A09-4ECF-92A8-046DC00DAF70}"/>
                </c:ext>
              </c:extLst>
            </c:dLbl>
            <c:dLbl>
              <c:idx val="15"/>
              <c:layout>
                <c:manualLayout>
                  <c:x val="1.2143122474863976E-2"/>
                  <c:y val="-3.6281179138322038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3A09-4ECF-92A8-046DC00DAF70}"/>
                </c:ext>
              </c:extLst>
            </c:dLbl>
            <c:numFmt formatCode="#,##0.00;\(#,##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Forcasting!$M$10:$M$25</c:f>
              <c:numCache>
                <c:formatCode>0"A"</c:formatCode>
                <c:ptCount val="16"/>
                <c:pt idx="1">
                  <c:v>2016</c:v>
                </c:pt>
                <c:pt idx="2">
                  <c:v>2017</c:v>
                </c:pt>
                <c:pt idx="3">
                  <c:v>2018</c:v>
                </c:pt>
                <c:pt idx="4">
                  <c:v>2019</c:v>
                </c:pt>
                <c:pt idx="5">
                  <c:v>2020</c:v>
                </c:pt>
                <c:pt idx="6">
                  <c:v>2021</c:v>
                </c:pt>
                <c:pt idx="7">
                  <c:v>2022</c:v>
                </c:pt>
                <c:pt idx="8">
                  <c:v>2023</c:v>
                </c:pt>
                <c:pt idx="9">
                  <c:v>2024</c:v>
                </c:pt>
                <c:pt idx="10">
                  <c:v>2025</c:v>
                </c:pt>
                <c:pt idx="11" formatCode="0&quot;E&quot;">
                  <c:v>2026</c:v>
                </c:pt>
                <c:pt idx="12" formatCode="0&quot;E&quot;">
                  <c:v>2027</c:v>
                </c:pt>
                <c:pt idx="13" formatCode="0&quot;E&quot;">
                  <c:v>2028</c:v>
                </c:pt>
                <c:pt idx="14" formatCode="0&quot;E&quot;">
                  <c:v>2029</c:v>
                </c:pt>
                <c:pt idx="15" formatCode="0&quot;E&quot;">
                  <c:v>2030</c:v>
                </c:pt>
              </c:numCache>
            </c:numRef>
          </c:cat>
          <c:val>
            <c:numRef>
              <c:f>Forcasting!$N$10:$N$25</c:f>
              <c:numCache>
                <c:formatCode>#,##0.0</c:formatCode>
                <c:ptCount val="16"/>
                <c:pt idx="1">
                  <c:v>-0.94101715317483903</c:v>
                </c:pt>
                <c:pt idx="2">
                  <c:v>0.10953957267529643</c:v>
                </c:pt>
                <c:pt idx="3">
                  <c:v>1.7926572374360554</c:v>
                </c:pt>
                <c:pt idx="4">
                  <c:v>1.947637676798067</c:v>
                </c:pt>
                <c:pt idx="5">
                  <c:v>-1.1434599156118139</c:v>
                </c:pt>
                <c:pt idx="6">
                  <c:v>-10.704078762306612</c:v>
                </c:pt>
                <c:pt idx="7">
                  <c:v>-3.3068917018283903</c:v>
                </c:pt>
                <c:pt idx="8">
                  <c:v>1.4917018284107284</c:v>
                </c:pt>
                <c:pt idx="9">
                  <c:v>13.742616033755283</c:v>
                </c:pt>
                <c:pt idx="10">
                  <c:v>34.580872011251756</c:v>
                </c:pt>
                <c:pt idx="11">
                  <c:v>16.700276138730501</c:v>
                </c:pt>
                <c:pt idx="12">
                  <c:v>19.053606767092312</c:v>
                </c:pt>
                <c:pt idx="13">
                  <c:v>21.406937395454122</c:v>
                </c:pt>
                <c:pt idx="14">
                  <c:v>23.760268023815925</c:v>
                </c:pt>
                <c:pt idx="15">
                  <c:v>26.113598652177735</c:v>
                </c:pt>
              </c:numCache>
            </c:numRef>
          </c:val>
          <c:extLst>
            <c:ext xmlns:c16="http://schemas.microsoft.com/office/drawing/2014/chart" uri="{C3380CC4-5D6E-409C-BE32-E72D297353CC}">
              <c16:uniqueId val="{00000000-3A09-4ECF-92A8-046DC00DAF70}"/>
            </c:ext>
          </c:extLst>
        </c:ser>
        <c:dLbls>
          <c:showLegendKey val="0"/>
          <c:showVal val="0"/>
          <c:showCatName val="0"/>
          <c:showSerName val="0"/>
          <c:showPercent val="0"/>
          <c:showBubbleSize val="0"/>
        </c:dLbls>
        <c:gapWidth val="219"/>
        <c:overlap val="-27"/>
        <c:axId val="1015618879"/>
        <c:axId val="1015613887"/>
      </c:barChart>
      <c:catAx>
        <c:axId val="1015618879"/>
        <c:scaling>
          <c:orientation val="minMax"/>
        </c:scaling>
        <c:delete val="1"/>
        <c:axPos val="b"/>
        <c:numFmt formatCode="General" sourceLinked="1"/>
        <c:majorTickMark val="none"/>
        <c:minorTickMark val="none"/>
        <c:tickLblPos val="nextTo"/>
        <c:crossAx val="1015613887"/>
        <c:crosses val="autoZero"/>
        <c:auto val="1"/>
        <c:lblAlgn val="ctr"/>
        <c:lblOffset val="100"/>
        <c:noMultiLvlLbl val="0"/>
      </c:catAx>
      <c:valAx>
        <c:axId val="101561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15618879"/>
        <c:crosses val="autoZero"/>
        <c:crossBetween val="between"/>
        <c:majorUnit val="1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CFAC6F"/>
            </a:solidFill>
            <a:ln>
              <a:solidFill>
                <a:schemeClr val="tx1"/>
              </a:solidFill>
            </a:ln>
            <a:effectLst/>
          </c:spPr>
          <c:invertIfNegative val="0"/>
          <c:cat>
            <c:numRef>
              <c:f>DCF!$M$33:$Q$33</c:f>
              <c:numCache>
                <c:formatCode>""</c:formatCode>
                <c:ptCount val="5"/>
                <c:pt idx="0">
                  <c:v>46083</c:v>
                </c:pt>
                <c:pt idx="1">
                  <c:v>46449</c:v>
                </c:pt>
                <c:pt idx="2">
                  <c:v>46815</c:v>
                </c:pt>
                <c:pt idx="3">
                  <c:v>47181</c:v>
                </c:pt>
                <c:pt idx="4">
                  <c:v>47547</c:v>
                </c:pt>
              </c:numCache>
            </c:numRef>
          </c:cat>
          <c:val>
            <c:numRef>
              <c:f>DCF!$M$34:$Q$34</c:f>
              <c:numCache>
                <c:formatCode>""</c:formatCode>
                <c:ptCount val="5"/>
                <c:pt idx="0">
                  <c:v>2019.4720525155362</c:v>
                </c:pt>
                <c:pt idx="1">
                  <c:v>2382.9770219683328</c:v>
                </c:pt>
                <c:pt idx="2">
                  <c:v>2764.2533454832665</c:v>
                </c:pt>
                <c:pt idx="3">
                  <c:v>3151.2488138509243</c:v>
                </c:pt>
                <c:pt idx="4">
                  <c:v>3529.398671513035</c:v>
                </c:pt>
              </c:numCache>
            </c:numRef>
          </c:val>
          <c:extLst>
            <c:ext xmlns:c16="http://schemas.microsoft.com/office/drawing/2014/chart" uri="{C3380CC4-5D6E-409C-BE32-E72D297353CC}">
              <c16:uniqueId val="{00000000-2AA3-4286-9209-94FA74B25531}"/>
            </c:ext>
          </c:extLst>
        </c:ser>
        <c:dLbls>
          <c:showLegendKey val="0"/>
          <c:showVal val="0"/>
          <c:showCatName val="0"/>
          <c:showSerName val="0"/>
          <c:showPercent val="0"/>
          <c:showBubbleSize val="0"/>
        </c:dLbls>
        <c:gapWidth val="125"/>
        <c:overlap val="-27"/>
        <c:axId val="863387231"/>
        <c:axId val="863394719"/>
      </c:barChart>
      <c:barChart>
        <c:barDir val="col"/>
        <c:grouping val="clustered"/>
        <c:varyColors val="0"/>
        <c:ser>
          <c:idx val="1"/>
          <c:order val="1"/>
          <c:spPr>
            <a:solidFill>
              <a:srgbClr val="DDDDDD"/>
            </a:solidFill>
            <a:ln>
              <a:solidFill>
                <a:schemeClr val="tx1"/>
              </a:solidFill>
            </a:ln>
            <a:effectLst/>
          </c:spPr>
          <c:invertIfNegative val="0"/>
          <c:cat>
            <c:numRef>
              <c:f>DCF!$M$33:$Q$33</c:f>
              <c:numCache>
                <c:formatCode>""</c:formatCode>
                <c:ptCount val="5"/>
                <c:pt idx="0">
                  <c:v>46083</c:v>
                </c:pt>
                <c:pt idx="1">
                  <c:v>46449</c:v>
                </c:pt>
                <c:pt idx="2">
                  <c:v>46815</c:v>
                </c:pt>
                <c:pt idx="3">
                  <c:v>47181</c:v>
                </c:pt>
                <c:pt idx="4">
                  <c:v>47547</c:v>
                </c:pt>
              </c:numCache>
            </c:numRef>
          </c:cat>
          <c:val>
            <c:numRef>
              <c:f>DCF!$M$36:$Q$36</c:f>
              <c:numCache>
                <c:formatCode>""</c:formatCode>
                <c:ptCount val="5"/>
                <c:pt idx="0">
                  <c:v>1911.2658131858527</c:v>
                </c:pt>
                <c:pt idx="1">
                  <c:v>2020.0847382362942</c:v>
                </c:pt>
                <c:pt idx="2">
                  <c:v>2098.9112018897831</c:v>
                </c:pt>
                <c:pt idx="3">
                  <c:v>2143.2133475754799</c:v>
                </c:pt>
                <c:pt idx="4">
                  <c:v>2150.0567177028506</c:v>
                </c:pt>
              </c:numCache>
            </c:numRef>
          </c:val>
          <c:extLst>
            <c:ext xmlns:c16="http://schemas.microsoft.com/office/drawing/2014/chart" uri="{C3380CC4-5D6E-409C-BE32-E72D297353CC}">
              <c16:uniqueId val="{00000001-2AA3-4286-9209-94FA74B25531}"/>
            </c:ext>
          </c:extLst>
        </c:ser>
        <c:dLbls>
          <c:showLegendKey val="0"/>
          <c:showVal val="0"/>
          <c:showCatName val="0"/>
          <c:showSerName val="0"/>
          <c:showPercent val="0"/>
          <c:showBubbleSize val="0"/>
        </c:dLbls>
        <c:gapWidth val="275"/>
        <c:overlap val="-27"/>
        <c:axId val="550031791"/>
        <c:axId val="863410943"/>
      </c:barChart>
      <c:catAx>
        <c:axId val="863387231"/>
        <c:scaling>
          <c:orientation val="minMax"/>
        </c:scaling>
        <c:delete val="0"/>
        <c:axPos val="b"/>
        <c:numFmt formatCode="yyyy&quot;E&quot;"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63394719"/>
        <c:crosses val="autoZero"/>
        <c:auto val="1"/>
        <c:lblAlgn val="ctr"/>
        <c:lblOffset val="100"/>
        <c:noMultiLvlLbl val="1"/>
      </c:catAx>
      <c:valAx>
        <c:axId val="863394719"/>
        <c:scaling>
          <c:orientation val="minMax"/>
          <c:max val="4000"/>
          <c:min val="0"/>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63387231"/>
        <c:crosses val="autoZero"/>
        <c:crossBetween val="between"/>
        <c:majorUnit val="1000"/>
      </c:valAx>
      <c:valAx>
        <c:axId val="863410943"/>
        <c:scaling>
          <c:orientation val="minMax"/>
          <c:max val="4000"/>
          <c:min val="5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0031791"/>
        <c:crosses val="max"/>
        <c:crossBetween val="between"/>
        <c:majorUnit val="1000"/>
      </c:valAx>
      <c:catAx>
        <c:axId val="550031791"/>
        <c:scaling>
          <c:orientation val="minMax"/>
        </c:scaling>
        <c:delete val="1"/>
        <c:axPos val="b"/>
        <c:numFmt formatCode="&quot;&quot;" sourceLinked="1"/>
        <c:majorTickMark val="out"/>
        <c:minorTickMark val="none"/>
        <c:tickLblPos val="nextTo"/>
        <c:crossAx val="863410943"/>
        <c:crosses val="autoZero"/>
        <c:auto val="1"/>
        <c:lblAlgn val="ctr"/>
        <c:lblOffset val="100"/>
        <c:noMultiLvlLbl val="1"/>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29735379429923"/>
          <c:y val="0.19739934390615546"/>
          <c:w val="0.79909658213815804"/>
          <c:h val="0.74405676871267146"/>
        </c:manualLayout>
      </c:layout>
      <c:areaChart>
        <c:grouping val="standard"/>
        <c:varyColors val="0"/>
        <c:ser>
          <c:idx val="0"/>
          <c:order val="0"/>
          <c:tx>
            <c:strRef>
              <c:f>'Beta-Regression'!$D$11:$D$12</c:f>
              <c:strCache>
                <c:ptCount val="2"/>
                <c:pt idx="0">
                  <c:v> Returns</c:v>
                </c:pt>
              </c:strCache>
            </c:strRef>
          </c:tx>
          <c:spPr>
            <a:solidFill>
              <a:srgbClr val="F5ECFA"/>
            </a:solidFill>
            <a:ln w="22225">
              <a:solidFill>
                <a:srgbClr val="CFAC5A"/>
              </a:solidFill>
            </a:ln>
            <a:effectLst/>
          </c:spPr>
          <c:dLbls>
            <c:dLbl>
              <c:idx val="0"/>
              <c:delete val="1"/>
              <c:extLst>
                <c:ext xmlns:c15="http://schemas.microsoft.com/office/drawing/2012/chart" uri="{CE6537A1-D6FC-4f65-9D91-7224C49458BB}"/>
                <c:ext xmlns:c16="http://schemas.microsoft.com/office/drawing/2014/chart" uri="{C3380CC4-5D6E-409C-BE32-E72D297353CC}">
                  <c16:uniqueId val="{00000006-965C-4771-93DB-F26A02FCED7D}"/>
                </c:ext>
              </c:extLst>
            </c:dLbl>
            <c:dLbl>
              <c:idx val="1"/>
              <c:delete val="1"/>
              <c:extLst>
                <c:ext xmlns:c15="http://schemas.microsoft.com/office/drawing/2012/chart" uri="{CE6537A1-D6FC-4f65-9D91-7224C49458BB}"/>
                <c:ext xmlns:c16="http://schemas.microsoft.com/office/drawing/2014/chart" uri="{C3380CC4-5D6E-409C-BE32-E72D297353CC}">
                  <c16:uniqueId val="{00000005-965C-4771-93DB-F26A02FCED7D}"/>
                </c:ext>
              </c:extLst>
            </c:dLbl>
            <c:dLbl>
              <c:idx val="2"/>
              <c:delete val="1"/>
              <c:extLst>
                <c:ext xmlns:c15="http://schemas.microsoft.com/office/drawing/2012/chart" uri="{CE6537A1-D6FC-4f65-9D91-7224C49458BB}"/>
                <c:ext xmlns:c16="http://schemas.microsoft.com/office/drawing/2014/chart" uri="{C3380CC4-5D6E-409C-BE32-E72D297353CC}">
                  <c16:uniqueId val="{00000007-965C-4771-93DB-F26A02FCED7D}"/>
                </c:ext>
              </c:extLst>
            </c:dLbl>
            <c:dLbl>
              <c:idx val="3"/>
              <c:delete val="1"/>
              <c:extLst>
                <c:ext xmlns:c15="http://schemas.microsoft.com/office/drawing/2012/chart" uri="{CE6537A1-D6FC-4f65-9D91-7224C49458BB}"/>
                <c:ext xmlns:c16="http://schemas.microsoft.com/office/drawing/2014/chart" uri="{C3380CC4-5D6E-409C-BE32-E72D297353CC}">
                  <c16:uniqueId val="{00000008-965C-4771-93DB-F26A02FCED7D}"/>
                </c:ext>
              </c:extLst>
            </c:dLbl>
            <c:dLbl>
              <c:idx val="4"/>
              <c:delete val="1"/>
              <c:extLst>
                <c:ext xmlns:c15="http://schemas.microsoft.com/office/drawing/2012/chart" uri="{CE6537A1-D6FC-4f65-9D91-7224C49458BB}"/>
                <c:ext xmlns:c16="http://schemas.microsoft.com/office/drawing/2014/chart" uri="{C3380CC4-5D6E-409C-BE32-E72D297353CC}">
                  <c16:uniqueId val="{0000000E-965C-4771-93DB-F26A02FCED7D}"/>
                </c:ext>
              </c:extLst>
            </c:dLbl>
            <c:dLbl>
              <c:idx val="5"/>
              <c:layout>
                <c:manualLayout>
                  <c:x val="3.3659575009434973E-3"/>
                  <c:y val="-0.2024354333317952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965C-4771-93DB-F26A02FCED7D}"/>
                </c:ext>
              </c:extLst>
            </c:dLbl>
            <c:dLbl>
              <c:idx val="6"/>
              <c:delete val="1"/>
              <c:extLst>
                <c:ext xmlns:c15="http://schemas.microsoft.com/office/drawing/2012/chart" uri="{CE6537A1-D6FC-4f65-9D91-7224C49458BB}"/>
                <c:ext xmlns:c16="http://schemas.microsoft.com/office/drawing/2014/chart" uri="{C3380CC4-5D6E-409C-BE32-E72D297353CC}">
                  <c16:uniqueId val="{00000009-965C-4771-93DB-F26A02FCED7D}"/>
                </c:ext>
              </c:extLst>
            </c:dLbl>
            <c:dLbl>
              <c:idx val="7"/>
              <c:delete val="1"/>
              <c:extLst>
                <c:ext xmlns:c15="http://schemas.microsoft.com/office/drawing/2012/chart" uri="{CE6537A1-D6FC-4f65-9D91-7224C49458BB}"/>
                <c:ext xmlns:c16="http://schemas.microsoft.com/office/drawing/2014/chart" uri="{C3380CC4-5D6E-409C-BE32-E72D297353CC}">
                  <c16:uniqueId val="{0000000A-965C-4771-93DB-F26A02FCED7D}"/>
                </c:ext>
              </c:extLst>
            </c:dLbl>
            <c:dLbl>
              <c:idx val="8"/>
              <c:delete val="1"/>
              <c:extLst>
                <c:ext xmlns:c15="http://schemas.microsoft.com/office/drawing/2012/chart" uri="{CE6537A1-D6FC-4f65-9D91-7224C49458BB}"/>
                <c:ext xmlns:c16="http://schemas.microsoft.com/office/drawing/2014/chart" uri="{C3380CC4-5D6E-409C-BE32-E72D297353CC}">
                  <c16:uniqueId val="{00000016-965C-4771-93DB-F26A02FCED7D}"/>
                </c:ext>
              </c:extLst>
            </c:dLbl>
            <c:dLbl>
              <c:idx val="9"/>
              <c:delete val="1"/>
              <c:extLst>
                <c:ext xmlns:c15="http://schemas.microsoft.com/office/drawing/2012/chart" uri="{CE6537A1-D6FC-4f65-9D91-7224C49458BB}"/>
                <c:ext xmlns:c16="http://schemas.microsoft.com/office/drawing/2014/chart" uri="{C3380CC4-5D6E-409C-BE32-E72D297353CC}">
                  <c16:uniqueId val="{00000011-965C-4771-93DB-F26A02FCED7D}"/>
                </c:ext>
              </c:extLst>
            </c:dLbl>
            <c:dLbl>
              <c:idx val="10"/>
              <c:delete val="1"/>
              <c:extLst>
                <c:ext xmlns:c15="http://schemas.microsoft.com/office/drawing/2012/chart" uri="{CE6537A1-D6FC-4f65-9D91-7224C49458BB}"/>
                <c:ext xmlns:c16="http://schemas.microsoft.com/office/drawing/2014/chart" uri="{C3380CC4-5D6E-409C-BE32-E72D297353CC}">
                  <c16:uniqueId val="{00000015-965C-4771-93DB-F26A02FCED7D}"/>
                </c:ext>
              </c:extLst>
            </c:dLbl>
            <c:dLbl>
              <c:idx val="11"/>
              <c:delete val="1"/>
              <c:extLst>
                <c:ext xmlns:c15="http://schemas.microsoft.com/office/drawing/2012/chart" uri="{CE6537A1-D6FC-4f65-9D91-7224C49458BB}"/>
                <c:ext xmlns:c16="http://schemas.microsoft.com/office/drawing/2014/chart" uri="{C3380CC4-5D6E-409C-BE32-E72D297353CC}">
                  <c16:uniqueId val="{00000014-965C-4771-93DB-F26A02FCED7D}"/>
                </c:ext>
              </c:extLst>
            </c:dLbl>
            <c:dLbl>
              <c:idx val="12"/>
              <c:delete val="1"/>
              <c:extLst>
                <c:ext xmlns:c15="http://schemas.microsoft.com/office/drawing/2012/chart" uri="{CE6537A1-D6FC-4f65-9D91-7224C49458BB}"/>
                <c:ext xmlns:c16="http://schemas.microsoft.com/office/drawing/2014/chart" uri="{C3380CC4-5D6E-409C-BE32-E72D297353CC}">
                  <c16:uniqueId val="{00000013-965C-4771-93DB-F26A02FCED7D}"/>
                </c:ext>
              </c:extLst>
            </c:dLbl>
            <c:dLbl>
              <c:idx val="13"/>
              <c:delete val="1"/>
              <c:extLst>
                <c:ext xmlns:c15="http://schemas.microsoft.com/office/drawing/2012/chart" uri="{CE6537A1-D6FC-4f65-9D91-7224C49458BB}"/>
                <c:ext xmlns:c16="http://schemas.microsoft.com/office/drawing/2014/chart" uri="{C3380CC4-5D6E-409C-BE32-E72D297353CC}">
                  <c16:uniqueId val="{00000018-965C-4771-93DB-F26A02FCED7D}"/>
                </c:ext>
              </c:extLst>
            </c:dLbl>
            <c:dLbl>
              <c:idx val="14"/>
              <c:delete val="1"/>
              <c:extLst>
                <c:ext xmlns:c15="http://schemas.microsoft.com/office/drawing/2012/chart" uri="{CE6537A1-D6FC-4f65-9D91-7224C49458BB}"/>
                <c:ext xmlns:c16="http://schemas.microsoft.com/office/drawing/2014/chart" uri="{C3380CC4-5D6E-409C-BE32-E72D297353CC}">
                  <c16:uniqueId val="{00000038-965C-4771-93DB-F26A02FCED7D}"/>
                </c:ext>
              </c:extLst>
            </c:dLbl>
            <c:dLbl>
              <c:idx val="15"/>
              <c:delete val="1"/>
              <c:extLst>
                <c:ext xmlns:c15="http://schemas.microsoft.com/office/drawing/2012/chart" uri="{CE6537A1-D6FC-4f65-9D91-7224C49458BB}"/>
                <c:ext xmlns:c16="http://schemas.microsoft.com/office/drawing/2014/chart" uri="{C3380CC4-5D6E-409C-BE32-E72D297353CC}">
                  <c16:uniqueId val="{00000019-965C-4771-93DB-F26A02FCED7D}"/>
                </c:ext>
              </c:extLst>
            </c:dLbl>
            <c:dLbl>
              <c:idx val="16"/>
              <c:delete val="1"/>
              <c:extLst>
                <c:ext xmlns:c15="http://schemas.microsoft.com/office/drawing/2012/chart" uri="{CE6537A1-D6FC-4f65-9D91-7224C49458BB}"/>
                <c:ext xmlns:c16="http://schemas.microsoft.com/office/drawing/2014/chart" uri="{C3380CC4-5D6E-409C-BE32-E72D297353CC}">
                  <c16:uniqueId val="{00000033-965C-4771-93DB-F26A02FCED7D}"/>
                </c:ext>
              </c:extLst>
            </c:dLbl>
            <c:dLbl>
              <c:idx val="17"/>
              <c:delete val="1"/>
              <c:extLst>
                <c:ext xmlns:c15="http://schemas.microsoft.com/office/drawing/2012/chart" uri="{CE6537A1-D6FC-4f65-9D91-7224C49458BB}"/>
                <c:ext xmlns:c16="http://schemas.microsoft.com/office/drawing/2014/chart" uri="{C3380CC4-5D6E-409C-BE32-E72D297353CC}">
                  <c16:uniqueId val="{0000001A-965C-4771-93DB-F26A02FCED7D}"/>
                </c:ext>
              </c:extLst>
            </c:dLbl>
            <c:dLbl>
              <c:idx val="18"/>
              <c:delete val="1"/>
              <c:extLst>
                <c:ext xmlns:c15="http://schemas.microsoft.com/office/drawing/2012/chart" uri="{CE6537A1-D6FC-4f65-9D91-7224C49458BB}"/>
                <c:ext xmlns:c16="http://schemas.microsoft.com/office/drawing/2014/chart" uri="{C3380CC4-5D6E-409C-BE32-E72D297353CC}">
                  <c16:uniqueId val="{0000002F-965C-4771-93DB-F26A02FCED7D}"/>
                </c:ext>
              </c:extLst>
            </c:dLbl>
            <c:dLbl>
              <c:idx val="19"/>
              <c:delete val="1"/>
              <c:extLst>
                <c:ext xmlns:c15="http://schemas.microsoft.com/office/drawing/2012/chart" uri="{CE6537A1-D6FC-4f65-9D91-7224C49458BB}"/>
                <c:ext xmlns:c16="http://schemas.microsoft.com/office/drawing/2014/chart" uri="{C3380CC4-5D6E-409C-BE32-E72D297353CC}">
                  <c16:uniqueId val="{0000001C-965C-4771-93DB-F26A02FCED7D}"/>
                </c:ext>
              </c:extLst>
            </c:dLbl>
            <c:dLbl>
              <c:idx val="20"/>
              <c:delete val="1"/>
              <c:extLst>
                <c:ext xmlns:c15="http://schemas.microsoft.com/office/drawing/2012/chart" uri="{CE6537A1-D6FC-4f65-9D91-7224C49458BB}"/>
                <c:ext xmlns:c16="http://schemas.microsoft.com/office/drawing/2014/chart" uri="{C3380CC4-5D6E-409C-BE32-E72D297353CC}">
                  <c16:uniqueId val="{0000001B-965C-4771-93DB-F26A02FCED7D}"/>
                </c:ext>
              </c:extLst>
            </c:dLbl>
            <c:dLbl>
              <c:idx val="21"/>
              <c:delete val="1"/>
              <c:extLst>
                <c:ext xmlns:c15="http://schemas.microsoft.com/office/drawing/2012/chart" uri="{CE6537A1-D6FC-4f65-9D91-7224C49458BB}"/>
                <c:ext xmlns:c16="http://schemas.microsoft.com/office/drawing/2014/chart" uri="{C3380CC4-5D6E-409C-BE32-E72D297353CC}">
                  <c16:uniqueId val="{0000001E-965C-4771-93DB-F26A02FCED7D}"/>
                </c:ext>
              </c:extLst>
            </c:dLbl>
            <c:dLbl>
              <c:idx val="22"/>
              <c:delete val="1"/>
              <c:extLst>
                <c:ext xmlns:c15="http://schemas.microsoft.com/office/drawing/2012/chart" uri="{CE6537A1-D6FC-4f65-9D91-7224C49458BB}"/>
                <c:ext xmlns:c16="http://schemas.microsoft.com/office/drawing/2014/chart" uri="{C3380CC4-5D6E-409C-BE32-E72D297353CC}">
                  <c16:uniqueId val="{0000001D-965C-4771-93DB-F26A02FCED7D}"/>
                </c:ext>
              </c:extLst>
            </c:dLbl>
            <c:dLbl>
              <c:idx val="23"/>
              <c:delete val="1"/>
              <c:extLst>
                <c:ext xmlns:c15="http://schemas.microsoft.com/office/drawing/2012/chart" uri="{CE6537A1-D6FC-4f65-9D91-7224C49458BB}"/>
                <c:ext xmlns:c16="http://schemas.microsoft.com/office/drawing/2014/chart" uri="{C3380CC4-5D6E-409C-BE32-E72D297353CC}">
                  <c16:uniqueId val="{00000029-965C-4771-93DB-F26A02FCED7D}"/>
                </c:ext>
              </c:extLst>
            </c:dLbl>
            <c:dLbl>
              <c:idx val="24"/>
              <c:delete val="1"/>
              <c:extLst>
                <c:ext xmlns:c15="http://schemas.microsoft.com/office/drawing/2012/chart" uri="{CE6537A1-D6FC-4f65-9D91-7224C49458BB}"/>
                <c:ext xmlns:c16="http://schemas.microsoft.com/office/drawing/2014/chart" uri="{C3380CC4-5D6E-409C-BE32-E72D297353CC}">
                  <c16:uniqueId val="{00000028-965C-4771-93DB-F26A02FCED7D}"/>
                </c:ext>
              </c:extLst>
            </c:dLbl>
            <c:dLbl>
              <c:idx val="25"/>
              <c:delete val="1"/>
              <c:extLst>
                <c:ext xmlns:c15="http://schemas.microsoft.com/office/drawing/2012/chart" uri="{CE6537A1-D6FC-4f65-9D91-7224C49458BB}"/>
                <c:ext xmlns:c16="http://schemas.microsoft.com/office/drawing/2014/chart" uri="{C3380CC4-5D6E-409C-BE32-E72D297353CC}">
                  <c16:uniqueId val="{00000027-965C-4771-93DB-F26A02FCED7D}"/>
                </c:ext>
              </c:extLst>
            </c:dLbl>
            <c:dLbl>
              <c:idx val="26"/>
              <c:delete val="1"/>
              <c:extLst>
                <c:ext xmlns:c15="http://schemas.microsoft.com/office/drawing/2012/chart" uri="{CE6537A1-D6FC-4f65-9D91-7224C49458BB}"/>
                <c:ext xmlns:c16="http://schemas.microsoft.com/office/drawing/2014/chart" uri="{C3380CC4-5D6E-409C-BE32-E72D297353CC}">
                  <c16:uniqueId val="{00000024-965C-4771-93DB-F26A02FCED7D}"/>
                </c:ext>
              </c:extLst>
            </c:dLbl>
            <c:dLbl>
              <c:idx val="27"/>
              <c:delete val="1"/>
              <c:extLst>
                <c:ext xmlns:c15="http://schemas.microsoft.com/office/drawing/2012/chart" uri="{CE6537A1-D6FC-4f65-9D91-7224C49458BB}"/>
                <c:ext xmlns:c16="http://schemas.microsoft.com/office/drawing/2014/chart" uri="{C3380CC4-5D6E-409C-BE32-E72D297353CC}">
                  <c16:uniqueId val="{00000023-965C-4771-93DB-F26A02FCED7D}"/>
                </c:ext>
              </c:extLst>
            </c:dLbl>
            <c:dLbl>
              <c:idx val="28"/>
              <c:delete val="1"/>
              <c:extLst>
                <c:ext xmlns:c15="http://schemas.microsoft.com/office/drawing/2012/chart" uri="{CE6537A1-D6FC-4f65-9D91-7224C49458BB}"/>
                <c:ext xmlns:c16="http://schemas.microsoft.com/office/drawing/2014/chart" uri="{C3380CC4-5D6E-409C-BE32-E72D297353CC}">
                  <c16:uniqueId val="{00000039-965C-4771-93DB-F26A02FCED7D}"/>
                </c:ext>
              </c:extLst>
            </c:dLbl>
            <c:dLbl>
              <c:idx val="29"/>
              <c:layout>
                <c:manualLayout>
                  <c:x val="-2.3647244121262224E-2"/>
                  <c:y val="-7.986316571146957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F-965C-4771-93DB-F26A02FCED7D}"/>
                </c:ext>
              </c:extLst>
            </c:dLbl>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'Beta-Regression'!$B$13:$B$116</c:f>
              <c:strCache>
                <c:ptCount val="30"/>
                <c:pt idx="0">
                  <c:v>02/06/2026</c:v>
                </c:pt>
                <c:pt idx="1">
                  <c:v>01/30/2026</c:v>
                </c:pt>
                <c:pt idx="2">
                  <c:v>01/23/2026</c:v>
                </c:pt>
                <c:pt idx="3">
                  <c:v>01/16/2026</c:v>
                </c:pt>
                <c:pt idx="4">
                  <c:v>01/09/2026</c:v>
                </c:pt>
                <c:pt idx="5">
                  <c:v>01/02/2026</c:v>
                </c:pt>
                <c:pt idx="6">
                  <c:v>12/26/2025</c:v>
                </c:pt>
                <c:pt idx="7">
                  <c:v>12/19/2025</c:v>
                </c:pt>
                <c:pt idx="8">
                  <c:v>12/12/2025</c:v>
                </c:pt>
                <c:pt idx="9">
                  <c:v>12/05/2025</c:v>
                </c:pt>
                <c:pt idx="10">
                  <c:v>11/28/2025</c:v>
                </c:pt>
                <c:pt idx="11">
                  <c:v>11/21/2025</c:v>
                </c:pt>
                <c:pt idx="12">
                  <c:v>11/14/2025</c:v>
                </c:pt>
                <c:pt idx="13">
                  <c:v>11/07/2025</c:v>
                </c:pt>
                <c:pt idx="14">
                  <c:v>05/31/2024</c:v>
                </c:pt>
                <c:pt idx="15">
                  <c:v>05/24/2024</c:v>
                </c:pt>
                <c:pt idx="16">
                  <c:v>05/17/2024</c:v>
                </c:pt>
                <c:pt idx="17">
                  <c:v>05/10/2024</c:v>
                </c:pt>
                <c:pt idx="18">
                  <c:v>05/03/2024</c:v>
                </c:pt>
                <c:pt idx="19">
                  <c:v>04/26/2024</c:v>
                </c:pt>
                <c:pt idx="20">
                  <c:v>04/19/2024</c:v>
                </c:pt>
                <c:pt idx="21">
                  <c:v>04/12/2024</c:v>
                </c:pt>
                <c:pt idx="22">
                  <c:v>04/05/2024</c:v>
                </c:pt>
                <c:pt idx="23">
                  <c:v>03/28/2024</c:v>
                </c:pt>
                <c:pt idx="24">
                  <c:v>03/22/2024</c:v>
                </c:pt>
                <c:pt idx="25">
                  <c:v>03/15/2024</c:v>
                </c:pt>
                <c:pt idx="26">
                  <c:v>03/07/2024</c:v>
                </c:pt>
                <c:pt idx="27">
                  <c:v>03/01/2024</c:v>
                </c:pt>
                <c:pt idx="28">
                  <c:v>02/23/2024</c:v>
                </c:pt>
                <c:pt idx="29">
                  <c:v>02/16/2024</c:v>
                </c:pt>
              </c:strCache>
            </c:strRef>
          </c:cat>
          <c:val>
            <c:numRef>
              <c:f>'Beta-Regression'!$D$13:$D$116</c:f>
              <c:numCache>
                <c:formatCode>0.00%</c:formatCode>
                <c:ptCount val="30"/>
                <c:pt idx="0">
                  <c:v>-3.1154809648699988E-2</c:v>
                </c:pt>
                <c:pt idx="1">
                  <c:v>-8.091966301682485E-2</c:v>
                </c:pt>
                <c:pt idx="2">
                  <c:v>-8.1096787827557026E-3</c:v>
                </c:pt>
                <c:pt idx="3">
                  <c:v>3.9108897706996215E-2</c:v>
                </c:pt>
                <c:pt idx="4">
                  <c:v>1.8978663420260222E-2</c:v>
                </c:pt>
                <c:pt idx="5">
                  <c:v>0.10890889883796961</c:v>
                </c:pt>
                <c:pt idx="6">
                  <c:v>-2.8352386136817231E-2</c:v>
                </c:pt>
                <c:pt idx="7">
                  <c:v>-5.1834819552733613E-2</c:v>
                </c:pt>
                <c:pt idx="8">
                  <c:v>2.7574321413184055E-3</c:v>
                </c:pt>
                <c:pt idx="9">
                  <c:v>2.8578794240047278E-2</c:v>
                </c:pt>
                <c:pt idx="10">
                  <c:v>1.4680081635575881E-2</c:v>
                </c:pt>
                <c:pt idx="11">
                  <c:v>2.5771316324970206E-2</c:v>
                </c:pt>
                <c:pt idx="12">
                  <c:v>6.6507659847721001E-3</c:v>
                </c:pt>
                <c:pt idx="13">
                  <c:v>5.3640588690937463E-2</c:v>
                </c:pt>
                <c:pt idx="14">
                  <c:v>-8.4388610052202218E-2</c:v>
                </c:pt>
                <c:pt idx="15">
                  <c:v>3.781129505333336E-2</c:v>
                </c:pt>
                <c:pt idx="16">
                  <c:v>-1.8883702221798804E-2</c:v>
                </c:pt>
                <c:pt idx="17">
                  <c:v>-3.5257689693491079E-2</c:v>
                </c:pt>
                <c:pt idx="18">
                  <c:v>1.1630377651782098E-2</c:v>
                </c:pt>
                <c:pt idx="19">
                  <c:v>-4.8263892727252622E-2</c:v>
                </c:pt>
                <c:pt idx="20">
                  <c:v>-3.5356292467622952E-2</c:v>
                </c:pt>
                <c:pt idx="21">
                  <c:v>-2.3551793476297767E-2</c:v>
                </c:pt>
                <c:pt idx="22">
                  <c:v>-2.8756396818546137E-2</c:v>
                </c:pt>
                <c:pt idx="23">
                  <c:v>2.6154412604901811E-3</c:v>
                </c:pt>
                <c:pt idx="24">
                  <c:v>0</c:v>
                </c:pt>
                <c:pt idx="25">
                  <c:v>2.8314908381770199E-2</c:v>
                </c:pt>
                <c:pt idx="26">
                  <c:v>-2.6833323071239423E-2</c:v>
                </c:pt>
                <c:pt idx="27">
                  <c:v>-1.2742641662237819E-2</c:v>
                </c:pt>
                <c:pt idx="28">
                  <c:v>-3.7683128468706251E-3</c:v>
                </c:pt>
                <c:pt idx="29">
                  <c:v>3.4879382438083084E-2</c:v>
                </c:pt>
              </c:numCache>
            </c:numRef>
          </c:val>
          <c:extLst>
            <c:ext xmlns:c16="http://schemas.microsoft.com/office/drawing/2014/chart" uri="{C3380CC4-5D6E-409C-BE32-E72D297353CC}">
              <c16:uniqueId val="{00000000-965C-4771-93DB-F26A02FCED7D}"/>
            </c:ext>
          </c:extLst>
        </c:ser>
        <c:ser>
          <c:idx val="1"/>
          <c:order val="1"/>
          <c:tx>
            <c:strRef>
              <c:f>'Beta-Regression'!$E$11:$E$12</c:f>
              <c:strCache>
                <c:ptCount val="2"/>
                <c:pt idx="0">
                  <c:v>Diffrence</c:v>
                </c:pt>
              </c:strCache>
            </c:strRef>
          </c:tx>
          <c:spPr>
            <a:solidFill>
              <a:schemeClr val="bg1">
                <a:lumMod val="95000"/>
              </a:schemeClr>
            </a:solidFill>
            <a:ln w="22225">
              <a:solidFill>
                <a:schemeClr val="tx1"/>
              </a:solidFill>
            </a:ln>
            <a:effectLst/>
          </c:spPr>
          <c:dLbls>
            <c:dLbl>
              <c:idx val="0"/>
              <c:delete val="1"/>
              <c:extLst>
                <c:ext xmlns:c15="http://schemas.microsoft.com/office/drawing/2012/chart" uri="{CE6537A1-D6FC-4f65-9D91-7224C49458BB}"/>
                <c:ext xmlns:c16="http://schemas.microsoft.com/office/drawing/2014/chart" uri="{C3380CC4-5D6E-409C-BE32-E72D297353CC}">
                  <c16:uniqueId val="{00000004-965C-4771-93DB-F26A02FCED7D}"/>
                </c:ext>
              </c:extLst>
            </c:dLbl>
            <c:dLbl>
              <c:idx val="1"/>
              <c:layout>
                <c:manualLayout>
                  <c:x val="-1.6954222802832972E-2"/>
                  <c:y val="-0.1279664049649953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65C-4771-93DB-F26A02FCED7D}"/>
                </c:ext>
              </c:extLst>
            </c:dLbl>
            <c:dLbl>
              <c:idx val="2"/>
              <c:delete val="1"/>
              <c:extLst>
                <c:ext xmlns:c15="http://schemas.microsoft.com/office/drawing/2012/chart" uri="{CE6537A1-D6FC-4f65-9D91-7224C49458BB}"/>
                <c:ext xmlns:c16="http://schemas.microsoft.com/office/drawing/2014/chart" uri="{C3380CC4-5D6E-409C-BE32-E72D297353CC}">
                  <c16:uniqueId val="{0000000D-965C-4771-93DB-F26A02FCED7D}"/>
                </c:ext>
              </c:extLst>
            </c:dLbl>
            <c:dLbl>
              <c:idx val="3"/>
              <c:delete val="1"/>
              <c:extLst>
                <c:ext xmlns:c15="http://schemas.microsoft.com/office/drawing/2012/chart" uri="{CE6537A1-D6FC-4f65-9D91-7224C49458BB}"/>
                <c:ext xmlns:c16="http://schemas.microsoft.com/office/drawing/2014/chart" uri="{C3380CC4-5D6E-409C-BE32-E72D297353CC}">
                  <c16:uniqueId val="{0000000B-965C-4771-93DB-F26A02FCED7D}"/>
                </c:ext>
              </c:extLst>
            </c:dLbl>
            <c:dLbl>
              <c:idx val="4"/>
              <c:delete val="1"/>
              <c:extLst>
                <c:ext xmlns:c15="http://schemas.microsoft.com/office/drawing/2012/chart" uri="{CE6537A1-D6FC-4f65-9D91-7224C49458BB}"/>
                <c:ext xmlns:c16="http://schemas.microsoft.com/office/drawing/2014/chart" uri="{C3380CC4-5D6E-409C-BE32-E72D297353CC}">
                  <c16:uniqueId val="{0000000C-965C-4771-93DB-F26A02FCED7D}"/>
                </c:ext>
              </c:extLst>
            </c:dLbl>
            <c:dLbl>
              <c:idx val="5"/>
              <c:layout>
                <c:manualLayout>
                  <c:x val="4.723232646303991E-2"/>
                  <c:y val="8.2483601844572471E-2"/>
                </c:manualLayout>
              </c:layout>
              <c:numFmt formatCode="0.0%" sourceLinked="0"/>
              <c:spPr>
                <a:noFill/>
                <a:ln>
                  <a:noFill/>
                </a:ln>
                <a:effectLst/>
              </c:spPr>
              <c:txPr>
                <a:bodyPr rot="0" spcFirstLastPara="1" vertOverflow="clip" horzOverflow="clip" vert="horz" wrap="square" lIns="38100" tIns="19050" rIns="38100" bIns="19050" anchor="ctr" anchorCtr="1">
                  <a:no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4998186948098372E-2"/>
                      <c:h val="7.8011301442769479E-2"/>
                    </c:manualLayout>
                  </c15:layout>
                </c:ext>
                <c:ext xmlns:c16="http://schemas.microsoft.com/office/drawing/2014/chart" uri="{C3380CC4-5D6E-409C-BE32-E72D297353CC}">
                  <c16:uniqueId val="{00000002-965C-4771-93DB-F26A02FCED7D}"/>
                </c:ext>
              </c:extLst>
            </c:dLbl>
            <c:dLbl>
              <c:idx val="6"/>
              <c:delete val="1"/>
              <c:extLst>
                <c:ext xmlns:c15="http://schemas.microsoft.com/office/drawing/2012/chart" uri="{CE6537A1-D6FC-4f65-9D91-7224C49458BB}"/>
                <c:ext xmlns:c16="http://schemas.microsoft.com/office/drawing/2014/chart" uri="{C3380CC4-5D6E-409C-BE32-E72D297353CC}">
                  <c16:uniqueId val="{00000012-965C-4771-93DB-F26A02FCED7D}"/>
                </c:ext>
              </c:extLst>
            </c:dLbl>
            <c:dLbl>
              <c:idx val="7"/>
              <c:layout>
                <c:manualLayout>
                  <c:x val="-1.005905103402401E-2"/>
                  <c:y val="-0.1117911663685692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965C-4771-93DB-F26A02FCED7D}"/>
                </c:ext>
              </c:extLst>
            </c:dLbl>
            <c:dLbl>
              <c:idx val="8"/>
              <c:delete val="1"/>
              <c:extLst>
                <c:ext xmlns:c15="http://schemas.microsoft.com/office/drawing/2012/chart" uri="{CE6537A1-D6FC-4f65-9D91-7224C49458BB}"/>
                <c:ext xmlns:c16="http://schemas.microsoft.com/office/drawing/2014/chart" uri="{C3380CC4-5D6E-409C-BE32-E72D297353CC}">
                  <c16:uniqueId val="{00000017-965C-4771-93DB-F26A02FCED7D}"/>
                </c:ext>
              </c:extLst>
            </c:dLbl>
            <c:dLbl>
              <c:idx val="9"/>
              <c:delete val="1"/>
              <c:extLst>
                <c:ext xmlns:c15="http://schemas.microsoft.com/office/drawing/2012/chart" uri="{CE6537A1-D6FC-4f65-9D91-7224C49458BB}"/>
                <c:ext xmlns:c16="http://schemas.microsoft.com/office/drawing/2014/chart" uri="{C3380CC4-5D6E-409C-BE32-E72D297353CC}">
                  <c16:uniqueId val="{00000036-965C-4771-93DB-F26A02FCED7D}"/>
                </c:ext>
              </c:extLst>
            </c:dLbl>
            <c:dLbl>
              <c:idx val="10"/>
              <c:delete val="1"/>
              <c:extLst>
                <c:ext xmlns:c15="http://schemas.microsoft.com/office/drawing/2012/chart" uri="{CE6537A1-D6FC-4f65-9D91-7224C49458BB}"/>
                <c:ext xmlns:c16="http://schemas.microsoft.com/office/drawing/2014/chart" uri="{C3380CC4-5D6E-409C-BE32-E72D297353CC}">
                  <c16:uniqueId val="{00000035-965C-4771-93DB-F26A02FCED7D}"/>
                </c:ext>
              </c:extLst>
            </c:dLbl>
            <c:dLbl>
              <c:idx val="11"/>
              <c:delete val="1"/>
              <c:extLst>
                <c:ext xmlns:c15="http://schemas.microsoft.com/office/drawing/2012/chart" uri="{CE6537A1-D6FC-4f65-9D91-7224C49458BB}"/>
                <c:ext xmlns:c16="http://schemas.microsoft.com/office/drawing/2014/chart" uri="{C3380CC4-5D6E-409C-BE32-E72D297353CC}">
                  <c16:uniqueId val="{00000037-965C-4771-93DB-F26A02FCED7D}"/>
                </c:ext>
              </c:extLst>
            </c:dLbl>
            <c:dLbl>
              <c:idx val="12"/>
              <c:delete val="1"/>
              <c:extLst>
                <c:ext xmlns:c15="http://schemas.microsoft.com/office/drawing/2012/chart" uri="{CE6537A1-D6FC-4f65-9D91-7224C49458BB}"/>
                <c:ext xmlns:c16="http://schemas.microsoft.com/office/drawing/2014/chart" uri="{C3380CC4-5D6E-409C-BE32-E72D297353CC}">
                  <c16:uniqueId val="{00000034-965C-4771-93DB-F26A02FCED7D}"/>
                </c:ext>
              </c:extLst>
            </c:dLbl>
            <c:dLbl>
              <c:idx val="13"/>
              <c:layout>
                <c:manualLayout>
                  <c:x val="-3.3737376045028508E-2"/>
                  <c:y val="0.10112126002202615"/>
                </c:manualLayout>
              </c:layout>
              <c:numFmt formatCode="0.0%" sourceLinked="0"/>
              <c:spPr>
                <a:noFill/>
                <a:ln>
                  <a:noFill/>
                </a:ln>
                <a:effectLst/>
              </c:spPr>
              <c:txPr>
                <a:bodyPr rot="0" spcFirstLastPara="1" vertOverflow="clip" horzOverflow="clip" vert="horz" wrap="square" lIns="38100" tIns="19050" rIns="38100" bIns="19050" anchor="ctr" anchorCtr="1">
                  <a:no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119399761606915E-2"/>
                      <c:h val="8.8655644602982767E-2"/>
                    </c:manualLayout>
                  </c15:layout>
                </c:ext>
                <c:ext xmlns:c16="http://schemas.microsoft.com/office/drawing/2014/chart" uri="{C3380CC4-5D6E-409C-BE32-E72D297353CC}">
                  <c16:uniqueId val="{0000003B-965C-4771-93DB-F26A02FCED7D}"/>
                </c:ext>
              </c:extLst>
            </c:dLbl>
            <c:dLbl>
              <c:idx val="14"/>
              <c:layout>
                <c:manualLayout>
                  <c:x val="-6.7474752090057009E-3"/>
                  <c:y val="-0.1064434316021328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3C-965C-4771-93DB-F26A02FCED7D}"/>
                </c:ext>
              </c:extLst>
            </c:dLbl>
            <c:dLbl>
              <c:idx val="15"/>
              <c:delete val="1"/>
              <c:extLst>
                <c:ext xmlns:c15="http://schemas.microsoft.com/office/drawing/2012/chart" uri="{CE6537A1-D6FC-4f65-9D91-7224C49458BB}"/>
                <c:ext xmlns:c16="http://schemas.microsoft.com/office/drawing/2014/chart" uri="{C3380CC4-5D6E-409C-BE32-E72D297353CC}">
                  <c16:uniqueId val="{00000032-965C-4771-93DB-F26A02FCED7D}"/>
                </c:ext>
              </c:extLst>
            </c:dLbl>
            <c:dLbl>
              <c:idx val="16"/>
              <c:delete val="1"/>
              <c:extLst>
                <c:ext xmlns:c15="http://schemas.microsoft.com/office/drawing/2012/chart" uri="{CE6537A1-D6FC-4f65-9D91-7224C49458BB}"/>
                <c:ext xmlns:c16="http://schemas.microsoft.com/office/drawing/2014/chart" uri="{C3380CC4-5D6E-409C-BE32-E72D297353CC}">
                  <c16:uniqueId val="{00000031-965C-4771-93DB-F26A02FCED7D}"/>
                </c:ext>
              </c:extLst>
            </c:dLbl>
            <c:dLbl>
              <c:idx val="17"/>
              <c:delete val="1"/>
              <c:extLst>
                <c:ext xmlns:c15="http://schemas.microsoft.com/office/drawing/2012/chart" uri="{CE6537A1-D6FC-4f65-9D91-7224C49458BB}"/>
                <c:ext xmlns:c16="http://schemas.microsoft.com/office/drawing/2014/chart" uri="{C3380CC4-5D6E-409C-BE32-E72D297353CC}">
                  <c16:uniqueId val="{00000030-965C-4771-93DB-F26A02FCED7D}"/>
                </c:ext>
              </c:extLst>
            </c:dLbl>
            <c:dLbl>
              <c:idx val="18"/>
              <c:delete val="1"/>
              <c:extLst>
                <c:ext xmlns:c15="http://schemas.microsoft.com/office/drawing/2012/chart" uri="{CE6537A1-D6FC-4f65-9D91-7224C49458BB}"/>
                <c:ext xmlns:c16="http://schemas.microsoft.com/office/drawing/2014/chart" uri="{C3380CC4-5D6E-409C-BE32-E72D297353CC}">
                  <c16:uniqueId val="{0000002E-965C-4771-93DB-F26A02FCED7D}"/>
                </c:ext>
              </c:extLst>
            </c:dLbl>
            <c:dLbl>
              <c:idx val="19"/>
              <c:layout>
                <c:manualLayout>
                  <c:x val="-2.3561705262313413E-2"/>
                  <c:y val="-8.5174860575867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D-965C-4771-93DB-F26A02FCED7D}"/>
                </c:ext>
              </c:extLst>
            </c:dLbl>
            <c:dLbl>
              <c:idx val="20"/>
              <c:delete val="1"/>
              <c:extLst>
                <c:ext xmlns:c15="http://schemas.microsoft.com/office/drawing/2012/chart" uri="{CE6537A1-D6FC-4f65-9D91-7224C49458BB}"/>
                <c:ext xmlns:c16="http://schemas.microsoft.com/office/drawing/2014/chart" uri="{C3380CC4-5D6E-409C-BE32-E72D297353CC}">
                  <c16:uniqueId val="{0000002A-965C-4771-93DB-F26A02FCED7D}"/>
                </c:ext>
              </c:extLst>
            </c:dLbl>
            <c:dLbl>
              <c:idx val="21"/>
              <c:delete val="1"/>
              <c:extLst>
                <c:ext xmlns:c15="http://schemas.microsoft.com/office/drawing/2012/chart" uri="{CE6537A1-D6FC-4f65-9D91-7224C49458BB}"/>
                <c:ext xmlns:c16="http://schemas.microsoft.com/office/drawing/2014/chart" uri="{C3380CC4-5D6E-409C-BE32-E72D297353CC}">
                  <c16:uniqueId val="{0000002C-965C-4771-93DB-F26A02FCED7D}"/>
                </c:ext>
              </c:extLst>
            </c:dLbl>
            <c:dLbl>
              <c:idx val="22"/>
              <c:delete val="1"/>
              <c:extLst>
                <c:ext xmlns:c15="http://schemas.microsoft.com/office/drawing/2012/chart" uri="{CE6537A1-D6FC-4f65-9D91-7224C49458BB}"/>
                <c:ext xmlns:c16="http://schemas.microsoft.com/office/drawing/2014/chart" uri="{C3380CC4-5D6E-409C-BE32-E72D297353CC}">
                  <c16:uniqueId val="{0000002B-965C-4771-93DB-F26A02FCED7D}"/>
                </c:ext>
              </c:extLst>
            </c:dLbl>
            <c:dLbl>
              <c:idx val="23"/>
              <c:delete val="1"/>
              <c:extLst>
                <c:ext xmlns:c15="http://schemas.microsoft.com/office/drawing/2012/chart" uri="{CE6537A1-D6FC-4f65-9D91-7224C49458BB}"/>
                <c:ext xmlns:c16="http://schemas.microsoft.com/office/drawing/2014/chart" uri="{C3380CC4-5D6E-409C-BE32-E72D297353CC}">
                  <c16:uniqueId val="{00000026-965C-4771-93DB-F26A02FCED7D}"/>
                </c:ext>
              </c:extLst>
            </c:dLbl>
            <c:dLbl>
              <c:idx val="24"/>
              <c:delete val="1"/>
              <c:extLst>
                <c:ext xmlns:c15="http://schemas.microsoft.com/office/drawing/2012/chart" uri="{CE6537A1-D6FC-4f65-9D91-7224C49458BB}"/>
                <c:ext xmlns:c16="http://schemas.microsoft.com/office/drawing/2014/chart" uri="{C3380CC4-5D6E-409C-BE32-E72D297353CC}">
                  <c16:uniqueId val="{00000025-965C-4771-93DB-F26A02FCED7D}"/>
                </c:ext>
              </c:extLst>
            </c:dLbl>
            <c:dLbl>
              <c:idx val="25"/>
              <c:delete val="1"/>
              <c:extLst>
                <c:ext xmlns:c15="http://schemas.microsoft.com/office/drawing/2012/chart" uri="{CE6537A1-D6FC-4f65-9D91-7224C49458BB}"/>
                <c:ext xmlns:c16="http://schemas.microsoft.com/office/drawing/2014/chart" uri="{C3380CC4-5D6E-409C-BE32-E72D297353CC}">
                  <c16:uniqueId val="{00000022-965C-4771-93DB-F26A02FCED7D}"/>
                </c:ext>
              </c:extLst>
            </c:dLbl>
            <c:dLbl>
              <c:idx val="26"/>
              <c:layout>
                <c:manualLayout>
                  <c:x val="-5.060606406754288E-2"/>
                  <c:y val="-4.25773726408532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3D-965C-4771-93DB-F26A02FCED7D}"/>
                </c:ext>
              </c:extLst>
            </c:dLbl>
            <c:dLbl>
              <c:idx val="27"/>
              <c:delete val="1"/>
              <c:extLst>
                <c:ext xmlns:c15="http://schemas.microsoft.com/office/drawing/2012/chart" uri="{CE6537A1-D6FC-4f65-9D91-7224C49458BB}"/>
                <c:ext xmlns:c16="http://schemas.microsoft.com/office/drawing/2014/chart" uri="{C3380CC4-5D6E-409C-BE32-E72D297353CC}">
                  <c16:uniqueId val="{0000003A-965C-4771-93DB-F26A02FCED7D}"/>
                </c:ext>
              </c:extLst>
            </c:dLbl>
            <c:dLbl>
              <c:idx val="28"/>
              <c:delete val="1"/>
              <c:extLst>
                <c:ext xmlns:c15="http://schemas.microsoft.com/office/drawing/2012/chart" uri="{CE6537A1-D6FC-4f65-9D91-7224C49458BB}"/>
                <c:ext xmlns:c16="http://schemas.microsoft.com/office/drawing/2014/chart" uri="{C3380CC4-5D6E-409C-BE32-E72D297353CC}">
                  <c16:uniqueId val="{00000020-965C-4771-93DB-F26A02FCED7D}"/>
                </c:ext>
              </c:extLst>
            </c:dLbl>
            <c:dLbl>
              <c:idx val="29"/>
              <c:layout>
                <c:manualLayout>
                  <c:x val="-2.3577378531499809E-2"/>
                  <c:y val="6.921882255125619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1-965C-4771-93DB-F26A02FCED7D}"/>
                </c:ext>
              </c:extLst>
            </c:dLbl>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'Beta-Regression'!$B$13:$B$116</c:f>
              <c:strCache>
                <c:ptCount val="30"/>
                <c:pt idx="0">
                  <c:v>02/06/2026</c:v>
                </c:pt>
                <c:pt idx="1">
                  <c:v>01/30/2026</c:v>
                </c:pt>
                <c:pt idx="2">
                  <c:v>01/23/2026</c:v>
                </c:pt>
                <c:pt idx="3">
                  <c:v>01/16/2026</c:v>
                </c:pt>
                <c:pt idx="4">
                  <c:v>01/09/2026</c:v>
                </c:pt>
                <c:pt idx="5">
                  <c:v>01/02/2026</c:v>
                </c:pt>
                <c:pt idx="6">
                  <c:v>12/26/2025</c:v>
                </c:pt>
                <c:pt idx="7">
                  <c:v>12/19/2025</c:v>
                </c:pt>
                <c:pt idx="8">
                  <c:v>12/12/2025</c:v>
                </c:pt>
                <c:pt idx="9">
                  <c:v>12/05/2025</c:v>
                </c:pt>
                <c:pt idx="10">
                  <c:v>11/28/2025</c:v>
                </c:pt>
                <c:pt idx="11">
                  <c:v>11/21/2025</c:v>
                </c:pt>
                <c:pt idx="12">
                  <c:v>11/14/2025</c:v>
                </c:pt>
                <c:pt idx="13">
                  <c:v>11/07/2025</c:v>
                </c:pt>
                <c:pt idx="14">
                  <c:v>05/31/2024</c:v>
                </c:pt>
                <c:pt idx="15">
                  <c:v>05/24/2024</c:v>
                </c:pt>
                <c:pt idx="16">
                  <c:v>05/17/2024</c:v>
                </c:pt>
                <c:pt idx="17">
                  <c:v>05/10/2024</c:v>
                </c:pt>
                <c:pt idx="18">
                  <c:v>05/03/2024</c:v>
                </c:pt>
                <c:pt idx="19">
                  <c:v>04/26/2024</c:v>
                </c:pt>
                <c:pt idx="20">
                  <c:v>04/19/2024</c:v>
                </c:pt>
                <c:pt idx="21">
                  <c:v>04/12/2024</c:v>
                </c:pt>
                <c:pt idx="22">
                  <c:v>04/05/2024</c:v>
                </c:pt>
                <c:pt idx="23">
                  <c:v>03/28/2024</c:v>
                </c:pt>
                <c:pt idx="24">
                  <c:v>03/22/2024</c:v>
                </c:pt>
                <c:pt idx="25">
                  <c:v>03/15/2024</c:v>
                </c:pt>
                <c:pt idx="26">
                  <c:v>03/07/2024</c:v>
                </c:pt>
                <c:pt idx="27">
                  <c:v>03/01/2024</c:v>
                </c:pt>
                <c:pt idx="28">
                  <c:v>02/23/2024</c:v>
                </c:pt>
                <c:pt idx="29">
                  <c:v>02/16/2024</c:v>
                </c:pt>
              </c:strCache>
            </c:strRef>
          </c:cat>
          <c:val>
            <c:numRef>
              <c:f>'Beta-Regression'!$E$13:$E$116</c:f>
              <c:numCache>
                <c:formatCode>0.00%</c:formatCode>
                <c:ptCount val="30"/>
                <c:pt idx="0">
                  <c:v>3.989412597190567E-2</c:v>
                </c:pt>
                <c:pt idx="1">
                  <c:v>6.6400539651953361E-2</c:v>
                </c:pt>
                <c:pt idx="2">
                  <c:v>-2.6325414998989993E-3</c:v>
                </c:pt>
                <c:pt idx="3">
                  <c:v>-1.3331061376495423E-2</c:v>
                </c:pt>
                <c:pt idx="4">
                  <c:v>-1.9408719055059254E-2</c:v>
                </c:pt>
                <c:pt idx="5">
                  <c:v>-8.3785569670767668E-2</c:v>
                </c:pt>
                <c:pt idx="6">
                  <c:v>1.7480158080201869E-2</c:v>
                </c:pt>
                <c:pt idx="7">
                  <c:v>4.892033043310906E-2</c:v>
                </c:pt>
                <c:pt idx="8">
                  <c:v>3.4465363106428448E-4</c:v>
                </c:pt>
                <c:pt idx="9">
                  <c:v>-2.322308080718849E-2</c:v>
                </c:pt>
                <c:pt idx="10">
                  <c:v>-1.4049984772503521E-2</c:v>
                </c:pt>
                <c:pt idx="11">
                  <c:v>-3.091577525039646E-2</c:v>
                </c:pt>
                <c:pt idx="12">
                  <c:v>-1.2715638252271066E-2</c:v>
                </c:pt>
                <c:pt idx="13">
                  <c:v>-6.9763676064369728E-2</c:v>
                </c:pt>
                <c:pt idx="14">
                  <c:v>5.1780404437382188E-2</c:v>
                </c:pt>
                <c:pt idx="15">
                  <c:v>-1.8886006447120574E-2</c:v>
                </c:pt>
                <c:pt idx="16">
                  <c:v>-2.5040166102836547E-3</c:v>
                </c:pt>
                <c:pt idx="17">
                  <c:v>1.6967910871176661E-2</c:v>
                </c:pt>
                <c:pt idx="18">
                  <c:v>7.4422220072551948E-3</c:v>
                </c:pt>
                <c:pt idx="19">
                  <c:v>4.5776778780505456E-2</c:v>
                </c:pt>
                <c:pt idx="20">
                  <c:v>2.3181867457754524E-2</c:v>
                </c:pt>
                <c:pt idx="21">
                  <c:v>4.0366711975417302E-2</c:v>
                </c:pt>
                <c:pt idx="22">
                  <c:v>2.8503281726669716E-2</c:v>
                </c:pt>
                <c:pt idx="23">
                  <c:v>-1.0912611427988161E-2</c:v>
                </c:pt>
                <c:pt idx="24">
                  <c:v>-1.0308193255669229E-2</c:v>
                </c:pt>
                <c:pt idx="25">
                  <c:v>-3.1636663843546353E-2</c:v>
                </c:pt>
                <c:pt idx="26">
                  <c:v>4.8183390159125761E-2</c:v>
                </c:pt>
                <c:pt idx="27">
                  <c:v>5.8606688300260057E-3</c:v>
                </c:pt>
                <c:pt idx="28">
                  <c:v>-1.8743484479645245E-3</c:v>
                </c:pt>
                <c:pt idx="29">
                  <c:v>-4.262270044985117E-2</c:v>
                </c:pt>
              </c:numCache>
            </c:numRef>
          </c:val>
          <c:extLst>
            <c:ext xmlns:c16="http://schemas.microsoft.com/office/drawing/2014/chart" uri="{C3380CC4-5D6E-409C-BE32-E72D297353CC}">
              <c16:uniqueId val="{00000001-965C-4771-93DB-F26A02FCED7D}"/>
            </c:ext>
          </c:extLst>
        </c:ser>
        <c:dLbls>
          <c:showLegendKey val="0"/>
          <c:showVal val="0"/>
          <c:showCatName val="0"/>
          <c:showSerName val="0"/>
          <c:showPercent val="0"/>
          <c:showBubbleSize val="0"/>
        </c:dLbls>
        <c:axId val="866932495"/>
        <c:axId val="866937487"/>
      </c:areaChart>
      <c:catAx>
        <c:axId val="866932495"/>
        <c:scaling>
          <c:orientation val="minMax"/>
        </c:scaling>
        <c:delete val="1"/>
        <c:axPos val="b"/>
        <c:numFmt formatCode="General" sourceLinked="1"/>
        <c:majorTickMark val="none"/>
        <c:minorTickMark val="none"/>
        <c:tickLblPos val="nextTo"/>
        <c:crossAx val="866937487"/>
        <c:crosses val="autoZero"/>
        <c:auto val="1"/>
        <c:lblAlgn val="ctr"/>
        <c:lblOffset val="100"/>
        <c:noMultiLvlLbl val="0"/>
      </c:catAx>
      <c:valAx>
        <c:axId val="866937487"/>
        <c:scaling>
          <c:orientation val="minMax"/>
          <c:min val="-0.1500000000000000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32495"/>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FAC46"/>
                </a:solidFill>
              </a:rPr>
              <a:t>Football Field Analysis -Valuation Summary</a:t>
            </a:r>
            <a:r>
              <a:rPr lang="en-IN" b="1" baseline="0">
                <a:solidFill>
                  <a:srgbClr val="CFAC46"/>
                </a:solidFill>
              </a:rPr>
              <a:t> (Rs)</a:t>
            </a:r>
            <a:r>
              <a:rPr lang="en-IN" baseline="0"/>
              <a:t>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cat>
            <c:strRef>
              <c:f>'Football Field'!$L$6:$L$10</c:f>
              <c:strCache>
                <c:ptCount val="5"/>
                <c:pt idx="0">
                  <c:v>Comps</c:v>
                </c:pt>
                <c:pt idx="1">
                  <c:v>DCF Bear</c:v>
                </c:pt>
                <c:pt idx="2">
                  <c:v>DCF Base</c:v>
                </c:pt>
                <c:pt idx="3">
                  <c:v>DCF Bull</c:v>
                </c:pt>
                <c:pt idx="4">
                  <c:v>52W H/L</c:v>
                </c:pt>
              </c:strCache>
            </c:strRef>
          </c:cat>
          <c:val>
            <c:numRef>
              <c:f>'Football Field'!$M$6:$M$10</c:f>
              <c:numCache>
                <c:formatCode>0.00</c:formatCode>
                <c:ptCount val="5"/>
                <c:pt idx="0">
                  <c:v>2284.2088744372345</c:v>
                </c:pt>
                <c:pt idx="1">
                  <c:v>547.6845961472867</c:v>
                </c:pt>
                <c:pt idx="2">
                  <c:v>1099.435818660231</c:v>
                </c:pt>
                <c:pt idx="3">
                  <c:v>690.34047253968208</c:v>
                </c:pt>
                <c:pt idx="4">
                  <c:v>3645</c:v>
                </c:pt>
              </c:numCache>
            </c:numRef>
          </c:val>
          <c:smooth val="0"/>
          <c:extLst>
            <c:ext xmlns:c16="http://schemas.microsoft.com/office/drawing/2014/chart" uri="{C3380CC4-5D6E-409C-BE32-E72D297353CC}">
              <c16:uniqueId val="{00000000-AD57-4306-A127-D654AFB79F5A}"/>
            </c:ext>
          </c:extLst>
        </c:ser>
        <c:ser>
          <c:idx val="1"/>
          <c:order val="1"/>
          <c:spPr>
            <a:ln w="38100" cap="rnd">
              <a:noFill/>
              <a:round/>
            </a:ln>
            <a:effectLst/>
          </c:spPr>
          <c:marker>
            <c:symbol val="none"/>
          </c:marker>
          <c:dLbls>
            <c:dLbl>
              <c:idx val="0"/>
              <c:layout>
                <c:manualLayout>
                  <c:x val="-6.4951443569553804E-2"/>
                  <c:y val="3.931722076407124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AD57-4306-A127-D654AFB79F5A}"/>
                </c:ext>
              </c:extLst>
            </c:dLbl>
            <c:dLbl>
              <c:idx val="1"/>
              <c:layout>
                <c:manualLayout>
                  <c:x val="-6.417366579177608E-2"/>
                  <c:y val="3.468759113444153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AD57-4306-A127-D654AFB79F5A}"/>
                </c:ext>
              </c:extLst>
            </c:dLbl>
            <c:dLbl>
              <c:idx val="2"/>
              <c:layout>
                <c:manualLayout>
                  <c:x val="-5.8618110236220475E-2"/>
                  <c:y val="3.005796150481189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D57-4306-A127-D654AFB79F5A}"/>
                </c:ext>
              </c:extLst>
            </c:dLbl>
            <c:dLbl>
              <c:idx val="3"/>
              <c:layout>
                <c:manualLayout>
                  <c:x val="-5.8618110236220475E-2"/>
                  <c:y val="2.542833187518226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AD57-4306-A127-D654AFB79F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'Football Field'!$L$6:$L$10</c:f>
              <c:strCache>
                <c:ptCount val="5"/>
                <c:pt idx="0">
                  <c:v>Comps</c:v>
                </c:pt>
                <c:pt idx="1">
                  <c:v>DCF Bear</c:v>
                </c:pt>
                <c:pt idx="2">
                  <c:v>DCF Base</c:v>
                </c:pt>
                <c:pt idx="3">
                  <c:v>DCF Bull</c:v>
                </c:pt>
                <c:pt idx="4">
                  <c:v>52W H/L</c:v>
                </c:pt>
              </c:strCache>
            </c:strRef>
          </c:cat>
          <c:val>
            <c:numRef>
              <c:f>'Football Field'!$N$6:$N$10</c:f>
              <c:numCache>
                <c:formatCode>0.00</c:formatCode>
                <c:ptCount val="5"/>
                <c:pt idx="0">
                  <c:v>2284.2088744372345</c:v>
                </c:pt>
                <c:pt idx="1">
                  <c:v>547.6845961472867</c:v>
                </c:pt>
                <c:pt idx="2">
                  <c:v>1099.435818660231</c:v>
                </c:pt>
                <c:pt idx="3">
                  <c:v>690.34047253968208</c:v>
                </c:pt>
                <c:pt idx="4">
                  <c:v>3645</c:v>
                </c:pt>
              </c:numCache>
            </c:numRef>
          </c:val>
          <c:smooth val="0"/>
          <c:extLst>
            <c:ext xmlns:c16="http://schemas.microsoft.com/office/drawing/2014/chart" uri="{C3380CC4-5D6E-409C-BE32-E72D297353CC}">
              <c16:uniqueId val="{00000001-AD57-4306-A127-D654AFB79F5A}"/>
            </c:ext>
          </c:extLst>
        </c:ser>
        <c:ser>
          <c:idx val="2"/>
          <c:order val="2"/>
          <c:spPr>
            <a:ln w="38100" cap="rnd">
              <a:noFill/>
              <a:round/>
            </a:ln>
            <a:effectLst/>
          </c:spPr>
          <c:marker>
            <c:symbol val="none"/>
          </c:marker>
          <c:cat>
            <c:strRef>
              <c:f>'Football Field'!$L$6:$L$10</c:f>
              <c:strCache>
                <c:ptCount val="5"/>
                <c:pt idx="0">
                  <c:v>Comps</c:v>
                </c:pt>
                <c:pt idx="1">
                  <c:v>DCF Bear</c:v>
                </c:pt>
                <c:pt idx="2">
                  <c:v>DCF Base</c:v>
                </c:pt>
                <c:pt idx="3">
                  <c:v>DCF Bull</c:v>
                </c:pt>
                <c:pt idx="4">
                  <c:v>52W H/L</c:v>
                </c:pt>
              </c:strCache>
            </c:strRef>
          </c:cat>
          <c:val>
            <c:numRef>
              <c:f>'Football Field'!$O$6:$O$10</c:f>
              <c:numCache>
                <c:formatCode>0.00</c:formatCode>
                <c:ptCount val="5"/>
                <c:pt idx="0">
                  <c:v>4131.3262128955421</c:v>
                </c:pt>
                <c:pt idx="1">
                  <c:v>678.66703855322703</c:v>
                </c:pt>
                <c:pt idx="2">
                  <c:v>2071.1694950261826</c:v>
                </c:pt>
                <c:pt idx="3">
                  <c:v>936.51164728070898</c:v>
                </c:pt>
                <c:pt idx="4">
                  <c:v>6261</c:v>
                </c:pt>
              </c:numCache>
            </c:numRef>
          </c:val>
          <c:smooth val="0"/>
          <c:extLst>
            <c:ext xmlns:c16="http://schemas.microsoft.com/office/drawing/2014/chart" uri="{C3380CC4-5D6E-409C-BE32-E72D297353CC}">
              <c16:uniqueId val="{00000002-AD57-4306-A127-D654AFB79F5A}"/>
            </c:ext>
          </c:extLst>
        </c:ser>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'Football Field'!$L$6:$L$10</c:f>
              <c:strCache>
                <c:ptCount val="5"/>
                <c:pt idx="0">
                  <c:v>Comps</c:v>
                </c:pt>
                <c:pt idx="1">
                  <c:v>DCF Bear</c:v>
                </c:pt>
                <c:pt idx="2">
                  <c:v>DCF Base</c:v>
                </c:pt>
                <c:pt idx="3">
                  <c:v>DCF Bull</c:v>
                </c:pt>
                <c:pt idx="4">
                  <c:v>52W H/L</c:v>
                </c:pt>
              </c:strCache>
            </c:strRef>
          </c:cat>
          <c:val>
            <c:numRef>
              <c:f>'Football Field'!$P$6:$P$10</c:f>
              <c:numCache>
                <c:formatCode>0.00</c:formatCode>
                <c:ptCount val="5"/>
                <c:pt idx="0">
                  <c:v>4131.3262128955421</c:v>
                </c:pt>
                <c:pt idx="1">
                  <c:v>678.66703855322703</c:v>
                </c:pt>
                <c:pt idx="2">
                  <c:v>2071.1694950261826</c:v>
                </c:pt>
                <c:pt idx="3">
                  <c:v>936.51164728070898</c:v>
                </c:pt>
                <c:pt idx="4">
                  <c:v>6261</c:v>
                </c:pt>
              </c:numCache>
            </c:numRef>
          </c:val>
          <c:smooth val="0"/>
          <c:extLst>
            <c:ext xmlns:c16="http://schemas.microsoft.com/office/drawing/2014/chart" uri="{C3380CC4-5D6E-409C-BE32-E72D297353CC}">
              <c16:uniqueId val="{00000003-AD57-4306-A127-D654AFB79F5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D6C6A2"/>
              </a:solidFill>
              <a:ln w="9525" cap="flat" cmpd="sng" algn="ctr">
                <a:solidFill>
                  <a:schemeClr val="tx1"/>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785802256"/>
        <c:axId val="1785791024"/>
      </c:stockChart>
      <c:catAx>
        <c:axId val="1785802256"/>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791024"/>
        <c:crosses val="autoZero"/>
        <c:auto val="1"/>
        <c:lblAlgn val="ctr"/>
        <c:lblOffset val="100"/>
        <c:noMultiLvlLbl val="0"/>
      </c:catAx>
      <c:valAx>
        <c:axId val="1785791024"/>
        <c:scaling>
          <c:orientation val="minMax"/>
        </c:scaling>
        <c:delete val="0"/>
        <c:axPos val="l"/>
        <c:numFmt formatCode="0" sourceLinked="0"/>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802256"/>
        <c:crosses val="autoZero"/>
        <c:crossBetween val="between"/>
        <c:majorUnit val="2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887392554131578E-2"/>
          <c:y val="0.2534226993348187"/>
          <c:w val="0.894891240272079"/>
          <c:h val="0.64300994993663663"/>
        </c:manualLayout>
      </c:layout>
      <c:barChart>
        <c:barDir val="col"/>
        <c:grouping val="clustered"/>
        <c:varyColors val="0"/>
        <c:ser>
          <c:idx val="0"/>
          <c:order val="0"/>
          <c:spPr>
            <a:solidFill>
              <a:srgbClr val="DDDDDD"/>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13-589E-46A4-9CC0-D8F0533E1DF3}"/>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12-589E-46A4-9CC0-D8F0533E1DF3}"/>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11-589E-46A4-9CC0-D8F0533E1DF3}"/>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C-589E-46A4-9CC0-D8F0533E1DF3}"/>
              </c:ext>
            </c:extLst>
          </c:dPt>
          <c:dPt>
            <c:idx val="4"/>
            <c:invertIfNegative val="0"/>
            <c:bubble3D val="0"/>
            <c:spPr>
              <a:solidFill>
                <a:srgbClr val="CFAC46"/>
              </a:solidFill>
              <a:ln>
                <a:noFill/>
              </a:ln>
              <a:effectLst/>
            </c:spPr>
            <c:extLst>
              <c:ext xmlns:c16="http://schemas.microsoft.com/office/drawing/2014/chart" uri="{C3380CC4-5D6E-409C-BE32-E72D297353CC}">
                <c16:uniqueId val="{00000007-589E-46A4-9CC0-D8F0533E1DF3}"/>
              </c:ext>
            </c:extLst>
          </c:dPt>
          <c:dLbls>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ext>
            </c:extLst>
          </c:dLbls>
          <c:cat>
            <c:numRef>
              <c:f>'Dupont Analysis'!$E$68:$I$68</c:f>
              <c:numCache>
                <c:formatCode>mmm\-yy</c:formatCode>
                <c:ptCount val="5"/>
                <c:pt idx="0">
                  <c:v>44286</c:v>
                </c:pt>
                <c:pt idx="1">
                  <c:v>44651</c:v>
                </c:pt>
                <c:pt idx="2">
                  <c:v>45016</c:v>
                </c:pt>
                <c:pt idx="3">
                  <c:v>45382</c:v>
                </c:pt>
                <c:pt idx="4">
                  <c:v>45747</c:v>
                </c:pt>
              </c:numCache>
            </c:numRef>
          </c:cat>
          <c:val>
            <c:numRef>
              <c:f>'Dupont Analysis'!$E$70:$I$70</c:f>
              <c:numCache>
                <c:formatCode>#,##0.0</c:formatCode>
                <c:ptCount val="5"/>
                <c:pt idx="0">
                  <c:v>2592.96</c:v>
                </c:pt>
                <c:pt idx="1">
                  <c:v>4498.0200000000004</c:v>
                </c:pt>
                <c:pt idx="2">
                  <c:v>8242.02</c:v>
                </c:pt>
                <c:pt idx="3">
                  <c:v>12375.11</c:v>
                </c:pt>
                <c:pt idx="4">
                  <c:v>17134.61</c:v>
                </c:pt>
              </c:numCache>
            </c:numRef>
          </c:val>
          <c:extLst>
            <c:ext xmlns:c16="http://schemas.microsoft.com/office/drawing/2014/chart" uri="{C3380CC4-5D6E-409C-BE32-E72D297353CC}">
              <c16:uniqueId val="{00000000-589E-46A4-9CC0-D8F0533E1DF3}"/>
            </c:ext>
          </c:extLst>
        </c:ser>
        <c:dLbls>
          <c:showLegendKey val="0"/>
          <c:showVal val="0"/>
          <c:showCatName val="0"/>
          <c:showSerName val="0"/>
          <c:showPercent val="0"/>
          <c:showBubbleSize val="0"/>
        </c:dLbls>
        <c:gapWidth val="219"/>
        <c:overlap val="-27"/>
        <c:axId val="2012627920"/>
        <c:axId val="2012632496"/>
      </c:barChart>
      <c:dateAx>
        <c:axId val="20126279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2632496"/>
        <c:crosses val="autoZero"/>
        <c:auto val="1"/>
        <c:lblOffset val="100"/>
        <c:baseTimeUnit val="years"/>
      </c:dateAx>
      <c:valAx>
        <c:axId val="2012632496"/>
        <c:scaling>
          <c:orientation val="minMax"/>
        </c:scaling>
        <c:delete val="1"/>
        <c:axPos val="l"/>
        <c:numFmt formatCode="#,##0.0" sourceLinked="1"/>
        <c:majorTickMark val="none"/>
        <c:minorTickMark val="none"/>
        <c:tickLblPos val="nextTo"/>
        <c:crossAx val="2012627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091180383274007E-2"/>
          <c:y val="0.24830435098499576"/>
          <c:w val="0.894891240272079"/>
          <c:h val="0.74496764448390729"/>
        </c:manualLayout>
      </c:layout>
      <c:barChart>
        <c:barDir val="col"/>
        <c:grouping val="clustered"/>
        <c:varyColors val="0"/>
        <c:ser>
          <c:idx val="0"/>
          <c:order val="0"/>
          <c:spPr>
            <a:solidFill>
              <a:srgbClr val="DDDDDD"/>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9-B6AB-47C2-A9EA-2C6AAE3F91F2}"/>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1D-B6AB-47C2-A9EA-2C6AAE3F91F2}"/>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16-B6AB-47C2-A9EA-2C6AAE3F91F2}"/>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10-B6AB-47C2-A9EA-2C6AAE3F91F2}"/>
              </c:ext>
            </c:extLst>
          </c:dPt>
          <c:dPt>
            <c:idx val="4"/>
            <c:invertIfNegative val="0"/>
            <c:bubble3D val="0"/>
            <c:spPr>
              <a:solidFill>
                <a:srgbClr val="CFAC46"/>
              </a:solidFill>
              <a:ln>
                <a:noFill/>
              </a:ln>
              <a:effectLst/>
            </c:spPr>
            <c:extLst>
              <c:ext xmlns:c16="http://schemas.microsoft.com/office/drawing/2014/chart" uri="{C3380CC4-5D6E-409C-BE32-E72D297353CC}">
                <c16:uniqueId val="{00000001-B6AB-47C2-A9EA-2C6AAE3F91F2}"/>
              </c:ext>
            </c:extLst>
          </c:dPt>
          <c:dLbls>
            <c:dLbl>
              <c:idx val="0"/>
              <c:layout>
                <c:manualLayout>
                  <c:x val="1.3090014359848804E-2"/>
                  <c:y val="0.13183767356680598"/>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259028502424"/>
                      <c:h val="0.10631358853669698"/>
                    </c:manualLayout>
                  </c15:layout>
                </c:ext>
                <c:ext xmlns:c16="http://schemas.microsoft.com/office/drawing/2014/chart" uri="{C3380CC4-5D6E-409C-BE32-E72D297353CC}">
                  <c16:uniqueId val="{00000009-B6AB-47C2-A9EA-2C6AAE3F91F2}"/>
                </c:ext>
              </c:extLst>
            </c:dLbl>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ext>
            </c:extLst>
          </c:dLbls>
          <c:cat>
            <c:numRef>
              <c:f>'Dupont Analysis'!$E$68:$I$68</c:f>
              <c:numCache>
                <c:formatCode>mmm\-yy</c:formatCode>
                <c:ptCount val="5"/>
                <c:pt idx="0">
                  <c:v>44286</c:v>
                </c:pt>
                <c:pt idx="1">
                  <c:v>44651</c:v>
                </c:pt>
                <c:pt idx="2">
                  <c:v>45016</c:v>
                </c:pt>
                <c:pt idx="3">
                  <c:v>45382</c:v>
                </c:pt>
                <c:pt idx="4">
                  <c:v>45747</c:v>
                </c:pt>
              </c:numCache>
            </c:numRef>
          </c:cat>
          <c:val>
            <c:numRef>
              <c:f>'Dupont Analysis'!$E$69:$I$69</c:f>
              <c:numCache>
                <c:formatCode>#,##0.0</c:formatCode>
                <c:ptCount val="5"/>
                <c:pt idx="0">
                  <c:v>-146.16999999999999</c:v>
                </c:pt>
                <c:pt idx="1">
                  <c:v>105.83</c:v>
                </c:pt>
                <c:pt idx="2">
                  <c:v>444.63</c:v>
                </c:pt>
                <c:pt idx="3">
                  <c:v>1486.8</c:v>
                </c:pt>
                <c:pt idx="4">
                  <c:v>1546.72</c:v>
                </c:pt>
              </c:numCache>
            </c:numRef>
          </c:val>
          <c:extLst>
            <c:ext xmlns:c16="http://schemas.microsoft.com/office/drawing/2014/chart" uri="{C3380CC4-5D6E-409C-BE32-E72D297353CC}">
              <c16:uniqueId val="{00000002-B6AB-47C2-A9EA-2C6AAE3F91F2}"/>
            </c:ext>
          </c:extLst>
        </c:ser>
        <c:dLbls>
          <c:showLegendKey val="0"/>
          <c:showVal val="0"/>
          <c:showCatName val="0"/>
          <c:showSerName val="0"/>
          <c:showPercent val="0"/>
          <c:showBubbleSize val="0"/>
        </c:dLbls>
        <c:gapWidth val="219"/>
        <c:overlap val="-27"/>
        <c:axId val="2012627920"/>
        <c:axId val="2012632496"/>
      </c:barChart>
      <c:dateAx>
        <c:axId val="20126279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2632496"/>
        <c:crosses val="autoZero"/>
        <c:auto val="1"/>
        <c:lblOffset val="100"/>
        <c:baseTimeUnit val="years"/>
      </c:dateAx>
      <c:valAx>
        <c:axId val="2012632496"/>
        <c:scaling>
          <c:orientation val="minMax"/>
        </c:scaling>
        <c:delete val="1"/>
        <c:axPos val="l"/>
        <c:numFmt formatCode="#,##0.0" sourceLinked="1"/>
        <c:majorTickMark val="none"/>
        <c:minorTickMark val="none"/>
        <c:tickLblPos val="nextTo"/>
        <c:crossAx val="2012627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887392554131578E-2"/>
          <c:y val="0.2534226993348187"/>
          <c:w val="0.894891240272079"/>
          <c:h val="0.64300994993663663"/>
        </c:manualLayout>
      </c:layout>
      <c:barChart>
        <c:barDir val="col"/>
        <c:grouping val="clustered"/>
        <c:varyColors val="0"/>
        <c:ser>
          <c:idx val="0"/>
          <c:order val="0"/>
          <c:spPr>
            <a:solidFill>
              <a:schemeClr val="bg1">
                <a:lumMod val="85000"/>
              </a:schemeClr>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22-13C5-45FD-91D1-5E03908383B6}"/>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28-13C5-45FD-91D1-5E03908383B6}"/>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30-13C5-45FD-91D1-5E03908383B6}"/>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13-13C5-45FD-91D1-5E03908383B6}"/>
              </c:ext>
            </c:extLst>
          </c:dPt>
          <c:dPt>
            <c:idx val="4"/>
            <c:invertIfNegative val="0"/>
            <c:bubble3D val="0"/>
            <c:spPr>
              <a:solidFill>
                <a:srgbClr val="CFAC46"/>
              </a:solidFill>
              <a:ln>
                <a:noFill/>
              </a:ln>
              <a:effectLst/>
            </c:spPr>
            <c:extLst>
              <c:ext xmlns:c16="http://schemas.microsoft.com/office/drawing/2014/chart" uri="{C3380CC4-5D6E-409C-BE32-E72D297353CC}">
                <c16:uniqueId val="{00000001-13C5-45FD-91D1-5E03908383B6}"/>
              </c:ext>
            </c:extLst>
          </c:dPt>
          <c:dLbls>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ext>
            </c:extLst>
          </c:dLbls>
          <c:cat>
            <c:numRef>
              <c:f>'Dupont Analysis'!$E$68:$I$68</c:f>
              <c:numCache>
                <c:formatCode>mmm\-yy</c:formatCode>
                <c:ptCount val="5"/>
                <c:pt idx="0">
                  <c:v>44286</c:v>
                </c:pt>
                <c:pt idx="1">
                  <c:v>44651</c:v>
                </c:pt>
                <c:pt idx="2">
                  <c:v>45016</c:v>
                </c:pt>
                <c:pt idx="3">
                  <c:v>45382</c:v>
                </c:pt>
                <c:pt idx="4">
                  <c:v>45747</c:v>
                </c:pt>
              </c:numCache>
            </c:numRef>
          </c:cat>
          <c:val>
            <c:numRef>
              <c:f>'Dupont Analysis'!$E$74:$I$74</c:f>
              <c:numCache>
                <c:formatCode>#,##0.0</c:formatCode>
                <c:ptCount val="5"/>
                <c:pt idx="0">
                  <c:v>5615.2049999999999</c:v>
                </c:pt>
                <c:pt idx="1">
                  <c:v>6724.875</c:v>
                </c:pt>
                <c:pt idx="2">
                  <c:v>7903.7749999999996</c:v>
                </c:pt>
                <c:pt idx="3">
                  <c:v>7621.6399999999994</c:v>
                </c:pt>
                <c:pt idx="4">
                  <c:v>8290.6949999999997</c:v>
                </c:pt>
              </c:numCache>
            </c:numRef>
          </c:val>
          <c:extLst>
            <c:ext xmlns:c16="http://schemas.microsoft.com/office/drawing/2014/chart" uri="{C3380CC4-5D6E-409C-BE32-E72D297353CC}">
              <c16:uniqueId val="{00000002-13C5-45FD-91D1-5E03908383B6}"/>
            </c:ext>
          </c:extLst>
        </c:ser>
        <c:dLbls>
          <c:showLegendKey val="0"/>
          <c:showVal val="0"/>
          <c:showCatName val="0"/>
          <c:showSerName val="0"/>
          <c:showPercent val="0"/>
          <c:showBubbleSize val="0"/>
        </c:dLbls>
        <c:gapWidth val="219"/>
        <c:overlap val="-27"/>
        <c:axId val="2012627920"/>
        <c:axId val="2012632496"/>
      </c:barChart>
      <c:dateAx>
        <c:axId val="20126279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2632496"/>
        <c:crosses val="autoZero"/>
        <c:auto val="1"/>
        <c:lblOffset val="100"/>
        <c:baseTimeUnit val="years"/>
      </c:dateAx>
      <c:valAx>
        <c:axId val="2012632496"/>
        <c:scaling>
          <c:orientation val="minMax"/>
        </c:scaling>
        <c:delete val="1"/>
        <c:axPos val="l"/>
        <c:numFmt formatCode="#,##0.0" sourceLinked="1"/>
        <c:majorTickMark val="none"/>
        <c:minorTickMark val="none"/>
        <c:tickLblPos val="nextTo"/>
        <c:crossAx val="2012627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887392554131578E-2"/>
          <c:y val="0.2534226993348187"/>
          <c:w val="0.894891240272079"/>
          <c:h val="0.64300994993663663"/>
        </c:manualLayout>
      </c:layout>
      <c:barChart>
        <c:barDir val="col"/>
        <c:grouping val="clustered"/>
        <c:varyColors val="0"/>
        <c:ser>
          <c:idx val="0"/>
          <c:order val="0"/>
          <c:spPr>
            <a:solidFill>
              <a:srgbClr val="DDDDDD"/>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C379-4F96-9476-A1BF70CF424F}"/>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3-C379-4F96-9476-A1BF70CF424F}"/>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C379-4F96-9476-A1BF70CF424F}"/>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7-C379-4F96-9476-A1BF70CF424F}"/>
              </c:ext>
            </c:extLst>
          </c:dPt>
          <c:dPt>
            <c:idx val="4"/>
            <c:invertIfNegative val="0"/>
            <c:bubble3D val="0"/>
            <c:spPr>
              <a:solidFill>
                <a:srgbClr val="CFAC46"/>
              </a:solidFill>
              <a:ln>
                <a:noFill/>
              </a:ln>
              <a:effectLst/>
            </c:spPr>
            <c:extLst>
              <c:ext xmlns:c16="http://schemas.microsoft.com/office/drawing/2014/chart" uri="{C3380CC4-5D6E-409C-BE32-E72D297353CC}">
                <c16:uniqueId val="{00000009-C379-4F96-9476-A1BF70CF424F}"/>
              </c:ext>
            </c:extLst>
          </c:dPt>
          <c:dLbls>
            <c:dLbl>
              <c:idx val="0"/>
              <c:layout>
                <c:manualLayout>
                  <c:x val="-5.6105641179243519E-3"/>
                  <c:y val="0.17131780854326953"/>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 xmlns:c16="http://schemas.microsoft.com/office/drawing/2014/chart" uri="{C3380CC4-5D6E-409C-BE32-E72D297353CC}">
                  <c16:uniqueId val="{00000001-C379-4F96-9476-A1BF70CF424F}"/>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ext>
            </c:extLst>
          </c:dLbls>
          <c:cat>
            <c:numRef>
              <c:f>'Dupont Analysis'!$E$68:$I$68</c:f>
              <c:numCache>
                <c:formatCode>mmm\-yy</c:formatCode>
                <c:ptCount val="5"/>
                <c:pt idx="0">
                  <c:v>44286</c:v>
                </c:pt>
                <c:pt idx="1">
                  <c:v>44651</c:v>
                </c:pt>
                <c:pt idx="2">
                  <c:v>45016</c:v>
                </c:pt>
                <c:pt idx="3">
                  <c:v>45382</c:v>
                </c:pt>
                <c:pt idx="4">
                  <c:v>45747</c:v>
                </c:pt>
              </c:numCache>
            </c:numRef>
          </c:cat>
          <c:val>
            <c:numRef>
              <c:f>'Dupont Analysis'!$E$81:$I$81</c:f>
              <c:numCache>
                <c:formatCode>0.00%</c:formatCode>
                <c:ptCount val="5"/>
                <c:pt idx="0">
                  <c:v>-6.2189414567733158E-2</c:v>
                </c:pt>
                <c:pt idx="1">
                  <c:v>4.5255215382411479E-2</c:v>
                </c:pt>
                <c:pt idx="2">
                  <c:v>0.1793047268973221</c:v>
                </c:pt>
                <c:pt idx="3">
                  <c:v>0.44627005221191518</c:v>
                </c:pt>
                <c:pt idx="4">
                  <c:v>0.32461792248895016</c:v>
                </c:pt>
              </c:numCache>
            </c:numRef>
          </c:val>
          <c:extLst>
            <c:ext xmlns:c16="http://schemas.microsoft.com/office/drawing/2014/chart" uri="{C3380CC4-5D6E-409C-BE32-E72D297353CC}">
              <c16:uniqueId val="{0000000A-C379-4F96-9476-A1BF70CF424F}"/>
            </c:ext>
          </c:extLst>
        </c:ser>
        <c:dLbls>
          <c:showLegendKey val="0"/>
          <c:showVal val="0"/>
          <c:showCatName val="0"/>
          <c:showSerName val="0"/>
          <c:showPercent val="0"/>
          <c:showBubbleSize val="0"/>
        </c:dLbls>
        <c:gapWidth val="219"/>
        <c:overlap val="-27"/>
        <c:axId val="2012627920"/>
        <c:axId val="2012632496"/>
      </c:barChart>
      <c:dateAx>
        <c:axId val="20126279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2632496"/>
        <c:crosses val="autoZero"/>
        <c:auto val="1"/>
        <c:lblOffset val="100"/>
        <c:baseTimeUnit val="years"/>
      </c:dateAx>
      <c:valAx>
        <c:axId val="2012632496"/>
        <c:scaling>
          <c:orientation val="minMax"/>
        </c:scaling>
        <c:delete val="1"/>
        <c:axPos val="l"/>
        <c:numFmt formatCode="0.00%" sourceLinked="1"/>
        <c:majorTickMark val="none"/>
        <c:minorTickMark val="none"/>
        <c:tickLblPos val="nextTo"/>
        <c:crossAx val="2012627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091180383274007E-2"/>
          <c:y val="0.24830435098499576"/>
          <c:w val="0.894891240272079"/>
          <c:h val="0.74496764448390729"/>
        </c:manualLayout>
      </c:layout>
      <c:barChart>
        <c:barDir val="col"/>
        <c:grouping val="clustered"/>
        <c:varyColors val="0"/>
        <c:ser>
          <c:idx val="0"/>
          <c:order val="0"/>
          <c:spPr>
            <a:solidFill>
              <a:srgbClr val="DDDDDD"/>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1255-4126-8959-69D591EDCF62}"/>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3-1255-4126-8959-69D591EDCF62}"/>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1255-4126-8959-69D591EDCF62}"/>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7-1255-4126-8959-69D591EDCF62}"/>
              </c:ext>
            </c:extLst>
          </c:dPt>
          <c:dPt>
            <c:idx val="4"/>
            <c:invertIfNegative val="0"/>
            <c:bubble3D val="0"/>
            <c:spPr>
              <a:solidFill>
                <a:srgbClr val="CFAC46"/>
              </a:solidFill>
              <a:ln>
                <a:noFill/>
              </a:ln>
              <a:effectLst/>
            </c:spPr>
            <c:extLst>
              <c:ext xmlns:c16="http://schemas.microsoft.com/office/drawing/2014/chart" uri="{C3380CC4-5D6E-409C-BE32-E72D297353CC}">
                <c16:uniqueId val="{00000009-1255-4126-8959-69D591EDCF62}"/>
              </c:ext>
            </c:extLst>
          </c:dPt>
          <c:dLbls>
            <c:dLbl>
              <c:idx val="0"/>
              <c:layout>
                <c:manualLayout>
                  <c:x val="1.3090014359848804E-2"/>
                  <c:y val="0.13183767356680598"/>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259028502424"/>
                      <c:h val="0.10631358853669698"/>
                    </c:manualLayout>
                  </c15:layout>
                </c:ext>
                <c:ext xmlns:c16="http://schemas.microsoft.com/office/drawing/2014/chart" uri="{C3380CC4-5D6E-409C-BE32-E72D297353CC}">
                  <c16:uniqueId val="{00000001-1255-4126-8959-69D591EDCF62}"/>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ext>
            </c:extLst>
          </c:dLbls>
          <c:cat>
            <c:numRef>
              <c:f>'Dupont Analysis'!$E$90:$I$90</c:f>
              <c:numCache>
                <c:formatCode>mmm\-yy</c:formatCode>
                <c:ptCount val="5"/>
                <c:pt idx="0">
                  <c:v>44286</c:v>
                </c:pt>
                <c:pt idx="1">
                  <c:v>44651</c:v>
                </c:pt>
                <c:pt idx="2">
                  <c:v>45016</c:v>
                </c:pt>
                <c:pt idx="3">
                  <c:v>45382</c:v>
                </c:pt>
                <c:pt idx="4">
                  <c:v>45747</c:v>
                </c:pt>
              </c:numCache>
            </c:numRef>
          </c:cat>
          <c:val>
            <c:numRef>
              <c:f>'Dupont Analysis'!$E$99:$I$99</c:f>
              <c:numCache>
                <c:formatCode>0.00%</c:formatCode>
                <c:ptCount val="5"/>
                <c:pt idx="0">
                  <c:v>-2.6031106611423806E-2</c:v>
                </c:pt>
                <c:pt idx="1">
                  <c:v>1.573709548504619E-2</c:v>
                </c:pt>
                <c:pt idx="2">
                  <c:v>5.6255396946395864E-2</c:v>
                </c:pt>
                <c:pt idx="3">
                  <c:v>0.19507612534835025</c:v>
                </c:pt>
                <c:pt idx="4">
                  <c:v>0.18656095779666243</c:v>
                </c:pt>
              </c:numCache>
            </c:numRef>
          </c:val>
          <c:extLst>
            <c:ext xmlns:c16="http://schemas.microsoft.com/office/drawing/2014/chart" uri="{C3380CC4-5D6E-409C-BE32-E72D297353CC}">
              <c16:uniqueId val="{0000000A-1255-4126-8959-69D591EDCF62}"/>
            </c:ext>
          </c:extLst>
        </c:ser>
        <c:dLbls>
          <c:showLegendKey val="0"/>
          <c:showVal val="0"/>
          <c:showCatName val="0"/>
          <c:showSerName val="0"/>
          <c:showPercent val="0"/>
          <c:showBubbleSize val="0"/>
        </c:dLbls>
        <c:gapWidth val="219"/>
        <c:overlap val="-27"/>
        <c:axId val="2012627920"/>
        <c:axId val="2012632496"/>
      </c:barChart>
      <c:dateAx>
        <c:axId val="20126279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2632496"/>
        <c:crosses val="autoZero"/>
        <c:auto val="1"/>
        <c:lblOffset val="100"/>
        <c:baseTimeUnit val="years"/>
      </c:dateAx>
      <c:valAx>
        <c:axId val="2012632496"/>
        <c:scaling>
          <c:orientation val="minMax"/>
        </c:scaling>
        <c:delete val="1"/>
        <c:axPos val="l"/>
        <c:numFmt formatCode="0.00%" sourceLinked="1"/>
        <c:majorTickMark val="none"/>
        <c:minorTickMark val="none"/>
        <c:tickLblPos val="nextTo"/>
        <c:crossAx val="2012627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887392554131578E-2"/>
          <c:y val="0.19530306575238868"/>
          <c:w val="0.894891240272079"/>
          <c:h val="0.67248739931320467"/>
        </c:manualLayout>
      </c:layout>
      <c:barChart>
        <c:barDir val="col"/>
        <c:grouping val="clustered"/>
        <c:varyColors val="0"/>
        <c:ser>
          <c:idx val="0"/>
          <c:order val="0"/>
          <c:spPr>
            <a:solidFill>
              <a:schemeClr val="bg1">
                <a:lumMod val="85000"/>
              </a:schemeClr>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E1BC-4F98-B3BD-5C3933EF0D5B}"/>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3-E1BC-4F98-B3BD-5C3933EF0D5B}"/>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E1BC-4F98-B3BD-5C3933EF0D5B}"/>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7-E1BC-4F98-B3BD-5C3933EF0D5B}"/>
              </c:ext>
            </c:extLst>
          </c:dPt>
          <c:dPt>
            <c:idx val="4"/>
            <c:invertIfNegative val="0"/>
            <c:bubble3D val="0"/>
            <c:spPr>
              <a:solidFill>
                <a:srgbClr val="CFAC46"/>
              </a:solidFill>
              <a:ln>
                <a:noFill/>
              </a:ln>
              <a:effectLst/>
            </c:spPr>
            <c:extLst>
              <c:ext xmlns:c16="http://schemas.microsoft.com/office/drawing/2014/chart" uri="{C3380CC4-5D6E-409C-BE32-E72D297353CC}">
                <c16:uniqueId val="{00000009-E1BC-4F98-B3BD-5C3933EF0D5B}"/>
              </c:ext>
            </c:extLst>
          </c:dPt>
          <c:dLbls>
            <c:numFmt formatCode="0.00&quot;x&quot;"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ext>
            </c:extLst>
          </c:dLbls>
          <c:cat>
            <c:numRef>
              <c:f>'Dupont Analysis'!$E$68:$I$68</c:f>
              <c:numCache>
                <c:formatCode>mmm\-yy</c:formatCode>
                <c:ptCount val="5"/>
                <c:pt idx="0">
                  <c:v>44286</c:v>
                </c:pt>
                <c:pt idx="1">
                  <c:v>44651</c:v>
                </c:pt>
                <c:pt idx="2">
                  <c:v>45016</c:v>
                </c:pt>
                <c:pt idx="3">
                  <c:v>45382</c:v>
                </c:pt>
                <c:pt idx="4">
                  <c:v>45747</c:v>
                </c:pt>
              </c:numCache>
            </c:numRef>
          </c:cat>
          <c:val>
            <c:numRef>
              <c:f>'Dupont Analysis'!$E$79:$I$79</c:f>
              <c:numCache>
                <c:formatCode>0.00"x"</c:formatCode>
                <c:ptCount val="5"/>
                <c:pt idx="0">
                  <c:v>2.3890422906739279</c:v>
                </c:pt>
                <c:pt idx="1">
                  <c:v>2.8757031706018559</c:v>
                </c:pt>
                <c:pt idx="2">
                  <c:v>3.1873337782715563</c:v>
                </c:pt>
                <c:pt idx="3">
                  <c:v>2.2876712945523412</c:v>
                </c:pt>
                <c:pt idx="4">
                  <c:v>1.7400099480769151</c:v>
                </c:pt>
              </c:numCache>
            </c:numRef>
          </c:val>
          <c:extLst>
            <c:ext xmlns:c16="http://schemas.microsoft.com/office/drawing/2014/chart" uri="{C3380CC4-5D6E-409C-BE32-E72D297353CC}">
              <c16:uniqueId val="{0000000A-E1BC-4F98-B3BD-5C3933EF0D5B}"/>
            </c:ext>
          </c:extLst>
        </c:ser>
        <c:dLbls>
          <c:showLegendKey val="0"/>
          <c:showVal val="0"/>
          <c:showCatName val="0"/>
          <c:showSerName val="0"/>
          <c:showPercent val="0"/>
          <c:showBubbleSize val="0"/>
        </c:dLbls>
        <c:gapWidth val="219"/>
        <c:overlap val="-27"/>
        <c:axId val="2012627920"/>
        <c:axId val="2012632496"/>
      </c:barChart>
      <c:dateAx>
        <c:axId val="20126279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2632496"/>
        <c:crosses val="autoZero"/>
        <c:auto val="1"/>
        <c:lblOffset val="100"/>
        <c:baseTimeUnit val="years"/>
      </c:dateAx>
      <c:valAx>
        <c:axId val="2012632496"/>
        <c:scaling>
          <c:orientation val="minMax"/>
        </c:scaling>
        <c:delete val="1"/>
        <c:axPos val="l"/>
        <c:numFmt formatCode="0.00&quot;x&quot;" sourceLinked="1"/>
        <c:majorTickMark val="none"/>
        <c:minorTickMark val="none"/>
        <c:tickLblPos val="nextTo"/>
        <c:crossAx val="2012627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27965139888179E-2"/>
          <c:y val="8.9391117131936718E-2"/>
          <c:w val="0.84561403508771926"/>
          <c:h val="0.7698451937899462"/>
        </c:manualLayout>
      </c:layout>
      <c:barChart>
        <c:barDir val="col"/>
        <c:grouping val="clustered"/>
        <c:varyColors val="0"/>
        <c:ser>
          <c:idx val="0"/>
          <c:order val="0"/>
          <c:spPr>
            <a:solidFill>
              <a:srgbClr val="9933FF"/>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B92B-4571-846E-3D462297C99F}"/>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B92B-4571-846E-3D462297C99F}"/>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C-12EA-4BBC-846B-89ED1B4ECCEC}"/>
              </c:ext>
            </c:extLst>
          </c:dPt>
          <c:dPt>
            <c:idx val="3"/>
            <c:invertIfNegative val="0"/>
            <c:bubble3D val="0"/>
            <c:spPr>
              <a:solidFill>
                <a:srgbClr val="CFAC46"/>
              </a:solidFill>
              <a:ln>
                <a:noFill/>
              </a:ln>
              <a:effectLst/>
            </c:spPr>
            <c:extLst>
              <c:ext xmlns:c16="http://schemas.microsoft.com/office/drawing/2014/chart" uri="{C3380CC4-5D6E-409C-BE32-E72D297353CC}">
                <c16:uniqueId val="{00000005-B92B-4571-846E-3D462297C99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Score'!$F$63:$I$63</c:f>
              <c:numCache>
                <c:formatCode>mmm\-yy</c:formatCode>
                <c:ptCount val="4"/>
                <c:pt idx="0">
                  <c:v>44651</c:v>
                </c:pt>
                <c:pt idx="1">
                  <c:v>45016</c:v>
                </c:pt>
                <c:pt idx="2">
                  <c:v>45382</c:v>
                </c:pt>
                <c:pt idx="3">
                  <c:v>45747</c:v>
                </c:pt>
              </c:numCache>
            </c:numRef>
          </c:cat>
          <c:val>
            <c:numRef>
              <c:f>'Altman Z Score'!$F$66:$I$66</c:f>
              <c:numCache>
                <c:formatCode>0.00%</c:formatCode>
                <c:ptCount val="4"/>
                <c:pt idx="0">
                  <c:v>0.13127198738807302</c:v>
                </c:pt>
                <c:pt idx="1">
                  <c:v>0.16347028347355014</c:v>
                </c:pt>
                <c:pt idx="2">
                  <c:v>0.24170070164415122</c:v>
                </c:pt>
                <c:pt idx="3">
                  <c:v>0.22761485576943497</c:v>
                </c:pt>
              </c:numCache>
            </c:numRef>
          </c:val>
          <c:extLst>
            <c:ext xmlns:c16="http://schemas.microsoft.com/office/drawing/2014/chart" uri="{C3380CC4-5D6E-409C-BE32-E72D297353CC}">
              <c16:uniqueId val="{00000006-B92B-4571-846E-3D462297C99F}"/>
            </c:ext>
          </c:extLst>
        </c:ser>
        <c:dLbls>
          <c:showLegendKey val="0"/>
          <c:showVal val="0"/>
          <c:showCatName val="0"/>
          <c:showSerName val="0"/>
          <c:showPercent val="0"/>
          <c:showBubbleSize val="0"/>
        </c:dLbls>
        <c:gapWidth val="219"/>
        <c:overlap val="-27"/>
        <c:axId val="1953096239"/>
        <c:axId val="1953097071"/>
      </c:barChart>
      <c:dateAx>
        <c:axId val="195309623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3097071"/>
        <c:crosses val="autoZero"/>
        <c:auto val="1"/>
        <c:lblOffset val="100"/>
        <c:baseTimeUnit val="years"/>
      </c:dateAx>
      <c:valAx>
        <c:axId val="1953097071"/>
        <c:scaling>
          <c:orientation val="minMax"/>
        </c:scaling>
        <c:delete val="1"/>
        <c:axPos val="l"/>
        <c:numFmt formatCode="0.00%" sourceLinked="1"/>
        <c:majorTickMark val="none"/>
        <c:minorTickMark val="none"/>
        <c:tickLblPos val="nextTo"/>
        <c:crossAx val="19530962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28070175438603E-2"/>
          <c:y val="7.403014940100229E-2"/>
          <c:w val="0.84561403508771926"/>
          <c:h val="0.7698451937899462"/>
        </c:manualLayout>
      </c:layout>
      <c:barChart>
        <c:barDir val="col"/>
        <c:grouping val="clustered"/>
        <c:varyColors val="0"/>
        <c:ser>
          <c:idx val="0"/>
          <c:order val="0"/>
          <c:spPr>
            <a:solidFill>
              <a:srgbClr val="9933FF"/>
            </a:solidFill>
            <a:ln>
              <a:noFill/>
            </a:ln>
            <a:effectLst/>
          </c:spPr>
          <c:invertIfNegative val="0"/>
          <c:dPt>
            <c:idx val="0"/>
            <c:invertIfNegative val="0"/>
            <c:bubble3D val="0"/>
            <c:spPr>
              <a:solidFill>
                <a:srgbClr val="CC99FF"/>
              </a:solidFill>
              <a:ln>
                <a:noFill/>
              </a:ln>
              <a:effectLst/>
            </c:spPr>
            <c:extLst>
              <c:ext xmlns:c16="http://schemas.microsoft.com/office/drawing/2014/chart" uri="{C3380CC4-5D6E-409C-BE32-E72D297353CC}">
                <c16:uniqueId val="{00000001-BBFF-4F3F-A6AB-B909877F176D}"/>
              </c:ext>
            </c:extLst>
          </c:dPt>
          <c:dPt>
            <c:idx val="1"/>
            <c:invertIfNegative val="0"/>
            <c:bubble3D val="0"/>
            <c:spPr>
              <a:solidFill>
                <a:srgbClr val="CC66FF"/>
              </a:solidFill>
              <a:ln>
                <a:noFill/>
              </a:ln>
              <a:effectLst/>
            </c:spPr>
            <c:extLst>
              <c:ext xmlns:c16="http://schemas.microsoft.com/office/drawing/2014/chart" uri="{C3380CC4-5D6E-409C-BE32-E72D297353CC}">
                <c16:uniqueId val="{00000003-BBFF-4F3F-A6AB-B909877F176D}"/>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6-C4CD-4435-A1E3-18C9B6DB1F67}"/>
              </c:ext>
            </c:extLst>
          </c:dPt>
          <c:dPt>
            <c:idx val="3"/>
            <c:invertIfNegative val="0"/>
            <c:bubble3D val="0"/>
            <c:spPr>
              <a:solidFill>
                <a:srgbClr val="CFAC46"/>
              </a:solidFill>
              <a:ln>
                <a:noFill/>
              </a:ln>
              <a:effectLst/>
            </c:spPr>
            <c:extLst>
              <c:ext xmlns:c16="http://schemas.microsoft.com/office/drawing/2014/chart" uri="{C3380CC4-5D6E-409C-BE32-E72D297353CC}">
                <c16:uniqueId val="{00000005-BBFF-4F3F-A6AB-B909877F176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Score'!$F$69:$I$69</c:f>
              <c:numCache>
                <c:formatCode>mmm\-yy</c:formatCode>
                <c:ptCount val="4"/>
                <c:pt idx="0">
                  <c:v>44651</c:v>
                </c:pt>
                <c:pt idx="1">
                  <c:v>45016</c:v>
                </c:pt>
                <c:pt idx="2">
                  <c:v>45382</c:v>
                </c:pt>
                <c:pt idx="3">
                  <c:v>45747</c:v>
                </c:pt>
              </c:numCache>
            </c:numRef>
          </c:cat>
          <c:val>
            <c:numRef>
              <c:f>'Altman Z Score'!$F$72:$I$72</c:f>
              <c:numCache>
                <c:formatCode>0.00%</c:formatCode>
                <c:ptCount val="4"/>
                <c:pt idx="0">
                  <c:v>0</c:v>
                </c:pt>
                <c:pt idx="1">
                  <c:v>0</c:v>
                </c:pt>
                <c:pt idx="2">
                  <c:v>5.7296051942611836E-2</c:v>
                </c:pt>
                <c:pt idx="3">
                  <c:v>0.12220636882088912</c:v>
                </c:pt>
              </c:numCache>
            </c:numRef>
          </c:val>
          <c:extLst>
            <c:ext xmlns:c16="http://schemas.microsoft.com/office/drawing/2014/chart" uri="{C3380CC4-5D6E-409C-BE32-E72D297353CC}">
              <c16:uniqueId val="{00000006-BBFF-4F3F-A6AB-B909877F176D}"/>
            </c:ext>
          </c:extLst>
        </c:ser>
        <c:dLbls>
          <c:showLegendKey val="0"/>
          <c:showVal val="0"/>
          <c:showCatName val="0"/>
          <c:showSerName val="0"/>
          <c:showPercent val="0"/>
          <c:showBubbleSize val="0"/>
        </c:dLbls>
        <c:gapWidth val="219"/>
        <c:overlap val="-27"/>
        <c:axId val="1953096239"/>
        <c:axId val="1953097071"/>
      </c:barChart>
      <c:dateAx>
        <c:axId val="195309623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3097071"/>
        <c:crosses val="autoZero"/>
        <c:auto val="1"/>
        <c:lblOffset val="100"/>
        <c:baseTimeUnit val="years"/>
      </c:dateAx>
      <c:valAx>
        <c:axId val="1953097071"/>
        <c:scaling>
          <c:orientation val="minMax"/>
        </c:scaling>
        <c:delete val="1"/>
        <c:axPos val="l"/>
        <c:numFmt formatCode="0.00%" sourceLinked="1"/>
        <c:majorTickMark val="none"/>
        <c:minorTickMark val="none"/>
        <c:tickLblPos val="nextTo"/>
        <c:crossAx val="195309623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28070175438603E-2"/>
          <c:y val="7.403014940100229E-2"/>
          <c:w val="0.84561403508771926"/>
          <c:h val="0.7698451937899462"/>
        </c:manualLayout>
      </c:layout>
      <c:barChart>
        <c:barDir val="col"/>
        <c:grouping val="clustered"/>
        <c:varyColors val="0"/>
        <c:ser>
          <c:idx val="0"/>
          <c:order val="0"/>
          <c:spPr>
            <a:solidFill>
              <a:srgbClr val="9933FF"/>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7EA8-4895-99A1-1B83564D91BF}"/>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7EA8-4895-99A1-1B83564D91BF}"/>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6-FEAF-4F5A-9347-0E1BDEDDF11B}"/>
              </c:ext>
            </c:extLst>
          </c:dPt>
          <c:dPt>
            <c:idx val="3"/>
            <c:invertIfNegative val="0"/>
            <c:bubble3D val="0"/>
            <c:spPr>
              <a:solidFill>
                <a:srgbClr val="CFAC46"/>
              </a:solidFill>
              <a:ln>
                <a:noFill/>
              </a:ln>
              <a:effectLst/>
            </c:spPr>
            <c:extLst>
              <c:ext xmlns:c16="http://schemas.microsoft.com/office/drawing/2014/chart" uri="{C3380CC4-5D6E-409C-BE32-E72D297353CC}">
                <c16:uniqueId val="{00000005-7EA8-4895-99A1-1B83564D91B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Score'!$F$69:$I$69</c:f>
              <c:numCache>
                <c:formatCode>mmm\-yy</c:formatCode>
                <c:ptCount val="4"/>
                <c:pt idx="0">
                  <c:v>44651</c:v>
                </c:pt>
                <c:pt idx="1">
                  <c:v>45016</c:v>
                </c:pt>
                <c:pt idx="2">
                  <c:v>45382</c:v>
                </c:pt>
                <c:pt idx="3">
                  <c:v>45747</c:v>
                </c:pt>
              </c:numCache>
            </c:numRef>
          </c:cat>
          <c:val>
            <c:numRef>
              <c:f>'Altman Z Score'!$F$77:$I$77</c:f>
              <c:numCache>
                <c:formatCode>0.00%</c:formatCode>
                <c:ptCount val="4"/>
                <c:pt idx="0">
                  <c:v>3.6745957168115108E-2</c:v>
                </c:pt>
                <c:pt idx="1">
                  <c:v>7.6775066107531792E-2</c:v>
                </c:pt>
                <c:pt idx="2">
                  <c:v>0.18146123503333689</c:v>
                </c:pt>
                <c:pt idx="3">
                  <c:v>0.20433689610218647</c:v>
                </c:pt>
              </c:numCache>
            </c:numRef>
          </c:val>
          <c:extLst>
            <c:ext xmlns:c16="http://schemas.microsoft.com/office/drawing/2014/chart" uri="{C3380CC4-5D6E-409C-BE32-E72D297353CC}">
              <c16:uniqueId val="{00000006-7EA8-4895-99A1-1B83564D91BF}"/>
            </c:ext>
          </c:extLst>
        </c:ser>
        <c:dLbls>
          <c:showLegendKey val="0"/>
          <c:showVal val="0"/>
          <c:showCatName val="0"/>
          <c:showSerName val="0"/>
          <c:showPercent val="0"/>
          <c:showBubbleSize val="0"/>
        </c:dLbls>
        <c:gapWidth val="219"/>
        <c:overlap val="-27"/>
        <c:axId val="1953096239"/>
        <c:axId val="1953097071"/>
      </c:barChart>
      <c:dateAx>
        <c:axId val="195309623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3097071"/>
        <c:crosses val="autoZero"/>
        <c:auto val="1"/>
        <c:lblOffset val="100"/>
        <c:baseTimeUnit val="years"/>
      </c:dateAx>
      <c:valAx>
        <c:axId val="1953097071"/>
        <c:scaling>
          <c:orientation val="minMax"/>
        </c:scaling>
        <c:delete val="1"/>
        <c:axPos val="l"/>
        <c:numFmt formatCode="0.00%" sourceLinked="1"/>
        <c:majorTickMark val="none"/>
        <c:minorTickMark val="none"/>
        <c:tickLblPos val="nextTo"/>
        <c:crossAx val="195309623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28070175438603E-2"/>
          <c:y val="7.403014940100229E-2"/>
          <c:w val="0.84561403508771926"/>
          <c:h val="0.7698451937899462"/>
        </c:manualLayout>
      </c:layout>
      <c:barChart>
        <c:barDir val="col"/>
        <c:grouping val="clustered"/>
        <c:varyColors val="0"/>
        <c:ser>
          <c:idx val="0"/>
          <c:order val="0"/>
          <c:spPr>
            <a:solidFill>
              <a:srgbClr val="9933FF"/>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C63B-4908-B8EB-8E36C51C1D65}"/>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3-C63B-4908-B8EB-8E36C51C1D65}"/>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6-E23B-41CD-AA44-ED0D5B5D80EB}"/>
              </c:ext>
            </c:extLst>
          </c:dPt>
          <c:dPt>
            <c:idx val="3"/>
            <c:invertIfNegative val="0"/>
            <c:bubble3D val="0"/>
            <c:spPr>
              <a:solidFill>
                <a:srgbClr val="CFAC46"/>
              </a:solidFill>
              <a:ln>
                <a:noFill/>
              </a:ln>
              <a:effectLst/>
            </c:spPr>
            <c:extLst>
              <c:ext xmlns:c16="http://schemas.microsoft.com/office/drawing/2014/chart" uri="{C3380CC4-5D6E-409C-BE32-E72D297353CC}">
                <c16:uniqueId val="{00000005-C63B-4908-B8EB-8E36C51C1D65}"/>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Score'!$F$63:$I$63</c:f>
              <c:numCache>
                <c:formatCode>mmm\-yy</c:formatCode>
                <c:ptCount val="4"/>
                <c:pt idx="0">
                  <c:v>44651</c:v>
                </c:pt>
                <c:pt idx="1">
                  <c:v>45016</c:v>
                </c:pt>
                <c:pt idx="2">
                  <c:v>45382</c:v>
                </c:pt>
                <c:pt idx="3">
                  <c:v>45747</c:v>
                </c:pt>
              </c:numCache>
            </c:numRef>
          </c:cat>
          <c:val>
            <c:numRef>
              <c:f>'Altman Z Score'!$F$82:$I$82</c:f>
              <c:numCache>
                <c:formatCode>0.00%</c:formatCode>
                <c:ptCount val="4"/>
                <c:pt idx="0">
                  <c:v>9.5955494714794227</c:v>
                </c:pt>
                <c:pt idx="1">
                  <c:v>10.948973027323291</c:v>
                </c:pt>
                <c:pt idx="2">
                  <c:v>80.061180955282126</c:v>
                </c:pt>
                <c:pt idx="3">
                  <c:v>84.616150302126769</c:v>
                </c:pt>
              </c:numCache>
            </c:numRef>
          </c:val>
          <c:extLst>
            <c:ext xmlns:c16="http://schemas.microsoft.com/office/drawing/2014/chart" uri="{C3380CC4-5D6E-409C-BE32-E72D297353CC}">
              <c16:uniqueId val="{00000006-C63B-4908-B8EB-8E36C51C1D65}"/>
            </c:ext>
          </c:extLst>
        </c:ser>
        <c:dLbls>
          <c:showLegendKey val="0"/>
          <c:showVal val="0"/>
          <c:showCatName val="0"/>
          <c:showSerName val="0"/>
          <c:showPercent val="0"/>
          <c:showBubbleSize val="0"/>
        </c:dLbls>
        <c:gapWidth val="219"/>
        <c:overlap val="-27"/>
        <c:axId val="1953096239"/>
        <c:axId val="1953097071"/>
      </c:barChart>
      <c:dateAx>
        <c:axId val="195309623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3097071"/>
        <c:crosses val="autoZero"/>
        <c:auto val="1"/>
        <c:lblOffset val="100"/>
        <c:baseTimeUnit val="years"/>
      </c:dateAx>
      <c:valAx>
        <c:axId val="1953097071"/>
        <c:scaling>
          <c:orientation val="minMax"/>
        </c:scaling>
        <c:delete val="1"/>
        <c:axPos val="l"/>
        <c:numFmt formatCode="0.00%" sourceLinked="1"/>
        <c:majorTickMark val="none"/>
        <c:minorTickMark val="none"/>
        <c:tickLblPos val="nextTo"/>
        <c:crossAx val="19530962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28070175438603E-2"/>
          <c:y val="7.403014940100229E-2"/>
          <c:w val="0.84561403508771926"/>
          <c:h val="0.7698451937899462"/>
        </c:manualLayout>
      </c:layout>
      <c:barChart>
        <c:barDir val="col"/>
        <c:grouping val="clustered"/>
        <c:varyColors val="0"/>
        <c:ser>
          <c:idx val="0"/>
          <c:order val="0"/>
          <c:spPr>
            <a:solidFill>
              <a:srgbClr val="9933FF"/>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FC0B-4835-AEFE-B496CDD69C6C}"/>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3-FC0B-4835-AEFE-B496CDD69C6C}"/>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6-2212-4F92-A801-B33CE4363DFC}"/>
              </c:ext>
            </c:extLst>
          </c:dPt>
          <c:dPt>
            <c:idx val="3"/>
            <c:invertIfNegative val="0"/>
            <c:bubble3D val="0"/>
            <c:spPr>
              <a:solidFill>
                <a:srgbClr val="CFAC46"/>
              </a:solidFill>
              <a:ln>
                <a:noFill/>
              </a:ln>
              <a:effectLst/>
            </c:spPr>
            <c:extLst>
              <c:ext xmlns:c16="http://schemas.microsoft.com/office/drawing/2014/chart" uri="{C3380CC4-5D6E-409C-BE32-E72D297353CC}">
                <c16:uniqueId val="{00000005-FC0B-4835-AEFE-B496CDD69C6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Score'!$F$85:$I$85</c:f>
              <c:numCache>
                <c:formatCode>mmm\-yy</c:formatCode>
                <c:ptCount val="4"/>
                <c:pt idx="0">
                  <c:v>44651</c:v>
                </c:pt>
                <c:pt idx="1">
                  <c:v>45016</c:v>
                </c:pt>
                <c:pt idx="2">
                  <c:v>45382</c:v>
                </c:pt>
                <c:pt idx="3">
                  <c:v>45747</c:v>
                </c:pt>
              </c:numCache>
            </c:numRef>
          </c:cat>
          <c:val>
            <c:numRef>
              <c:f>'Altman Z Score'!$F$88:$I$88</c:f>
              <c:numCache>
                <c:formatCode>0.00%</c:formatCode>
                <c:ptCount val="4"/>
                <c:pt idx="0">
                  <c:v>0.58219108933189412</c:v>
                </c:pt>
                <c:pt idx="1">
                  <c:v>1.0198588633587948</c:v>
                </c:pt>
                <c:pt idx="2">
                  <c:v>1.7279449855133173</c:v>
                </c:pt>
                <c:pt idx="3">
                  <c:v>1.8190302389475608</c:v>
                </c:pt>
              </c:numCache>
            </c:numRef>
          </c:val>
          <c:extLst>
            <c:ext xmlns:c16="http://schemas.microsoft.com/office/drawing/2014/chart" uri="{C3380CC4-5D6E-409C-BE32-E72D297353CC}">
              <c16:uniqueId val="{00000006-FC0B-4835-AEFE-B496CDD69C6C}"/>
            </c:ext>
          </c:extLst>
        </c:ser>
        <c:dLbls>
          <c:showLegendKey val="0"/>
          <c:showVal val="0"/>
          <c:showCatName val="0"/>
          <c:showSerName val="0"/>
          <c:showPercent val="0"/>
          <c:showBubbleSize val="0"/>
        </c:dLbls>
        <c:gapWidth val="219"/>
        <c:overlap val="-27"/>
        <c:axId val="1953096239"/>
        <c:axId val="1953097071"/>
      </c:barChart>
      <c:dateAx>
        <c:axId val="195309623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3097071"/>
        <c:crosses val="autoZero"/>
        <c:auto val="1"/>
        <c:lblOffset val="100"/>
        <c:baseTimeUnit val="years"/>
      </c:dateAx>
      <c:valAx>
        <c:axId val="1953097071"/>
        <c:scaling>
          <c:orientation val="minMax"/>
        </c:scaling>
        <c:delete val="1"/>
        <c:axPos val="l"/>
        <c:numFmt formatCode="0.00%" sourceLinked="1"/>
        <c:majorTickMark val="none"/>
        <c:minorTickMark val="none"/>
        <c:tickLblPos val="nextTo"/>
        <c:crossAx val="19530962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28070175438603E-2"/>
          <c:y val="7.403014940100229E-2"/>
          <c:w val="0.84561403508771926"/>
          <c:h val="0.7698451937899462"/>
        </c:manualLayout>
      </c:layout>
      <c:barChart>
        <c:barDir val="col"/>
        <c:grouping val="clustered"/>
        <c:varyColors val="0"/>
        <c:ser>
          <c:idx val="0"/>
          <c:order val="0"/>
          <c:spPr>
            <a:solidFill>
              <a:srgbClr val="9933FF"/>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7DCB-44FE-9F61-E8346D24EE12}"/>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3-7DCB-44FE-9F61-E8346D24EE12}"/>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6-0349-41CF-9862-9A264F4E40D7}"/>
              </c:ext>
            </c:extLst>
          </c:dPt>
          <c:dPt>
            <c:idx val="3"/>
            <c:invertIfNegative val="0"/>
            <c:bubble3D val="0"/>
            <c:spPr>
              <a:solidFill>
                <a:srgbClr val="CFAC46"/>
              </a:solidFill>
              <a:ln>
                <a:noFill/>
              </a:ln>
              <a:effectLst/>
            </c:spPr>
            <c:extLst>
              <c:ext xmlns:c16="http://schemas.microsoft.com/office/drawing/2014/chart" uri="{C3380CC4-5D6E-409C-BE32-E72D297353CC}">
                <c16:uniqueId val="{00000005-7DCB-44FE-9F61-E8346D24EE1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Score'!$F$91:$I$91</c:f>
              <c:numCache>
                <c:formatCode>mmm\-yy</c:formatCode>
                <c:ptCount val="4"/>
                <c:pt idx="0">
                  <c:v>44651</c:v>
                </c:pt>
                <c:pt idx="1">
                  <c:v>45016</c:v>
                </c:pt>
                <c:pt idx="2">
                  <c:v>45382</c:v>
                </c:pt>
                <c:pt idx="3">
                  <c:v>45747</c:v>
                </c:pt>
              </c:numCache>
            </c:numRef>
          </c:cat>
          <c:val>
            <c:numRef>
              <c:f>'Altman Z Score'!$F$93:$I$93</c:f>
              <c:numCache>
                <c:formatCode>0.00</c:formatCode>
                <c:ptCount val="4"/>
                <c:pt idx="0">
                  <c:v>6.6183088157400149</c:v>
                </c:pt>
                <c:pt idx="1">
                  <c:v>8.0387647380758835</c:v>
                </c:pt>
                <c:pt idx="2">
                  <c:v>50.73373094898524</c:v>
                </c:pt>
                <c:pt idx="3">
                  <c:v>53.707258920633407</c:v>
                </c:pt>
              </c:numCache>
            </c:numRef>
          </c:val>
          <c:extLst>
            <c:ext xmlns:c16="http://schemas.microsoft.com/office/drawing/2014/chart" uri="{C3380CC4-5D6E-409C-BE32-E72D297353CC}">
              <c16:uniqueId val="{00000006-7DCB-44FE-9F61-E8346D24EE12}"/>
            </c:ext>
          </c:extLst>
        </c:ser>
        <c:dLbls>
          <c:showLegendKey val="0"/>
          <c:showVal val="0"/>
          <c:showCatName val="0"/>
          <c:showSerName val="0"/>
          <c:showPercent val="0"/>
          <c:showBubbleSize val="0"/>
        </c:dLbls>
        <c:gapWidth val="219"/>
        <c:overlap val="-27"/>
        <c:axId val="1953096239"/>
        <c:axId val="1953097071"/>
      </c:barChart>
      <c:dateAx>
        <c:axId val="195309623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3097071"/>
        <c:crosses val="autoZero"/>
        <c:auto val="1"/>
        <c:lblOffset val="100"/>
        <c:baseTimeUnit val="years"/>
      </c:dateAx>
      <c:valAx>
        <c:axId val="1953097071"/>
        <c:scaling>
          <c:orientation val="minMax"/>
        </c:scaling>
        <c:delete val="1"/>
        <c:axPos val="l"/>
        <c:numFmt formatCode="0.00" sourceLinked="1"/>
        <c:majorTickMark val="none"/>
        <c:minorTickMark val="none"/>
        <c:tickLblPos val="nextTo"/>
        <c:crossAx val="19530962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rich>
          <a:bodyPr spcFirstLastPara="1" vertOverflow="ellipsis" wrap="square" lIns="0" tIns="0" rIns="0" bIns="0" anchor="ctr" anchorCtr="1"/>
          <a:lstStyle/>
          <a:p>
            <a:pPr algn="ctr">
              <a:defRPr/>
            </a:pPr>
            <a:endParaRPr lang="en-US"/>
          </a:p>
        </cx:rich>
      </cx:tx>
    </cx:title>
    <cx:plotArea>
      <cx:plotAreaRegion>
        <cx:series layoutId="clusteredColumn" uniqueId="{43E7B160-166C-4ADB-BAC3-328E65DDF508}" formatIdx="0">
          <cx:tx>
            <cx:txData>
              <cx:f>_xlchart.v1.1</cx:f>
              <cx:v>Close</cx:v>
            </cx:txData>
          </cx:tx>
          <cx:spPr>
            <a:solidFill>
              <a:srgbClr val="D6C6A2"/>
            </a:solidFill>
            <a:ln w="3175">
              <a:solidFill>
                <a:schemeClr val="tx1"/>
              </a:solidFill>
              <a:prstDash val="solid"/>
            </a:ln>
          </cx:spPr>
          <cx:dataPt idx="4">
            <cx:spPr>
              <a:solidFill>
                <a:srgbClr val="DDDDDD"/>
              </a:solidFill>
            </cx:spPr>
          </cx:dataPt>
          <cx:dataPt idx="5">
            <cx:spPr>
              <a:solidFill>
                <a:srgbClr val="DDDDDD"/>
              </a:solidFill>
            </cx:spPr>
          </cx:dataPt>
          <cx:dataPt idx="6">
            <cx:spPr>
              <a:solidFill>
                <a:srgbClr val="DDDDDD"/>
              </a:solidFill>
            </cx:spPr>
          </cx:dataPt>
          <cx:dataPt idx="7">
            <cx:spPr>
              <a:solidFill>
                <a:srgbClr val="DDDDDD"/>
              </a:solidFill>
            </cx:spPr>
          </cx:dataPt>
          <cx:dataId val="0"/>
          <cx:layoutPr>
            <cx:binning intervalClosed="r">
              <cx:binCount val="8"/>
            </cx:binning>
          </cx:layoutPr>
        </cx:series>
        <cx:series layoutId="clusteredColumn" hidden="1" uniqueId="{C1C2FAAC-E416-483B-8B50-EC5259D58B47}" formatIdx="1">
          <cx:tx>
            <cx:txData>
              <cx:f>_xlchart.v1.3</cx:f>
              <cx:v>Return</cx:v>
            </cx:txData>
          </cx:tx>
          <cx:dataId val="1"/>
          <cx:layoutPr>
            <cx:binning intervalClosed="r"/>
          </cx:layoutPr>
        </cx:series>
      </cx:plotAreaRegion>
      <cx:axis id="0">
        <cx:catScaling gapWidth="0"/>
        <cx:majorTickMarks type="out"/>
        <cx:tickLabels/>
        <cx:spPr>
          <a:ln>
            <a:solidFill>
              <a:schemeClr val="dk1"/>
            </a:solidFill>
          </a:ln>
        </cx:spPr>
        <cx:txPr>
          <a:bodyPr spcFirstLastPara="1" vertOverflow="ellipsis" wrap="square" lIns="0" tIns="0" rIns="0" bIns="0" anchor="ctr" anchorCtr="1"/>
          <a:lstStyle/>
          <a:p>
            <a:pPr>
              <a:defRPr>
                <a:noFill/>
              </a:defRPr>
            </a:pPr>
            <a:endParaRPr lang="en-US">
              <a:noFill/>
            </a:endParaRPr>
          </a:p>
        </cx:txPr>
      </cx:axis>
      <cx:axis id="1">
        <cx:valScaling/>
        <cx:majorTickMarks type="out"/>
        <cx:tickLabels/>
        <cx:spPr>
          <a:ln>
            <a:solidFill>
              <a:schemeClr val="dk1"/>
            </a:solidFill>
          </a:ln>
        </cx:spPr>
        <cx:txPr>
          <a:bodyPr spcFirstLastPara="1" vertOverflow="ellipsis" wrap="square" lIns="0" tIns="0" rIns="0" bIns="0" anchor="ctr" anchorCtr="1"/>
          <a:lstStyle/>
          <a:p>
            <a:pPr>
              <a:defRPr sz="1200" b="1">
                <a:solidFill>
                  <a:sysClr val="windowText" lastClr="000000"/>
                </a:solidFill>
              </a:defRPr>
            </a:pPr>
            <a:endParaRPr lang="en-US" sz="1200" b="1">
              <a:solidFill>
                <a:sysClr val="windowText" lastClr="000000"/>
              </a:solidFill>
            </a:endParaRPr>
          </a:p>
        </cx:txPr>
      </cx:axis>
    </cx:plotArea>
  </cx:chart>
  <cx:spPr>
    <a:noFill/>
    <a:ln>
      <a:noFill/>
    </a:ln>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wrap="square" lIns="0" tIns="0" rIns="0" bIns="0" anchor="ctr" anchorCtr="1"/>
          <a:lstStyle/>
          <a:p>
            <a:pPr algn="ctr">
              <a:defRPr b="1">
                <a:solidFill>
                  <a:sysClr val="windowText" lastClr="000000"/>
                </a:solidFill>
              </a:defRPr>
            </a:pPr>
            <a:r>
              <a:rPr lang="en-US" sz="1200" b="1">
                <a:solidFill>
                  <a:sysClr val="windowText" lastClr="000000"/>
                </a:solidFill>
              </a:rPr>
              <a:t>Daily Return  Destribution</a:t>
            </a:r>
          </a:p>
        </cx:rich>
      </cx:tx>
      <cx:spPr>
        <a:noFill/>
      </cx:spPr>
    </cx:title>
    <cx:plotArea>
      <cx:plotAreaRegion>
        <cx:series layoutId="clusteredColumn" uniqueId="{CBA7AB7D-46D3-474D-AD10-629B44A198AB}">
          <cx:spPr>
            <a:solidFill>
              <a:srgbClr val="D6C6A2"/>
            </a:solidFill>
          </cx:spPr>
          <cx:dataId val="0"/>
          <cx:layoutPr>
            <cx:binning intervalClosed="r"/>
          </cx:layoutPr>
        </cx:series>
      </cx:plotAreaRegion>
      <cx:axis id="0">
        <cx:catScaling gapWidth="0"/>
        <cx:tickLabels/>
      </cx:axis>
      <cx:axis id="1">
        <cx:valScaling/>
        <cx:tickLabels/>
      </cx:axis>
    </cx:plotArea>
  </cx:chart>
  <cx:spPr>
    <a:noFill/>
    <a:ln>
      <a:no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2.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10</xdr:col>
      <xdr:colOff>1088574</xdr:colOff>
      <xdr:row>1</xdr:row>
      <xdr:rowOff>166008</xdr:rowOff>
    </xdr:from>
    <xdr:to>
      <xdr:col>12</xdr:col>
      <xdr:colOff>1131210</xdr:colOff>
      <xdr:row>4</xdr:row>
      <xdr:rowOff>122465</xdr:rowOff>
    </xdr:to>
    <xdr:pic>
      <xdr:nvPicPr>
        <xdr:cNvPr id="4" name="Picture 3"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3321395" y="356508"/>
          <a:ext cx="2491922" cy="691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452719</xdr:colOff>
      <xdr:row>2</xdr:row>
      <xdr:rowOff>65555</xdr:rowOff>
    </xdr:from>
    <xdr:to>
      <xdr:col>14</xdr:col>
      <xdr:colOff>613039</xdr:colOff>
      <xdr:row>5</xdr:row>
      <xdr:rowOff>123345</xdr:rowOff>
    </xdr:to>
    <xdr:pic>
      <xdr:nvPicPr>
        <xdr:cNvPr id="3" name="Picture 2"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0520644" y="446555"/>
          <a:ext cx="1629891" cy="638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114545</xdr:colOff>
      <xdr:row>25</xdr:row>
      <xdr:rowOff>33301</xdr:rowOff>
    </xdr:from>
    <xdr:to>
      <xdr:col>5</xdr:col>
      <xdr:colOff>1125</xdr:colOff>
      <xdr:row>39</xdr:row>
      <xdr:rowOff>91758</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107420</xdr:colOff>
      <xdr:row>26</xdr:row>
      <xdr:rowOff>62030</xdr:rowOff>
    </xdr:from>
    <xdr:to>
      <xdr:col>10</xdr:col>
      <xdr:colOff>203401</xdr:colOff>
      <xdr:row>38</xdr:row>
      <xdr:rowOff>178571</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409576</xdr:colOff>
      <xdr:row>3</xdr:row>
      <xdr:rowOff>27215</xdr:rowOff>
    </xdr:from>
    <xdr:to>
      <xdr:col>15</xdr:col>
      <xdr:colOff>45643</xdr:colOff>
      <xdr:row>5</xdr:row>
      <xdr:rowOff>116301</xdr:rowOff>
    </xdr:to>
    <xdr:pic>
      <xdr:nvPicPr>
        <xdr:cNvPr id="6" name="Picture 5" descr="Trent Limited logo in transparent PNG and vectorized SVG formats"/>
        <xdr:cNvPicPr>
          <a:picLocks noChangeAspect="1" noChangeArrowheads="1"/>
        </xdr:cNvPicPr>
      </xdr:nvPicPr>
      <xdr:blipFill>
        <a:blip xmlns:r="http://schemas.openxmlformats.org/officeDocument/2006/relationships" r:embed="rId3" cstate="hqprint">
          <a:extLst>
            <a:ext uri="{28A0092B-C50C-407E-A947-70E740481C1C}">
              <a14:useLocalDpi xmlns:a14="http://schemas.microsoft.com/office/drawing/2010/main" val="0"/>
            </a:ext>
          </a:extLst>
        </a:blip>
        <a:srcRect/>
        <a:stretch>
          <a:fillRect/>
        </a:stretch>
      </xdr:blipFill>
      <xdr:spPr bwMode="auto">
        <a:xfrm>
          <a:off x="12077701" y="598715"/>
          <a:ext cx="1779192" cy="641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368896</xdr:colOff>
      <xdr:row>38</xdr:row>
      <xdr:rowOff>15610</xdr:rowOff>
    </xdr:from>
    <xdr:to>
      <xdr:col>3</xdr:col>
      <xdr:colOff>774424</xdr:colOff>
      <xdr:row>38</xdr:row>
      <xdr:rowOff>96206</xdr:rowOff>
    </xdr:to>
    <xdr:sp macro="" textlink="">
      <xdr:nvSpPr>
        <xdr:cNvPr id="3" name="Rectangle 2"/>
        <xdr:cNvSpPr/>
      </xdr:nvSpPr>
      <xdr:spPr>
        <a:xfrm>
          <a:off x="3392048" y="7478240"/>
          <a:ext cx="405528" cy="80596"/>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clientData/>
  </xdr:twoCellAnchor>
  <xdr:twoCellAnchor>
    <xdr:from>
      <xdr:col>8</xdr:col>
      <xdr:colOff>731261</xdr:colOff>
      <xdr:row>38</xdr:row>
      <xdr:rowOff>86999</xdr:rowOff>
    </xdr:from>
    <xdr:to>
      <xdr:col>9</xdr:col>
      <xdr:colOff>313840</xdr:colOff>
      <xdr:row>38</xdr:row>
      <xdr:rowOff>163257</xdr:rowOff>
    </xdr:to>
    <xdr:sp macro="" textlink="">
      <xdr:nvSpPr>
        <xdr:cNvPr id="9" name="Rectangle 8"/>
        <xdr:cNvSpPr/>
      </xdr:nvSpPr>
      <xdr:spPr>
        <a:xfrm>
          <a:off x="8077935" y="7549629"/>
          <a:ext cx="410840" cy="76258"/>
        </a:xfrm>
        <a:prstGeom prst="rect">
          <a:avLst/>
        </a:prstGeom>
        <a:solidFill>
          <a:srgbClr val="CFAC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clientData/>
  </xdr:twoCellAnchor>
  <xdr:twoCellAnchor>
    <xdr:from>
      <xdr:col>3</xdr:col>
      <xdr:colOff>383039</xdr:colOff>
      <xdr:row>39</xdr:row>
      <xdr:rowOff>107801</xdr:rowOff>
    </xdr:from>
    <xdr:to>
      <xdr:col>3</xdr:col>
      <xdr:colOff>778564</xdr:colOff>
      <xdr:row>39</xdr:row>
      <xdr:rowOff>165653</xdr:rowOff>
    </xdr:to>
    <xdr:sp macro="" textlink="">
      <xdr:nvSpPr>
        <xdr:cNvPr id="10" name="Rectangle 9"/>
        <xdr:cNvSpPr/>
      </xdr:nvSpPr>
      <xdr:spPr>
        <a:xfrm>
          <a:off x="3406191" y="7760931"/>
          <a:ext cx="395525" cy="57852"/>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clientData/>
  </xdr:twoCellAnchor>
  <xdr:twoCellAnchor>
    <xdr:from>
      <xdr:col>14</xdr:col>
      <xdr:colOff>235640</xdr:colOff>
      <xdr:row>39</xdr:row>
      <xdr:rowOff>149501</xdr:rowOff>
    </xdr:from>
    <xdr:to>
      <xdr:col>14</xdr:col>
      <xdr:colOff>649260</xdr:colOff>
      <xdr:row>40</xdr:row>
      <xdr:rowOff>32270</xdr:rowOff>
    </xdr:to>
    <xdr:sp macro="" textlink="">
      <xdr:nvSpPr>
        <xdr:cNvPr id="12" name="Rectangle 11"/>
        <xdr:cNvSpPr/>
      </xdr:nvSpPr>
      <xdr:spPr>
        <a:xfrm>
          <a:off x="12770540" y="7817126"/>
          <a:ext cx="413620" cy="73269"/>
        </a:xfrm>
        <a:prstGeom prst="rect">
          <a:avLst/>
        </a:prstGeom>
        <a:solidFill>
          <a:srgbClr val="CFAC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827655</xdr:colOff>
      <xdr:row>38</xdr:row>
      <xdr:rowOff>69094</xdr:rowOff>
    </xdr:from>
    <xdr:to>
      <xdr:col>4</xdr:col>
      <xdr:colOff>835301</xdr:colOff>
      <xdr:row>39</xdr:row>
      <xdr:rowOff>83749</xdr:rowOff>
    </xdr:to>
    <xdr:sp macro="" textlink="">
      <xdr:nvSpPr>
        <xdr:cNvPr id="4" name="TextBox 3"/>
        <xdr:cNvSpPr txBox="1"/>
      </xdr:nvSpPr>
      <xdr:spPr>
        <a:xfrm>
          <a:off x="3847080" y="7546219"/>
          <a:ext cx="922046" cy="205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Sales Forecast</a:t>
          </a:r>
        </a:p>
      </xdr:txBody>
    </xdr:sp>
    <xdr:clientData/>
  </xdr:twoCellAnchor>
  <xdr:twoCellAnchor>
    <xdr:from>
      <xdr:col>3</xdr:col>
      <xdr:colOff>820615</xdr:colOff>
      <xdr:row>37</xdr:row>
      <xdr:rowOff>102578</xdr:rowOff>
    </xdr:from>
    <xdr:to>
      <xdr:col>4</xdr:col>
      <xdr:colOff>488355</xdr:colOff>
      <xdr:row>38</xdr:row>
      <xdr:rowOff>124558</xdr:rowOff>
    </xdr:to>
    <xdr:sp macro="" textlink="">
      <xdr:nvSpPr>
        <xdr:cNvPr id="16" name="TextBox 15"/>
        <xdr:cNvSpPr txBox="1"/>
      </xdr:nvSpPr>
      <xdr:spPr>
        <a:xfrm>
          <a:off x="3843767" y="7374708"/>
          <a:ext cx="578827"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Sales</a:t>
          </a:r>
          <a:r>
            <a:rPr lang="en-IN" sz="900"/>
            <a:t> </a:t>
          </a:r>
        </a:p>
      </xdr:txBody>
    </xdr:sp>
    <xdr:clientData/>
  </xdr:twoCellAnchor>
  <xdr:twoCellAnchor>
    <xdr:from>
      <xdr:col>3</xdr:col>
      <xdr:colOff>813797</xdr:colOff>
      <xdr:row>39</xdr:row>
      <xdr:rowOff>18413</xdr:rowOff>
    </xdr:from>
    <xdr:to>
      <xdr:col>4</xdr:col>
      <xdr:colOff>711603</xdr:colOff>
      <xdr:row>40</xdr:row>
      <xdr:rowOff>40393</xdr:rowOff>
    </xdr:to>
    <xdr:sp macro="" textlink="">
      <xdr:nvSpPr>
        <xdr:cNvPr id="18" name="TextBox 17"/>
        <xdr:cNvSpPr txBox="1"/>
      </xdr:nvSpPr>
      <xdr:spPr>
        <a:xfrm>
          <a:off x="3833222" y="7686038"/>
          <a:ext cx="812206"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Sales Growth</a:t>
          </a:r>
        </a:p>
      </xdr:txBody>
    </xdr:sp>
    <xdr:clientData/>
  </xdr:twoCellAnchor>
  <xdr:twoCellAnchor>
    <xdr:from>
      <xdr:col>1</xdr:col>
      <xdr:colOff>415787</xdr:colOff>
      <xdr:row>36</xdr:row>
      <xdr:rowOff>92764</xdr:rowOff>
    </xdr:from>
    <xdr:to>
      <xdr:col>1</xdr:col>
      <xdr:colOff>919369</xdr:colOff>
      <xdr:row>37</xdr:row>
      <xdr:rowOff>114744</xdr:rowOff>
    </xdr:to>
    <xdr:sp macro="" textlink="">
      <xdr:nvSpPr>
        <xdr:cNvPr id="19" name="TextBox 18"/>
        <xdr:cNvSpPr txBox="1"/>
      </xdr:nvSpPr>
      <xdr:spPr>
        <a:xfrm>
          <a:off x="540026" y="7174394"/>
          <a:ext cx="503582"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2016A</a:t>
          </a:r>
          <a:endParaRPr lang="en-IN" sz="800"/>
        </a:p>
      </xdr:txBody>
    </xdr:sp>
    <xdr:clientData/>
  </xdr:twoCellAnchor>
  <xdr:twoCellAnchor>
    <xdr:from>
      <xdr:col>14</xdr:col>
      <xdr:colOff>600074</xdr:colOff>
      <xdr:row>38</xdr:row>
      <xdr:rowOff>123824</xdr:rowOff>
    </xdr:from>
    <xdr:to>
      <xdr:col>15</xdr:col>
      <xdr:colOff>38099</xdr:colOff>
      <xdr:row>39</xdr:row>
      <xdr:rowOff>133349</xdr:rowOff>
    </xdr:to>
    <xdr:sp macro="" textlink="">
      <xdr:nvSpPr>
        <xdr:cNvPr id="20" name="TextBox 19"/>
        <xdr:cNvSpPr txBox="1"/>
      </xdr:nvSpPr>
      <xdr:spPr>
        <a:xfrm>
          <a:off x="13134974" y="7600949"/>
          <a:ext cx="4476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latin typeface="Arial" panose="020B0604020202020204" pitchFamily="34" charset="0"/>
              <a:cs typeface="Arial" panose="020B0604020202020204" pitchFamily="34" charset="0"/>
            </a:rPr>
            <a:t>NPA</a:t>
          </a:r>
        </a:p>
      </xdr:txBody>
    </xdr:sp>
    <xdr:clientData/>
  </xdr:twoCellAnchor>
  <xdr:twoCellAnchor>
    <xdr:from>
      <xdr:col>14</xdr:col>
      <xdr:colOff>590549</xdr:colOff>
      <xdr:row>39</xdr:row>
      <xdr:rowOff>57150</xdr:rowOff>
    </xdr:from>
    <xdr:to>
      <xdr:col>16</xdr:col>
      <xdr:colOff>0</xdr:colOff>
      <xdr:row>40</xdr:row>
      <xdr:rowOff>95250</xdr:rowOff>
    </xdr:to>
    <xdr:sp macro="" textlink="">
      <xdr:nvSpPr>
        <xdr:cNvPr id="21" name="TextBox 20"/>
        <xdr:cNvSpPr txBox="1"/>
      </xdr:nvSpPr>
      <xdr:spPr>
        <a:xfrm>
          <a:off x="13125449" y="7724775"/>
          <a:ext cx="10287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NPA</a:t>
          </a:r>
          <a:r>
            <a:rPr lang="en-IN" sz="1000" b="1" baseline="0"/>
            <a:t> Forecast</a:t>
          </a:r>
          <a:endParaRPr lang="en-IN" sz="1000" b="1"/>
        </a:p>
      </xdr:txBody>
    </xdr:sp>
    <xdr:clientData/>
  </xdr:twoCellAnchor>
  <xdr:twoCellAnchor>
    <xdr:from>
      <xdr:col>1</xdr:col>
      <xdr:colOff>940904</xdr:colOff>
      <xdr:row>36</xdr:row>
      <xdr:rowOff>104361</xdr:rowOff>
    </xdr:from>
    <xdr:to>
      <xdr:col>1</xdr:col>
      <xdr:colOff>1432891</xdr:colOff>
      <xdr:row>37</xdr:row>
      <xdr:rowOff>126341</xdr:rowOff>
    </xdr:to>
    <xdr:sp macro="" textlink="">
      <xdr:nvSpPr>
        <xdr:cNvPr id="24" name="TextBox 23"/>
        <xdr:cNvSpPr txBox="1"/>
      </xdr:nvSpPr>
      <xdr:spPr>
        <a:xfrm>
          <a:off x="1065143" y="7185991"/>
          <a:ext cx="491987"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2018A</a:t>
          </a:r>
          <a:endParaRPr lang="en-IN" sz="800"/>
        </a:p>
      </xdr:txBody>
    </xdr:sp>
    <xdr:clientData/>
  </xdr:twoCellAnchor>
  <xdr:twoCellAnchor>
    <xdr:from>
      <xdr:col>1</xdr:col>
      <xdr:colOff>1474303</xdr:colOff>
      <xdr:row>36</xdr:row>
      <xdr:rowOff>115955</xdr:rowOff>
    </xdr:from>
    <xdr:to>
      <xdr:col>2</xdr:col>
      <xdr:colOff>231912</xdr:colOff>
      <xdr:row>37</xdr:row>
      <xdr:rowOff>149086</xdr:rowOff>
    </xdr:to>
    <xdr:sp macro="" textlink="">
      <xdr:nvSpPr>
        <xdr:cNvPr id="25" name="TextBox 24"/>
        <xdr:cNvSpPr txBox="1"/>
      </xdr:nvSpPr>
      <xdr:spPr>
        <a:xfrm>
          <a:off x="1598542" y="7197585"/>
          <a:ext cx="530087" cy="223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2020A</a:t>
          </a:r>
        </a:p>
      </xdr:txBody>
    </xdr:sp>
    <xdr:clientData/>
  </xdr:twoCellAnchor>
  <xdr:twoCellAnchor>
    <xdr:from>
      <xdr:col>2</xdr:col>
      <xdr:colOff>210380</xdr:colOff>
      <xdr:row>36</xdr:row>
      <xdr:rowOff>110986</xdr:rowOff>
    </xdr:from>
    <xdr:to>
      <xdr:col>2</xdr:col>
      <xdr:colOff>745436</xdr:colOff>
      <xdr:row>37</xdr:row>
      <xdr:rowOff>157370</xdr:rowOff>
    </xdr:to>
    <xdr:sp macro="" textlink="">
      <xdr:nvSpPr>
        <xdr:cNvPr id="26" name="TextBox 25"/>
        <xdr:cNvSpPr txBox="1"/>
      </xdr:nvSpPr>
      <xdr:spPr>
        <a:xfrm>
          <a:off x="2107097" y="7192616"/>
          <a:ext cx="535056" cy="236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2022A</a:t>
          </a:r>
        </a:p>
      </xdr:txBody>
    </xdr:sp>
    <xdr:clientData/>
  </xdr:twoCellAnchor>
  <xdr:twoCellAnchor>
    <xdr:from>
      <xdr:col>2</xdr:col>
      <xdr:colOff>768628</xdr:colOff>
      <xdr:row>36</xdr:row>
      <xdr:rowOff>114299</xdr:rowOff>
    </xdr:from>
    <xdr:to>
      <xdr:col>3</xdr:col>
      <xdr:colOff>173935</xdr:colOff>
      <xdr:row>37</xdr:row>
      <xdr:rowOff>124239</xdr:rowOff>
    </xdr:to>
    <xdr:sp macro="" textlink="">
      <xdr:nvSpPr>
        <xdr:cNvPr id="27" name="TextBox 26"/>
        <xdr:cNvSpPr txBox="1"/>
      </xdr:nvSpPr>
      <xdr:spPr>
        <a:xfrm>
          <a:off x="2665345" y="7195929"/>
          <a:ext cx="531742" cy="200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2024A</a:t>
          </a:r>
        </a:p>
      </xdr:txBody>
    </xdr:sp>
    <xdr:clientData/>
  </xdr:twoCellAnchor>
  <xdr:twoCellAnchor>
    <xdr:from>
      <xdr:col>3</xdr:col>
      <xdr:colOff>200439</xdr:colOff>
      <xdr:row>36</xdr:row>
      <xdr:rowOff>101048</xdr:rowOff>
    </xdr:from>
    <xdr:to>
      <xdr:col>3</xdr:col>
      <xdr:colOff>712304</xdr:colOff>
      <xdr:row>37</xdr:row>
      <xdr:rowOff>124240</xdr:rowOff>
    </xdr:to>
    <xdr:sp macro="" textlink="">
      <xdr:nvSpPr>
        <xdr:cNvPr id="28" name="TextBox 27"/>
        <xdr:cNvSpPr txBox="1"/>
      </xdr:nvSpPr>
      <xdr:spPr>
        <a:xfrm>
          <a:off x="3223591" y="7182678"/>
          <a:ext cx="511865" cy="213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2026E</a:t>
          </a:r>
        </a:p>
      </xdr:txBody>
    </xdr:sp>
    <xdr:clientData/>
  </xdr:twoCellAnchor>
  <xdr:twoCellAnchor>
    <xdr:from>
      <xdr:col>3</xdr:col>
      <xdr:colOff>742122</xdr:colOff>
      <xdr:row>36</xdr:row>
      <xdr:rowOff>87794</xdr:rowOff>
    </xdr:from>
    <xdr:to>
      <xdr:col>4</xdr:col>
      <xdr:colOff>356153</xdr:colOff>
      <xdr:row>37</xdr:row>
      <xdr:rowOff>157369</xdr:rowOff>
    </xdr:to>
    <xdr:sp macro="" textlink="">
      <xdr:nvSpPr>
        <xdr:cNvPr id="29" name="TextBox 28"/>
        <xdr:cNvSpPr txBox="1"/>
      </xdr:nvSpPr>
      <xdr:spPr>
        <a:xfrm>
          <a:off x="3765274" y="7169424"/>
          <a:ext cx="525118" cy="26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2028E</a:t>
          </a:r>
        </a:p>
      </xdr:txBody>
    </xdr:sp>
    <xdr:clientData/>
  </xdr:twoCellAnchor>
  <xdr:twoCellAnchor>
    <xdr:from>
      <xdr:col>4</xdr:col>
      <xdr:colOff>356153</xdr:colOff>
      <xdr:row>36</xdr:row>
      <xdr:rowOff>74544</xdr:rowOff>
    </xdr:from>
    <xdr:to>
      <xdr:col>4</xdr:col>
      <xdr:colOff>886239</xdr:colOff>
      <xdr:row>37</xdr:row>
      <xdr:rowOff>182218</xdr:rowOff>
    </xdr:to>
    <xdr:sp macro="" textlink="">
      <xdr:nvSpPr>
        <xdr:cNvPr id="30" name="TextBox 29"/>
        <xdr:cNvSpPr txBox="1"/>
      </xdr:nvSpPr>
      <xdr:spPr>
        <a:xfrm>
          <a:off x="4290392" y="7156174"/>
          <a:ext cx="53008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2030E</a:t>
          </a:r>
        </a:p>
      </xdr:txBody>
    </xdr:sp>
    <xdr:clientData/>
  </xdr:twoCellAnchor>
  <xdr:twoCellAnchor>
    <xdr:from>
      <xdr:col>2</xdr:col>
      <xdr:colOff>86140</xdr:colOff>
      <xdr:row>42</xdr:row>
      <xdr:rowOff>168965</xdr:rowOff>
    </xdr:from>
    <xdr:to>
      <xdr:col>2</xdr:col>
      <xdr:colOff>540028</xdr:colOff>
      <xdr:row>44</xdr:row>
      <xdr:rowOff>445</xdr:rowOff>
    </xdr:to>
    <xdr:sp macro="" textlink="">
      <xdr:nvSpPr>
        <xdr:cNvPr id="31" name="TextBox 30"/>
        <xdr:cNvSpPr txBox="1"/>
      </xdr:nvSpPr>
      <xdr:spPr>
        <a:xfrm>
          <a:off x="1982857" y="8393595"/>
          <a:ext cx="453888"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a:p>
          <a:endParaRPr lang="en-IN" sz="800"/>
        </a:p>
      </xdr:txBody>
    </xdr:sp>
    <xdr:clientData/>
  </xdr:twoCellAnchor>
  <xdr:twoCellAnchor>
    <xdr:from>
      <xdr:col>2</xdr:col>
      <xdr:colOff>543340</xdr:colOff>
      <xdr:row>45</xdr:row>
      <xdr:rowOff>54665</xdr:rowOff>
    </xdr:from>
    <xdr:to>
      <xdr:col>2</xdr:col>
      <xdr:colOff>997228</xdr:colOff>
      <xdr:row>46</xdr:row>
      <xdr:rowOff>76645</xdr:rowOff>
    </xdr:to>
    <xdr:sp macro="" textlink="">
      <xdr:nvSpPr>
        <xdr:cNvPr id="34" name="TextBox 33"/>
        <xdr:cNvSpPr txBox="1"/>
      </xdr:nvSpPr>
      <xdr:spPr>
        <a:xfrm>
          <a:off x="2440057" y="8850795"/>
          <a:ext cx="453888"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xdr:txBody>
    </xdr:sp>
    <xdr:clientData/>
  </xdr:twoCellAnchor>
  <xdr:twoCellAnchor>
    <xdr:from>
      <xdr:col>2</xdr:col>
      <xdr:colOff>695740</xdr:colOff>
      <xdr:row>46</xdr:row>
      <xdr:rowOff>16565</xdr:rowOff>
    </xdr:from>
    <xdr:to>
      <xdr:col>3</xdr:col>
      <xdr:colOff>23193</xdr:colOff>
      <xdr:row>47</xdr:row>
      <xdr:rowOff>38545</xdr:rowOff>
    </xdr:to>
    <xdr:sp macro="" textlink="">
      <xdr:nvSpPr>
        <xdr:cNvPr id="35" name="TextBox 34"/>
        <xdr:cNvSpPr txBox="1"/>
      </xdr:nvSpPr>
      <xdr:spPr>
        <a:xfrm>
          <a:off x="2592457" y="9003195"/>
          <a:ext cx="453888"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a:p>
          <a:endParaRPr lang="en-IN" sz="800"/>
        </a:p>
      </xdr:txBody>
    </xdr:sp>
    <xdr:clientData/>
  </xdr:twoCellAnchor>
  <xdr:twoCellAnchor>
    <xdr:from>
      <xdr:col>3</xdr:col>
      <xdr:colOff>368896</xdr:colOff>
      <xdr:row>38</xdr:row>
      <xdr:rowOff>148132</xdr:rowOff>
    </xdr:from>
    <xdr:to>
      <xdr:col>3</xdr:col>
      <xdr:colOff>774424</xdr:colOff>
      <xdr:row>39</xdr:row>
      <xdr:rowOff>24848</xdr:rowOff>
    </xdr:to>
    <xdr:sp macro="" textlink="">
      <xdr:nvSpPr>
        <xdr:cNvPr id="41" name="Rectangle 40"/>
        <xdr:cNvSpPr/>
      </xdr:nvSpPr>
      <xdr:spPr>
        <a:xfrm>
          <a:off x="3392048" y="7610762"/>
          <a:ext cx="405528" cy="67216"/>
        </a:xfrm>
        <a:prstGeom prst="rect">
          <a:avLst/>
        </a:prstGeom>
        <a:solidFill>
          <a:srgbClr val="CFAC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clientData/>
  </xdr:twoCellAnchor>
  <xdr:twoCellAnchor>
    <xdr:from>
      <xdr:col>6</xdr:col>
      <xdr:colOff>333375</xdr:colOff>
      <xdr:row>37</xdr:row>
      <xdr:rowOff>19049</xdr:rowOff>
    </xdr:from>
    <xdr:to>
      <xdr:col>6</xdr:col>
      <xdr:colOff>927652</xdr:colOff>
      <xdr:row>38</xdr:row>
      <xdr:rowOff>82826</xdr:rowOff>
    </xdr:to>
    <xdr:sp macro="" textlink="">
      <xdr:nvSpPr>
        <xdr:cNvPr id="42" name="TextBox 41"/>
        <xdr:cNvSpPr txBox="1"/>
      </xdr:nvSpPr>
      <xdr:spPr>
        <a:xfrm>
          <a:off x="5733636" y="7291179"/>
          <a:ext cx="594277" cy="25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2016A</a:t>
          </a:r>
        </a:p>
      </xdr:txBody>
    </xdr:sp>
    <xdr:clientData/>
  </xdr:twoCellAnchor>
  <xdr:twoCellAnchor>
    <xdr:from>
      <xdr:col>6</xdr:col>
      <xdr:colOff>790575</xdr:colOff>
      <xdr:row>37</xdr:row>
      <xdr:rowOff>19050</xdr:rowOff>
    </xdr:from>
    <xdr:to>
      <xdr:col>7</xdr:col>
      <xdr:colOff>149087</xdr:colOff>
      <xdr:row>38</xdr:row>
      <xdr:rowOff>49696</xdr:rowOff>
    </xdr:to>
    <xdr:sp macro="" textlink="">
      <xdr:nvSpPr>
        <xdr:cNvPr id="43" name="TextBox 42"/>
        <xdr:cNvSpPr txBox="1"/>
      </xdr:nvSpPr>
      <xdr:spPr>
        <a:xfrm>
          <a:off x="6190836" y="7291180"/>
          <a:ext cx="50151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2018A</a:t>
          </a:r>
        </a:p>
      </xdr:txBody>
    </xdr:sp>
    <xdr:clientData/>
  </xdr:twoCellAnchor>
  <xdr:twoCellAnchor>
    <xdr:from>
      <xdr:col>7</xdr:col>
      <xdr:colOff>85725</xdr:colOff>
      <xdr:row>37</xdr:row>
      <xdr:rowOff>19050</xdr:rowOff>
    </xdr:from>
    <xdr:to>
      <xdr:col>7</xdr:col>
      <xdr:colOff>621196</xdr:colOff>
      <xdr:row>38</xdr:row>
      <xdr:rowOff>8283</xdr:rowOff>
    </xdr:to>
    <xdr:sp macro="" textlink="">
      <xdr:nvSpPr>
        <xdr:cNvPr id="44" name="TextBox 43"/>
        <xdr:cNvSpPr txBox="1"/>
      </xdr:nvSpPr>
      <xdr:spPr>
        <a:xfrm>
          <a:off x="6628986" y="7291180"/>
          <a:ext cx="535471" cy="17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2020A</a:t>
          </a:r>
        </a:p>
      </xdr:txBody>
    </xdr:sp>
    <xdr:clientData/>
  </xdr:twoCellAnchor>
  <xdr:twoCellAnchor>
    <xdr:from>
      <xdr:col>7</xdr:col>
      <xdr:colOff>523875</xdr:colOff>
      <xdr:row>37</xdr:row>
      <xdr:rowOff>9525</xdr:rowOff>
    </xdr:from>
    <xdr:to>
      <xdr:col>8</xdr:col>
      <xdr:colOff>202294</xdr:colOff>
      <xdr:row>38</xdr:row>
      <xdr:rowOff>40171</xdr:rowOff>
    </xdr:to>
    <xdr:sp macro="" textlink="">
      <xdr:nvSpPr>
        <xdr:cNvPr id="45" name="TextBox 44"/>
        <xdr:cNvSpPr txBox="1"/>
      </xdr:nvSpPr>
      <xdr:spPr>
        <a:xfrm>
          <a:off x="7067136" y="7281655"/>
          <a:ext cx="48183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2022A</a:t>
          </a:r>
        </a:p>
      </xdr:txBody>
    </xdr:sp>
    <xdr:clientData/>
  </xdr:twoCellAnchor>
  <xdr:twoCellAnchor>
    <xdr:from>
      <xdr:col>8</xdr:col>
      <xdr:colOff>152400</xdr:colOff>
      <xdr:row>37</xdr:row>
      <xdr:rowOff>28575</xdr:rowOff>
    </xdr:from>
    <xdr:to>
      <xdr:col>8</xdr:col>
      <xdr:colOff>646044</xdr:colOff>
      <xdr:row>38</xdr:row>
      <xdr:rowOff>82827</xdr:rowOff>
    </xdr:to>
    <xdr:sp macro="" textlink="">
      <xdr:nvSpPr>
        <xdr:cNvPr id="46" name="TextBox 45"/>
        <xdr:cNvSpPr txBox="1"/>
      </xdr:nvSpPr>
      <xdr:spPr>
        <a:xfrm>
          <a:off x="7499074" y="7300705"/>
          <a:ext cx="493644" cy="24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2024A</a:t>
          </a:r>
        </a:p>
      </xdr:txBody>
    </xdr:sp>
    <xdr:clientData/>
  </xdr:twoCellAnchor>
  <xdr:twoCellAnchor>
    <xdr:from>
      <xdr:col>9</xdr:col>
      <xdr:colOff>228600</xdr:colOff>
      <xdr:row>37</xdr:row>
      <xdr:rowOff>19050</xdr:rowOff>
    </xdr:from>
    <xdr:to>
      <xdr:col>9</xdr:col>
      <xdr:colOff>706921</xdr:colOff>
      <xdr:row>38</xdr:row>
      <xdr:rowOff>49696</xdr:rowOff>
    </xdr:to>
    <xdr:sp macro="" textlink="">
      <xdr:nvSpPr>
        <xdr:cNvPr id="47" name="TextBox 46"/>
        <xdr:cNvSpPr txBox="1"/>
      </xdr:nvSpPr>
      <xdr:spPr>
        <a:xfrm>
          <a:off x="8403535" y="7291180"/>
          <a:ext cx="478321"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2028E</a:t>
          </a:r>
        </a:p>
      </xdr:txBody>
    </xdr:sp>
    <xdr:clientData/>
  </xdr:twoCellAnchor>
  <xdr:twoCellAnchor>
    <xdr:from>
      <xdr:col>8</xdr:col>
      <xdr:colOff>600075</xdr:colOff>
      <xdr:row>37</xdr:row>
      <xdr:rowOff>38100</xdr:rowOff>
    </xdr:from>
    <xdr:to>
      <xdr:col>9</xdr:col>
      <xdr:colOff>249696</xdr:colOff>
      <xdr:row>38</xdr:row>
      <xdr:rowOff>68746</xdr:rowOff>
    </xdr:to>
    <xdr:sp macro="" textlink="">
      <xdr:nvSpPr>
        <xdr:cNvPr id="48" name="TextBox 47"/>
        <xdr:cNvSpPr txBox="1"/>
      </xdr:nvSpPr>
      <xdr:spPr>
        <a:xfrm>
          <a:off x="7946749" y="7310230"/>
          <a:ext cx="477882"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2026E</a:t>
          </a:r>
        </a:p>
      </xdr:txBody>
    </xdr:sp>
    <xdr:clientData/>
  </xdr:twoCellAnchor>
  <xdr:twoCellAnchor>
    <xdr:from>
      <xdr:col>9</xdr:col>
      <xdr:colOff>657225</xdr:colOff>
      <xdr:row>37</xdr:row>
      <xdr:rowOff>19050</xdr:rowOff>
    </xdr:from>
    <xdr:to>
      <xdr:col>9</xdr:col>
      <xdr:colOff>1135546</xdr:colOff>
      <xdr:row>38</xdr:row>
      <xdr:rowOff>49696</xdr:rowOff>
    </xdr:to>
    <xdr:sp macro="" textlink="">
      <xdr:nvSpPr>
        <xdr:cNvPr id="49" name="TextBox 48"/>
        <xdr:cNvSpPr txBox="1"/>
      </xdr:nvSpPr>
      <xdr:spPr>
        <a:xfrm>
          <a:off x="8832160" y="7291180"/>
          <a:ext cx="478321"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2030E</a:t>
          </a:r>
        </a:p>
      </xdr:txBody>
    </xdr:sp>
    <xdr:clientData/>
  </xdr:twoCellAnchor>
  <xdr:twoCellAnchor>
    <xdr:from>
      <xdr:col>8</xdr:col>
      <xdr:colOff>731261</xdr:colOff>
      <xdr:row>39</xdr:row>
      <xdr:rowOff>29849</xdr:rowOff>
    </xdr:from>
    <xdr:to>
      <xdr:col>9</xdr:col>
      <xdr:colOff>313840</xdr:colOff>
      <xdr:row>39</xdr:row>
      <xdr:rowOff>106107</xdr:rowOff>
    </xdr:to>
    <xdr:sp macro="" textlink="">
      <xdr:nvSpPr>
        <xdr:cNvPr id="50" name="Rectangle 49"/>
        <xdr:cNvSpPr/>
      </xdr:nvSpPr>
      <xdr:spPr>
        <a:xfrm>
          <a:off x="8077935" y="7682979"/>
          <a:ext cx="410840" cy="76258"/>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clientData/>
  </xdr:twoCellAnchor>
  <xdr:twoCellAnchor>
    <xdr:from>
      <xdr:col>8</xdr:col>
      <xdr:colOff>731261</xdr:colOff>
      <xdr:row>39</xdr:row>
      <xdr:rowOff>153674</xdr:rowOff>
    </xdr:from>
    <xdr:to>
      <xdr:col>9</xdr:col>
      <xdr:colOff>313840</xdr:colOff>
      <xdr:row>40</xdr:row>
      <xdr:rowOff>39432</xdr:rowOff>
    </xdr:to>
    <xdr:sp macro="" textlink="">
      <xdr:nvSpPr>
        <xdr:cNvPr id="51" name="Rectangle 50"/>
        <xdr:cNvSpPr/>
      </xdr:nvSpPr>
      <xdr:spPr>
        <a:xfrm>
          <a:off x="8077935" y="7806804"/>
          <a:ext cx="410840" cy="7625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a:p>
      </xdr:txBody>
    </xdr:sp>
    <xdr:clientData/>
  </xdr:twoCellAnchor>
  <xdr:twoCellAnchor>
    <xdr:from>
      <xdr:col>9</xdr:col>
      <xdr:colOff>266699</xdr:colOff>
      <xdr:row>38</xdr:row>
      <xdr:rowOff>142874</xdr:rowOff>
    </xdr:from>
    <xdr:to>
      <xdr:col>11</xdr:col>
      <xdr:colOff>21550</xdr:colOff>
      <xdr:row>39</xdr:row>
      <xdr:rowOff>170472</xdr:rowOff>
    </xdr:to>
    <xdr:sp macro="" textlink="">
      <xdr:nvSpPr>
        <xdr:cNvPr id="52" name="TextBox 51"/>
        <xdr:cNvSpPr txBox="1"/>
      </xdr:nvSpPr>
      <xdr:spPr>
        <a:xfrm>
          <a:off x="8441634" y="7605504"/>
          <a:ext cx="1361677" cy="218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latin typeface="Arial" panose="020B0604020202020204" pitchFamily="34" charset="0"/>
              <a:cs typeface="Arial" panose="020B0604020202020204" pitchFamily="34" charset="0"/>
            </a:rPr>
            <a:t>EBITDA</a:t>
          </a:r>
          <a:r>
            <a:rPr lang="en-IN" sz="900" b="1" baseline="0">
              <a:latin typeface="Arial" panose="020B0604020202020204" pitchFamily="34" charset="0"/>
              <a:cs typeface="Arial" panose="020B0604020202020204" pitchFamily="34" charset="0"/>
            </a:rPr>
            <a:t> Forecast</a:t>
          </a:r>
          <a:endParaRPr lang="en-IN" sz="900" b="1">
            <a:latin typeface="Arial" panose="020B0604020202020204" pitchFamily="34" charset="0"/>
            <a:cs typeface="Arial" panose="020B0604020202020204" pitchFamily="34" charset="0"/>
          </a:endParaRPr>
        </a:p>
      </xdr:txBody>
    </xdr:sp>
    <xdr:clientData/>
  </xdr:twoCellAnchor>
  <xdr:twoCellAnchor>
    <xdr:from>
      <xdr:col>9</xdr:col>
      <xdr:colOff>257174</xdr:colOff>
      <xdr:row>39</xdr:row>
      <xdr:rowOff>76199</xdr:rowOff>
    </xdr:from>
    <xdr:to>
      <xdr:col>10</xdr:col>
      <xdr:colOff>101097</xdr:colOff>
      <xdr:row>40</xdr:row>
      <xdr:rowOff>163276</xdr:rowOff>
    </xdr:to>
    <xdr:sp macro="" textlink="">
      <xdr:nvSpPr>
        <xdr:cNvPr id="53" name="TextBox 52"/>
        <xdr:cNvSpPr txBox="1"/>
      </xdr:nvSpPr>
      <xdr:spPr>
        <a:xfrm>
          <a:off x="8432109" y="7729329"/>
          <a:ext cx="1119445" cy="27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EBITDA</a:t>
          </a:r>
          <a:r>
            <a:rPr lang="en-IN" sz="900" b="1" baseline="0"/>
            <a:t> Growth</a:t>
          </a:r>
          <a:endParaRPr lang="en-IN" sz="900" b="1"/>
        </a:p>
      </xdr:txBody>
    </xdr:sp>
    <xdr:clientData/>
  </xdr:twoCellAnchor>
  <xdr:twoCellAnchor>
    <xdr:from>
      <xdr:col>9</xdr:col>
      <xdr:colOff>266700</xdr:colOff>
      <xdr:row>38</xdr:row>
      <xdr:rowOff>9525</xdr:rowOff>
    </xdr:from>
    <xdr:to>
      <xdr:col>9</xdr:col>
      <xdr:colOff>883554</xdr:colOff>
      <xdr:row>39</xdr:row>
      <xdr:rowOff>40171</xdr:rowOff>
    </xdr:to>
    <xdr:sp macro="" textlink="">
      <xdr:nvSpPr>
        <xdr:cNvPr id="54" name="TextBox 53"/>
        <xdr:cNvSpPr txBox="1"/>
      </xdr:nvSpPr>
      <xdr:spPr>
        <a:xfrm>
          <a:off x="8441635" y="7472155"/>
          <a:ext cx="616854" cy="221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EBITDA</a:t>
          </a:r>
        </a:p>
      </xdr:txBody>
    </xdr:sp>
    <xdr:clientData/>
  </xdr:twoCellAnchor>
  <xdr:twoCellAnchor>
    <xdr:from>
      <xdr:col>5</xdr:col>
      <xdr:colOff>245993</xdr:colOff>
      <xdr:row>37</xdr:row>
      <xdr:rowOff>36444</xdr:rowOff>
    </xdr:from>
    <xdr:to>
      <xdr:col>10</xdr:col>
      <xdr:colOff>80342</xdr:colOff>
      <xdr:row>37</xdr:row>
      <xdr:rowOff>36444</xdr:rowOff>
    </xdr:to>
    <xdr:cxnSp macro="">
      <xdr:nvCxnSpPr>
        <xdr:cNvPr id="59" name="Straight Connector 58"/>
        <xdr:cNvCxnSpPr/>
      </xdr:nvCxnSpPr>
      <xdr:spPr>
        <a:xfrm flipH="1">
          <a:off x="5313293" y="7323069"/>
          <a:ext cx="4215849"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131694</xdr:colOff>
      <xdr:row>36</xdr:row>
      <xdr:rowOff>33545</xdr:rowOff>
    </xdr:from>
    <xdr:to>
      <xdr:col>5</xdr:col>
      <xdr:colOff>180417</xdr:colOff>
      <xdr:row>36</xdr:row>
      <xdr:rowOff>44264</xdr:rowOff>
    </xdr:to>
    <xdr:cxnSp macro="">
      <xdr:nvCxnSpPr>
        <xdr:cNvPr id="60" name="Straight Connector 59"/>
        <xdr:cNvCxnSpPr/>
      </xdr:nvCxnSpPr>
      <xdr:spPr>
        <a:xfrm flipH="1" flipV="1">
          <a:off x="255519" y="7129670"/>
          <a:ext cx="4992198" cy="10719"/>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291070</xdr:colOff>
      <xdr:row>25</xdr:row>
      <xdr:rowOff>77134</xdr:rowOff>
    </xdr:from>
    <xdr:to>
      <xdr:col>15</xdr:col>
      <xdr:colOff>171449</xdr:colOff>
      <xdr:row>40</xdr:row>
      <xdr:rowOff>19984</xdr:rowOff>
    </xdr:to>
    <xdr:graphicFrame macro="">
      <xdr:nvGraphicFramePr>
        <xdr:cNvPr id="82" name="Chart 8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285751</xdr:colOff>
      <xdr:row>36</xdr:row>
      <xdr:rowOff>57150</xdr:rowOff>
    </xdr:from>
    <xdr:to>
      <xdr:col>15</xdr:col>
      <xdr:colOff>142875</xdr:colOff>
      <xdr:row>36</xdr:row>
      <xdr:rowOff>76201</xdr:rowOff>
    </xdr:to>
    <xdr:cxnSp macro="">
      <xdr:nvCxnSpPr>
        <xdr:cNvPr id="83" name="Straight Connector 82"/>
        <xdr:cNvCxnSpPr/>
      </xdr:nvCxnSpPr>
      <xdr:spPr>
        <a:xfrm flipH="1">
          <a:off x="9734551" y="7153275"/>
          <a:ext cx="4219574" cy="19051"/>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392181</xdr:colOff>
      <xdr:row>36</xdr:row>
      <xdr:rowOff>59633</xdr:rowOff>
    </xdr:from>
    <xdr:to>
      <xdr:col>11</xdr:col>
      <xdr:colOff>927652</xdr:colOff>
      <xdr:row>37</xdr:row>
      <xdr:rowOff>91108</xdr:rowOff>
    </xdr:to>
    <xdr:sp macro="" textlink="">
      <xdr:nvSpPr>
        <xdr:cNvPr id="86" name="TextBox 85"/>
        <xdr:cNvSpPr txBox="1"/>
      </xdr:nvSpPr>
      <xdr:spPr>
        <a:xfrm>
          <a:off x="10173942" y="7141263"/>
          <a:ext cx="535471" cy="22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2016A</a:t>
          </a:r>
        </a:p>
      </xdr:txBody>
    </xdr:sp>
    <xdr:clientData/>
  </xdr:twoCellAnchor>
  <xdr:twoCellAnchor>
    <xdr:from>
      <xdr:col>11</xdr:col>
      <xdr:colOff>879199</xdr:colOff>
      <xdr:row>36</xdr:row>
      <xdr:rowOff>81996</xdr:rowOff>
    </xdr:from>
    <xdr:to>
      <xdr:col>12</xdr:col>
      <xdr:colOff>289891</xdr:colOff>
      <xdr:row>37</xdr:row>
      <xdr:rowOff>107673</xdr:rowOff>
    </xdr:to>
    <xdr:sp macro="" textlink="">
      <xdr:nvSpPr>
        <xdr:cNvPr id="87" name="TextBox 86"/>
        <xdr:cNvSpPr txBox="1"/>
      </xdr:nvSpPr>
      <xdr:spPr>
        <a:xfrm>
          <a:off x="10660960" y="7163626"/>
          <a:ext cx="553692" cy="21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2018A</a:t>
          </a:r>
        </a:p>
      </xdr:txBody>
    </xdr:sp>
    <xdr:clientData/>
  </xdr:twoCellAnchor>
  <xdr:twoCellAnchor>
    <xdr:from>
      <xdr:col>12</xdr:col>
      <xdr:colOff>697395</xdr:colOff>
      <xdr:row>36</xdr:row>
      <xdr:rowOff>97321</xdr:rowOff>
    </xdr:from>
    <xdr:to>
      <xdr:col>13</xdr:col>
      <xdr:colOff>496955</xdr:colOff>
      <xdr:row>37</xdr:row>
      <xdr:rowOff>107674</xdr:rowOff>
    </xdr:to>
    <xdr:sp macro="" textlink="">
      <xdr:nvSpPr>
        <xdr:cNvPr id="88" name="TextBox 87"/>
        <xdr:cNvSpPr txBox="1"/>
      </xdr:nvSpPr>
      <xdr:spPr>
        <a:xfrm>
          <a:off x="11622156" y="7178951"/>
          <a:ext cx="544995" cy="20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2022A</a:t>
          </a:r>
        </a:p>
      </xdr:txBody>
    </xdr:sp>
    <xdr:clientData/>
  </xdr:twoCellAnchor>
  <xdr:twoCellAnchor>
    <xdr:from>
      <xdr:col>14</xdr:col>
      <xdr:colOff>873401</xdr:colOff>
      <xdr:row>36</xdr:row>
      <xdr:rowOff>77856</xdr:rowOff>
    </xdr:from>
    <xdr:to>
      <xdr:col>15</xdr:col>
      <xdr:colOff>173935</xdr:colOff>
      <xdr:row>37</xdr:row>
      <xdr:rowOff>107674</xdr:rowOff>
    </xdr:to>
    <xdr:sp macro="" textlink="">
      <xdr:nvSpPr>
        <xdr:cNvPr id="89" name="TextBox 88"/>
        <xdr:cNvSpPr txBox="1"/>
      </xdr:nvSpPr>
      <xdr:spPr>
        <a:xfrm>
          <a:off x="13446401" y="7159486"/>
          <a:ext cx="542925" cy="22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2030E</a:t>
          </a:r>
        </a:p>
      </xdr:txBody>
    </xdr:sp>
    <xdr:clientData/>
  </xdr:twoCellAnchor>
  <xdr:twoCellAnchor>
    <xdr:from>
      <xdr:col>12</xdr:col>
      <xdr:colOff>185471</xdr:colOff>
      <xdr:row>36</xdr:row>
      <xdr:rowOff>90814</xdr:rowOff>
    </xdr:from>
    <xdr:to>
      <xdr:col>12</xdr:col>
      <xdr:colOff>666750</xdr:colOff>
      <xdr:row>37</xdr:row>
      <xdr:rowOff>123826</xdr:rowOff>
    </xdr:to>
    <xdr:sp macro="" textlink="">
      <xdr:nvSpPr>
        <xdr:cNvPr id="90" name="TextBox 89"/>
        <xdr:cNvSpPr txBox="1"/>
      </xdr:nvSpPr>
      <xdr:spPr>
        <a:xfrm>
          <a:off x="11110646" y="7186939"/>
          <a:ext cx="481279" cy="223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2020A</a:t>
          </a:r>
        </a:p>
      </xdr:txBody>
    </xdr:sp>
    <xdr:clientData/>
  </xdr:twoCellAnchor>
  <xdr:twoCellAnchor>
    <xdr:from>
      <xdr:col>13</xdr:col>
      <xdr:colOff>401233</xdr:colOff>
      <xdr:row>36</xdr:row>
      <xdr:rowOff>113176</xdr:rowOff>
    </xdr:from>
    <xdr:to>
      <xdr:col>13</xdr:col>
      <xdr:colOff>887837</xdr:colOff>
      <xdr:row>37</xdr:row>
      <xdr:rowOff>135156</xdr:rowOff>
    </xdr:to>
    <xdr:sp macro="" textlink="">
      <xdr:nvSpPr>
        <xdr:cNvPr id="91" name="TextBox 90"/>
        <xdr:cNvSpPr txBox="1"/>
      </xdr:nvSpPr>
      <xdr:spPr>
        <a:xfrm>
          <a:off x="12069358" y="7209301"/>
          <a:ext cx="486604"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2024A</a:t>
          </a:r>
        </a:p>
      </xdr:txBody>
    </xdr:sp>
    <xdr:clientData/>
  </xdr:twoCellAnchor>
  <xdr:twoCellAnchor>
    <xdr:from>
      <xdr:col>13</xdr:col>
      <xdr:colOff>884167</xdr:colOff>
      <xdr:row>36</xdr:row>
      <xdr:rowOff>96078</xdr:rowOff>
    </xdr:from>
    <xdr:to>
      <xdr:col>14</xdr:col>
      <xdr:colOff>472108</xdr:colOff>
      <xdr:row>37</xdr:row>
      <xdr:rowOff>115957</xdr:rowOff>
    </xdr:to>
    <xdr:sp macro="" textlink="">
      <xdr:nvSpPr>
        <xdr:cNvPr id="92" name="TextBox 91"/>
        <xdr:cNvSpPr txBox="1"/>
      </xdr:nvSpPr>
      <xdr:spPr>
        <a:xfrm>
          <a:off x="12554363" y="7177708"/>
          <a:ext cx="490745" cy="21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2026A</a:t>
          </a:r>
        </a:p>
      </xdr:txBody>
    </xdr:sp>
    <xdr:clientData/>
  </xdr:twoCellAnchor>
  <xdr:twoCellAnchor>
    <xdr:from>
      <xdr:col>14</xdr:col>
      <xdr:colOff>418686</xdr:colOff>
      <xdr:row>36</xdr:row>
      <xdr:rowOff>110160</xdr:rowOff>
    </xdr:from>
    <xdr:to>
      <xdr:col>14</xdr:col>
      <xdr:colOff>935935</xdr:colOff>
      <xdr:row>37</xdr:row>
      <xdr:rowOff>115957</xdr:rowOff>
    </xdr:to>
    <xdr:sp macro="" textlink="">
      <xdr:nvSpPr>
        <xdr:cNvPr id="93" name="TextBox 92"/>
        <xdr:cNvSpPr txBox="1"/>
      </xdr:nvSpPr>
      <xdr:spPr>
        <a:xfrm>
          <a:off x="12991686" y="7191790"/>
          <a:ext cx="517249" cy="196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t>2028E</a:t>
          </a:r>
        </a:p>
      </xdr:txBody>
    </xdr:sp>
    <xdr:clientData/>
  </xdr:twoCellAnchor>
  <xdr:twoCellAnchor>
    <xdr:from>
      <xdr:col>9</xdr:col>
      <xdr:colOff>759515</xdr:colOff>
      <xdr:row>45</xdr:row>
      <xdr:rowOff>14495</xdr:rowOff>
    </xdr:from>
    <xdr:to>
      <xdr:col>9</xdr:col>
      <xdr:colOff>1210918</xdr:colOff>
      <xdr:row>46</xdr:row>
      <xdr:rowOff>36475</xdr:rowOff>
    </xdr:to>
    <xdr:sp macro="" textlink="">
      <xdr:nvSpPr>
        <xdr:cNvPr id="94" name="TextBox 93"/>
        <xdr:cNvSpPr txBox="1"/>
      </xdr:nvSpPr>
      <xdr:spPr>
        <a:xfrm>
          <a:off x="8934450" y="8810625"/>
          <a:ext cx="451403"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xdr:txBody>
    </xdr:sp>
    <xdr:clientData/>
  </xdr:twoCellAnchor>
  <xdr:twoCellAnchor>
    <xdr:from>
      <xdr:col>14</xdr:col>
      <xdr:colOff>245165</xdr:colOff>
      <xdr:row>39</xdr:row>
      <xdr:rowOff>6626</xdr:rowOff>
    </xdr:from>
    <xdr:to>
      <xdr:col>14</xdr:col>
      <xdr:colOff>658785</xdr:colOff>
      <xdr:row>39</xdr:row>
      <xdr:rowOff>79895</xdr:rowOff>
    </xdr:to>
    <xdr:sp macro="" textlink="">
      <xdr:nvSpPr>
        <xdr:cNvPr id="95" name="Rectangle 94"/>
        <xdr:cNvSpPr/>
      </xdr:nvSpPr>
      <xdr:spPr>
        <a:xfrm>
          <a:off x="12818165" y="7674251"/>
          <a:ext cx="413620" cy="73269"/>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228600</xdr:colOff>
      <xdr:row>27</xdr:row>
      <xdr:rowOff>38101</xdr:rowOff>
    </xdr:from>
    <xdr:to>
      <xdr:col>11</xdr:col>
      <xdr:colOff>238125</xdr:colOff>
      <xdr:row>39</xdr:row>
      <xdr:rowOff>142875</xdr:rowOff>
    </xdr:to>
    <xdr:cxnSp macro="">
      <xdr:nvCxnSpPr>
        <xdr:cNvPr id="55" name="Straight Connector 54"/>
        <xdr:cNvCxnSpPr/>
      </xdr:nvCxnSpPr>
      <xdr:spPr>
        <a:xfrm flipH="1" flipV="1">
          <a:off x="10010775" y="5419726"/>
          <a:ext cx="9525" cy="2390774"/>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676275</xdr:colOff>
      <xdr:row>3</xdr:row>
      <xdr:rowOff>47625</xdr:rowOff>
    </xdr:from>
    <xdr:to>
      <xdr:col>11</xdr:col>
      <xdr:colOff>657225</xdr:colOff>
      <xdr:row>5</xdr:row>
      <xdr:rowOff>168275</xdr:rowOff>
    </xdr:to>
    <xdr:pic>
      <xdr:nvPicPr>
        <xdr:cNvPr id="2" name="Picture 1"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7877175" y="619125"/>
          <a:ext cx="2238375" cy="68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115794</xdr:colOff>
      <xdr:row>0</xdr:row>
      <xdr:rowOff>156883</xdr:rowOff>
    </xdr:from>
    <xdr:to>
      <xdr:col>8</xdr:col>
      <xdr:colOff>1306419</xdr:colOff>
      <xdr:row>3</xdr:row>
      <xdr:rowOff>150719</xdr:rowOff>
    </xdr:to>
    <xdr:pic>
      <xdr:nvPicPr>
        <xdr:cNvPr id="3" name="Picture 2"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9685618" y="156883"/>
          <a:ext cx="2568948" cy="7334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15863</xdr:colOff>
      <xdr:row>83</xdr:row>
      <xdr:rowOff>161006</xdr:rowOff>
    </xdr:from>
    <xdr:to>
      <xdr:col>6</xdr:col>
      <xdr:colOff>213929</xdr:colOff>
      <xdr:row>87</xdr:row>
      <xdr:rowOff>127412</xdr:rowOff>
    </xdr:to>
    <xdr:sp macro="" textlink="">
      <xdr:nvSpPr>
        <xdr:cNvPr id="4" name="TextBox 3"/>
        <xdr:cNvSpPr txBox="1"/>
      </xdr:nvSpPr>
      <xdr:spPr>
        <a:xfrm>
          <a:off x="138327" y="16176613"/>
          <a:ext cx="8362352" cy="78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Arial" panose="020B0604020202020204" pitchFamily="34" charset="0"/>
              <a:ea typeface="+mn-ea"/>
              <a:cs typeface="Arial" panose="020B0604020202020204" pitchFamily="34" charset="0"/>
            </a:rPr>
            <a:t>Based on our DCF Analysis, </a:t>
          </a:r>
          <a:r>
            <a:rPr lang="en-IN" sz="1100" b="1" i="0" u="none" strike="noStrike">
              <a:solidFill>
                <a:schemeClr val="dk1"/>
              </a:solidFill>
              <a:effectLst/>
              <a:latin typeface="Arial" panose="020B0604020202020204" pitchFamily="34" charset="0"/>
              <a:ea typeface="+mn-ea"/>
              <a:cs typeface="Arial" panose="020B0604020202020204" pitchFamily="34" charset="0"/>
            </a:rPr>
            <a:t>Trent Ltd's</a:t>
          </a:r>
          <a:br>
            <a:rPr lang="en-IN" sz="1100" b="1" i="0" u="none" strike="noStrike">
              <a:solidFill>
                <a:schemeClr val="dk1"/>
              </a:solidFill>
              <a:effectLst/>
              <a:latin typeface="Arial" panose="020B0604020202020204" pitchFamily="34" charset="0"/>
              <a:ea typeface="+mn-ea"/>
              <a:cs typeface="Arial" panose="020B0604020202020204" pitchFamily="34" charset="0"/>
            </a:rPr>
          </a:br>
          <a:r>
            <a:rPr lang="en-IN" sz="1100" b="0" i="0" u="none" strike="noStrike">
              <a:solidFill>
                <a:schemeClr val="dk1"/>
              </a:solidFill>
              <a:effectLst/>
              <a:latin typeface="Arial" panose="020B0604020202020204" pitchFamily="34" charset="0"/>
              <a:ea typeface="+mn-ea"/>
              <a:cs typeface="Arial" panose="020B0604020202020204" pitchFamily="34" charset="0"/>
            </a:rPr>
            <a:t>Intrinsic value is estimated at </a:t>
          </a:r>
          <a:r>
            <a:rPr lang="en-IN" sz="1100" b="1" i="0" u="none" strike="noStrike">
              <a:solidFill>
                <a:schemeClr val="dk1"/>
              </a:solidFill>
              <a:effectLst/>
              <a:latin typeface="Arial" panose="020B0604020202020204" pitchFamily="34" charset="0"/>
              <a:ea typeface="+mn-ea"/>
              <a:cs typeface="Arial" panose="020B0604020202020204" pitchFamily="34" charset="0"/>
            </a:rPr>
            <a:t>Rs.</a:t>
          </a:r>
          <a:r>
            <a:rPr lang="en-IN" sz="1100" b="1" i="0" u="none" strike="noStrike" baseline="0">
              <a:solidFill>
                <a:schemeClr val="dk1"/>
              </a:solidFill>
              <a:effectLst/>
              <a:latin typeface="Arial" panose="020B0604020202020204" pitchFamily="34" charset="0"/>
              <a:ea typeface="+mn-ea"/>
              <a:cs typeface="Arial" panose="020B0604020202020204" pitchFamily="34" charset="0"/>
            </a:rPr>
            <a:t> 1,528.47 </a:t>
          </a:r>
          <a:r>
            <a:rPr lang="en-IN" sz="1100" b="1" i="0" u="none" strike="noStrike">
              <a:solidFill>
                <a:schemeClr val="dk1"/>
              </a:solidFill>
              <a:effectLst/>
              <a:latin typeface="Arial" panose="020B0604020202020204" pitchFamily="34" charset="0"/>
              <a:ea typeface="+mn-ea"/>
              <a:cs typeface="Arial" panose="020B0604020202020204" pitchFamily="34" charset="0"/>
            </a:rPr>
            <a:t> per share</a:t>
          </a:r>
          <a:r>
            <a:rPr lang="en-IN" sz="1100" b="0" i="0" u="none" strike="noStrike">
              <a:solidFill>
                <a:schemeClr val="dk1"/>
              </a:solidFill>
              <a:effectLst/>
              <a:latin typeface="Arial" panose="020B0604020202020204" pitchFamily="34" charset="0"/>
              <a:ea typeface="+mn-ea"/>
              <a:cs typeface="Arial" panose="020B0604020202020204" pitchFamily="34" charset="0"/>
            </a:rPr>
            <a:t>, compared to the </a:t>
          </a:r>
          <a:r>
            <a:rPr lang="en-IN" sz="1100" b="1" i="0" u="none" strike="noStrike">
              <a:solidFill>
                <a:schemeClr val="dk1"/>
              </a:solidFill>
              <a:effectLst/>
              <a:latin typeface="Arial" panose="020B0604020202020204" pitchFamily="34" charset="0"/>
              <a:ea typeface="+mn-ea"/>
              <a:cs typeface="Arial" panose="020B0604020202020204" pitchFamily="34" charset="0"/>
            </a:rPr>
            <a:t>market price of Rs 4,285.6 per share</a:t>
          </a:r>
          <a:r>
            <a:rPr lang="en-IN" sz="1100" b="0" i="0" u="none" strike="noStrike">
              <a:solidFill>
                <a:schemeClr val="dk1"/>
              </a:solidFill>
              <a:effectLst/>
              <a:latin typeface="Arial" panose="020B0604020202020204" pitchFamily="34" charset="0"/>
              <a:ea typeface="+mn-ea"/>
              <a:cs typeface="Arial" panose="020B0604020202020204" pitchFamily="34" charset="0"/>
            </a:rPr>
            <a:t>, suggesting that the stock is trading at a </a:t>
          </a:r>
          <a:r>
            <a:rPr lang="en-IN" sz="1100" b="1" i="0" u="none" strike="noStrike">
              <a:solidFill>
                <a:schemeClr val="dk1"/>
              </a:solidFill>
              <a:effectLst/>
              <a:latin typeface="Arial" panose="020B0604020202020204" pitchFamily="34" charset="0"/>
              <a:ea typeface="+mn-ea"/>
              <a:cs typeface="Arial" panose="020B0604020202020204" pitchFamily="34" charset="0"/>
            </a:rPr>
            <a:t>significant premium of 64%</a:t>
          </a:r>
          <a:r>
            <a:rPr lang="en-IN" sz="1100" b="0" i="0" u="none" strike="noStrike">
              <a:solidFill>
                <a:schemeClr val="dk1"/>
              </a:solidFill>
              <a:effectLst/>
              <a:latin typeface="Arial" panose="020B0604020202020204" pitchFamily="34" charset="0"/>
              <a:ea typeface="+mn-ea"/>
              <a:cs typeface="Arial" panose="020B0604020202020204" pitchFamily="34" charset="0"/>
            </a:rPr>
            <a:t> to its fair value.</a:t>
          </a:r>
          <a:r>
            <a:rPr lang="en-IN">
              <a:latin typeface="Arial" panose="020B0604020202020204" pitchFamily="34" charset="0"/>
              <a:cs typeface="Arial" panose="020B0604020202020204" pitchFamily="34" charset="0"/>
            </a:rPr>
            <a:t> </a:t>
          </a:r>
          <a:endParaRPr lang="en-IN" sz="1100">
            <a:latin typeface="Arial" panose="020B0604020202020204" pitchFamily="34" charset="0"/>
            <a:cs typeface="Arial" panose="020B0604020202020204" pitchFamily="34" charset="0"/>
          </a:endParaRPr>
        </a:p>
      </xdr:txBody>
    </xdr:sp>
    <xdr:clientData/>
  </xdr:twoCellAnchor>
  <xdr:twoCellAnchor>
    <xdr:from>
      <xdr:col>0</xdr:col>
      <xdr:colOff>112059</xdr:colOff>
      <xdr:row>5</xdr:row>
      <xdr:rowOff>79931</xdr:rowOff>
    </xdr:from>
    <xdr:to>
      <xdr:col>8</xdr:col>
      <xdr:colOff>649940</xdr:colOff>
      <xdr:row>13</xdr:row>
      <xdr:rowOff>89647</xdr:rowOff>
    </xdr:to>
    <xdr:sp macro="" textlink="">
      <xdr:nvSpPr>
        <xdr:cNvPr id="5" name="TextBox 4"/>
        <xdr:cNvSpPr txBox="1"/>
      </xdr:nvSpPr>
      <xdr:spPr>
        <a:xfrm>
          <a:off x="112059" y="1290166"/>
          <a:ext cx="8695763" cy="127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Arial" panose="020B0604020202020204" pitchFamily="34" charset="0"/>
              <a:ea typeface="+mn-ea"/>
              <a:cs typeface="Arial" panose="020B0604020202020204" pitchFamily="34" charset="0"/>
            </a:rPr>
            <a:t>Trent Limited is a retail arm of the Tata Group, operating multiple retail formats including:</a:t>
          </a:r>
          <a:r>
            <a:rPr lang="en-IN" sz="1200">
              <a:latin typeface="Arial" panose="020B0604020202020204" pitchFamily="34" charset="0"/>
              <a:cs typeface="Arial" panose="020B0604020202020204" pitchFamily="34" charset="0"/>
            </a:rPr>
            <a:t> </a:t>
          </a:r>
          <a:br>
            <a:rPr lang="en-IN" sz="1200">
              <a:latin typeface="Arial" panose="020B0604020202020204" pitchFamily="34" charset="0"/>
              <a:cs typeface="Arial" panose="020B0604020202020204" pitchFamily="34" charset="0"/>
            </a:rPr>
          </a:br>
          <a:r>
            <a:rPr lang="en-IN" sz="1200">
              <a:latin typeface="Arial" panose="020B0604020202020204" pitchFamily="34" charset="0"/>
              <a:cs typeface="Arial" panose="020B0604020202020204" pitchFamily="34" charset="0"/>
            </a:rPr>
            <a:t/>
          </a:r>
          <a:br>
            <a:rPr lang="en-IN" sz="1200">
              <a:latin typeface="Arial" panose="020B0604020202020204" pitchFamily="34" charset="0"/>
              <a:cs typeface="Arial" panose="020B0604020202020204" pitchFamily="34" charset="0"/>
            </a:rPr>
          </a:br>
          <a:r>
            <a:rPr lang="en-IN" sz="1200" b="1" i="0" u="none" strike="noStrike">
              <a:solidFill>
                <a:schemeClr val="dk1"/>
              </a:solidFill>
              <a:effectLst/>
              <a:latin typeface="+mn-lt"/>
              <a:ea typeface="+mn-ea"/>
              <a:cs typeface="+mn-cs"/>
            </a:rPr>
            <a:t>Westside </a:t>
          </a:r>
          <a:r>
            <a:rPr lang="en-IN" sz="1200" b="0" i="0" u="none" strike="noStrike">
              <a:solidFill>
                <a:schemeClr val="dk1"/>
              </a:solidFill>
              <a:effectLst/>
              <a:latin typeface="+mn-lt"/>
              <a:ea typeface="+mn-ea"/>
              <a:cs typeface="+mn-cs"/>
            </a:rPr>
            <a:t>- Depratment store chain (248 stores)</a:t>
          </a:r>
          <a:r>
            <a:rPr lang="en-IN" sz="1200"/>
            <a:t> </a:t>
          </a:r>
          <a:br>
            <a:rPr lang="en-IN" sz="1200"/>
          </a:br>
          <a:r>
            <a:rPr lang="en-IN" sz="1200" b="1" i="0" u="none" strike="noStrike">
              <a:solidFill>
                <a:schemeClr val="dk1"/>
              </a:solidFill>
              <a:effectLst/>
              <a:latin typeface="+mn-lt"/>
              <a:ea typeface="+mn-ea"/>
              <a:cs typeface="+mn-cs"/>
            </a:rPr>
            <a:t>Zudio </a:t>
          </a:r>
          <a:r>
            <a:rPr lang="en-IN" sz="1200" b="0" i="0" u="none" strike="noStrike">
              <a:solidFill>
                <a:schemeClr val="dk1"/>
              </a:solidFill>
              <a:effectLst/>
              <a:latin typeface="+mn-lt"/>
              <a:ea typeface="+mn-ea"/>
              <a:cs typeface="+mn-cs"/>
            </a:rPr>
            <a:t>- Value fashion retail chain (766 stores)</a:t>
          </a:r>
          <a:br>
            <a:rPr lang="en-IN" sz="1200" b="0" i="0" u="none" strike="noStrike">
              <a:solidFill>
                <a:schemeClr val="dk1"/>
              </a:solidFill>
              <a:effectLst/>
              <a:latin typeface="+mn-lt"/>
              <a:ea typeface="+mn-ea"/>
              <a:cs typeface="+mn-cs"/>
            </a:rPr>
          </a:br>
          <a:r>
            <a:rPr lang="en-IN" sz="1200" b="1" i="0" u="none" strike="noStrike">
              <a:solidFill>
                <a:schemeClr val="dk1"/>
              </a:solidFill>
              <a:effectLst/>
              <a:latin typeface="+mn-lt"/>
              <a:ea typeface="+mn-ea"/>
              <a:cs typeface="+mn-cs"/>
            </a:rPr>
            <a:t>Star Market </a:t>
          </a:r>
          <a:r>
            <a:rPr lang="en-IN" sz="1200" b="0" i="0" u="none" strike="noStrike">
              <a:solidFill>
                <a:schemeClr val="dk1"/>
              </a:solidFill>
              <a:effectLst/>
              <a:latin typeface="+mn-lt"/>
              <a:ea typeface="+mn-ea"/>
              <a:cs typeface="+mn-cs"/>
            </a:rPr>
            <a:t>- Hypermarket format (78 stores)</a:t>
          </a:r>
          <a:r>
            <a:rPr lang="en-IN" sz="1200"/>
            <a:t> </a:t>
          </a:r>
          <a:br>
            <a:rPr lang="en-IN" sz="1200"/>
          </a:br>
          <a:r>
            <a:rPr lang="en-IN" sz="1200"/>
            <a:t/>
          </a:r>
          <a:br>
            <a:rPr lang="en-IN" sz="1200"/>
          </a:br>
          <a:r>
            <a:rPr lang="en-IN" sz="1200" b="0" i="0" u="none" strike="noStrike">
              <a:solidFill>
                <a:schemeClr val="dk1"/>
              </a:solidFill>
              <a:effectLst/>
              <a:latin typeface="+mn-lt"/>
              <a:ea typeface="+mn-ea"/>
              <a:cs typeface="+mn-cs"/>
            </a:rPr>
            <a:t>Total Sore Count: 1000+ stores across 240+ cities | Retail Area: ~ 13.6 million sq ft</a:t>
          </a:r>
          <a:r>
            <a:rPr lang="en-IN" sz="1200"/>
            <a:t> </a:t>
          </a:r>
          <a:endParaRPr lang="en-IN" sz="1200">
            <a:latin typeface="Arial" panose="020B0604020202020204" pitchFamily="34" charset="0"/>
            <a:cs typeface="Arial" panose="020B0604020202020204" pitchFamily="34" charset="0"/>
          </a:endParaRPr>
        </a:p>
      </xdr:txBody>
    </xdr:sp>
    <xdr:clientData/>
  </xdr:twoCellAnchor>
  <xdr:twoCellAnchor>
    <xdr:from>
      <xdr:col>6</xdr:col>
      <xdr:colOff>13607</xdr:colOff>
      <xdr:row>57</xdr:row>
      <xdr:rowOff>40822</xdr:rowOff>
    </xdr:from>
    <xdr:to>
      <xdr:col>6</xdr:col>
      <xdr:colOff>408214</xdr:colOff>
      <xdr:row>57</xdr:row>
      <xdr:rowOff>122463</xdr:rowOff>
    </xdr:to>
    <xdr:sp macro="" textlink="">
      <xdr:nvSpPr>
        <xdr:cNvPr id="9" name="Rectangle 8"/>
        <xdr:cNvSpPr/>
      </xdr:nvSpPr>
      <xdr:spPr>
        <a:xfrm>
          <a:off x="8300357" y="10763251"/>
          <a:ext cx="394607" cy="81641"/>
        </a:xfrm>
        <a:prstGeom prst="rect">
          <a:avLst/>
        </a:prstGeom>
        <a:solidFill>
          <a:srgbClr val="D6C6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27214</xdr:colOff>
      <xdr:row>57</xdr:row>
      <xdr:rowOff>176893</xdr:rowOff>
    </xdr:from>
    <xdr:to>
      <xdr:col>6</xdr:col>
      <xdr:colOff>408214</xdr:colOff>
      <xdr:row>58</xdr:row>
      <xdr:rowOff>68035</xdr:rowOff>
    </xdr:to>
    <xdr:sp macro="" textlink="">
      <xdr:nvSpPr>
        <xdr:cNvPr id="10" name="Rectangle 9"/>
        <xdr:cNvSpPr/>
      </xdr:nvSpPr>
      <xdr:spPr>
        <a:xfrm>
          <a:off x="8313964" y="10899322"/>
          <a:ext cx="381000" cy="81642"/>
        </a:xfrm>
        <a:prstGeom prst="rect">
          <a:avLst/>
        </a:prstGeom>
        <a:solidFill>
          <a:srgbClr val="DDDD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394608</xdr:colOff>
      <xdr:row>56</xdr:row>
      <xdr:rowOff>81643</xdr:rowOff>
    </xdr:from>
    <xdr:to>
      <xdr:col>7</xdr:col>
      <xdr:colOff>231322</xdr:colOff>
      <xdr:row>57</xdr:row>
      <xdr:rowOff>163285</xdr:rowOff>
    </xdr:to>
    <xdr:sp macro="" textlink="">
      <xdr:nvSpPr>
        <xdr:cNvPr id="11" name="TextBox 10"/>
        <xdr:cNvSpPr txBox="1"/>
      </xdr:nvSpPr>
      <xdr:spPr>
        <a:xfrm>
          <a:off x="8681358" y="10613572"/>
          <a:ext cx="1143000"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Future</a:t>
          </a:r>
          <a:r>
            <a:rPr lang="en-IN" sz="1200" baseline="0"/>
            <a:t> FCFF</a:t>
          </a:r>
          <a:endParaRPr lang="en-IN" sz="1200"/>
        </a:p>
      </xdr:txBody>
    </xdr:sp>
    <xdr:clientData/>
  </xdr:twoCellAnchor>
  <xdr:twoCellAnchor>
    <xdr:from>
      <xdr:col>6</xdr:col>
      <xdr:colOff>367392</xdr:colOff>
      <xdr:row>57</xdr:row>
      <xdr:rowOff>54429</xdr:rowOff>
    </xdr:from>
    <xdr:to>
      <xdr:col>7</xdr:col>
      <xdr:colOff>204106</xdr:colOff>
      <xdr:row>58</xdr:row>
      <xdr:rowOff>136071</xdr:rowOff>
    </xdr:to>
    <xdr:sp macro="" textlink="">
      <xdr:nvSpPr>
        <xdr:cNvPr id="12" name="TextBox 11"/>
        <xdr:cNvSpPr txBox="1"/>
      </xdr:nvSpPr>
      <xdr:spPr>
        <a:xfrm>
          <a:off x="8654142" y="10776858"/>
          <a:ext cx="1143000"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PV</a:t>
          </a:r>
          <a:r>
            <a:rPr lang="en-IN" sz="1200" baseline="0"/>
            <a:t> of FCFF</a:t>
          </a:r>
          <a:endParaRPr lang="en-IN" sz="1200"/>
        </a:p>
      </xdr:txBody>
    </xdr:sp>
    <xdr:clientData/>
  </xdr:twoCellAnchor>
  <xdr:twoCellAnchor>
    <xdr:from>
      <xdr:col>5</xdr:col>
      <xdr:colOff>560293</xdr:colOff>
      <xdr:row>56</xdr:row>
      <xdr:rowOff>6723</xdr:rowOff>
    </xdr:from>
    <xdr:to>
      <xdr:col>8</xdr:col>
      <xdr:colOff>1086970</xdr:colOff>
      <xdr:row>70</xdr:row>
      <xdr:rowOff>38099</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2272393</xdr:colOff>
      <xdr:row>5</xdr:row>
      <xdr:rowOff>54429</xdr:rowOff>
    </xdr:from>
    <xdr:to>
      <xdr:col>9</xdr:col>
      <xdr:colOff>1224642</xdr:colOff>
      <xdr:row>7</xdr:row>
      <xdr:rowOff>167767</xdr:rowOff>
    </xdr:to>
    <xdr:pic>
      <xdr:nvPicPr>
        <xdr:cNvPr id="3" name="Picture 2"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871857" y="938893"/>
          <a:ext cx="2258785" cy="644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56517</xdr:colOff>
      <xdr:row>15</xdr:row>
      <xdr:rowOff>81349</xdr:rowOff>
    </xdr:from>
    <xdr:to>
      <xdr:col>10</xdr:col>
      <xdr:colOff>1143694</xdr:colOff>
      <xdr:row>101</xdr:row>
      <xdr:rowOff>159612</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107673</xdr:colOff>
      <xdr:row>100</xdr:row>
      <xdr:rowOff>8282</xdr:rowOff>
    </xdr:from>
    <xdr:to>
      <xdr:col>10</xdr:col>
      <xdr:colOff>1176130</xdr:colOff>
      <xdr:row>100</xdr:row>
      <xdr:rowOff>16566</xdr:rowOff>
    </xdr:to>
    <xdr:cxnSp macro="">
      <xdr:nvCxnSpPr>
        <xdr:cNvPr id="13" name="Straight Connector 12"/>
        <xdr:cNvCxnSpPr/>
      </xdr:nvCxnSpPr>
      <xdr:spPr>
        <a:xfrm flipV="1">
          <a:off x="7181021" y="5093804"/>
          <a:ext cx="3752022" cy="8284"/>
        </a:xfrm>
        <a:prstGeom prst="line">
          <a:avLst/>
        </a:prstGeom>
        <a:ln>
          <a:solidFill>
            <a:schemeClr val="bg1">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667480</xdr:colOff>
      <xdr:row>100</xdr:row>
      <xdr:rowOff>24848</xdr:rowOff>
    </xdr:from>
    <xdr:to>
      <xdr:col>9</xdr:col>
      <xdr:colOff>1089893</xdr:colOff>
      <xdr:row>101</xdr:row>
      <xdr:rowOff>89648</xdr:rowOff>
    </xdr:to>
    <xdr:sp macro="" textlink="">
      <xdr:nvSpPr>
        <xdr:cNvPr id="18" name="TextBox 1"/>
        <xdr:cNvSpPr txBox="1"/>
      </xdr:nvSpPr>
      <xdr:spPr>
        <a:xfrm>
          <a:off x="7872862" y="5089907"/>
          <a:ext cx="422413" cy="2553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900" b="0" baseline="0">
              <a:solidFill>
                <a:schemeClr val="bg1">
                  <a:lumMod val="50000"/>
                </a:schemeClr>
              </a:solidFill>
            </a:rPr>
            <a:t>2026 </a:t>
          </a:r>
          <a:endParaRPr lang="en-IN" sz="900" b="0">
            <a:solidFill>
              <a:schemeClr val="bg1">
                <a:lumMod val="50000"/>
              </a:schemeClr>
            </a:solidFill>
          </a:endParaRPr>
        </a:p>
      </xdr:txBody>
    </xdr:sp>
    <xdr:clientData/>
  </xdr:twoCellAnchor>
  <xdr:twoCellAnchor>
    <xdr:from>
      <xdr:col>9</xdr:col>
      <xdr:colOff>1798203</xdr:colOff>
      <xdr:row>100</xdr:row>
      <xdr:rowOff>33618</xdr:rowOff>
    </xdr:from>
    <xdr:to>
      <xdr:col>9</xdr:col>
      <xdr:colOff>2220616</xdr:colOff>
      <xdr:row>101</xdr:row>
      <xdr:rowOff>128040</xdr:rowOff>
    </xdr:to>
    <xdr:sp macro="" textlink="">
      <xdr:nvSpPr>
        <xdr:cNvPr id="21" name="TextBox 1"/>
        <xdr:cNvSpPr txBox="1"/>
      </xdr:nvSpPr>
      <xdr:spPr>
        <a:xfrm>
          <a:off x="9003585" y="5098677"/>
          <a:ext cx="422413" cy="28492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900" b="0" baseline="0">
              <a:solidFill>
                <a:schemeClr val="bg1">
                  <a:lumMod val="50000"/>
                </a:schemeClr>
              </a:solidFill>
            </a:rPr>
            <a:t>2025 </a:t>
          </a:r>
          <a:endParaRPr lang="en-IN" sz="900" b="0">
            <a:solidFill>
              <a:schemeClr val="bg1">
                <a:lumMod val="50000"/>
              </a:schemeClr>
            </a:solidFill>
          </a:endParaRPr>
        </a:p>
      </xdr:txBody>
    </xdr:sp>
    <xdr:clientData/>
  </xdr:twoCellAnchor>
  <xdr:twoCellAnchor>
    <xdr:from>
      <xdr:col>10</xdr:col>
      <xdr:colOff>592256</xdr:colOff>
      <xdr:row>25</xdr:row>
      <xdr:rowOff>188357</xdr:rowOff>
    </xdr:from>
    <xdr:to>
      <xdr:col>10</xdr:col>
      <xdr:colOff>1014669</xdr:colOff>
      <xdr:row>101</xdr:row>
      <xdr:rowOff>88966</xdr:rowOff>
    </xdr:to>
    <xdr:sp macro="" textlink="">
      <xdr:nvSpPr>
        <xdr:cNvPr id="22" name="TextBox 1"/>
        <xdr:cNvSpPr txBox="1"/>
      </xdr:nvSpPr>
      <xdr:spPr>
        <a:xfrm>
          <a:off x="10352580" y="5062916"/>
          <a:ext cx="422413" cy="28160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900" b="0" baseline="0">
              <a:solidFill>
                <a:schemeClr val="bg1">
                  <a:lumMod val="50000"/>
                </a:schemeClr>
              </a:solidFill>
            </a:rPr>
            <a:t>2024</a:t>
          </a:r>
          <a:endParaRPr lang="en-IN" sz="900" b="0">
            <a:solidFill>
              <a:schemeClr val="bg1">
                <a:lumMod val="50000"/>
              </a:schemeClr>
            </a:solidFill>
          </a:endParaRPr>
        </a:p>
      </xdr:txBody>
    </xdr:sp>
    <xdr:clientData/>
  </xdr:twoCellAnchor>
</xdr:wsDr>
</file>

<file path=xl/drawings/drawing8.xml><?xml version="1.0" encoding="utf-8"?>
<c:userShapes xmlns:c="http://schemas.openxmlformats.org/drawingml/2006/chart">
  <cdr:relSizeAnchor xmlns:cdr="http://schemas.openxmlformats.org/drawingml/2006/chartDrawing">
    <cdr:from>
      <cdr:x>0.0009</cdr:x>
      <cdr:y>0.56826</cdr:y>
    </cdr:from>
    <cdr:to>
      <cdr:x>0.98382</cdr:x>
      <cdr:y>0.56826</cdr:y>
    </cdr:to>
    <cdr:cxnSp macro="">
      <cdr:nvCxnSpPr>
        <cdr:cNvPr id="3" name="Straight Connector 2"/>
        <cdr:cNvCxnSpPr/>
      </cdr:nvCxnSpPr>
      <cdr:spPr>
        <a:xfrm xmlns:a="http://schemas.openxmlformats.org/drawingml/2006/main">
          <a:off x="3373" y="1356003"/>
          <a:ext cx="3700096" cy="0"/>
        </a:xfrm>
        <a:prstGeom xmlns:a="http://schemas.openxmlformats.org/drawingml/2006/main" prst="line">
          <a:avLst/>
        </a:prstGeom>
        <a:ln xmlns:a="http://schemas.openxmlformats.org/drawingml/2006/main" w="25400">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0.36501</cdr:x>
      <cdr:y>0.09107</cdr:y>
    </cdr:from>
    <cdr:to>
      <cdr:x>0.76918</cdr:x>
      <cdr:y>0.20935</cdr:y>
    </cdr:to>
    <cdr:sp macro="" textlink="">
      <cdr:nvSpPr>
        <cdr:cNvPr id="4" name="TextBox 3"/>
        <cdr:cNvSpPr txBox="1"/>
      </cdr:nvSpPr>
      <cdr:spPr>
        <a:xfrm xmlns:a="http://schemas.openxmlformats.org/drawingml/2006/main">
          <a:off x="1376375" y="216823"/>
          <a:ext cx="1524000" cy="2816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solidFill>
                <a:srgbClr val="CFAC46"/>
              </a:solidFill>
            </a:rPr>
            <a:t>Weekly Returns -</a:t>
          </a:r>
          <a:r>
            <a:rPr lang="en-IN" sz="1200" b="1" baseline="0">
              <a:solidFill>
                <a:srgbClr val="CFAC46"/>
              </a:solidFill>
            </a:rPr>
            <a:t> 2Y </a:t>
          </a:r>
          <a:endParaRPr lang="en-IN" sz="1200" b="1">
            <a:solidFill>
              <a:srgbClr val="CFAC46"/>
            </a:solidFill>
          </a:endParaRP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9</xdr:col>
      <xdr:colOff>247651</xdr:colOff>
      <xdr:row>3</xdr:row>
      <xdr:rowOff>38100</xdr:rowOff>
    </xdr:from>
    <xdr:to>
      <xdr:col>10</xdr:col>
      <xdr:colOff>987582</xdr:colOff>
      <xdr:row>5</xdr:row>
      <xdr:rowOff>154479</xdr:rowOff>
    </xdr:to>
    <xdr:pic>
      <xdr:nvPicPr>
        <xdr:cNvPr id="3" name="Picture 2"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734426" y="581025"/>
          <a:ext cx="2044856" cy="649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981227</xdr:colOff>
      <xdr:row>4</xdr:row>
      <xdr:rowOff>92227</xdr:rowOff>
    </xdr:from>
    <xdr:to>
      <xdr:col>15</xdr:col>
      <xdr:colOff>505390</xdr:colOff>
      <xdr:row>7</xdr:row>
      <xdr:rowOff>53673</xdr:rowOff>
    </xdr:to>
    <xdr:pic>
      <xdr:nvPicPr>
        <xdr:cNvPr id="3" name="Picture 2"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1987894" y="811894"/>
          <a:ext cx="2072821" cy="681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514350</xdr:colOff>
      <xdr:row>1</xdr:row>
      <xdr:rowOff>113741</xdr:rowOff>
    </xdr:from>
    <xdr:to>
      <xdr:col>9</xdr:col>
      <xdr:colOff>240927</xdr:colOff>
      <xdr:row>16</xdr:row>
      <xdr:rowOff>20172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0.125</cdr:x>
      <cdr:y>0.52859</cdr:y>
    </cdr:from>
    <cdr:to>
      <cdr:x>0.97059</cdr:x>
      <cdr:y>0.52859</cdr:y>
    </cdr:to>
    <cdr:cxnSp macro="">
      <cdr:nvCxnSpPr>
        <cdr:cNvPr id="3" name="Straight Connector 2"/>
        <cdr:cNvCxnSpPr/>
      </cdr:nvCxnSpPr>
      <cdr:spPr>
        <a:xfrm xmlns:a="http://schemas.openxmlformats.org/drawingml/2006/main">
          <a:off x="571500" y="1450040"/>
          <a:ext cx="3866029" cy="0"/>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37</xdr:row>
      <xdr:rowOff>145677</xdr:rowOff>
    </xdr:from>
    <xdr:to>
      <xdr:col>8</xdr:col>
      <xdr:colOff>537882</xdr:colOff>
      <xdr:row>53</xdr:row>
      <xdr:rowOff>156882</xdr:rowOff>
    </xdr:to>
    <xdr:sp macro="" textlink="">
      <xdr:nvSpPr>
        <xdr:cNvPr id="36" name="TextBox 35"/>
        <xdr:cNvSpPr txBox="1"/>
      </xdr:nvSpPr>
      <xdr:spPr>
        <a:xfrm>
          <a:off x="0" y="7239001"/>
          <a:ext cx="7317441" cy="2879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400" b="1" i="0">
              <a:solidFill>
                <a:srgbClr val="CFAC46"/>
              </a:solidFill>
              <a:effectLst/>
              <a:latin typeface="+mn-lt"/>
              <a:ea typeface="+mn-ea"/>
              <a:cs typeface="+mn-cs"/>
            </a:rPr>
            <a:t>Recent</a:t>
          </a:r>
          <a:r>
            <a:rPr lang="en-IN" sz="1400" b="1" i="0" baseline="0">
              <a:solidFill>
                <a:srgbClr val="CFAC46"/>
              </a:solidFill>
              <a:effectLst/>
              <a:latin typeface="+mn-lt"/>
              <a:ea typeface="+mn-ea"/>
              <a:cs typeface="+mn-cs"/>
            </a:rPr>
            <a:t> Update</a:t>
          </a:r>
          <a:br>
            <a:rPr lang="en-IN" sz="1400" b="1" i="0" baseline="0">
              <a:solidFill>
                <a:srgbClr val="CFAC46"/>
              </a:solidFill>
              <a:effectLst/>
              <a:latin typeface="+mn-lt"/>
              <a:ea typeface="+mn-ea"/>
              <a:cs typeface="+mn-cs"/>
            </a:rPr>
          </a:br>
          <a:endParaRPr lang="en-IN" sz="1400" b="1" i="0">
            <a:solidFill>
              <a:srgbClr val="CFAC46"/>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0"/>
            <a:t>Trent Ltd reported 16% YoY growth in Q3 revenue to Rs 5,259 crore, reflecting continued demand traction across formats. Operating EBIT margin stood at 13.8%, indicating stable operating efficiency.</a:t>
          </a:r>
          <a:r>
            <a:rPr lang="en-IN" sz="1100" b="0" i="0">
              <a:solidFill>
                <a:schemeClr val="dk1"/>
              </a:solidFill>
              <a:effectLst/>
              <a:latin typeface="+mn-lt"/>
              <a:ea typeface="+mn-ea"/>
              <a:cs typeface="+mn-cs"/>
            </a:rPr>
            <a:t/>
          </a:r>
          <a:br>
            <a:rPr lang="en-IN" sz="1100" b="0" i="0">
              <a:solidFill>
                <a:schemeClr val="dk1"/>
              </a:solidFill>
              <a:effectLst/>
              <a:latin typeface="+mn-lt"/>
              <a:ea typeface="+mn-ea"/>
              <a:cs typeface="+mn-cs"/>
            </a:rPr>
          </a:br>
          <a:endParaRPr lang="en-IN" sz="1100" b="0" i="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Net profit rose 36 percent YoY to Rs 640 crore, while consolidated PAT increased 3 percent YoY to Rs 513 crore. Profitability for the quarter was impacted by a one-time charge of Rs 26.11 crore related to the implementation of new labour laws in India. </a:t>
          </a:r>
          <a:br>
            <a:rPr lang="en-IN" sz="1100" b="0" i="0">
              <a:solidFill>
                <a:schemeClr val="dk1"/>
              </a:solidFill>
              <a:effectLst/>
              <a:latin typeface="+mn-lt"/>
              <a:ea typeface="+mn-ea"/>
              <a:cs typeface="+mn-cs"/>
            </a:rPr>
          </a:br>
          <a:endParaRPr lang="en-IN" sz="1100" b="0" i="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Store expansion remained strong. Total store count increased to 1,164, comprising 278 Westside, 854 Zudio, and 33 other lifestyle stores. During the quarter, the company added 48 Zudio and 17 Westside stores.</a:t>
          </a:r>
          <a:br>
            <a:rPr lang="en-IN" sz="1100" b="0" i="0">
              <a:solidFill>
                <a:schemeClr val="dk1"/>
              </a:solidFill>
              <a:effectLst/>
              <a:latin typeface="+mn-lt"/>
              <a:ea typeface="+mn-ea"/>
              <a:cs typeface="+mn-cs"/>
            </a:rPr>
          </a:br>
          <a:endParaRPr lang="en-IN" sz="1100" b="0" i="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Management commentary remained constructive. Chairman Noel N Tata highlighted category-leading growth in the fashion segment, improving customer sentiment, and a positive medium-term outlook with continued focus on portfolio growth and store experience.</a:t>
          </a:r>
        </a:p>
      </xdr:txBody>
    </xdr:sp>
    <xdr:clientData/>
  </xdr:twoCellAnchor>
  <xdr:twoCellAnchor>
    <xdr:from>
      <xdr:col>1</xdr:col>
      <xdr:colOff>22412</xdr:colOff>
      <xdr:row>57</xdr:row>
      <xdr:rowOff>112059</xdr:rowOff>
    </xdr:from>
    <xdr:to>
      <xdr:col>6</xdr:col>
      <xdr:colOff>313764</xdr:colOff>
      <xdr:row>59</xdr:row>
      <xdr:rowOff>156882</xdr:rowOff>
    </xdr:to>
    <xdr:sp macro="" textlink="">
      <xdr:nvSpPr>
        <xdr:cNvPr id="45" name="TextBox 44"/>
        <xdr:cNvSpPr txBox="1"/>
      </xdr:nvSpPr>
      <xdr:spPr>
        <a:xfrm>
          <a:off x="145677" y="12135971"/>
          <a:ext cx="5434852" cy="42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FAC46"/>
              </a:solidFill>
            </a:rPr>
            <a:t>Dupont</a:t>
          </a:r>
          <a:r>
            <a:rPr lang="en-IN" sz="1800" b="1" baseline="0">
              <a:solidFill>
                <a:srgbClr val="CFAC46"/>
              </a:solidFill>
            </a:rPr>
            <a:t> analysis - Return on Equity &amp; Return on Asset</a:t>
          </a:r>
          <a:endParaRPr lang="en-IN" sz="1800" b="1">
            <a:solidFill>
              <a:srgbClr val="CFAC46"/>
            </a:solidFill>
          </a:endParaRPr>
        </a:p>
      </xdr:txBody>
    </xdr:sp>
    <xdr:clientData/>
  </xdr:twoCellAnchor>
  <xdr:twoCellAnchor>
    <xdr:from>
      <xdr:col>0</xdr:col>
      <xdr:colOff>44823</xdr:colOff>
      <xdr:row>99</xdr:row>
      <xdr:rowOff>179293</xdr:rowOff>
    </xdr:from>
    <xdr:to>
      <xdr:col>8</xdr:col>
      <xdr:colOff>537882</xdr:colOff>
      <xdr:row>112</xdr:row>
      <xdr:rowOff>22412</xdr:rowOff>
    </xdr:to>
    <xdr:sp macro="" textlink="">
      <xdr:nvSpPr>
        <xdr:cNvPr id="47" name="TextBox 46"/>
        <xdr:cNvSpPr txBox="1"/>
      </xdr:nvSpPr>
      <xdr:spPr>
        <a:xfrm>
          <a:off x="44823" y="18635381"/>
          <a:ext cx="7272618" cy="212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400" b="1" i="0" baseline="0">
              <a:solidFill>
                <a:srgbClr val="CFAC46"/>
              </a:solidFill>
              <a:effectLst/>
              <a:latin typeface="+mn-lt"/>
              <a:ea typeface="+mn-ea"/>
              <a:cs typeface="+mn-cs"/>
            </a:rPr>
            <a:t> Dupont Summary</a:t>
          </a:r>
          <a:br>
            <a:rPr lang="en-IN" sz="1400" b="1" i="0" baseline="0">
              <a:solidFill>
                <a:srgbClr val="CFAC46"/>
              </a:solidFill>
              <a:effectLst/>
              <a:latin typeface="+mn-lt"/>
              <a:ea typeface="+mn-ea"/>
              <a:cs typeface="+mn-cs"/>
            </a:rPr>
          </a:br>
          <a:endParaRPr lang="en-IN" sz="1400" b="1" i="0" baseline="0">
            <a:solidFill>
              <a:srgbClr val="CFAC46"/>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400" b="0" i="0">
              <a:solidFill>
                <a:sysClr val="windowText" lastClr="000000"/>
              </a:solidFill>
              <a:effectLst/>
              <a:latin typeface="+mn-lt"/>
              <a:ea typeface="+mn-ea"/>
              <a:cs typeface="+mn-cs"/>
            </a:rPr>
            <a:t>ROE improved strongly from -6.22% in FY19 to a peak of 44.63%% in FY24, before moderating to 32.46%% in FY25. The decline in FY21 was due to COVID-19 disruptions, while FY22 saw pressure from the Russia–Ukraine war, impacting margins. However, efficiency gains and higher leverage boosted ROE in FY23–FY25.</a:t>
          </a:r>
          <a:br>
            <a:rPr lang="en-IN" sz="1400" b="0" i="0">
              <a:solidFill>
                <a:sysClr val="windowText" lastClr="000000"/>
              </a:solidFill>
              <a:effectLst/>
              <a:latin typeface="+mn-lt"/>
              <a:ea typeface="+mn-ea"/>
              <a:cs typeface="+mn-cs"/>
            </a:rPr>
          </a:br>
          <a:endParaRPr lang="en-IN" sz="1400" b="0" i="0">
            <a:solidFill>
              <a:sysClr val="windowText" lastClr="00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400" b="0" i="0">
              <a:solidFill>
                <a:sysClr val="windowText" lastClr="000000"/>
              </a:solidFill>
              <a:effectLst/>
              <a:latin typeface="+mn-lt"/>
              <a:ea typeface="+mn-ea"/>
              <a:cs typeface="+mn-cs"/>
            </a:rPr>
            <a:t>ROA moved from 3.96% in FY19 to 19.51% in FY24, moderating to 18.66% in FY25, largely driven by changes in asset efficiency and external cost factors.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400" b="0" i="0">
            <a:solidFill>
              <a:sysClr val="windowText" lastClr="000000"/>
            </a:solidFill>
            <a:effectLst/>
            <a:latin typeface="+mn-lt"/>
            <a:ea typeface="+mn-ea"/>
            <a:cs typeface="+mn-cs"/>
          </a:endParaRPr>
        </a:p>
      </xdr:txBody>
    </xdr:sp>
    <xdr:clientData/>
  </xdr:twoCellAnchor>
  <xdr:twoCellAnchor>
    <xdr:from>
      <xdr:col>1</xdr:col>
      <xdr:colOff>44824</xdr:colOff>
      <xdr:row>112</xdr:row>
      <xdr:rowOff>145677</xdr:rowOff>
    </xdr:from>
    <xdr:to>
      <xdr:col>8</xdr:col>
      <xdr:colOff>268943</xdr:colOff>
      <xdr:row>115</xdr:row>
      <xdr:rowOff>123264</xdr:rowOff>
    </xdr:to>
    <xdr:sp macro="" textlink="">
      <xdr:nvSpPr>
        <xdr:cNvPr id="49" name="TextBox 48"/>
        <xdr:cNvSpPr txBox="1"/>
      </xdr:nvSpPr>
      <xdr:spPr>
        <a:xfrm>
          <a:off x="168089" y="20887765"/>
          <a:ext cx="6880413" cy="5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IN" sz="900" b="0" i="0" baseline="0">
              <a:solidFill>
                <a:schemeClr val="bg1">
                  <a:lumMod val="50000"/>
                </a:schemeClr>
              </a:solidFill>
              <a:effectLst/>
              <a:latin typeface="+mn-lt"/>
              <a:ea typeface="+mn-ea"/>
              <a:cs typeface="+mn-cs"/>
            </a:rPr>
            <a:t> </a:t>
          </a:r>
          <a:r>
            <a:rPr lang="en-IN" sz="900" b="0" i="1">
              <a:solidFill>
                <a:schemeClr val="bg1">
                  <a:lumMod val="50000"/>
                </a:schemeClr>
              </a:solidFill>
              <a:effectLst/>
              <a:latin typeface="+mn-lt"/>
              <a:ea typeface="+mn-ea"/>
              <a:cs typeface="+mn-cs"/>
            </a:rPr>
            <a:t>Disclaimer : This report is made as part</a:t>
          </a:r>
          <a:r>
            <a:rPr lang="en-IN" sz="900" b="0" i="1" baseline="0">
              <a:solidFill>
                <a:schemeClr val="bg1">
                  <a:lumMod val="50000"/>
                </a:schemeClr>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a:solidFill>
              <a:schemeClr val="bg1">
                <a:lumMod val="50000"/>
              </a:schemeClr>
            </a:solidFill>
            <a:effectLst/>
          </a:endParaRPr>
        </a:p>
      </xdr:txBody>
    </xdr:sp>
    <xdr:clientData/>
  </xdr:twoCellAnchor>
  <xdr:twoCellAnchor editAs="oneCell">
    <xdr:from>
      <xdr:col>6</xdr:col>
      <xdr:colOff>257735</xdr:colOff>
      <xdr:row>3</xdr:row>
      <xdr:rowOff>22412</xdr:rowOff>
    </xdr:from>
    <xdr:to>
      <xdr:col>8</xdr:col>
      <xdr:colOff>625234</xdr:colOff>
      <xdr:row>6</xdr:row>
      <xdr:rowOff>20432</xdr:rowOff>
    </xdr:to>
    <xdr:pic>
      <xdr:nvPicPr>
        <xdr:cNvPr id="31" name="Picture 30"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5524500" y="717177"/>
          <a:ext cx="1925117" cy="636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xdr:colOff>
      <xdr:row>12</xdr:row>
      <xdr:rowOff>89648</xdr:rowOff>
    </xdr:from>
    <xdr:to>
      <xdr:col>1</xdr:col>
      <xdr:colOff>2140323</xdr:colOff>
      <xdr:row>24</xdr:row>
      <xdr:rowOff>75241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427980</xdr:colOff>
      <xdr:row>12</xdr:row>
      <xdr:rowOff>167226</xdr:rowOff>
    </xdr:from>
    <xdr:to>
      <xdr:col>1</xdr:col>
      <xdr:colOff>1846384</xdr:colOff>
      <xdr:row>14</xdr:row>
      <xdr:rowOff>43962</xdr:rowOff>
    </xdr:to>
    <xdr:sp macro="" textlink="">
      <xdr:nvSpPr>
        <xdr:cNvPr id="9" name="TextBox 8"/>
        <xdr:cNvSpPr txBox="1"/>
      </xdr:nvSpPr>
      <xdr:spPr>
        <a:xfrm>
          <a:off x="552538" y="2665707"/>
          <a:ext cx="1418404"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Revenue (INR Crs.)</a:t>
          </a:r>
          <a:endParaRPr lang="en-IN" sz="800" b="1">
            <a:solidFill>
              <a:schemeClr val="tx1"/>
            </a:solidFill>
          </a:endParaRPr>
        </a:p>
      </xdr:txBody>
    </xdr:sp>
    <xdr:clientData/>
  </xdr:twoCellAnchor>
  <xdr:twoCellAnchor>
    <xdr:from>
      <xdr:col>3</xdr:col>
      <xdr:colOff>406862</xdr:colOff>
      <xdr:row>12</xdr:row>
      <xdr:rowOff>161191</xdr:rowOff>
    </xdr:from>
    <xdr:to>
      <xdr:col>5</xdr:col>
      <xdr:colOff>293077</xdr:colOff>
      <xdr:row>14</xdr:row>
      <xdr:rowOff>14654</xdr:rowOff>
    </xdr:to>
    <xdr:sp macro="" textlink="">
      <xdr:nvSpPr>
        <xdr:cNvPr id="37" name="TextBox 36"/>
        <xdr:cNvSpPr txBox="1"/>
      </xdr:nvSpPr>
      <xdr:spPr>
        <a:xfrm>
          <a:off x="3410900" y="2659672"/>
          <a:ext cx="1366254" cy="234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Net</a:t>
          </a:r>
          <a:r>
            <a:rPr lang="en-IN" sz="1100" b="1" baseline="0">
              <a:solidFill>
                <a:schemeClr val="dk1"/>
              </a:solidFill>
              <a:effectLst/>
              <a:latin typeface="+mn-lt"/>
              <a:ea typeface="+mn-ea"/>
              <a:cs typeface="+mn-cs"/>
            </a:rPr>
            <a:t> Profit</a:t>
          </a:r>
          <a:r>
            <a:rPr lang="en-IN" sz="1100" b="1">
              <a:solidFill>
                <a:schemeClr val="dk1"/>
              </a:solidFill>
              <a:effectLst/>
              <a:latin typeface="+mn-lt"/>
              <a:ea typeface="+mn-ea"/>
              <a:cs typeface="+mn-cs"/>
            </a:rPr>
            <a:t> (INR Crs.)</a:t>
          </a:r>
          <a:endParaRPr lang="en-IN" sz="1400">
            <a:effectLst/>
          </a:endParaRPr>
        </a:p>
      </xdr:txBody>
    </xdr:sp>
    <xdr:clientData/>
  </xdr:twoCellAnchor>
  <xdr:twoCellAnchor>
    <xdr:from>
      <xdr:col>6</xdr:col>
      <xdr:colOff>117660</xdr:colOff>
      <xdr:row>12</xdr:row>
      <xdr:rowOff>132876</xdr:rowOff>
    </xdr:from>
    <xdr:to>
      <xdr:col>9</xdr:col>
      <xdr:colOff>235324</xdr:colOff>
      <xdr:row>14</xdr:row>
      <xdr:rowOff>23533</xdr:rowOff>
    </xdr:to>
    <xdr:sp macro="" textlink="">
      <xdr:nvSpPr>
        <xdr:cNvPr id="44" name="TextBox 43"/>
        <xdr:cNvSpPr txBox="1"/>
      </xdr:nvSpPr>
      <xdr:spPr>
        <a:xfrm>
          <a:off x="5339601" y="2620582"/>
          <a:ext cx="2381252" cy="271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dk1"/>
              </a:solidFill>
              <a:effectLst/>
              <a:latin typeface="Arial" panose="020B0604020202020204" pitchFamily="34" charset="0"/>
              <a:ea typeface="+mn-ea"/>
              <a:cs typeface="Arial" panose="020B0604020202020204" pitchFamily="34" charset="0"/>
            </a:rPr>
            <a:t>Average</a:t>
          </a:r>
          <a:r>
            <a:rPr lang="en-IN" sz="1000" b="1" baseline="0">
              <a:solidFill>
                <a:schemeClr val="dk1"/>
              </a:solidFill>
              <a:effectLst/>
              <a:latin typeface="Arial" panose="020B0604020202020204" pitchFamily="34" charset="0"/>
              <a:ea typeface="+mn-ea"/>
              <a:cs typeface="Arial" panose="020B0604020202020204" pitchFamily="34" charset="0"/>
            </a:rPr>
            <a:t> Total Assetd</a:t>
          </a:r>
          <a:r>
            <a:rPr lang="en-IN" sz="1000" b="1">
              <a:solidFill>
                <a:schemeClr val="dk1"/>
              </a:solidFill>
              <a:effectLst/>
              <a:latin typeface="+mn-lt"/>
              <a:ea typeface="+mn-ea"/>
              <a:cs typeface="+mn-cs"/>
            </a:rPr>
            <a:t> (INR Crs.)</a:t>
          </a:r>
          <a:endParaRPr lang="en-IN" sz="1100">
            <a:effectLst/>
          </a:endParaRPr>
        </a:p>
      </xdr:txBody>
    </xdr:sp>
    <xdr:clientData/>
  </xdr:twoCellAnchor>
  <xdr:twoCellAnchor>
    <xdr:from>
      <xdr:col>2</xdr:col>
      <xdr:colOff>219075</xdr:colOff>
      <xdr:row>12</xdr:row>
      <xdr:rowOff>134470</xdr:rowOff>
    </xdr:from>
    <xdr:to>
      <xdr:col>5</xdr:col>
      <xdr:colOff>537882</xdr:colOff>
      <xdr:row>25</xdr:row>
      <xdr:rowOff>14728</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100854</xdr:colOff>
      <xdr:row>13</xdr:row>
      <xdr:rowOff>156882</xdr:rowOff>
    </xdr:from>
    <xdr:to>
      <xdr:col>9</xdr:col>
      <xdr:colOff>11208</xdr:colOff>
      <xdr:row>24</xdr:row>
      <xdr:rowOff>30416</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26</xdr:row>
      <xdr:rowOff>156883</xdr:rowOff>
    </xdr:from>
    <xdr:to>
      <xdr:col>1</xdr:col>
      <xdr:colOff>2140322</xdr:colOff>
      <xdr:row>37</xdr:row>
      <xdr:rowOff>100853</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179295</xdr:colOff>
      <xdr:row>26</xdr:row>
      <xdr:rowOff>22411</xdr:rowOff>
    </xdr:from>
    <xdr:to>
      <xdr:col>5</xdr:col>
      <xdr:colOff>498102</xdr:colOff>
      <xdr:row>36</xdr:row>
      <xdr:rowOff>149199</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78441</xdr:colOff>
      <xdr:row>27</xdr:row>
      <xdr:rowOff>22411</xdr:rowOff>
    </xdr:from>
    <xdr:to>
      <xdr:col>8</xdr:col>
      <xdr:colOff>694765</xdr:colOff>
      <xdr:row>36</xdr:row>
      <xdr:rowOff>145677</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324970</xdr:colOff>
      <xdr:row>26</xdr:row>
      <xdr:rowOff>44824</xdr:rowOff>
    </xdr:from>
    <xdr:to>
      <xdr:col>1</xdr:col>
      <xdr:colOff>1743374</xdr:colOff>
      <xdr:row>27</xdr:row>
      <xdr:rowOff>123266</xdr:rowOff>
    </xdr:to>
    <xdr:sp macro="" textlink="">
      <xdr:nvSpPr>
        <xdr:cNvPr id="53" name="TextBox 52"/>
        <xdr:cNvSpPr txBox="1"/>
      </xdr:nvSpPr>
      <xdr:spPr>
        <a:xfrm>
          <a:off x="448235" y="5154706"/>
          <a:ext cx="1418404"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Return</a:t>
          </a:r>
          <a:r>
            <a:rPr lang="en-IN" sz="1100" b="1" baseline="0">
              <a:solidFill>
                <a:schemeClr val="tx1"/>
              </a:solidFill>
            </a:rPr>
            <a:t> On Equity (%)</a:t>
          </a:r>
          <a:endParaRPr lang="en-IN" sz="800" b="1">
            <a:solidFill>
              <a:schemeClr val="tx1"/>
            </a:solidFill>
          </a:endParaRPr>
        </a:p>
      </xdr:txBody>
    </xdr:sp>
    <xdr:clientData/>
  </xdr:twoCellAnchor>
  <xdr:twoCellAnchor>
    <xdr:from>
      <xdr:col>6</xdr:col>
      <xdr:colOff>690283</xdr:colOff>
      <xdr:row>25</xdr:row>
      <xdr:rowOff>186018</xdr:rowOff>
    </xdr:from>
    <xdr:to>
      <xdr:col>8</xdr:col>
      <xdr:colOff>551069</xdr:colOff>
      <xdr:row>27</xdr:row>
      <xdr:rowOff>73960</xdr:rowOff>
    </xdr:to>
    <xdr:sp macro="" textlink="">
      <xdr:nvSpPr>
        <xdr:cNvPr id="54" name="TextBox 53"/>
        <xdr:cNvSpPr txBox="1"/>
      </xdr:nvSpPr>
      <xdr:spPr>
        <a:xfrm>
          <a:off x="5912224" y="5105400"/>
          <a:ext cx="1418404"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Revenue (INR Crs.)</a:t>
          </a:r>
          <a:endParaRPr lang="en-IN" sz="800" b="1">
            <a:solidFill>
              <a:schemeClr val="tx1"/>
            </a:solidFill>
          </a:endParaRPr>
        </a:p>
      </xdr:txBody>
    </xdr:sp>
    <xdr:clientData/>
  </xdr:twoCellAnchor>
  <xdr:twoCellAnchor>
    <xdr:from>
      <xdr:col>3</xdr:col>
      <xdr:colOff>248771</xdr:colOff>
      <xdr:row>26</xdr:row>
      <xdr:rowOff>69477</xdr:rowOff>
    </xdr:from>
    <xdr:to>
      <xdr:col>5</xdr:col>
      <xdr:colOff>187998</xdr:colOff>
      <xdr:row>27</xdr:row>
      <xdr:rowOff>147919</xdr:rowOff>
    </xdr:to>
    <xdr:sp macro="" textlink="">
      <xdr:nvSpPr>
        <xdr:cNvPr id="55" name="TextBox 54"/>
        <xdr:cNvSpPr txBox="1"/>
      </xdr:nvSpPr>
      <xdr:spPr>
        <a:xfrm>
          <a:off x="3251947" y="5179359"/>
          <a:ext cx="1418404"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Return</a:t>
          </a:r>
          <a:r>
            <a:rPr lang="en-IN" sz="1100" b="1" baseline="0">
              <a:solidFill>
                <a:schemeClr val="dk1"/>
              </a:solidFill>
              <a:effectLst/>
              <a:latin typeface="+mn-lt"/>
              <a:ea typeface="+mn-ea"/>
              <a:cs typeface="+mn-cs"/>
            </a:rPr>
            <a:t> on Assets (%)</a:t>
          </a:r>
          <a:endParaRPr lang="en-IN">
            <a:effectLst/>
          </a:endParaRPr>
        </a:p>
      </xdr:txBody>
    </xdr:sp>
    <xdr:clientData/>
  </xdr:twoCellAnchor>
  <xdr:twoCellAnchor>
    <xdr:from>
      <xdr:col>1</xdr:col>
      <xdr:colOff>33617</xdr:colOff>
      <xdr:row>12</xdr:row>
      <xdr:rowOff>156882</xdr:rowOff>
    </xdr:from>
    <xdr:to>
      <xdr:col>1</xdr:col>
      <xdr:colOff>2129117</xdr:colOff>
      <xdr:row>12</xdr:row>
      <xdr:rowOff>156882</xdr:rowOff>
    </xdr:to>
    <xdr:cxnSp macro="">
      <xdr:nvCxnSpPr>
        <xdr:cNvPr id="11" name="Straight Connector 10"/>
        <xdr:cNvCxnSpPr/>
      </xdr:nvCxnSpPr>
      <xdr:spPr>
        <a:xfrm>
          <a:off x="156882" y="2644588"/>
          <a:ext cx="2095500" cy="0"/>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11205</xdr:colOff>
      <xdr:row>14</xdr:row>
      <xdr:rowOff>22412</xdr:rowOff>
    </xdr:from>
    <xdr:to>
      <xdr:col>1</xdr:col>
      <xdr:colOff>2106705</xdr:colOff>
      <xdr:row>14</xdr:row>
      <xdr:rowOff>22412</xdr:rowOff>
    </xdr:to>
    <xdr:cxnSp macro="">
      <xdr:nvCxnSpPr>
        <xdr:cNvPr id="57" name="Straight Connector 56"/>
        <xdr:cNvCxnSpPr/>
      </xdr:nvCxnSpPr>
      <xdr:spPr>
        <a:xfrm>
          <a:off x="134470" y="2891118"/>
          <a:ext cx="2095500" cy="0"/>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392206</xdr:colOff>
      <xdr:row>12</xdr:row>
      <xdr:rowOff>145677</xdr:rowOff>
    </xdr:from>
    <xdr:to>
      <xdr:col>5</xdr:col>
      <xdr:colOff>313765</xdr:colOff>
      <xdr:row>12</xdr:row>
      <xdr:rowOff>156882</xdr:rowOff>
    </xdr:to>
    <xdr:cxnSp macro="">
      <xdr:nvCxnSpPr>
        <xdr:cNvPr id="58" name="Straight Connector 57"/>
        <xdr:cNvCxnSpPr/>
      </xdr:nvCxnSpPr>
      <xdr:spPr>
        <a:xfrm flipV="1">
          <a:off x="3395382" y="2633383"/>
          <a:ext cx="1400736" cy="11205"/>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405654</xdr:colOff>
      <xdr:row>14</xdr:row>
      <xdr:rowOff>22412</xdr:rowOff>
    </xdr:from>
    <xdr:to>
      <xdr:col>5</xdr:col>
      <xdr:colOff>302559</xdr:colOff>
      <xdr:row>14</xdr:row>
      <xdr:rowOff>35860</xdr:rowOff>
    </xdr:to>
    <xdr:cxnSp macro="">
      <xdr:nvCxnSpPr>
        <xdr:cNvPr id="59" name="Straight Connector 58"/>
        <xdr:cNvCxnSpPr/>
      </xdr:nvCxnSpPr>
      <xdr:spPr>
        <a:xfrm flipV="1">
          <a:off x="3408830" y="2891118"/>
          <a:ext cx="1376082" cy="13448"/>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33618</xdr:colOff>
      <xdr:row>12</xdr:row>
      <xdr:rowOff>154641</xdr:rowOff>
    </xdr:from>
    <xdr:to>
      <xdr:col>9</xdr:col>
      <xdr:colOff>8965</xdr:colOff>
      <xdr:row>12</xdr:row>
      <xdr:rowOff>156882</xdr:rowOff>
    </xdr:to>
    <xdr:cxnSp macro="">
      <xdr:nvCxnSpPr>
        <xdr:cNvPr id="60" name="Straight Connector 59"/>
        <xdr:cNvCxnSpPr/>
      </xdr:nvCxnSpPr>
      <xdr:spPr>
        <a:xfrm flipV="1">
          <a:off x="5255559" y="2642347"/>
          <a:ext cx="2238935" cy="224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123265</xdr:colOff>
      <xdr:row>14</xdr:row>
      <xdr:rowOff>0</xdr:rowOff>
    </xdr:from>
    <xdr:to>
      <xdr:col>9</xdr:col>
      <xdr:colOff>4483</xdr:colOff>
      <xdr:row>14</xdr:row>
      <xdr:rowOff>4483</xdr:rowOff>
    </xdr:to>
    <xdr:cxnSp macro="">
      <xdr:nvCxnSpPr>
        <xdr:cNvPr id="61" name="Straight Connector 60"/>
        <xdr:cNvCxnSpPr/>
      </xdr:nvCxnSpPr>
      <xdr:spPr>
        <a:xfrm>
          <a:off x="5345206" y="2868706"/>
          <a:ext cx="2144806" cy="4483"/>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190499</xdr:colOff>
      <xdr:row>26</xdr:row>
      <xdr:rowOff>67236</xdr:rowOff>
    </xdr:from>
    <xdr:to>
      <xdr:col>1</xdr:col>
      <xdr:colOff>1826559</xdr:colOff>
      <xdr:row>26</xdr:row>
      <xdr:rowOff>89647</xdr:rowOff>
    </xdr:to>
    <xdr:cxnSp macro="">
      <xdr:nvCxnSpPr>
        <xdr:cNvPr id="62" name="Straight Connector 61"/>
        <xdr:cNvCxnSpPr/>
      </xdr:nvCxnSpPr>
      <xdr:spPr>
        <a:xfrm>
          <a:off x="313764" y="5177118"/>
          <a:ext cx="1636060" cy="2241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163605</xdr:colOff>
      <xdr:row>27</xdr:row>
      <xdr:rowOff>96371</xdr:rowOff>
    </xdr:from>
    <xdr:to>
      <xdr:col>1</xdr:col>
      <xdr:colOff>1748117</xdr:colOff>
      <xdr:row>27</xdr:row>
      <xdr:rowOff>112059</xdr:rowOff>
    </xdr:to>
    <xdr:cxnSp macro="">
      <xdr:nvCxnSpPr>
        <xdr:cNvPr id="63" name="Straight Connector 62"/>
        <xdr:cNvCxnSpPr/>
      </xdr:nvCxnSpPr>
      <xdr:spPr>
        <a:xfrm>
          <a:off x="286870" y="5385547"/>
          <a:ext cx="1584512" cy="15688"/>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125507</xdr:colOff>
      <xdr:row>26</xdr:row>
      <xdr:rowOff>91889</xdr:rowOff>
    </xdr:from>
    <xdr:to>
      <xdr:col>5</xdr:col>
      <xdr:colOff>257736</xdr:colOff>
      <xdr:row>26</xdr:row>
      <xdr:rowOff>100853</xdr:rowOff>
    </xdr:to>
    <xdr:cxnSp macro="">
      <xdr:nvCxnSpPr>
        <xdr:cNvPr id="64" name="Straight Connector 63"/>
        <xdr:cNvCxnSpPr/>
      </xdr:nvCxnSpPr>
      <xdr:spPr>
        <a:xfrm>
          <a:off x="3128683" y="5201771"/>
          <a:ext cx="1611406" cy="8964"/>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121024</xdr:colOff>
      <xdr:row>27</xdr:row>
      <xdr:rowOff>132231</xdr:rowOff>
    </xdr:from>
    <xdr:to>
      <xdr:col>5</xdr:col>
      <xdr:colOff>201706</xdr:colOff>
      <xdr:row>27</xdr:row>
      <xdr:rowOff>134471</xdr:rowOff>
    </xdr:to>
    <xdr:cxnSp macro="">
      <xdr:nvCxnSpPr>
        <xdr:cNvPr id="65" name="Straight Connector 64"/>
        <xdr:cNvCxnSpPr/>
      </xdr:nvCxnSpPr>
      <xdr:spPr>
        <a:xfrm>
          <a:off x="3124200" y="5421407"/>
          <a:ext cx="1559859" cy="2240"/>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571500</xdr:colOff>
      <xdr:row>26</xdr:row>
      <xdr:rowOff>15689</xdr:rowOff>
    </xdr:from>
    <xdr:to>
      <xdr:col>8</xdr:col>
      <xdr:colOff>553571</xdr:colOff>
      <xdr:row>26</xdr:row>
      <xdr:rowOff>33618</xdr:rowOff>
    </xdr:to>
    <xdr:cxnSp macro="">
      <xdr:nvCxnSpPr>
        <xdr:cNvPr id="66" name="Straight Connector 65"/>
        <xdr:cNvCxnSpPr/>
      </xdr:nvCxnSpPr>
      <xdr:spPr>
        <a:xfrm flipV="1">
          <a:off x="5793441" y="5125571"/>
          <a:ext cx="1539689" cy="17929"/>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560294</xdr:colOff>
      <xdr:row>27</xdr:row>
      <xdr:rowOff>67235</xdr:rowOff>
    </xdr:from>
    <xdr:to>
      <xdr:col>8</xdr:col>
      <xdr:colOff>504265</xdr:colOff>
      <xdr:row>27</xdr:row>
      <xdr:rowOff>67236</xdr:rowOff>
    </xdr:to>
    <xdr:cxnSp macro="">
      <xdr:nvCxnSpPr>
        <xdr:cNvPr id="67" name="Straight Connector 66"/>
        <xdr:cNvCxnSpPr/>
      </xdr:nvCxnSpPr>
      <xdr:spPr>
        <a:xfrm>
          <a:off x="5782235" y="5356411"/>
          <a:ext cx="1501589" cy="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82148</xdr:colOff>
      <xdr:row>12</xdr:row>
      <xdr:rowOff>174984</xdr:rowOff>
    </xdr:from>
    <xdr:to>
      <xdr:col>2</xdr:col>
      <xdr:colOff>11485</xdr:colOff>
      <xdr:row>22</xdr:row>
      <xdr:rowOff>170888</xdr:rowOff>
    </xdr:to>
    <xdr:grpSp>
      <xdr:nvGrpSpPr>
        <xdr:cNvPr id="3" name="Group 2"/>
        <xdr:cNvGrpSpPr/>
      </xdr:nvGrpSpPr>
      <xdr:grpSpPr>
        <a:xfrm>
          <a:off x="82148" y="3839308"/>
          <a:ext cx="2641161" cy="1900904"/>
          <a:chOff x="142875" y="3202868"/>
          <a:chExt cx="2405062" cy="2012069"/>
        </a:xfrm>
        <a:noFill/>
      </xdr:grpSpPr>
      <xdr:graphicFrame macro="">
        <xdr:nvGraphicFramePr>
          <xdr:cNvPr id="4" name="Chart 3"/>
          <xdr:cNvGraphicFramePr/>
        </xdr:nvGraphicFramePr>
        <xdr:xfrm>
          <a:off x="142875" y="3464719"/>
          <a:ext cx="2405062" cy="175021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TextBox 4"/>
          <xdr:cNvSpPr txBox="1"/>
        </xdr:nvSpPr>
        <xdr:spPr>
          <a:xfrm>
            <a:off x="232547" y="3202868"/>
            <a:ext cx="2139712" cy="32481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mn-lt"/>
              </a:rPr>
              <a:t>Working</a:t>
            </a:r>
            <a:r>
              <a:rPr lang="en-IN" sz="1100" b="1" baseline="0">
                <a:solidFill>
                  <a:schemeClr val="tx1"/>
                </a:solidFill>
                <a:latin typeface="+mn-lt"/>
              </a:rPr>
              <a:t> Capital/Total Assets %</a:t>
            </a:r>
            <a:endParaRPr lang="en-IN" sz="1100" b="1">
              <a:solidFill>
                <a:schemeClr val="tx1"/>
              </a:solidFill>
              <a:latin typeface="+mn-lt"/>
            </a:endParaRPr>
          </a:p>
          <a:p>
            <a:pPr algn="ctr"/>
            <a:endParaRPr lang="en-IN" sz="1100" b="1">
              <a:solidFill>
                <a:schemeClr val="tx1"/>
              </a:solidFill>
            </a:endParaRPr>
          </a:p>
          <a:p>
            <a:pPr algn="ctr"/>
            <a:r>
              <a:rPr lang="en-IN" sz="1100">
                <a:solidFill>
                  <a:schemeClr val="tx1"/>
                </a:solidFill>
              </a:rPr>
              <a:t>9</a:t>
            </a:r>
          </a:p>
        </xdr:txBody>
      </xdr:sp>
    </xdr:grpSp>
    <xdr:clientData/>
  </xdr:twoCellAnchor>
  <xdr:twoCellAnchor>
    <xdr:from>
      <xdr:col>2</xdr:col>
      <xdr:colOff>111779</xdr:colOff>
      <xdr:row>12</xdr:row>
      <xdr:rowOff>146437</xdr:rowOff>
    </xdr:from>
    <xdr:to>
      <xdr:col>5</xdr:col>
      <xdr:colOff>81803</xdr:colOff>
      <xdr:row>23</xdr:row>
      <xdr:rowOff>4200</xdr:rowOff>
    </xdr:to>
    <xdr:grpSp>
      <xdr:nvGrpSpPr>
        <xdr:cNvPr id="6" name="Group 5"/>
        <xdr:cNvGrpSpPr/>
      </xdr:nvGrpSpPr>
      <xdr:grpSpPr>
        <a:xfrm>
          <a:off x="2823603" y="3810761"/>
          <a:ext cx="2693053" cy="1953263"/>
          <a:chOff x="47625" y="3204049"/>
          <a:chExt cx="2405062" cy="2138080"/>
        </a:xfrm>
      </xdr:grpSpPr>
      <xdr:graphicFrame macro="">
        <xdr:nvGraphicFramePr>
          <xdr:cNvPr id="7" name="Chart 6"/>
          <xdr:cNvGraphicFramePr/>
        </xdr:nvGraphicFramePr>
        <xdr:xfrm>
          <a:off x="47625" y="3512344"/>
          <a:ext cx="2405062" cy="182978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xdr:cNvSpPr txBox="1"/>
        </xdr:nvSpPr>
        <xdr:spPr>
          <a:xfrm>
            <a:off x="340337" y="3204049"/>
            <a:ext cx="1999266" cy="305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mn-lt"/>
              </a:rPr>
              <a:t>Retained Earnings/ Total Assets% %</a:t>
            </a:r>
          </a:p>
          <a:p>
            <a:pPr algn="ctr"/>
            <a:endParaRPr lang="en-IN" sz="1100" b="1">
              <a:solidFill>
                <a:schemeClr val="tx1"/>
              </a:solidFill>
            </a:endParaRPr>
          </a:p>
          <a:p>
            <a:pPr algn="ctr"/>
            <a:endParaRPr lang="en-IN" sz="1100">
              <a:solidFill>
                <a:schemeClr val="tx1"/>
              </a:solidFill>
            </a:endParaRPr>
          </a:p>
        </xdr:txBody>
      </xdr:sp>
    </xdr:grpSp>
    <xdr:clientData/>
  </xdr:twoCellAnchor>
  <xdr:twoCellAnchor>
    <xdr:from>
      <xdr:col>5</xdr:col>
      <xdr:colOff>372565</xdr:colOff>
      <xdr:row>12</xdr:row>
      <xdr:rowOff>145437</xdr:rowOff>
    </xdr:from>
    <xdr:to>
      <xdr:col>8</xdr:col>
      <xdr:colOff>660393</xdr:colOff>
      <xdr:row>23</xdr:row>
      <xdr:rowOff>8874</xdr:rowOff>
    </xdr:to>
    <xdr:grpSp>
      <xdr:nvGrpSpPr>
        <xdr:cNvPr id="9" name="Group 8"/>
        <xdr:cNvGrpSpPr/>
      </xdr:nvGrpSpPr>
      <xdr:grpSpPr>
        <a:xfrm>
          <a:off x="5807418" y="3809761"/>
          <a:ext cx="2585034" cy="1958937"/>
          <a:chOff x="47625" y="3191044"/>
          <a:chExt cx="2405062" cy="2071518"/>
        </a:xfrm>
      </xdr:grpSpPr>
      <xdr:graphicFrame macro="">
        <xdr:nvGraphicFramePr>
          <xdr:cNvPr id="10" name="Chart 9"/>
          <xdr:cNvGraphicFramePr/>
        </xdr:nvGraphicFramePr>
        <xdr:xfrm>
          <a:off x="47625" y="3512343"/>
          <a:ext cx="2405062" cy="175021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1" name="TextBox 10"/>
          <xdr:cNvSpPr txBox="1"/>
        </xdr:nvSpPr>
        <xdr:spPr>
          <a:xfrm>
            <a:off x="389760" y="3191044"/>
            <a:ext cx="1782134" cy="284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mn-lt"/>
              </a:rPr>
              <a:t>EBIT/ Total Assets</a:t>
            </a:r>
            <a:endParaRPr lang="en-IN" sz="1100" b="1">
              <a:solidFill>
                <a:schemeClr val="tx1"/>
              </a:solidFill>
            </a:endParaRPr>
          </a:p>
          <a:p>
            <a:pPr algn="ctr"/>
            <a:endParaRPr lang="en-IN" sz="1600">
              <a:solidFill>
                <a:schemeClr val="tx1"/>
              </a:solidFill>
            </a:endParaRPr>
          </a:p>
        </xdr:txBody>
      </xdr:sp>
    </xdr:grpSp>
    <xdr:clientData/>
  </xdr:twoCellAnchor>
  <xdr:twoCellAnchor>
    <xdr:from>
      <xdr:col>1</xdr:col>
      <xdr:colOff>46115</xdr:colOff>
      <xdr:row>25</xdr:row>
      <xdr:rowOff>35616</xdr:rowOff>
    </xdr:from>
    <xdr:to>
      <xdr:col>2</xdr:col>
      <xdr:colOff>35020</xdr:colOff>
      <xdr:row>36</xdr:row>
      <xdr:rowOff>87547</xdr:rowOff>
    </xdr:to>
    <xdr:grpSp>
      <xdr:nvGrpSpPr>
        <xdr:cNvPr id="12" name="Group 11"/>
        <xdr:cNvGrpSpPr/>
      </xdr:nvGrpSpPr>
      <xdr:grpSpPr>
        <a:xfrm>
          <a:off x="169380" y="6176440"/>
          <a:ext cx="2577464" cy="2147431"/>
          <a:chOff x="142875" y="3143565"/>
          <a:chExt cx="2405062" cy="2071372"/>
        </a:xfrm>
        <a:noFill/>
      </xdr:grpSpPr>
      <xdr:graphicFrame macro="">
        <xdr:nvGraphicFramePr>
          <xdr:cNvPr id="13" name="Chart 12"/>
          <xdr:cNvGraphicFramePr/>
        </xdr:nvGraphicFramePr>
        <xdr:xfrm>
          <a:off x="142875" y="3464719"/>
          <a:ext cx="2405062" cy="175021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4" name="TextBox 13"/>
          <xdr:cNvSpPr txBox="1"/>
        </xdr:nvSpPr>
        <xdr:spPr>
          <a:xfrm>
            <a:off x="655199" y="3143565"/>
            <a:ext cx="1440656" cy="26193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050" b="1">
              <a:solidFill>
                <a:srgbClr val="7030A0"/>
              </a:solidFill>
              <a:latin typeface="+mn-lt"/>
            </a:endParaRPr>
          </a:p>
          <a:p>
            <a:pPr algn="ctr"/>
            <a:endParaRPr lang="en-IN" sz="1050" b="1" baseline="0">
              <a:solidFill>
                <a:srgbClr val="7030A0"/>
              </a:solidFill>
              <a:latin typeface="+mn-lt"/>
            </a:endParaRPr>
          </a:p>
          <a:p>
            <a:pPr algn="ctr"/>
            <a:endParaRPr lang="en-IN" sz="1050" b="1">
              <a:solidFill>
                <a:srgbClr val="7030A0"/>
              </a:solidFill>
              <a:latin typeface="+mn-lt"/>
            </a:endParaRPr>
          </a:p>
          <a:p>
            <a:pPr algn="ctr"/>
            <a:endParaRPr lang="en-IN" sz="1100" b="1">
              <a:solidFill>
                <a:srgbClr val="7030A0"/>
              </a:solidFill>
            </a:endParaRPr>
          </a:p>
          <a:p>
            <a:pPr algn="ctr"/>
            <a:endParaRPr lang="en-IN" sz="1100"/>
          </a:p>
        </xdr:txBody>
      </xdr:sp>
    </xdr:grpSp>
    <xdr:clientData/>
  </xdr:twoCellAnchor>
  <xdr:twoCellAnchor>
    <xdr:from>
      <xdr:col>2</xdr:col>
      <xdr:colOff>153122</xdr:colOff>
      <xdr:row>25</xdr:row>
      <xdr:rowOff>34913</xdr:rowOff>
    </xdr:from>
    <xdr:to>
      <xdr:col>5</xdr:col>
      <xdr:colOff>71437</xdr:colOff>
      <xdr:row>36</xdr:row>
      <xdr:rowOff>120462</xdr:rowOff>
    </xdr:to>
    <xdr:grpSp>
      <xdr:nvGrpSpPr>
        <xdr:cNvPr id="15" name="Group 14"/>
        <xdr:cNvGrpSpPr/>
      </xdr:nvGrpSpPr>
      <xdr:grpSpPr>
        <a:xfrm>
          <a:off x="2864946" y="6175737"/>
          <a:ext cx="2641344" cy="2181049"/>
          <a:chOff x="142875" y="3107981"/>
          <a:chExt cx="2405062" cy="2106956"/>
        </a:xfrm>
        <a:noFill/>
      </xdr:grpSpPr>
      <xdr:graphicFrame macro="">
        <xdr:nvGraphicFramePr>
          <xdr:cNvPr id="16" name="Chart 15"/>
          <xdr:cNvGraphicFramePr/>
        </xdr:nvGraphicFramePr>
        <xdr:xfrm>
          <a:off x="142875" y="3464719"/>
          <a:ext cx="2405062" cy="175021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7" name="TextBox 16"/>
          <xdr:cNvSpPr txBox="1"/>
        </xdr:nvSpPr>
        <xdr:spPr>
          <a:xfrm>
            <a:off x="565410" y="3107981"/>
            <a:ext cx="1665149" cy="247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Sales/ Total Assets</a:t>
            </a:r>
            <a:r>
              <a:rPr lang="en-IN" sz="1100" b="1" baseline="0">
                <a:solidFill>
                  <a:schemeClr val="tx1"/>
                </a:solidFill>
              </a:rPr>
              <a:t>(%)</a:t>
            </a:r>
          </a:p>
          <a:p>
            <a:pPr algn="ctr"/>
            <a:endParaRPr lang="en-IN" sz="1400" b="1">
              <a:solidFill>
                <a:schemeClr val="tx1"/>
              </a:solidFill>
            </a:endParaRPr>
          </a:p>
          <a:p>
            <a:pPr algn="ctr"/>
            <a:endParaRPr lang="en-IN" sz="1400">
              <a:solidFill>
                <a:schemeClr val="tx1"/>
              </a:solidFill>
            </a:endParaRPr>
          </a:p>
        </xdr:txBody>
      </xdr:sp>
    </xdr:grpSp>
    <xdr:clientData/>
  </xdr:twoCellAnchor>
  <xdr:twoCellAnchor>
    <xdr:from>
      <xdr:col>5</xdr:col>
      <xdr:colOff>405663</xdr:colOff>
      <xdr:row>25</xdr:row>
      <xdr:rowOff>68534</xdr:rowOff>
    </xdr:from>
    <xdr:to>
      <xdr:col>8</xdr:col>
      <xdr:colOff>672353</xdr:colOff>
      <xdr:row>36</xdr:row>
      <xdr:rowOff>64436</xdr:rowOff>
    </xdr:to>
    <xdr:grpSp>
      <xdr:nvGrpSpPr>
        <xdr:cNvPr id="18" name="Group 17"/>
        <xdr:cNvGrpSpPr/>
      </xdr:nvGrpSpPr>
      <xdr:grpSpPr>
        <a:xfrm>
          <a:off x="5840516" y="6209358"/>
          <a:ext cx="2563896" cy="2091402"/>
          <a:chOff x="142875" y="3197610"/>
          <a:chExt cx="2405062" cy="2017327"/>
        </a:xfrm>
        <a:noFill/>
      </xdr:grpSpPr>
      <xdr:graphicFrame macro="">
        <xdr:nvGraphicFramePr>
          <xdr:cNvPr id="19" name="Chart 18"/>
          <xdr:cNvGraphicFramePr/>
        </xdr:nvGraphicFramePr>
        <xdr:xfrm>
          <a:off x="142875" y="3464719"/>
          <a:ext cx="2405062" cy="175021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0" name="TextBox 19"/>
          <xdr:cNvSpPr txBox="1"/>
        </xdr:nvSpPr>
        <xdr:spPr>
          <a:xfrm>
            <a:off x="650660" y="3197610"/>
            <a:ext cx="1606549" cy="26179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baseline="0">
                <a:solidFill>
                  <a:schemeClr val="tx1"/>
                </a:solidFill>
                <a:latin typeface="+mn-lt"/>
              </a:rPr>
              <a:t>Altman Z Score</a:t>
            </a:r>
          </a:p>
          <a:p>
            <a:pPr algn="ctr"/>
            <a:endParaRPr lang="en-IN" sz="1100" b="1">
              <a:solidFill>
                <a:srgbClr val="CFAC46"/>
              </a:solidFill>
              <a:latin typeface="+mn-lt"/>
            </a:endParaRPr>
          </a:p>
          <a:p>
            <a:pPr algn="ctr"/>
            <a:endParaRPr lang="en-IN" sz="1100" b="1">
              <a:solidFill>
                <a:srgbClr val="CFAC46"/>
              </a:solidFill>
            </a:endParaRPr>
          </a:p>
          <a:p>
            <a:pPr algn="ctr"/>
            <a:endParaRPr lang="en-IN" sz="1100">
              <a:solidFill>
                <a:srgbClr val="CFAC46"/>
              </a:solidFill>
            </a:endParaRPr>
          </a:p>
        </xdr:txBody>
      </xdr:sp>
    </xdr:grpSp>
    <xdr:clientData/>
  </xdr:twoCellAnchor>
  <xdr:twoCellAnchor>
    <xdr:from>
      <xdr:col>0</xdr:col>
      <xdr:colOff>76201</xdr:colOff>
      <xdr:row>58</xdr:row>
      <xdr:rowOff>112059</xdr:rowOff>
    </xdr:from>
    <xdr:to>
      <xdr:col>8</xdr:col>
      <xdr:colOff>514351</xdr:colOff>
      <xdr:row>60</xdr:row>
      <xdr:rowOff>156882</xdr:rowOff>
    </xdr:to>
    <xdr:sp macro="" textlink="">
      <xdr:nvSpPr>
        <xdr:cNvPr id="28" name="TextBox 27"/>
        <xdr:cNvSpPr txBox="1"/>
      </xdr:nvSpPr>
      <xdr:spPr>
        <a:xfrm>
          <a:off x="76201" y="12265959"/>
          <a:ext cx="7848600" cy="42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rgbClr val="CFAC46"/>
              </a:solidFill>
            </a:rPr>
            <a:t>Altman's Z Score Analysis Calulation </a:t>
          </a:r>
          <a:endParaRPr lang="en-IN" sz="1800" b="1">
            <a:solidFill>
              <a:srgbClr val="CFAC46"/>
            </a:solidFill>
          </a:endParaRPr>
        </a:p>
      </xdr:txBody>
    </xdr:sp>
    <xdr:clientData/>
  </xdr:twoCellAnchor>
  <xdr:twoCellAnchor>
    <xdr:from>
      <xdr:col>1</xdr:col>
      <xdr:colOff>11206</xdr:colOff>
      <xdr:row>94</xdr:row>
      <xdr:rowOff>89647</xdr:rowOff>
    </xdr:from>
    <xdr:to>
      <xdr:col>8</xdr:col>
      <xdr:colOff>235325</xdr:colOff>
      <xdr:row>97</xdr:row>
      <xdr:rowOff>134471</xdr:rowOff>
    </xdr:to>
    <xdr:sp macro="" textlink="">
      <xdr:nvSpPr>
        <xdr:cNvPr id="30" name="TextBox 29"/>
        <xdr:cNvSpPr txBox="1"/>
      </xdr:nvSpPr>
      <xdr:spPr>
        <a:xfrm>
          <a:off x="134471" y="19386176"/>
          <a:ext cx="7832913" cy="616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IN" sz="900" b="0" i="0" baseline="0">
              <a:solidFill>
                <a:schemeClr val="bg1">
                  <a:lumMod val="50000"/>
                </a:schemeClr>
              </a:solidFill>
              <a:effectLst/>
              <a:latin typeface="+mn-lt"/>
              <a:ea typeface="+mn-ea"/>
              <a:cs typeface="+mn-cs"/>
            </a:rPr>
            <a:t> </a:t>
          </a:r>
          <a:r>
            <a:rPr lang="en-IN" sz="900" b="0" i="1">
              <a:solidFill>
                <a:schemeClr val="bg1">
                  <a:lumMod val="50000"/>
                </a:schemeClr>
              </a:solidFill>
              <a:effectLst/>
              <a:latin typeface="+mn-lt"/>
              <a:ea typeface="+mn-ea"/>
              <a:cs typeface="+mn-cs"/>
            </a:rPr>
            <a:t>Disclaimer : This report is made as part</a:t>
          </a:r>
          <a:r>
            <a:rPr lang="en-IN" sz="900" b="0" i="1" baseline="0">
              <a:solidFill>
                <a:schemeClr val="bg1">
                  <a:lumMod val="50000"/>
                </a:schemeClr>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a:solidFill>
              <a:schemeClr val="bg1">
                <a:lumMod val="50000"/>
              </a:schemeClr>
            </a:solidFill>
            <a:effectLst/>
          </a:endParaRPr>
        </a:p>
      </xdr:txBody>
    </xdr:sp>
    <xdr:clientData/>
  </xdr:twoCellAnchor>
  <xdr:twoCellAnchor>
    <xdr:from>
      <xdr:col>1</xdr:col>
      <xdr:colOff>224117</xdr:colOff>
      <xdr:row>25</xdr:row>
      <xdr:rowOff>56029</xdr:rowOff>
    </xdr:from>
    <xdr:to>
      <xdr:col>2</xdr:col>
      <xdr:colOff>134470</xdr:colOff>
      <xdr:row>26</xdr:row>
      <xdr:rowOff>156882</xdr:rowOff>
    </xdr:to>
    <xdr:sp macro="" textlink="">
      <xdr:nvSpPr>
        <xdr:cNvPr id="32" name="TextBox 31"/>
        <xdr:cNvSpPr txBox="1"/>
      </xdr:nvSpPr>
      <xdr:spPr>
        <a:xfrm>
          <a:off x="347382" y="6163235"/>
          <a:ext cx="2498912"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Market Cap/ Long term Liabilities</a:t>
          </a:r>
        </a:p>
      </xdr:txBody>
    </xdr:sp>
    <xdr:clientData/>
  </xdr:twoCellAnchor>
  <xdr:twoCellAnchor editAs="oneCell">
    <xdr:from>
      <xdr:col>6</xdr:col>
      <xdr:colOff>280147</xdr:colOff>
      <xdr:row>3</xdr:row>
      <xdr:rowOff>123265</xdr:rowOff>
    </xdr:from>
    <xdr:to>
      <xdr:col>8</xdr:col>
      <xdr:colOff>647647</xdr:colOff>
      <xdr:row>6</xdr:row>
      <xdr:rowOff>87667</xdr:rowOff>
    </xdr:to>
    <xdr:pic>
      <xdr:nvPicPr>
        <xdr:cNvPr id="31" name="Picture 30" descr="Trent Limited logo in transparent PNG and vectorized SVG formats"/>
        <xdr:cNvPicPr>
          <a:picLocks noChangeAspect="1" noChangeArrowheads="1"/>
        </xdr:cNvPicPr>
      </xdr:nvPicPr>
      <xdr:blipFill>
        <a:blip xmlns:r="http://schemas.openxmlformats.org/officeDocument/2006/relationships" r:embed="rId7" cstate="hqprint">
          <a:extLst>
            <a:ext uri="{28A0092B-C50C-407E-A947-70E740481C1C}">
              <a14:useLocalDpi xmlns:a14="http://schemas.microsoft.com/office/drawing/2010/main" val="0"/>
            </a:ext>
          </a:extLst>
        </a:blip>
        <a:srcRect/>
        <a:stretch>
          <a:fillRect/>
        </a:stretch>
      </xdr:blipFill>
      <xdr:spPr bwMode="auto">
        <a:xfrm>
          <a:off x="6118412" y="818030"/>
          <a:ext cx="1925117" cy="636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37</xdr:row>
      <xdr:rowOff>112059</xdr:rowOff>
    </xdr:from>
    <xdr:to>
      <xdr:col>8</xdr:col>
      <xdr:colOff>212912</xdr:colOff>
      <xdr:row>52</xdr:row>
      <xdr:rowOff>134469</xdr:rowOff>
    </xdr:to>
    <xdr:sp macro="" textlink="">
      <xdr:nvSpPr>
        <xdr:cNvPr id="34" name="TextBox 33"/>
        <xdr:cNvSpPr txBox="1"/>
      </xdr:nvSpPr>
      <xdr:spPr>
        <a:xfrm>
          <a:off x="201706" y="8505265"/>
          <a:ext cx="7743265" cy="2879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400" b="1" i="0">
              <a:solidFill>
                <a:srgbClr val="CFAC46"/>
              </a:solidFill>
              <a:effectLst/>
              <a:latin typeface="+mn-lt"/>
              <a:ea typeface="+mn-ea"/>
              <a:cs typeface="+mn-cs"/>
            </a:rPr>
            <a:t>Recent</a:t>
          </a:r>
          <a:r>
            <a:rPr lang="en-IN" sz="1400" b="1" i="0" baseline="0">
              <a:solidFill>
                <a:srgbClr val="CFAC46"/>
              </a:solidFill>
              <a:effectLst/>
              <a:latin typeface="+mn-lt"/>
              <a:ea typeface="+mn-ea"/>
              <a:cs typeface="+mn-cs"/>
            </a:rPr>
            <a:t> Update</a:t>
          </a:r>
          <a:br>
            <a:rPr lang="en-IN" sz="1400" b="1" i="0" baseline="0">
              <a:solidFill>
                <a:srgbClr val="CFAC46"/>
              </a:solidFill>
              <a:effectLst/>
              <a:latin typeface="+mn-lt"/>
              <a:ea typeface="+mn-ea"/>
              <a:cs typeface="+mn-cs"/>
            </a:rPr>
          </a:br>
          <a:endParaRPr lang="en-IN" sz="1400" b="1" i="0">
            <a:solidFill>
              <a:srgbClr val="CFAC46"/>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0"/>
            <a:t>Trent Ltd reported 16% YoY growth in Q3 revenue to Rs 5,259 crore, reflecting continued demand traction across formats. Operating EBIT margin stood at 13.8%, indicating stable operating efficiency.</a:t>
          </a:r>
          <a:r>
            <a:rPr lang="en-IN" sz="1100" b="0" i="0">
              <a:solidFill>
                <a:schemeClr val="dk1"/>
              </a:solidFill>
              <a:effectLst/>
              <a:latin typeface="+mn-lt"/>
              <a:ea typeface="+mn-ea"/>
              <a:cs typeface="+mn-cs"/>
            </a:rPr>
            <a:t/>
          </a:r>
          <a:br>
            <a:rPr lang="en-IN" sz="1100" b="0" i="0">
              <a:solidFill>
                <a:schemeClr val="dk1"/>
              </a:solidFill>
              <a:effectLst/>
              <a:latin typeface="+mn-lt"/>
              <a:ea typeface="+mn-ea"/>
              <a:cs typeface="+mn-cs"/>
            </a:rPr>
          </a:br>
          <a:endParaRPr lang="en-IN" sz="1100" b="0" i="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Net profit rose 36 percent YoY to Rs 640 crore, while consolidated PAT increased 3 percent YoY to Rs 513 crore. Profitability for the quarter was impacted by a one-time charge of Rs 26.11 crore related to the implementation of new labour laws in India. </a:t>
          </a:r>
          <a:br>
            <a:rPr lang="en-IN" sz="1100" b="0" i="0">
              <a:solidFill>
                <a:schemeClr val="dk1"/>
              </a:solidFill>
              <a:effectLst/>
              <a:latin typeface="+mn-lt"/>
              <a:ea typeface="+mn-ea"/>
              <a:cs typeface="+mn-cs"/>
            </a:rPr>
          </a:br>
          <a:endParaRPr lang="en-IN" sz="1100" b="0" i="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Store expansion remained strong. Total store count increased to 1,164, comprising 278 Westside, 854 Zudio, and 33 other lifestyle stores. During the quarter, the company added 48 Zudio and 17 Westside stores.</a:t>
          </a:r>
          <a:br>
            <a:rPr lang="en-IN" sz="1100" b="0" i="0">
              <a:solidFill>
                <a:schemeClr val="dk1"/>
              </a:solidFill>
              <a:effectLst/>
              <a:latin typeface="+mn-lt"/>
              <a:ea typeface="+mn-ea"/>
              <a:cs typeface="+mn-cs"/>
            </a:rPr>
          </a:br>
          <a:endParaRPr lang="en-IN" sz="1100" b="0" i="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Management commentary remained constructive. Chairman Noel N Tata highlighted category-leading growth in the fashion segment, improving customer sentiment, and a positive medium-term outlook with continued focus on portfolio growth and store experience.</a:t>
          </a:r>
        </a:p>
      </xdr:txBody>
    </xdr:sp>
    <xdr:clientData/>
  </xdr:twoCellAnchor>
  <xdr:twoCellAnchor>
    <xdr:from>
      <xdr:col>1</xdr:col>
      <xdr:colOff>190500</xdr:colOff>
      <xdr:row>12</xdr:row>
      <xdr:rowOff>180975</xdr:rowOff>
    </xdr:from>
    <xdr:to>
      <xdr:col>1</xdr:col>
      <xdr:colOff>2429435</xdr:colOff>
      <xdr:row>12</xdr:row>
      <xdr:rowOff>183216</xdr:rowOff>
    </xdr:to>
    <xdr:cxnSp macro="">
      <xdr:nvCxnSpPr>
        <xdr:cNvPr id="35" name="Straight Connector 34"/>
        <xdr:cNvCxnSpPr/>
      </xdr:nvCxnSpPr>
      <xdr:spPr>
        <a:xfrm flipV="1">
          <a:off x="314325" y="3838575"/>
          <a:ext cx="2238935" cy="224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171450</xdr:colOff>
      <xdr:row>14</xdr:row>
      <xdr:rowOff>28575</xdr:rowOff>
    </xdr:from>
    <xdr:to>
      <xdr:col>1</xdr:col>
      <xdr:colOff>2410385</xdr:colOff>
      <xdr:row>14</xdr:row>
      <xdr:rowOff>30816</xdr:rowOff>
    </xdr:to>
    <xdr:cxnSp macro="">
      <xdr:nvCxnSpPr>
        <xdr:cNvPr id="36" name="Straight Connector 35"/>
        <xdr:cNvCxnSpPr/>
      </xdr:nvCxnSpPr>
      <xdr:spPr>
        <a:xfrm flipV="1">
          <a:off x="295275" y="4067175"/>
          <a:ext cx="2238935" cy="224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428625</xdr:colOff>
      <xdr:row>12</xdr:row>
      <xdr:rowOff>164167</xdr:rowOff>
    </xdr:from>
    <xdr:to>
      <xdr:col>4</xdr:col>
      <xdr:colOff>695325</xdr:colOff>
      <xdr:row>12</xdr:row>
      <xdr:rowOff>171450</xdr:rowOff>
    </xdr:to>
    <xdr:cxnSp macro="">
      <xdr:nvCxnSpPr>
        <xdr:cNvPr id="37" name="Straight Connector 36"/>
        <xdr:cNvCxnSpPr/>
      </xdr:nvCxnSpPr>
      <xdr:spPr>
        <a:xfrm>
          <a:off x="3143250" y="3821767"/>
          <a:ext cx="2257425" cy="7283"/>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428625</xdr:colOff>
      <xdr:row>14</xdr:row>
      <xdr:rowOff>0</xdr:rowOff>
    </xdr:from>
    <xdr:to>
      <xdr:col>4</xdr:col>
      <xdr:colOff>676835</xdr:colOff>
      <xdr:row>14</xdr:row>
      <xdr:rowOff>2241</xdr:rowOff>
    </xdr:to>
    <xdr:cxnSp macro="">
      <xdr:nvCxnSpPr>
        <xdr:cNvPr id="38" name="Straight Connector 37"/>
        <xdr:cNvCxnSpPr/>
      </xdr:nvCxnSpPr>
      <xdr:spPr>
        <a:xfrm flipV="1">
          <a:off x="3143250" y="4038600"/>
          <a:ext cx="2238935" cy="224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257175</xdr:colOff>
      <xdr:row>12</xdr:row>
      <xdr:rowOff>164167</xdr:rowOff>
    </xdr:from>
    <xdr:to>
      <xdr:col>8</xdr:col>
      <xdr:colOff>66675</xdr:colOff>
      <xdr:row>12</xdr:row>
      <xdr:rowOff>171450</xdr:rowOff>
    </xdr:to>
    <xdr:cxnSp macro="">
      <xdr:nvCxnSpPr>
        <xdr:cNvPr id="39" name="Straight Connector 38"/>
        <xdr:cNvCxnSpPr/>
      </xdr:nvCxnSpPr>
      <xdr:spPr>
        <a:xfrm>
          <a:off x="6448425" y="3821767"/>
          <a:ext cx="1371600" cy="7283"/>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257175</xdr:colOff>
      <xdr:row>14</xdr:row>
      <xdr:rowOff>0</xdr:rowOff>
    </xdr:from>
    <xdr:to>
      <xdr:col>8</xdr:col>
      <xdr:colOff>57150</xdr:colOff>
      <xdr:row>14</xdr:row>
      <xdr:rowOff>9526</xdr:rowOff>
    </xdr:to>
    <xdr:cxnSp macro="">
      <xdr:nvCxnSpPr>
        <xdr:cNvPr id="40" name="Straight Connector 39"/>
        <xdr:cNvCxnSpPr/>
      </xdr:nvCxnSpPr>
      <xdr:spPr>
        <a:xfrm>
          <a:off x="6448425" y="4038600"/>
          <a:ext cx="1362075" cy="9526"/>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123104</xdr:colOff>
      <xdr:row>25</xdr:row>
      <xdr:rowOff>61952</xdr:rowOff>
    </xdr:from>
    <xdr:to>
      <xdr:col>1</xdr:col>
      <xdr:colOff>2372925</xdr:colOff>
      <xdr:row>25</xdr:row>
      <xdr:rowOff>64193</xdr:rowOff>
    </xdr:to>
    <xdr:cxnSp macro="">
      <xdr:nvCxnSpPr>
        <xdr:cNvPr id="41" name="Straight Connector 40"/>
        <xdr:cNvCxnSpPr/>
      </xdr:nvCxnSpPr>
      <xdr:spPr>
        <a:xfrm flipV="1">
          <a:off x="246369" y="6202776"/>
          <a:ext cx="2249821" cy="224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127427</xdr:colOff>
      <xdr:row>26</xdr:row>
      <xdr:rowOff>115100</xdr:rowOff>
    </xdr:from>
    <xdr:to>
      <xdr:col>1</xdr:col>
      <xdr:colOff>2377248</xdr:colOff>
      <xdr:row>26</xdr:row>
      <xdr:rowOff>117341</xdr:rowOff>
    </xdr:to>
    <xdr:cxnSp macro="">
      <xdr:nvCxnSpPr>
        <xdr:cNvPr id="42" name="Straight Connector 41"/>
        <xdr:cNvCxnSpPr/>
      </xdr:nvCxnSpPr>
      <xdr:spPr>
        <a:xfrm flipV="1">
          <a:off x="250692" y="6446424"/>
          <a:ext cx="2249821" cy="224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629932</xdr:colOff>
      <xdr:row>25</xdr:row>
      <xdr:rowOff>25613</xdr:rowOff>
    </xdr:from>
    <xdr:to>
      <xdr:col>4</xdr:col>
      <xdr:colOff>324970</xdr:colOff>
      <xdr:row>25</xdr:row>
      <xdr:rowOff>33617</xdr:rowOff>
    </xdr:to>
    <xdr:cxnSp macro="">
      <xdr:nvCxnSpPr>
        <xdr:cNvPr id="43" name="Straight Connector 42"/>
        <xdr:cNvCxnSpPr/>
      </xdr:nvCxnSpPr>
      <xdr:spPr>
        <a:xfrm>
          <a:off x="3341756" y="6166437"/>
          <a:ext cx="1678479" cy="8004"/>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638735</xdr:colOff>
      <xdr:row>26</xdr:row>
      <xdr:rowOff>145676</xdr:rowOff>
    </xdr:from>
    <xdr:to>
      <xdr:col>4</xdr:col>
      <xdr:colOff>257735</xdr:colOff>
      <xdr:row>26</xdr:row>
      <xdr:rowOff>145676</xdr:rowOff>
    </xdr:to>
    <xdr:cxnSp macro="">
      <xdr:nvCxnSpPr>
        <xdr:cNvPr id="44" name="Straight Connector 43"/>
        <xdr:cNvCxnSpPr/>
      </xdr:nvCxnSpPr>
      <xdr:spPr>
        <a:xfrm>
          <a:off x="3350559" y="6477000"/>
          <a:ext cx="1602441" cy="0"/>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180736</xdr:colOff>
      <xdr:row>25</xdr:row>
      <xdr:rowOff>78441</xdr:rowOff>
    </xdr:from>
    <xdr:to>
      <xdr:col>8</xdr:col>
      <xdr:colOff>235323</xdr:colOff>
      <xdr:row>25</xdr:row>
      <xdr:rowOff>80764</xdr:rowOff>
    </xdr:to>
    <xdr:cxnSp macro="">
      <xdr:nvCxnSpPr>
        <xdr:cNvPr id="45" name="Straight Connector 44"/>
        <xdr:cNvCxnSpPr/>
      </xdr:nvCxnSpPr>
      <xdr:spPr>
        <a:xfrm flipV="1">
          <a:off x="6355177" y="6219265"/>
          <a:ext cx="1612205" cy="2323"/>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199466</xdr:colOff>
      <xdr:row>26</xdr:row>
      <xdr:rowOff>134470</xdr:rowOff>
    </xdr:from>
    <xdr:to>
      <xdr:col>8</xdr:col>
      <xdr:colOff>201706</xdr:colOff>
      <xdr:row>26</xdr:row>
      <xdr:rowOff>152641</xdr:rowOff>
    </xdr:to>
    <xdr:cxnSp macro="">
      <xdr:nvCxnSpPr>
        <xdr:cNvPr id="46" name="Straight Connector 45"/>
        <xdr:cNvCxnSpPr/>
      </xdr:nvCxnSpPr>
      <xdr:spPr>
        <a:xfrm flipV="1">
          <a:off x="6373907" y="6465794"/>
          <a:ext cx="1559858" cy="18171"/>
        </a:xfrm>
        <a:prstGeom prst="line">
          <a:avLst/>
        </a:prstGeom>
        <a:ln>
          <a:solidFill>
            <a:srgbClr val="CFAC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47008</xdr:colOff>
      <xdr:row>3</xdr:row>
      <xdr:rowOff>72983</xdr:rowOff>
    </xdr:from>
    <xdr:to>
      <xdr:col>10</xdr:col>
      <xdr:colOff>885154</xdr:colOff>
      <xdr:row>6</xdr:row>
      <xdr:rowOff>7215</xdr:rowOff>
    </xdr:to>
    <xdr:pic>
      <xdr:nvPicPr>
        <xdr:cNvPr id="4" name="Picture 3" descr="Trent Limited logo in transparent PNG and vectorized SVG formats"/>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8567553" y="644483"/>
          <a:ext cx="2033101" cy="678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1173418</xdr:colOff>
      <xdr:row>34</xdr:row>
      <xdr:rowOff>88846</xdr:rowOff>
    </xdr:from>
    <xdr:to>
      <xdr:col>7</xdr:col>
      <xdr:colOff>370596</xdr:colOff>
      <xdr:row>35</xdr:row>
      <xdr:rowOff>181695</xdr:rowOff>
    </xdr:to>
    <xdr:sp macro="" textlink="">
      <xdr:nvSpPr>
        <xdr:cNvPr id="8" name="TextBox 7"/>
        <xdr:cNvSpPr txBox="1"/>
      </xdr:nvSpPr>
      <xdr:spPr>
        <a:xfrm>
          <a:off x="6182447" y="7114934"/>
          <a:ext cx="855649" cy="294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a:t> 2025</a:t>
          </a:r>
          <a:endParaRPr lang="en-IN" sz="1100"/>
        </a:p>
      </xdr:txBody>
    </xdr:sp>
    <xdr:clientData/>
  </xdr:twoCellAnchor>
  <xdr:twoCellAnchor>
    <xdr:from>
      <xdr:col>5</xdr:col>
      <xdr:colOff>519545</xdr:colOff>
      <xdr:row>20</xdr:row>
      <xdr:rowOff>128358</xdr:rowOff>
    </xdr:from>
    <xdr:to>
      <xdr:col>11</xdr:col>
      <xdr:colOff>121227</xdr:colOff>
      <xdr:row>35</xdr:row>
      <xdr:rowOff>14058</xdr:rowOff>
    </xdr:to>
    <mc:AlternateContent xmlns:mc="http://schemas.openxmlformats.org/markup-compatibility/2006">
      <mc:Choice xmlns:cx1="http://schemas.microsoft.com/office/drawing/2015/9/8/chartex" Requires="cx1">
        <xdr:graphicFrame macro="">
          <xdr:nvGraphicFramePr>
            <xdr:cNvPr id="10" name="Chart 9"/>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571500</xdr:colOff>
      <xdr:row>32</xdr:row>
      <xdr:rowOff>27214</xdr:rowOff>
    </xdr:from>
    <xdr:to>
      <xdr:col>7</xdr:col>
      <xdr:colOff>707572</xdr:colOff>
      <xdr:row>33</xdr:row>
      <xdr:rowOff>54428</xdr:rowOff>
    </xdr:to>
    <xdr:sp macro="" textlink="">
      <xdr:nvSpPr>
        <xdr:cNvPr id="2" name="Rectangle 1"/>
        <xdr:cNvSpPr/>
      </xdr:nvSpPr>
      <xdr:spPr>
        <a:xfrm>
          <a:off x="5592536" y="6395357"/>
          <a:ext cx="1796143" cy="2177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606238</xdr:colOff>
      <xdr:row>32</xdr:row>
      <xdr:rowOff>62753</xdr:rowOff>
    </xdr:from>
    <xdr:to>
      <xdr:col>11</xdr:col>
      <xdr:colOff>280147</xdr:colOff>
      <xdr:row>33</xdr:row>
      <xdr:rowOff>166487</xdr:rowOff>
    </xdr:to>
    <xdr:sp macro="" textlink="">
      <xdr:nvSpPr>
        <xdr:cNvPr id="6" name="TextBox 5"/>
        <xdr:cNvSpPr txBox="1"/>
      </xdr:nvSpPr>
      <xdr:spPr>
        <a:xfrm>
          <a:off x="5615267" y="6685429"/>
          <a:ext cx="4604498" cy="30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Q1          Q2           Q3           Q4           Q1           Q2          Q3            Q4</a:t>
          </a:r>
        </a:p>
      </xdr:txBody>
    </xdr:sp>
    <xdr:clientData/>
  </xdr:twoCellAnchor>
  <xdr:twoCellAnchor>
    <xdr:from>
      <xdr:col>9</xdr:col>
      <xdr:colOff>229880</xdr:colOff>
      <xdr:row>34</xdr:row>
      <xdr:rowOff>93649</xdr:rowOff>
    </xdr:from>
    <xdr:to>
      <xdr:col>10</xdr:col>
      <xdr:colOff>441830</xdr:colOff>
      <xdr:row>35</xdr:row>
      <xdr:rowOff>186498</xdr:rowOff>
    </xdr:to>
    <xdr:sp macro="" textlink="">
      <xdr:nvSpPr>
        <xdr:cNvPr id="11" name="TextBox 10"/>
        <xdr:cNvSpPr txBox="1"/>
      </xdr:nvSpPr>
      <xdr:spPr>
        <a:xfrm>
          <a:off x="8454998" y="7119737"/>
          <a:ext cx="1186861" cy="294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a:t> 2024</a:t>
          </a:r>
          <a:endParaRPr lang="en-IN" sz="1100"/>
        </a:p>
      </xdr:txBody>
    </xdr:sp>
    <xdr:clientData/>
  </xdr:twoCellAnchor>
  <xdr:twoCellAnchor>
    <xdr:from>
      <xdr:col>6</xdr:col>
      <xdr:colOff>757996</xdr:colOff>
      <xdr:row>33</xdr:row>
      <xdr:rowOff>172899</xdr:rowOff>
    </xdr:from>
    <xdr:to>
      <xdr:col>7</xdr:col>
      <xdr:colOff>840443</xdr:colOff>
      <xdr:row>34</xdr:row>
      <xdr:rowOff>89648</xdr:rowOff>
    </xdr:to>
    <xdr:sp macro="" textlink="">
      <xdr:nvSpPr>
        <xdr:cNvPr id="13" name="Right Bracket 12"/>
        <xdr:cNvSpPr/>
      </xdr:nvSpPr>
      <xdr:spPr>
        <a:xfrm rot="5400000">
          <a:off x="6578256" y="6186050"/>
          <a:ext cx="118455" cy="1740918"/>
        </a:xfrm>
        <a:prstGeom prst="rightBracket">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8</xdr:col>
      <xdr:colOff>346098</xdr:colOff>
      <xdr:row>33</xdr:row>
      <xdr:rowOff>182822</xdr:rowOff>
    </xdr:from>
    <xdr:to>
      <xdr:col>10</xdr:col>
      <xdr:colOff>493058</xdr:colOff>
      <xdr:row>34</xdr:row>
      <xdr:rowOff>100855</xdr:rowOff>
    </xdr:to>
    <xdr:sp macro="" textlink="">
      <xdr:nvSpPr>
        <xdr:cNvPr id="14" name="Right Bracket 13"/>
        <xdr:cNvSpPr/>
      </xdr:nvSpPr>
      <xdr:spPr>
        <a:xfrm rot="5400000">
          <a:off x="8792135" y="6225991"/>
          <a:ext cx="119739" cy="1682165"/>
        </a:xfrm>
        <a:prstGeom prst="rightBracket">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6</xdr:col>
      <xdr:colOff>1133905</xdr:colOff>
      <xdr:row>20</xdr:row>
      <xdr:rowOff>88481</xdr:rowOff>
    </xdr:from>
    <xdr:to>
      <xdr:col>10</xdr:col>
      <xdr:colOff>494370</xdr:colOff>
      <xdr:row>23</xdr:row>
      <xdr:rowOff>14333</xdr:rowOff>
    </xdr:to>
    <xdr:sp macro="" textlink="">
      <xdr:nvSpPr>
        <xdr:cNvPr id="15" name="TextBox 14"/>
        <xdr:cNvSpPr txBox="1"/>
      </xdr:nvSpPr>
      <xdr:spPr>
        <a:xfrm>
          <a:off x="6138860" y="4348754"/>
          <a:ext cx="3551465" cy="549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effectLst/>
            </a:rPr>
            <a:t>Daily Return  Destribution</a:t>
          </a:r>
          <a:endParaRPr lang="en-IN" sz="2000" b="1">
            <a:solidFill>
              <a:schemeClr val="tx1"/>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707571</xdr:colOff>
      <xdr:row>30</xdr:row>
      <xdr:rowOff>115582</xdr:rowOff>
    </xdr:from>
    <xdr:to>
      <xdr:col>14</xdr:col>
      <xdr:colOff>192100</xdr:colOff>
      <xdr:row>42</xdr:row>
      <xdr:rowOff>183298</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204107</xdr:colOff>
      <xdr:row>3</xdr:row>
      <xdr:rowOff>81643</xdr:rowOff>
    </xdr:from>
    <xdr:to>
      <xdr:col>13</xdr:col>
      <xdr:colOff>472353</xdr:colOff>
      <xdr:row>6</xdr:row>
      <xdr:rowOff>183963</xdr:rowOff>
    </xdr:to>
    <xdr:pic>
      <xdr:nvPicPr>
        <xdr:cNvPr id="4" name="Picture 3" descr="Trent Limited logo in transparent PNG and vectorized SVG formats"/>
        <xdr:cNvPicPr>
          <a:picLocks noChangeAspect="1" noChangeArrowheads="1"/>
        </xdr:cNvPicPr>
      </xdr:nvPicPr>
      <xdr:blipFill>
        <a:blip xmlns:r="http://schemas.openxmlformats.org/officeDocument/2006/relationships" r:embed="rId2" cstate="hqprint">
          <a:extLst>
            <a:ext uri="{28A0092B-C50C-407E-A947-70E740481C1C}">
              <a14:useLocalDpi xmlns:a14="http://schemas.microsoft.com/office/drawing/2010/main" val="0"/>
            </a:ext>
          </a:extLst>
        </a:blip>
        <a:srcRect/>
        <a:stretch>
          <a:fillRect/>
        </a:stretch>
      </xdr:blipFill>
      <xdr:spPr bwMode="auto">
        <a:xfrm>
          <a:off x="6966857" y="653143"/>
          <a:ext cx="2037175" cy="673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3" Type="http://schemas.openxmlformats.org/officeDocument/2006/relationships/hyperlink" Target="https://www.screener.in/company/DMART/consolidated/" TargetMode="External"/><Relationship Id="rId2" Type="http://schemas.openxmlformats.org/officeDocument/2006/relationships/hyperlink" Target="https://www.screener.in/company/PAGEIND/" TargetMode="External"/><Relationship Id="rId1" Type="http://schemas.openxmlformats.org/officeDocument/2006/relationships/hyperlink" Target="https://www.screener.in/company/MANYAVAR/" TargetMode="External"/><Relationship Id="rId5" Type="http://schemas.openxmlformats.org/officeDocument/2006/relationships/printerSettings" Target="../printerSettings/printerSettings16.bin"/><Relationship Id="rId4" Type="http://schemas.openxmlformats.org/officeDocument/2006/relationships/hyperlink" Target="https://www.screener.in/company/V2RETAIL/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W119"/>
  <sheetViews>
    <sheetView showGridLines="0" zoomScale="55" zoomScaleNormal="55" zoomScaleSheetLayoutView="55" workbookViewId="0">
      <pane xSplit="1" ySplit="7" topLeftCell="B16" activePane="bottomRight" state="frozen"/>
      <selection activeCell="B60" sqref="B60"/>
      <selection pane="topRight" activeCell="B60" sqref="B60"/>
      <selection pane="bottomLeft" activeCell="B60" sqref="B60"/>
      <selection pane="bottomRight" activeCell="D48" sqref="D48"/>
    </sheetView>
  </sheetViews>
  <sheetFormatPr defaultRowHeight="14.25"/>
  <cols>
    <col min="1" max="1" width="3.7109375" style="71" bestFit="1" customWidth="1"/>
    <col min="2" max="2" width="39.85546875" style="71" bestFit="1" customWidth="1"/>
    <col min="3" max="3" width="18" style="71" customWidth="1"/>
    <col min="4" max="4" width="16" style="71" customWidth="1"/>
    <col min="5" max="5" width="17.140625" style="71" customWidth="1"/>
    <col min="6" max="7" width="17.42578125" style="71" customWidth="1"/>
    <col min="8" max="8" width="17" style="71" customWidth="1"/>
    <col min="9" max="9" width="19.28515625" style="71" customWidth="1"/>
    <col min="10" max="10" width="17.85546875" style="71" customWidth="1"/>
    <col min="11" max="12" width="18.28515625" style="71" customWidth="1"/>
    <col min="13" max="13" width="18" style="71" customWidth="1"/>
    <col min="14" max="14" width="9.140625" style="71"/>
    <col min="15" max="15" width="120.140625" style="71" bestFit="1" customWidth="1"/>
    <col min="16" max="21" width="9.140625" style="71"/>
    <col min="22" max="22" width="11.28515625" style="71" bestFit="1" customWidth="1"/>
    <col min="23" max="23" width="10.85546875" style="71" bestFit="1" customWidth="1"/>
    <col min="24" max="16384" width="9.140625" style="71"/>
  </cols>
  <sheetData>
    <row r="1" spans="1:13" ht="15" thickBot="1"/>
    <row r="2" spans="1:13" ht="29.25" thickTop="1" thickBot="1">
      <c r="B2" s="142" t="str">
        <f>'Dupont Analysis'!B3</f>
        <v>TRENT LTD</v>
      </c>
      <c r="C2" s="134"/>
      <c r="D2" s="134"/>
      <c r="E2" s="134"/>
      <c r="F2" s="134"/>
      <c r="G2" s="134"/>
      <c r="H2" s="143"/>
      <c r="I2" s="134"/>
      <c r="J2" s="134"/>
      <c r="K2" s="134"/>
      <c r="L2" s="134"/>
      <c r="M2" s="144"/>
    </row>
    <row r="3" spans="1:13" s="79" customFormat="1" ht="15" thickTop="1">
      <c r="B3" s="114" t="str">
        <f>'Dupont Analysis'!B4</f>
        <v>( TRENT | BSE Code: 500251)</v>
      </c>
      <c r="M3" s="103"/>
    </row>
    <row r="4" spans="1:13" s="79" customFormat="1">
      <c r="M4" s="103"/>
    </row>
    <row r="5" spans="1:13" s="79" customFormat="1">
      <c r="B5" s="316" t="s">
        <v>8932</v>
      </c>
      <c r="M5" s="103"/>
    </row>
    <row r="6" spans="1:13" ht="26.25" customHeight="1">
      <c r="B6" s="817" t="str">
        <f>"Historical Financial Statement - "&amp;'Data Sheet'!B1</f>
        <v>Historical Financial Statement - TRENT LTD</v>
      </c>
      <c r="C6" s="817"/>
      <c r="D6" s="817"/>
      <c r="E6" s="817"/>
      <c r="F6" s="817"/>
      <c r="G6" s="817"/>
      <c r="H6" s="817"/>
      <c r="I6" s="817"/>
      <c r="J6" s="817"/>
      <c r="K6" s="817"/>
      <c r="L6" s="817"/>
      <c r="M6" s="817"/>
    </row>
    <row r="7" spans="1:13" ht="23.25" customHeight="1">
      <c r="B7" s="773" t="s">
        <v>55</v>
      </c>
      <c r="C7" s="189">
        <f>'Data Sheet'!B16</f>
        <v>42460</v>
      </c>
      <c r="D7" s="189">
        <f>'Data Sheet'!C16</f>
        <v>42825</v>
      </c>
      <c r="E7" s="189">
        <f>'Data Sheet'!D16</f>
        <v>43190</v>
      </c>
      <c r="F7" s="189">
        <f>'Data Sheet'!E16</f>
        <v>43555</v>
      </c>
      <c r="G7" s="189">
        <f>'Data Sheet'!F16</f>
        <v>43921</v>
      </c>
      <c r="H7" s="189">
        <f>'Data Sheet'!G16</f>
        <v>44286</v>
      </c>
      <c r="I7" s="189">
        <f>'Data Sheet'!H16</f>
        <v>44651</v>
      </c>
      <c r="J7" s="189">
        <f>'Data Sheet'!I16</f>
        <v>45016</v>
      </c>
      <c r="K7" s="189">
        <f>'Data Sheet'!J16</f>
        <v>45382</v>
      </c>
      <c r="L7" s="189">
        <f>'Data Sheet'!K16</f>
        <v>45747</v>
      </c>
      <c r="M7" s="774" t="s">
        <v>56</v>
      </c>
    </row>
    <row r="8" spans="1:13">
      <c r="B8" s="129"/>
      <c r="C8" s="129"/>
      <c r="D8" s="129"/>
      <c r="E8" s="103"/>
      <c r="F8" s="114"/>
      <c r="G8" s="79"/>
      <c r="H8" s="103"/>
      <c r="I8" s="79"/>
      <c r="J8" s="79"/>
      <c r="K8" s="103"/>
      <c r="L8" s="239"/>
      <c r="M8" s="103"/>
    </row>
    <row r="9" spans="1:13" ht="25.5" customHeight="1" thickBot="1">
      <c r="A9" s="80" t="s">
        <v>57</v>
      </c>
      <c r="B9" s="147" t="s">
        <v>8858</v>
      </c>
      <c r="C9" s="148"/>
      <c r="D9" s="148"/>
      <c r="E9" s="146"/>
      <c r="F9" s="145"/>
      <c r="G9" s="146"/>
      <c r="H9" s="148"/>
      <c r="I9" s="145"/>
      <c r="J9" s="145"/>
      <c r="K9" s="146"/>
      <c r="L9" s="767"/>
      <c r="M9" s="146"/>
    </row>
    <row r="10" spans="1:13" ht="16.5" thickTop="1">
      <c r="B10" s="104" t="s">
        <v>1</v>
      </c>
      <c r="C10" s="123">
        <f>IFERROR('Data Sheet'!B17,0)</f>
        <v>1686.17</v>
      </c>
      <c r="D10" s="158">
        <f>IFERROR('Data Sheet'!C17,0)</f>
        <v>1812.44</v>
      </c>
      <c r="E10" s="123">
        <f>IFERROR('Data Sheet'!D17,0)</f>
        <v>2157.46</v>
      </c>
      <c r="F10" s="90">
        <f>IFERROR('Data Sheet'!E17,0)</f>
        <v>2630.24</v>
      </c>
      <c r="G10" s="123">
        <f>IFERROR('Data Sheet'!F17,0)</f>
        <v>3485.98</v>
      </c>
      <c r="H10" s="158">
        <f>IFERROR('Data Sheet'!G17,0)</f>
        <v>2592.96</v>
      </c>
      <c r="I10" s="90">
        <f>IFERROR('Data Sheet'!H17,0)</f>
        <v>4498.0200000000004</v>
      </c>
      <c r="J10" s="90">
        <f>IFERROR('Data Sheet'!I17,0)</f>
        <v>8242.02</v>
      </c>
      <c r="K10" s="182">
        <f>IFERROR('Data Sheet'!J17,0)</f>
        <v>12375.11</v>
      </c>
      <c r="L10" s="186">
        <f>IFERROR('Data Sheet'!K17,0)</f>
        <v>17134.61</v>
      </c>
      <c r="M10" s="167">
        <f>IFERROR(SUM('Data Sheet'!H42:K42),0)</f>
        <v>19263.16</v>
      </c>
    </row>
    <row r="11" spans="1:13" ht="15">
      <c r="B11" s="105" t="s">
        <v>10</v>
      </c>
      <c r="C11" s="149" t="s">
        <v>105</v>
      </c>
      <c r="D11" s="137">
        <f>D10/C10-1</f>
        <v>7.4885687682736624E-2</v>
      </c>
      <c r="E11" s="105">
        <f t="shared" ref="E11:L11" si="0">E10/D10-1</f>
        <v>0.19036216371300574</v>
      </c>
      <c r="F11" s="137">
        <f t="shared" si="0"/>
        <v>0.21913731888424337</v>
      </c>
      <c r="G11" s="105">
        <f t="shared" si="0"/>
        <v>0.32534673641949041</v>
      </c>
      <c r="H11" s="137">
        <f t="shared" si="0"/>
        <v>-0.25617473422107984</v>
      </c>
      <c r="I11" s="91">
        <f t="shared" si="0"/>
        <v>0.73470473898556099</v>
      </c>
      <c r="J11" s="91">
        <f t="shared" si="0"/>
        <v>0.83236624114610414</v>
      </c>
      <c r="K11" s="105">
        <f t="shared" si="0"/>
        <v>0.50146566011730132</v>
      </c>
      <c r="L11" s="184">
        <f t="shared" si="0"/>
        <v>0.38460264191591031</v>
      </c>
      <c r="M11" s="168">
        <f>M10/L10-1</f>
        <v>0.12422517933002264</v>
      </c>
    </row>
    <row r="12" spans="1:13" ht="15">
      <c r="B12" s="106"/>
      <c r="C12" s="106"/>
      <c r="D12" s="122"/>
      <c r="E12" s="106"/>
      <c r="F12" s="122"/>
      <c r="G12" s="106"/>
      <c r="H12" s="122"/>
      <c r="I12" s="92"/>
      <c r="J12" s="92"/>
      <c r="K12" s="106"/>
      <c r="L12" s="185"/>
      <c r="M12" s="169"/>
    </row>
    <row r="13" spans="1:13" ht="15.75">
      <c r="B13" s="104" t="s">
        <v>59</v>
      </c>
      <c r="C13" s="123">
        <f>IFERROR(SUM('Data Sheet'!B18,-'Data Sheet'!B19,'Data Sheet'!B20:B21),0)</f>
        <v>920.94999999999993</v>
      </c>
      <c r="D13" s="158">
        <f>IFERROR(SUM('Data Sheet'!C18,-'Data Sheet'!C19,'Data Sheet'!C20:C21),0)</f>
        <v>1014.55</v>
      </c>
      <c r="E13" s="123">
        <f>IFERROR(SUM('Data Sheet'!D18,-'Data Sheet'!D19,'Data Sheet'!D20:D21),0)</f>
        <v>1175.04</v>
      </c>
      <c r="F13" s="158">
        <f>IFERROR(SUM('Data Sheet'!E18,-'Data Sheet'!E19,'Data Sheet'!E20:E21),0)</f>
        <v>1492.71</v>
      </c>
      <c r="G13" s="123">
        <f>IFERROR(SUM('Data Sheet'!F18,-'Data Sheet'!F19,'Data Sheet'!F20:F21),0)</f>
        <v>2045.9</v>
      </c>
      <c r="H13" s="158">
        <f>IFERROR(SUM('Data Sheet'!G18,-'Data Sheet'!G19,'Data Sheet'!G20:G21),0)</f>
        <v>1675.41</v>
      </c>
      <c r="I13" s="90">
        <f>IFERROR(SUM('Data Sheet'!H18,-'Data Sheet'!H19,'Data Sheet'!H20:H21),0)</f>
        <v>2680.5699999999997</v>
      </c>
      <c r="J13" s="90">
        <f>IFERROR(SUM('Data Sheet'!I18,-'Data Sheet'!I19,'Data Sheet'!I20:I21),0)</f>
        <v>5076.0099999999993</v>
      </c>
      <c r="K13" s="123">
        <f>IFERROR(SUM('Data Sheet'!J18,-'Data Sheet'!J19,'Data Sheet'!J20:J21),0)</f>
        <v>7452.64</v>
      </c>
      <c r="L13" s="186">
        <f>IFERROR(SUM('Data Sheet'!K18,-'Data Sheet'!K19,'Data Sheet'!K20:K21),0)</f>
        <v>10408.800000000001</v>
      </c>
      <c r="M13" s="170">
        <f>IFERROR(SUM('Data Sheet'!H43:K43),0)</f>
        <v>15867.339999999998</v>
      </c>
    </row>
    <row r="14" spans="1:13" ht="15">
      <c r="B14" s="91" t="s">
        <v>61</v>
      </c>
      <c r="C14" s="105">
        <f>C13/C10</f>
        <v>0.54617861781433652</v>
      </c>
      <c r="D14" s="137">
        <f t="shared" ref="D14:M14" si="1">D13/D10</f>
        <v>0.55977025446359596</v>
      </c>
      <c r="E14" s="105">
        <f t="shared" si="1"/>
        <v>0.5446404568334986</v>
      </c>
      <c r="F14" s="137">
        <f t="shared" si="1"/>
        <v>0.56751855343999036</v>
      </c>
      <c r="G14" s="105">
        <f t="shared" si="1"/>
        <v>0.58689378596549613</v>
      </c>
      <c r="H14" s="137">
        <f t="shared" si="1"/>
        <v>0.64613800444279901</v>
      </c>
      <c r="I14" s="91">
        <f t="shared" si="1"/>
        <v>0.59594443777484307</v>
      </c>
      <c r="J14" s="91">
        <f t="shared" si="1"/>
        <v>0.61586965331314403</v>
      </c>
      <c r="K14" s="105">
        <f t="shared" si="1"/>
        <v>0.60222818221413787</v>
      </c>
      <c r="L14" s="184">
        <f t="shared" si="1"/>
        <v>0.60747224477242268</v>
      </c>
      <c r="M14" s="171">
        <f t="shared" si="1"/>
        <v>0.82371428156128057</v>
      </c>
    </row>
    <row r="15" spans="1:13" ht="15">
      <c r="B15" s="106"/>
      <c r="C15" s="106"/>
      <c r="D15" s="122"/>
      <c r="E15" s="106"/>
      <c r="F15" s="122"/>
      <c r="G15" s="106"/>
      <c r="H15" s="122"/>
      <c r="I15" s="92"/>
      <c r="J15" s="92"/>
      <c r="K15" s="106"/>
      <c r="L15" s="185"/>
      <c r="M15" s="172"/>
    </row>
    <row r="16" spans="1:13" ht="15">
      <c r="B16" s="138" t="s">
        <v>63</v>
      </c>
      <c r="C16" s="150">
        <f>C10-C13</f>
        <v>765.22000000000014</v>
      </c>
      <c r="D16" s="159">
        <f>D10-D13</f>
        <v>797.8900000000001</v>
      </c>
      <c r="E16" s="150">
        <f t="shared" ref="E16:M16" si="2">E10-E13</f>
        <v>982.42000000000007</v>
      </c>
      <c r="F16" s="159">
        <f t="shared" si="2"/>
        <v>1137.5299999999997</v>
      </c>
      <c r="G16" s="150">
        <f t="shared" si="2"/>
        <v>1440.08</v>
      </c>
      <c r="H16" s="159">
        <f t="shared" si="2"/>
        <v>917.55</v>
      </c>
      <c r="I16" s="150">
        <f t="shared" si="2"/>
        <v>1817.4500000000007</v>
      </c>
      <c r="J16" s="150">
        <f t="shared" si="2"/>
        <v>3166.0100000000011</v>
      </c>
      <c r="K16" s="150">
        <f t="shared" si="2"/>
        <v>4922.47</v>
      </c>
      <c r="L16" s="187">
        <f t="shared" si="2"/>
        <v>6725.8099999999995</v>
      </c>
      <c r="M16" s="173">
        <f t="shared" si="2"/>
        <v>3395.8200000000015</v>
      </c>
    </row>
    <row r="17" spans="1:23" ht="15">
      <c r="B17" s="105" t="s">
        <v>60</v>
      </c>
      <c r="C17" s="105">
        <f>C16/C10</f>
        <v>0.45382138218566342</v>
      </c>
      <c r="D17" s="137">
        <f t="shared" ref="D17:M17" si="3">D16/D10</f>
        <v>0.44022974553640398</v>
      </c>
      <c r="E17" s="105">
        <f t="shared" si="3"/>
        <v>0.4553595431665014</v>
      </c>
      <c r="F17" s="137">
        <f t="shared" si="3"/>
        <v>0.4324814465600097</v>
      </c>
      <c r="G17" s="105">
        <f t="shared" si="3"/>
        <v>0.41310621403450393</v>
      </c>
      <c r="H17" s="137">
        <f t="shared" si="3"/>
        <v>0.35386199555720099</v>
      </c>
      <c r="I17" s="91">
        <f t="shared" si="3"/>
        <v>0.40405556222515698</v>
      </c>
      <c r="J17" s="91">
        <f t="shared" si="3"/>
        <v>0.38413034668685603</v>
      </c>
      <c r="K17" s="105">
        <f t="shared" si="3"/>
        <v>0.39777181778586213</v>
      </c>
      <c r="L17" s="109">
        <f t="shared" si="3"/>
        <v>0.39252775522757738</v>
      </c>
      <c r="M17" s="171">
        <f t="shared" si="3"/>
        <v>0.17628571843871937</v>
      </c>
    </row>
    <row r="18" spans="1:23" ht="15">
      <c r="B18" s="106"/>
      <c r="C18" s="106"/>
      <c r="D18" s="122"/>
      <c r="E18" s="106"/>
      <c r="F18" s="122"/>
      <c r="G18" s="106"/>
      <c r="H18" s="122"/>
      <c r="I18" s="92"/>
      <c r="J18" s="92"/>
      <c r="K18" s="106"/>
      <c r="L18" s="110"/>
      <c r="M18" s="172"/>
    </row>
    <row r="19" spans="1:23" ht="15">
      <c r="B19" s="106" t="s">
        <v>62</v>
      </c>
      <c r="C19" s="123">
        <f>IFERROR(SUM('Data Sheet'!B22:B24),0)</f>
        <v>675.46</v>
      </c>
      <c r="D19" s="158">
        <f>IFERROR(SUM('Data Sheet'!C22:C24),0)</f>
        <v>664.36</v>
      </c>
      <c r="E19" s="123">
        <f>IFERROR(SUM('Data Sheet'!D22:D24),0)</f>
        <v>773.92</v>
      </c>
      <c r="F19" s="158">
        <f>IFERROR(SUM('Data Sheet'!E22:E24),0)</f>
        <v>896.89</v>
      </c>
      <c r="G19" s="123">
        <f>IFERROR(SUM('Data Sheet'!F22:F24),0)</f>
        <v>911.1099999999999</v>
      </c>
      <c r="H19" s="158">
        <f>IFERROR(SUM('Data Sheet'!G22:G24),0)</f>
        <v>803.68</v>
      </c>
      <c r="I19" s="90">
        <f>IFERROR(SUM('Data Sheet'!H22:H24),0)</f>
        <v>1222.73</v>
      </c>
      <c r="J19" s="90">
        <f>IFERROR(SUM('Data Sheet'!I22:I24),0)</f>
        <v>2051.8599999999997</v>
      </c>
      <c r="K19" s="123">
        <f>IFERROR(SUM('Data Sheet'!J22:J24),0)</f>
        <v>2951.7799999999997</v>
      </c>
      <c r="L19" s="188">
        <f>IFERROR(SUM('Data Sheet'!K22:K24),0)</f>
        <v>3905.85</v>
      </c>
      <c r="M19" s="170">
        <f>IFERROR(SUM('Data Sheet'!L23:L24),0)</f>
        <v>0</v>
      </c>
    </row>
    <row r="20" spans="1:23" ht="15">
      <c r="B20" s="135" t="s">
        <v>64</v>
      </c>
      <c r="C20" s="105">
        <f>C19/C10</f>
        <v>0.40058831553164864</v>
      </c>
      <c r="D20" s="137">
        <f t="shared" ref="D20:M20" si="4">D19/D10</f>
        <v>0.36655558252962855</v>
      </c>
      <c r="E20" s="105">
        <f t="shared" si="4"/>
        <v>0.35871812223633343</v>
      </c>
      <c r="F20" s="137">
        <f t="shared" si="4"/>
        <v>0.3409916965752175</v>
      </c>
      <c r="G20" s="105">
        <f t="shared" si="4"/>
        <v>0.26136409273719297</v>
      </c>
      <c r="H20" s="137">
        <f t="shared" si="4"/>
        <v>0.30994693323460443</v>
      </c>
      <c r="I20" s="91">
        <f t="shared" si="4"/>
        <v>0.27183738622771797</v>
      </c>
      <c r="J20" s="91">
        <f t="shared" si="4"/>
        <v>0.24895110664618619</v>
      </c>
      <c r="K20" s="105">
        <f t="shared" si="4"/>
        <v>0.2385255565405075</v>
      </c>
      <c r="L20" s="109">
        <f t="shared" si="4"/>
        <v>0.22795091338524773</v>
      </c>
      <c r="M20" s="171">
        <f t="shared" si="4"/>
        <v>0</v>
      </c>
      <c r="N20" s="71">
        <f>IFERROR((HistoricalFS!C22-HistoricalFS!C31)/(SUM(HistoricalFS!C57:C59)),0)</f>
        <v>2.2545985119542592E-2</v>
      </c>
    </row>
    <row r="21" spans="1:23" ht="15">
      <c r="B21" s="106"/>
      <c r="C21" s="106"/>
      <c r="D21" s="122"/>
      <c r="E21" s="106"/>
      <c r="F21" s="122"/>
      <c r="G21" s="106"/>
      <c r="H21" s="122"/>
      <c r="I21" s="92"/>
      <c r="J21" s="92"/>
      <c r="K21" s="106"/>
      <c r="L21" s="110"/>
      <c r="M21" s="172"/>
    </row>
    <row r="22" spans="1:23" ht="15.75" thickBot="1">
      <c r="B22" s="138" t="s">
        <v>65</v>
      </c>
      <c r="C22" s="151">
        <f>C16-C19</f>
        <v>89.760000000000105</v>
      </c>
      <c r="D22" s="160">
        <f t="shared" ref="D22:K22" si="5">D16-D19</f>
        <v>133.53000000000009</v>
      </c>
      <c r="E22" s="151">
        <f t="shared" si="5"/>
        <v>208.50000000000011</v>
      </c>
      <c r="F22" s="160">
        <f t="shared" si="5"/>
        <v>240.63999999999976</v>
      </c>
      <c r="G22" s="151">
        <f t="shared" si="5"/>
        <v>528.97</v>
      </c>
      <c r="H22" s="160">
        <f t="shared" si="5"/>
        <v>113.87</v>
      </c>
      <c r="I22" s="150">
        <f t="shared" si="5"/>
        <v>594.72000000000071</v>
      </c>
      <c r="J22" s="150">
        <f t="shared" si="5"/>
        <v>1114.1500000000015</v>
      </c>
      <c r="K22" s="150">
        <f t="shared" si="5"/>
        <v>1970.6900000000005</v>
      </c>
      <c r="L22" s="178">
        <f>L16-L19</f>
        <v>2819.9599999999996</v>
      </c>
      <c r="M22" s="173">
        <f>M16-M19</f>
        <v>3395.8200000000015</v>
      </c>
      <c r="V22" s="81">
        <f>I40+I37+I25</f>
        <v>269.88000000000073</v>
      </c>
      <c r="W22" s="81">
        <f>J40+J37+J25</f>
        <v>705.16000000000145</v>
      </c>
    </row>
    <row r="23" spans="1:23" ht="16.5" thickTop="1">
      <c r="A23" s="80"/>
      <c r="B23" s="105" t="s">
        <v>66</v>
      </c>
      <c r="C23" s="152">
        <f>C22/C10</f>
        <v>5.3233066654014782E-2</v>
      </c>
      <c r="D23" s="137">
        <f t="shared" ref="D23:M23" si="6">D22/D10</f>
        <v>7.3674163006775442E-2</v>
      </c>
      <c r="E23" s="105">
        <f t="shared" si="6"/>
        <v>9.6641420930167934E-2</v>
      </c>
      <c r="F23" s="137">
        <f t="shared" si="6"/>
        <v>9.1489749984792174E-2</v>
      </c>
      <c r="G23" s="105">
        <f t="shared" si="6"/>
        <v>0.15174212129731096</v>
      </c>
      <c r="H23" s="91">
        <f t="shared" si="6"/>
        <v>4.3915062322596572E-2</v>
      </c>
      <c r="I23" s="91">
        <f t="shared" si="6"/>
        <v>0.13221817599743901</v>
      </c>
      <c r="J23" s="91">
        <f t="shared" si="6"/>
        <v>0.13517924004066981</v>
      </c>
      <c r="K23" s="105">
        <f t="shared" si="6"/>
        <v>0.15924626124535463</v>
      </c>
      <c r="L23" s="109">
        <f t="shared" si="6"/>
        <v>0.16457684184232962</v>
      </c>
      <c r="M23" s="171">
        <f t="shared" si="6"/>
        <v>0.17628571843871937</v>
      </c>
      <c r="O23" s="134"/>
    </row>
    <row r="24" spans="1:23" ht="15.75" thickBot="1">
      <c r="B24" s="106"/>
      <c r="C24" s="106"/>
      <c r="D24" s="122"/>
      <c r="E24" s="106"/>
      <c r="F24" s="122"/>
      <c r="G24" s="106"/>
      <c r="H24" s="92"/>
      <c r="I24" s="92"/>
      <c r="J24" s="92"/>
      <c r="K24" s="106"/>
      <c r="L24" s="110"/>
      <c r="M24" s="172"/>
    </row>
    <row r="25" spans="1:23" ht="15.75" thickTop="1">
      <c r="B25" s="136" t="s">
        <v>5</v>
      </c>
      <c r="C25" s="153">
        <f>IFERROR('Data Sheet'!B26,0)</f>
        <v>38.590000000000003</v>
      </c>
      <c r="D25" s="161">
        <f>IFERROR('Data Sheet'!C26,0)</f>
        <v>41.29</v>
      </c>
      <c r="E25" s="153">
        <f>IFERROR('Data Sheet'!D26,0)</f>
        <v>45.53</v>
      </c>
      <c r="F25" s="161">
        <f>IFERROR('Data Sheet'!E26,0)</f>
        <v>51.67</v>
      </c>
      <c r="G25" s="153">
        <f>IFERROR('Data Sheet'!F26,0)</f>
        <v>247.24</v>
      </c>
      <c r="H25" s="108">
        <f>IFERROR('Data Sheet'!G26,0)</f>
        <v>257.3</v>
      </c>
      <c r="I25" s="108">
        <f>IFERROR('Data Sheet'!H26,0)</f>
        <v>310.82</v>
      </c>
      <c r="J25" s="108">
        <f>IFERROR('Data Sheet'!I26,0)</f>
        <v>493.69</v>
      </c>
      <c r="K25" s="153">
        <f>IFERROR('Data Sheet'!J26,0)</f>
        <v>671.11</v>
      </c>
      <c r="L25" s="111">
        <f>IFERROR('Data Sheet'!K26,0)</f>
        <v>895.18</v>
      </c>
      <c r="M25" s="174">
        <f>IFERROR('Data Sheet'!L26,0)</f>
        <v>0</v>
      </c>
    </row>
    <row r="26" spans="1:23" ht="15">
      <c r="B26" s="137" t="s">
        <v>67</v>
      </c>
      <c r="C26" s="105">
        <f>C25/C10</f>
        <v>2.288618585314648E-2</v>
      </c>
      <c r="D26" s="137">
        <f t="shared" ref="D26:M26" si="7">D25/D10</f>
        <v>2.278144379951888E-2</v>
      </c>
      <c r="E26" s="105">
        <f t="shared" si="7"/>
        <v>2.1103519879858722E-2</v>
      </c>
      <c r="F26" s="137">
        <f t="shared" si="7"/>
        <v>1.9644595170022511E-2</v>
      </c>
      <c r="G26" s="105">
        <f t="shared" si="7"/>
        <v>7.092410168733039E-2</v>
      </c>
      <c r="H26" s="94">
        <f t="shared" si="7"/>
        <v>9.9230223374058998E-2</v>
      </c>
      <c r="I26" s="94">
        <f t="shared" si="7"/>
        <v>6.9101515778053443E-2</v>
      </c>
      <c r="J26" s="94">
        <f t="shared" si="7"/>
        <v>5.9899150936299592E-2</v>
      </c>
      <c r="K26" s="105">
        <f t="shared" si="7"/>
        <v>5.4230629061075009E-2</v>
      </c>
      <c r="L26" s="109">
        <f t="shared" si="7"/>
        <v>5.2243967035141149E-2</v>
      </c>
      <c r="M26" s="171">
        <f t="shared" si="7"/>
        <v>0</v>
      </c>
      <c r="N26" s="252"/>
    </row>
    <row r="27" spans="1:23" ht="15">
      <c r="B27" s="137"/>
      <c r="C27" s="105"/>
      <c r="D27" s="137"/>
      <c r="E27" s="105"/>
      <c r="F27" s="137"/>
      <c r="G27" s="105"/>
      <c r="H27" s="94"/>
      <c r="I27" s="94"/>
      <c r="J27" s="94"/>
      <c r="K27" s="105"/>
      <c r="L27" s="109"/>
      <c r="M27" s="171"/>
    </row>
    <row r="28" spans="1:23" ht="15">
      <c r="B28" s="140" t="s">
        <v>284</v>
      </c>
      <c r="C28" s="151">
        <f>C22-C25</f>
        <v>51.170000000000101</v>
      </c>
      <c r="D28" s="160">
        <f t="shared" ref="D28:M28" si="8">D22-D25</f>
        <v>92.240000000000094</v>
      </c>
      <c r="E28" s="151">
        <f t="shared" si="8"/>
        <v>162.97000000000011</v>
      </c>
      <c r="F28" s="160">
        <f t="shared" si="8"/>
        <v>188.96999999999974</v>
      </c>
      <c r="G28" s="151">
        <f t="shared" si="8"/>
        <v>281.73</v>
      </c>
      <c r="H28" s="139">
        <f t="shared" si="8"/>
        <v>-143.43</v>
      </c>
      <c r="I28" s="150">
        <f t="shared" si="8"/>
        <v>283.90000000000072</v>
      </c>
      <c r="J28" s="150">
        <f t="shared" si="8"/>
        <v>620.4600000000014</v>
      </c>
      <c r="K28" s="150">
        <f t="shared" si="8"/>
        <v>1299.5800000000004</v>
      </c>
      <c r="L28" s="178">
        <f t="shared" si="8"/>
        <v>1924.7799999999997</v>
      </c>
      <c r="M28" s="173">
        <f t="shared" si="8"/>
        <v>3395.8200000000015</v>
      </c>
    </row>
    <row r="29" spans="1:23" ht="15">
      <c r="B29" s="137" t="s">
        <v>8836</v>
      </c>
      <c r="C29" s="105">
        <f>C28/C10</f>
        <v>3.0346880800868298E-2</v>
      </c>
      <c r="D29" s="137">
        <f t="shared" ref="D29:M29" si="9">D28/D10</f>
        <v>5.0892719207256569E-2</v>
      </c>
      <c r="E29" s="105">
        <f t="shared" si="9"/>
        <v>7.5537901050309206E-2</v>
      </c>
      <c r="F29" s="137">
        <f t="shared" si="9"/>
        <v>7.1845154814769663E-2</v>
      </c>
      <c r="G29" s="105">
        <f t="shared" si="9"/>
        <v>8.0818019609980557E-2</v>
      </c>
      <c r="H29" s="94">
        <f t="shared" si="9"/>
        <v>-5.5315161051462426E-2</v>
      </c>
      <c r="I29" s="94">
        <f t="shared" si="9"/>
        <v>6.311666021938557E-2</v>
      </c>
      <c r="J29" s="94">
        <f t="shared" si="9"/>
        <v>7.5280089104370215E-2</v>
      </c>
      <c r="K29" s="152">
        <f t="shared" si="9"/>
        <v>0.1050156321842796</v>
      </c>
      <c r="L29" s="109">
        <f t="shared" si="9"/>
        <v>0.11233287480718847</v>
      </c>
      <c r="M29" s="171">
        <f t="shared" si="9"/>
        <v>0.17628571843871937</v>
      </c>
    </row>
    <row r="30" spans="1:23" ht="15">
      <c r="B30" s="122"/>
      <c r="C30" s="106"/>
      <c r="D30" s="122"/>
      <c r="E30" s="106"/>
      <c r="F30" s="122"/>
      <c r="G30" s="106"/>
      <c r="H30" s="95"/>
      <c r="I30" s="95"/>
      <c r="J30" s="95"/>
      <c r="K30" s="106"/>
      <c r="L30" s="110"/>
      <c r="M30" s="172"/>
    </row>
    <row r="31" spans="1:23" ht="15">
      <c r="B31" s="122" t="s">
        <v>8835</v>
      </c>
      <c r="C31" s="125">
        <f>IFERROR('Data Sheet'!B27,0)</f>
        <v>47.73</v>
      </c>
      <c r="D31" s="162">
        <f>IFERROR('Data Sheet'!C27,0)</f>
        <v>45.55</v>
      </c>
      <c r="E31" s="125">
        <f>IFERROR('Data Sheet'!D27,0)</f>
        <v>43.78</v>
      </c>
      <c r="F31" s="162">
        <f>IFERROR('Data Sheet'!E27,0)</f>
        <v>50.64</v>
      </c>
      <c r="G31" s="125">
        <f>IFERROR('Data Sheet'!F27,0)</f>
        <v>263.37</v>
      </c>
      <c r="H31" s="96">
        <f>IFERROR('Data Sheet'!G27,0)</f>
        <v>260.79000000000002</v>
      </c>
      <c r="I31" s="96">
        <f>IFERROR('Data Sheet'!H27,0)</f>
        <v>324.83999999999997</v>
      </c>
      <c r="J31" s="96">
        <f>IFERROR('Data Sheet'!I27,0)</f>
        <v>408.99</v>
      </c>
      <c r="K31" s="125">
        <f>IFERROR('Data Sheet'!J27,0)</f>
        <v>367.66</v>
      </c>
      <c r="L31" s="111">
        <f>IFERROR('Data Sheet'!K27,0)</f>
        <v>200.1</v>
      </c>
      <c r="M31" s="174">
        <f>IFERROR('Data Sheet'!L27,0)</f>
        <v>0</v>
      </c>
    </row>
    <row r="32" spans="1:23" ht="15">
      <c r="B32" s="157" t="s">
        <v>8901</v>
      </c>
      <c r="C32" s="105">
        <f>C31/C10</f>
        <v>2.8306754360473734E-2</v>
      </c>
      <c r="D32" s="137">
        <f>D31/D10</f>
        <v>2.51318664341992E-2</v>
      </c>
      <c r="E32" s="105">
        <f t="shared" ref="E32:M32" si="10">E31/E10</f>
        <v>2.0292380855264986E-2</v>
      </c>
      <c r="F32" s="137">
        <f t="shared" si="10"/>
        <v>1.9252995924326298E-2</v>
      </c>
      <c r="G32" s="105">
        <f t="shared" si="10"/>
        <v>7.5551207981686644E-2</v>
      </c>
      <c r="H32" s="94">
        <f t="shared" si="10"/>
        <v>0.10057617549055906</v>
      </c>
      <c r="I32" s="94">
        <f t="shared" si="10"/>
        <v>7.2218442781490505E-2</v>
      </c>
      <c r="J32" s="94">
        <f t="shared" si="10"/>
        <v>4.9622543988002941E-2</v>
      </c>
      <c r="K32" s="105">
        <f t="shared" si="10"/>
        <v>2.9709634904255398E-2</v>
      </c>
      <c r="L32" s="109">
        <f t="shared" si="10"/>
        <v>1.1678118148005703E-2</v>
      </c>
      <c r="M32" s="171">
        <f t="shared" si="10"/>
        <v>0</v>
      </c>
    </row>
    <row r="33" spans="2:15" ht="15">
      <c r="B33" s="122"/>
      <c r="C33" s="125"/>
      <c r="D33" s="122"/>
      <c r="E33" s="106"/>
      <c r="F33" s="122"/>
      <c r="G33" s="106"/>
      <c r="H33" s="95"/>
      <c r="I33" s="95"/>
      <c r="J33" s="95"/>
      <c r="K33" s="106"/>
      <c r="L33" s="110"/>
      <c r="M33" s="172"/>
    </row>
    <row r="34" spans="2:15" ht="15">
      <c r="B34" s="138" t="s">
        <v>104</v>
      </c>
      <c r="C34" s="154">
        <f>C28-C31</f>
        <v>3.4400000000001043</v>
      </c>
      <c r="D34" s="163">
        <f t="shared" ref="D34:M34" si="11">D28-D31</f>
        <v>46.690000000000097</v>
      </c>
      <c r="E34" s="154">
        <f t="shared" si="11"/>
        <v>119.19000000000011</v>
      </c>
      <c r="F34" s="163">
        <f t="shared" si="11"/>
        <v>138.32999999999976</v>
      </c>
      <c r="G34" s="154">
        <f t="shared" si="11"/>
        <v>18.360000000000014</v>
      </c>
      <c r="H34" s="154">
        <f t="shared" si="11"/>
        <v>-404.22</v>
      </c>
      <c r="I34" s="150">
        <f t="shared" si="11"/>
        <v>-40.939999999999259</v>
      </c>
      <c r="J34" s="150">
        <f t="shared" si="11"/>
        <v>211.47000000000139</v>
      </c>
      <c r="K34" s="150">
        <f t="shared" si="11"/>
        <v>931.9200000000003</v>
      </c>
      <c r="L34" s="178">
        <f t="shared" si="11"/>
        <v>1724.6799999999998</v>
      </c>
      <c r="M34" s="173">
        <f t="shared" si="11"/>
        <v>3395.8200000000015</v>
      </c>
    </row>
    <row r="35" spans="2:15" ht="15">
      <c r="B35" s="137" t="s">
        <v>68</v>
      </c>
      <c r="C35" s="105">
        <f>C34/C10</f>
        <v>2.0401264403945652E-3</v>
      </c>
      <c r="D35" s="137">
        <f t="shared" ref="D35:M35" si="12">D34/D10</f>
        <v>2.5760852773057369E-2</v>
      </c>
      <c r="E35" s="105">
        <f t="shared" si="12"/>
        <v>5.5245520195044223E-2</v>
      </c>
      <c r="F35" s="137">
        <f t="shared" si="12"/>
        <v>5.2592158890443372E-2</v>
      </c>
      <c r="G35" s="105">
        <f t="shared" si="12"/>
        <v>5.2668116282939123E-3</v>
      </c>
      <c r="H35" s="94">
        <f t="shared" si="12"/>
        <v>-0.15589133654202147</v>
      </c>
      <c r="I35" s="94">
        <f t="shared" si="12"/>
        <v>-9.1017825621049382E-3</v>
      </c>
      <c r="J35" s="94">
        <f t="shared" si="12"/>
        <v>2.565754511636727E-2</v>
      </c>
      <c r="K35" s="105">
        <f t="shared" si="12"/>
        <v>7.5305997280024198E-2</v>
      </c>
      <c r="L35" s="109">
        <f t="shared" si="12"/>
        <v>0.10065475665918278</v>
      </c>
      <c r="M35" s="171">
        <f t="shared" si="12"/>
        <v>0.17628571843871937</v>
      </c>
    </row>
    <row r="36" spans="2:15" ht="15">
      <c r="B36" s="122"/>
      <c r="C36" s="106"/>
      <c r="D36" s="122"/>
      <c r="E36" s="106"/>
      <c r="F36" s="122"/>
      <c r="G36" s="106"/>
      <c r="H36" s="95"/>
      <c r="I36" s="95"/>
      <c r="J36" s="95"/>
      <c r="K36" s="106"/>
      <c r="L36" s="110"/>
      <c r="M36" s="172"/>
    </row>
    <row r="37" spans="2:15" ht="15">
      <c r="B37" s="122" t="s">
        <v>8</v>
      </c>
      <c r="C37" s="125">
        <f>IFERROR('Data Sheet'!B29,0)</f>
        <v>34.71</v>
      </c>
      <c r="D37" s="162">
        <f>IFERROR('Data Sheet'!C29,0)</f>
        <v>43.05</v>
      </c>
      <c r="E37" s="125">
        <f>IFERROR('Data Sheet'!D29,0)</f>
        <v>59.62</v>
      </c>
      <c r="F37" s="162">
        <f>IFERROR('Data Sheet'!E29,0)</f>
        <v>73.61</v>
      </c>
      <c r="G37" s="125">
        <f>IFERROR('Data Sheet'!F29,0)</f>
        <v>59.01</v>
      </c>
      <c r="H37" s="96">
        <f>IFERROR('Data Sheet'!G29,0)</f>
        <v>-23.69</v>
      </c>
      <c r="I37" s="96">
        <f>IFERROR('Data Sheet'!H29,0)</f>
        <v>76.62</v>
      </c>
      <c r="J37" s="96">
        <f>IFERROR('Data Sheet'!I29,0)</f>
        <v>158.44</v>
      </c>
      <c r="K37" s="125">
        <f>IFERROR('Data Sheet'!J29,0)</f>
        <v>443.37</v>
      </c>
      <c r="L37" s="111">
        <f>IFERROR('Data Sheet'!K29,0)</f>
        <v>495.33</v>
      </c>
      <c r="M37" s="174">
        <f>IFERROR(SUM('Data Sheet'!H48:K48),0)</f>
        <v>513.53000000000009</v>
      </c>
    </row>
    <row r="38" spans="2:15" ht="15">
      <c r="B38" s="137" t="s">
        <v>69</v>
      </c>
      <c r="C38" s="105">
        <f>C37/C34</f>
        <v>10.090116279069461</v>
      </c>
      <c r="D38" s="137">
        <f t="shared" ref="D38:L38" si="13">D37/D34</f>
        <v>0.9220389805097432</v>
      </c>
      <c r="E38" s="105">
        <f t="shared" si="13"/>
        <v>0.50020974914002803</v>
      </c>
      <c r="F38" s="137">
        <f t="shared" si="13"/>
        <v>0.53213330441697482</v>
      </c>
      <c r="G38" s="105">
        <f t="shared" si="13"/>
        <v>3.2140522875816968</v>
      </c>
      <c r="H38" s="94">
        <f t="shared" si="13"/>
        <v>5.8606699322151304E-2</v>
      </c>
      <c r="I38" s="94">
        <f t="shared" si="13"/>
        <v>-1.8715192965315435</v>
      </c>
      <c r="J38" s="94">
        <f t="shared" si="13"/>
        <v>0.74923156948975722</v>
      </c>
      <c r="K38" s="105">
        <f t="shared" si="13"/>
        <v>0.47575972186453758</v>
      </c>
      <c r="L38" s="109">
        <f t="shared" si="13"/>
        <v>0.28720110397291093</v>
      </c>
      <c r="M38" s="171">
        <f>M37/M34</f>
        <v>0.15122415204575032</v>
      </c>
    </row>
    <row r="39" spans="2:15" ht="15">
      <c r="B39" s="122"/>
      <c r="C39" s="106"/>
      <c r="D39" s="122"/>
      <c r="E39" s="106"/>
      <c r="F39" s="122"/>
      <c r="G39" s="106"/>
      <c r="H39" s="95"/>
      <c r="I39" s="95"/>
      <c r="J39" s="95"/>
      <c r="K39" s="106"/>
      <c r="L39" s="110"/>
      <c r="M39" s="172"/>
    </row>
    <row r="40" spans="2:15" ht="15">
      <c r="B40" s="138" t="s">
        <v>70</v>
      </c>
      <c r="C40" s="154">
        <f>IFERROR(C34-C37,0)</f>
        <v>-31.269999999999897</v>
      </c>
      <c r="D40" s="154">
        <f t="shared" ref="D40:M40" si="14">IFERROR(D34-D37,0)</f>
        <v>3.6400000000001</v>
      </c>
      <c r="E40" s="154">
        <f t="shared" si="14"/>
        <v>59.570000000000114</v>
      </c>
      <c r="F40" s="154">
        <f t="shared" si="14"/>
        <v>64.719999999999757</v>
      </c>
      <c r="G40" s="154">
        <f t="shared" si="14"/>
        <v>-40.649999999999984</v>
      </c>
      <c r="H40" s="154">
        <f t="shared" si="14"/>
        <v>-380.53000000000003</v>
      </c>
      <c r="I40" s="154">
        <f t="shared" si="14"/>
        <v>-117.55999999999926</v>
      </c>
      <c r="J40" s="154">
        <f t="shared" si="14"/>
        <v>53.030000000001394</v>
      </c>
      <c r="K40" s="154">
        <f t="shared" si="14"/>
        <v>488.5500000000003</v>
      </c>
      <c r="L40" s="141">
        <f t="shared" si="14"/>
        <v>1229.3499999999999</v>
      </c>
      <c r="M40" s="175">
        <f t="shared" si="14"/>
        <v>2882.2900000000013</v>
      </c>
      <c r="O40" s="82"/>
    </row>
    <row r="41" spans="2:15" ht="15">
      <c r="B41" s="137" t="s">
        <v>71</v>
      </c>
      <c r="C41" s="105">
        <f>C40/C10</f>
        <v>-1.8544986567190672E-2</v>
      </c>
      <c r="D41" s="137">
        <f t="shared" ref="D41:M41" si="15">D40/D10</f>
        <v>2.0083423451259627E-3</v>
      </c>
      <c r="E41" s="105">
        <f t="shared" si="15"/>
        <v>2.76111723971708E-2</v>
      </c>
      <c r="F41" s="137">
        <f t="shared" si="15"/>
        <v>2.4606119593649157E-2</v>
      </c>
      <c r="G41" s="105">
        <f t="shared" si="15"/>
        <v>-1.1660996333886019E-2</v>
      </c>
      <c r="H41" s="94">
        <f t="shared" si="15"/>
        <v>-0.14675505985437493</v>
      </c>
      <c r="I41" s="94">
        <f t="shared" si="15"/>
        <v>-2.6135944259918643E-2</v>
      </c>
      <c r="J41" s="94">
        <f t="shared" si="15"/>
        <v>6.4341023195771656E-3</v>
      </c>
      <c r="K41" s="105">
        <f t="shared" si="15"/>
        <v>3.9478436959348259E-2</v>
      </c>
      <c r="L41" s="109">
        <f t="shared" si="15"/>
        <v>7.1746599426540783E-2</v>
      </c>
      <c r="M41" s="171">
        <f t="shared" si="15"/>
        <v>0.14962706015004815</v>
      </c>
    </row>
    <row r="42" spans="2:15" ht="15">
      <c r="B42" s="122"/>
      <c r="C42" s="106"/>
      <c r="D42" s="122"/>
      <c r="E42" s="106"/>
      <c r="F42" s="122"/>
      <c r="G42" s="106"/>
      <c r="H42" s="95"/>
      <c r="I42" s="95"/>
      <c r="J42" s="95"/>
      <c r="K42" s="106"/>
      <c r="L42" s="110"/>
      <c r="M42" s="172"/>
    </row>
    <row r="43" spans="2:15" ht="15">
      <c r="B43" s="122" t="s">
        <v>72</v>
      </c>
      <c r="C43" s="106">
        <f>'Data Sheet'!B100</f>
        <v>33.229999999999997</v>
      </c>
      <c r="D43" s="122">
        <f>'Data Sheet'!C100</f>
        <v>33.229999999999997</v>
      </c>
      <c r="E43" s="106">
        <f>'Data Sheet'!D100</f>
        <v>33.229999999999997</v>
      </c>
      <c r="F43" s="122">
        <f>'Data Sheet'!E100</f>
        <v>33.229999999999997</v>
      </c>
      <c r="G43" s="95">
        <f>'Data Sheet'!F100</f>
        <v>35.549999999999997</v>
      </c>
      <c r="H43" s="95">
        <f>'Data Sheet'!G100</f>
        <v>35.549999999999997</v>
      </c>
      <c r="I43" s="95">
        <f>'Data Sheet'!H100</f>
        <v>35.549999999999997</v>
      </c>
      <c r="J43" s="95">
        <f>'Data Sheet'!I100</f>
        <v>35.549999999999997</v>
      </c>
      <c r="K43" s="106">
        <f>'Data Sheet'!J100</f>
        <v>35.549999999999997</v>
      </c>
      <c r="L43" s="110">
        <f>'Data Sheet'!K100</f>
        <v>35.549999999999997</v>
      </c>
      <c r="M43" s="172">
        <f>L43</f>
        <v>35.549999999999997</v>
      </c>
    </row>
    <row r="44" spans="2:15" ht="15">
      <c r="B44" s="122"/>
      <c r="C44" s="106"/>
      <c r="D44" s="122"/>
      <c r="E44" s="106"/>
      <c r="F44" s="122"/>
      <c r="G44" s="122"/>
      <c r="H44" s="95"/>
      <c r="I44" s="95"/>
      <c r="J44" s="95"/>
      <c r="K44" s="106"/>
      <c r="L44" s="110"/>
      <c r="M44" s="172"/>
    </row>
    <row r="45" spans="2:15" ht="15">
      <c r="B45" s="138" t="s">
        <v>131</v>
      </c>
      <c r="C45" s="154">
        <f>IFERROR(C40/C43,0)</f>
        <v>-0.94101715317483903</v>
      </c>
      <c r="D45" s="154">
        <f t="shared" ref="D45:M45" si="16">IFERROR(D40/D43,0)</f>
        <v>0.10953957267529643</v>
      </c>
      <c r="E45" s="154">
        <f t="shared" si="16"/>
        <v>1.7926572374360554</v>
      </c>
      <c r="F45" s="154">
        <f t="shared" si="16"/>
        <v>1.947637676798067</v>
      </c>
      <c r="G45" s="154">
        <f t="shared" si="16"/>
        <v>-1.1434599156118139</v>
      </c>
      <c r="H45" s="154">
        <f t="shared" si="16"/>
        <v>-10.704078762306612</v>
      </c>
      <c r="I45" s="154">
        <f t="shared" si="16"/>
        <v>-3.3068917018283903</v>
      </c>
      <c r="J45" s="154">
        <f t="shared" si="16"/>
        <v>1.4917018284107284</v>
      </c>
      <c r="K45" s="154">
        <f t="shared" si="16"/>
        <v>13.742616033755283</v>
      </c>
      <c r="L45" s="141">
        <f t="shared" si="16"/>
        <v>34.580872011251756</v>
      </c>
      <c r="M45" s="175">
        <f t="shared" si="16"/>
        <v>81.077074542897378</v>
      </c>
    </row>
    <row r="46" spans="2:15" ht="15">
      <c r="B46" s="137" t="s">
        <v>73</v>
      </c>
      <c r="C46" s="105" t="s">
        <v>105</v>
      </c>
      <c r="D46" s="137">
        <f>IFERROR(D45/C45-1,0)</f>
        <v>-1.1164055004796967</v>
      </c>
      <c r="E46" s="105">
        <f t="shared" ref="E46:M46" si="17">IFERROR(E45/D45-1,0)</f>
        <v>15.365384615384198</v>
      </c>
      <c r="F46" s="137">
        <f t="shared" si="17"/>
        <v>8.6452912539862981E-2</v>
      </c>
      <c r="G46" s="137">
        <f t="shared" si="17"/>
        <v>-1.5871009424564386</v>
      </c>
      <c r="H46" s="94">
        <f t="shared" si="17"/>
        <v>8.361131611316118</v>
      </c>
      <c r="I46" s="94">
        <f t="shared" si="17"/>
        <v>-0.69106246550863459</v>
      </c>
      <c r="J46" s="94">
        <f t="shared" si="17"/>
        <v>-1.4510888057162448</v>
      </c>
      <c r="K46" s="105">
        <f t="shared" si="17"/>
        <v>8.212709786912832</v>
      </c>
      <c r="L46" s="109">
        <f t="shared" si="17"/>
        <v>1.5163238153720173</v>
      </c>
      <c r="M46" s="171">
        <f t="shared" si="17"/>
        <v>1.3445642005938114</v>
      </c>
    </row>
    <row r="47" spans="2:15" ht="15">
      <c r="B47" s="122"/>
      <c r="C47" s="106"/>
      <c r="D47" s="122"/>
      <c r="E47" s="106"/>
      <c r="F47" s="122"/>
      <c r="G47" s="122"/>
      <c r="H47" s="95"/>
      <c r="I47" s="95"/>
      <c r="J47" s="95"/>
      <c r="K47" s="106"/>
      <c r="L47" s="110"/>
      <c r="M47" s="172"/>
    </row>
    <row r="48" spans="2:15" ht="15">
      <c r="B48" s="122" t="s">
        <v>74</v>
      </c>
      <c r="C48" s="155">
        <f>IFERROR('Data Sheet'!B31/HistoricalFS!C43,0)</f>
        <v>0.9000902798675896</v>
      </c>
      <c r="D48" s="164">
        <f>IFERROR('Data Sheet'!C31/HistoricalFS!D43,0)</f>
        <v>1</v>
      </c>
      <c r="E48" s="155">
        <f>IFERROR('Data Sheet'!D31/HistoricalFS!E43,0)</f>
        <v>1.1498645801986158</v>
      </c>
      <c r="F48" s="164">
        <f>IFERROR('Data Sheet'!E31/HistoricalFS!F43,0)</f>
        <v>1.3000300932891966</v>
      </c>
      <c r="G48" s="164">
        <f>IFERROR('Data Sheet'!F31/HistoricalFS!G43,0)</f>
        <v>1</v>
      </c>
      <c r="H48" s="97">
        <f>IFERROR('Data Sheet'!G31/HistoricalFS!H43,0)</f>
        <v>0.6</v>
      </c>
      <c r="I48" s="97">
        <f>IFERROR('Data Sheet'!H31/HistoricalFS!I43,0)</f>
        <v>1.70014064697609</v>
      </c>
      <c r="J48" s="97">
        <f>IFERROR('Data Sheet'!I31/HistoricalFS!J43,0)</f>
        <v>2.2000000000000002</v>
      </c>
      <c r="K48" s="155">
        <f>IFERROR('Data Sheet'!J31/HistoricalFS!K43,0)</f>
        <v>2.2000000000000002</v>
      </c>
      <c r="L48" s="112">
        <f>IFERROR('Data Sheet'!K31/HistoricalFS!L43,0)</f>
        <v>2.2000000000000002</v>
      </c>
      <c r="M48" s="176">
        <f>IFERROR('Data Sheet'!L31/HistoricalFS!M43,0)</f>
        <v>0</v>
      </c>
    </row>
    <row r="49" spans="1:13" ht="15">
      <c r="B49" s="137" t="s">
        <v>75</v>
      </c>
      <c r="C49" s="105">
        <f>IFERROR(C48/C45,0)</f>
        <v>-0.95650783498561232</v>
      </c>
      <c r="D49" s="137">
        <f t="shared" ref="D49:M49" si="18">IFERROR(D48/D45,0)</f>
        <v>9.1291208791206273</v>
      </c>
      <c r="E49" s="105">
        <f t="shared" si="18"/>
        <v>0.64143025012590105</v>
      </c>
      <c r="F49" s="137">
        <f t="shared" si="18"/>
        <v>0.66749072929542896</v>
      </c>
      <c r="G49" s="137">
        <f t="shared" si="18"/>
        <v>-0.87453874538745424</v>
      </c>
      <c r="H49" s="94">
        <f t="shared" si="18"/>
        <v>-5.6053399206370057E-2</v>
      </c>
      <c r="I49" s="94">
        <f t="shared" si="18"/>
        <v>-0.5141204491323611</v>
      </c>
      <c r="J49" s="94">
        <f t="shared" si="18"/>
        <v>1.4748255704317923</v>
      </c>
      <c r="K49" s="105">
        <f t="shared" si="18"/>
        <v>0.16008596868283687</v>
      </c>
      <c r="L49" s="109">
        <f t="shared" si="18"/>
        <v>6.3618985642819384E-2</v>
      </c>
      <c r="M49" s="171">
        <f t="shared" si="18"/>
        <v>0</v>
      </c>
    </row>
    <row r="50" spans="1:13" ht="15">
      <c r="B50" s="122"/>
      <c r="C50" s="106"/>
      <c r="D50" s="122"/>
      <c r="E50" s="106"/>
      <c r="F50" s="122"/>
      <c r="G50" s="122"/>
      <c r="H50" s="95"/>
      <c r="I50" s="95"/>
      <c r="J50" s="95"/>
      <c r="K50" s="106"/>
      <c r="L50" s="110"/>
      <c r="M50" s="172"/>
    </row>
    <row r="51" spans="1:13" ht="15">
      <c r="B51" s="122" t="s">
        <v>76</v>
      </c>
      <c r="C51" s="156">
        <f>IFERROR(IF(C45&gt;C48,1-C49,0),0)</f>
        <v>0</v>
      </c>
      <c r="D51" s="165">
        <f t="shared" ref="D51:M51" si="19">IFERROR(IF(D45&gt;D48,1-D49,0),0)</f>
        <v>0</v>
      </c>
      <c r="E51" s="156">
        <f t="shared" si="19"/>
        <v>0.35856974987409895</v>
      </c>
      <c r="F51" s="165">
        <f t="shared" si="19"/>
        <v>0.33250927070457104</v>
      </c>
      <c r="G51" s="165">
        <f t="shared" si="19"/>
        <v>0</v>
      </c>
      <c r="H51" s="99">
        <f t="shared" si="19"/>
        <v>0</v>
      </c>
      <c r="I51" s="99">
        <f t="shared" si="19"/>
        <v>0</v>
      </c>
      <c r="J51" s="99">
        <f t="shared" si="19"/>
        <v>0</v>
      </c>
      <c r="K51" s="156">
        <f t="shared" si="19"/>
        <v>0.83991403131716313</v>
      </c>
      <c r="L51" s="113">
        <f t="shared" si="19"/>
        <v>0.93638101435718057</v>
      </c>
      <c r="M51" s="177">
        <f t="shared" si="19"/>
        <v>1</v>
      </c>
    </row>
    <row r="52" spans="1:13" ht="15" thickBot="1">
      <c r="B52" s="129"/>
      <c r="C52" s="103"/>
      <c r="D52" s="129"/>
      <c r="E52" s="103"/>
      <c r="F52" s="129"/>
      <c r="G52" s="166"/>
      <c r="H52" s="79"/>
      <c r="I52" s="79"/>
      <c r="J52" s="79"/>
      <c r="K52" s="183"/>
      <c r="L52" s="103"/>
    </row>
    <row r="53" spans="1:13" ht="31.5" thickTop="1" thickBot="1">
      <c r="A53" s="71" t="s">
        <v>57</v>
      </c>
      <c r="B53" s="821" t="s">
        <v>77</v>
      </c>
      <c r="C53" s="822"/>
      <c r="D53" s="822"/>
      <c r="E53" s="822"/>
      <c r="F53" s="822"/>
      <c r="G53" s="822"/>
      <c r="H53" s="822"/>
      <c r="I53" s="822"/>
      <c r="J53" s="822"/>
      <c r="K53" s="822"/>
      <c r="L53" s="823"/>
      <c r="M53" s="84"/>
    </row>
    <row r="54" spans="1:13" ht="15.75" thickTop="1">
      <c r="B54" s="115"/>
      <c r="C54" s="190"/>
      <c r="D54" s="85"/>
      <c r="E54" s="85"/>
      <c r="F54" s="85"/>
      <c r="G54" s="85"/>
      <c r="H54" s="85"/>
      <c r="I54" s="85"/>
      <c r="J54" s="85"/>
      <c r="K54" s="85"/>
      <c r="L54" s="116"/>
    </row>
    <row r="55" spans="1:13" ht="15.75">
      <c r="B55" s="117" t="s">
        <v>242</v>
      </c>
      <c r="C55" s="118">
        <f>C7</f>
        <v>42460</v>
      </c>
      <c r="D55" s="118">
        <f t="shared" ref="D55:L55" si="20">D7</f>
        <v>42825</v>
      </c>
      <c r="E55" s="118">
        <f t="shared" si="20"/>
        <v>43190</v>
      </c>
      <c r="F55" s="118">
        <f t="shared" si="20"/>
        <v>43555</v>
      </c>
      <c r="G55" s="118">
        <f t="shared" si="20"/>
        <v>43921</v>
      </c>
      <c r="H55" s="118">
        <f t="shared" si="20"/>
        <v>44286</v>
      </c>
      <c r="I55" s="118">
        <f t="shared" si="20"/>
        <v>44651</v>
      </c>
      <c r="J55" s="118">
        <f t="shared" si="20"/>
        <v>45016</v>
      </c>
      <c r="K55" s="118">
        <f t="shared" si="20"/>
        <v>45382</v>
      </c>
      <c r="L55" s="118">
        <f t="shared" si="20"/>
        <v>45747</v>
      </c>
    </row>
    <row r="56" spans="1:13" s="75" customFormat="1" ht="15.75">
      <c r="B56" s="119"/>
      <c r="C56" s="121"/>
      <c r="D56" s="120"/>
      <c r="E56" s="120"/>
      <c r="F56" s="120"/>
      <c r="G56" s="120"/>
      <c r="H56" s="120"/>
      <c r="I56" s="120"/>
      <c r="J56" s="120"/>
      <c r="K56" s="120"/>
      <c r="L56" s="121"/>
    </row>
    <row r="57" spans="1:13" ht="15">
      <c r="B57" s="122" t="s">
        <v>11</v>
      </c>
      <c r="C57" s="101">
        <f>IFERROR('Data Sheet'!B57,0)</f>
        <v>33.229999999999997</v>
      </c>
      <c r="D57" s="123">
        <f>IFERROR('Data Sheet'!C57,0)</f>
        <v>33.229999999999997</v>
      </c>
      <c r="E57" s="93">
        <f>IFERROR('Data Sheet'!D57,0)</f>
        <v>33.229999999999997</v>
      </c>
      <c r="F57" s="93">
        <f>IFERROR('Data Sheet'!E57,0)</f>
        <v>33.229999999999997</v>
      </c>
      <c r="G57" s="93">
        <f>IFERROR('Data Sheet'!F57,0)</f>
        <v>35.549999999999997</v>
      </c>
      <c r="H57" s="93">
        <f>IFERROR('Data Sheet'!G57,0)</f>
        <v>35.549999999999997</v>
      </c>
      <c r="I57" s="93">
        <f>IFERROR('Data Sheet'!H57,0)</f>
        <v>35.549999999999997</v>
      </c>
      <c r="J57" s="93">
        <f>IFERROR('Data Sheet'!I57,0)</f>
        <v>35.549999999999997</v>
      </c>
      <c r="K57" s="93">
        <f>IFERROR('Data Sheet'!J57,0)</f>
        <v>35.549999999999997</v>
      </c>
      <c r="L57" s="123">
        <f>IFERROR('Data Sheet'!K57,0)</f>
        <v>35.549999999999997</v>
      </c>
    </row>
    <row r="58" spans="1:13" ht="15">
      <c r="B58" s="124" t="s">
        <v>12</v>
      </c>
      <c r="C58" s="101">
        <f>IFERROR('Data Sheet'!B58,0)</f>
        <v>1431.16</v>
      </c>
      <c r="D58" s="123">
        <f>IFERROR('Data Sheet'!C58,0)</f>
        <v>1514.46</v>
      </c>
      <c r="E58" s="93">
        <f>IFERROR('Data Sheet'!D58,0)</f>
        <v>1562.14</v>
      </c>
      <c r="F58" s="93">
        <f>IFERROR('Data Sheet'!E58,0)</f>
        <v>1613.28</v>
      </c>
      <c r="G58" s="93">
        <f>IFERROR('Data Sheet'!F58,0)</f>
        <v>2352.2199999999998</v>
      </c>
      <c r="H58" s="93">
        <f>IFERROR('Data Sheet'!G58,0)</f>
        <v>2277.48</v>
      </c>
      <c r="I58" s="93">
        <f>IFERROR('Data Sheet'!H58,0)</f>
        <v>2328.4499999999998</v>
      </c>
      <c r="J58" s="93">
        <f>IFERROR('Data Sheet'!I58,0)</f>
        <v>2559.94</v>
      </c>
      <c r="K58" s="93">
        <f>IFERROR('Data Sheet'!J58,0)</f>
        <v>4032.19</v>
      </c>
      <c r="L58" s="123">
        <f>IFERROR('Data Sheet'!K58,0)</f>
        <v>5426.19</v>
      </c>
    </row>
    <row r="59" spans="1:13" ht="15">
      <c r="B59" s="124" t="s">
        <v>36</v>
      </c>
      <c r="C59" s="158">
        <f>IFERROR('Data Sheet'!B59,0)</f>
        <v>399.8</v>
      </c>
      <c r="D59" s="123">
        <f>IFERROR('Data Sheet'!C59,0)</f>
        <v>391.74</v>
      </c>
      <c r="E59" s="93">
        <f>IFERROR('Data Sheet'!D59,0)</f>
        <v>391.43</v>
      </c>
      <c r="F59" s="93">
        <f>IFERROR('Data Sheet'!E59,0)</f>
        <v>494.14</v>
      </c>
      <c r="G59" s="93">
        <f>IFERROR('Data Sheet'!F59,0)</f>
        <v>299.74</v>
      </c>
      <c r="H59" s="93">
        <f>IFERROR('Data Sheet'!G59,0)</f>
        <v>299.93</v>
      </c>
      <c r="I59" s="93">
        <f>IFERROR('Data Sheet'!H59,0)</f>
        <v>4725.3599999999997</v>
      </c>
      <c r="J59" s="93">
        <f>IFERROR('Data Sheet'!I59,0)</f>
        <v>4464.1400000000003</v>
      </c>
      <c r="K59" s="93">
        <f>IFERROR('Data Sheet'!J59,0)</f>
        <v>1752.99</v>
      </c>
      <c r="L59" s="123">
        <f>IFERROR('Data Sheet'!K59,0)</f>
        <v>2237.19</v>
      </c>
    </row>
    <row r="60" spans="1:13" ht="15">
      <c r="B60" s="124" t="s">
        <v>37</v>
      </c>
      <c r="C60" s="158">
        <f>IFERROR('Data Sheet'!B60,0)</f>
        <v>292.39999999999998</v>
      </c>
      <c r="D60" s="123">
        <f>IFERROR('Data Sheet'!C60,0)</f>
        <v>282.82</v>
      </c>
      <c r="E60" s="93">
        <f>IFERROR('Data Sheet'!D60,0)</f>
        <v>349.06</v>
      </c>
      <c r="F60" s="93">
        <f>IFERROR('Data Sheet'!E60,0)</f>
        <v>418.11</v>
      </c>
      <c r="G60" s="93">
        <f>IFERROR('Data Sheet'!F60,0)</f>
        <v>2819.17</v>
      </c>
      <c r="H60" s="93">
        <f>IFERROR('Data Sheet'!G60,0)</f>
        <v>3110.77</v>
      </c>
      <c r="I60" s="93">
        <f>IFERROR('Data Sheet'!H60,0)</f>
        <v>636.66</v>
      </c>
      <c r="J60" s="93">
        <f>IFERROR('Data Sheet'!I60,0)</f>
        <v>1021.9</v>
      </c>
      <c r="K60" s="93">
        <f>IFERROR('Data Sheet'!J60,0)</f>
        <v>1341.02</v>
      </c>
      <c r="L60" s="123">
        <f>IFERROR('Data Sheet'!K60,0)</f>
        <v>1720.71</v>
      </c>
    </row>
    <row r="61" spans="1:13" ht="15.75">
      <c r="B61" s="180" t="s">
        <v>78</v>
      </c>
      <c r="C61" s="181">
        <f>IFERROR('Data Sheet'!B61,0)</f>
        <v>2156.59</v>
      </c>
      <c r="D61" s="179">
        <f>IFERROR('Data Sheet'!C61,0)</f>
        <v>2222.25</v>
      </c>
      <c r="E61" s="179">
        <f>IFERROR('Data Sheet'!D61,0)</f>
        <v>2335.86</v>
      </c>
      <c r="F61" s="179">
        <f>IFERROR('Data Sheet'!E61,0)</f>
        <v>2558.7600000000002</v>
      </c>
      <c r="G61" s="179">
        <f>IFERROR('Data Sheet'!F61,0)</f>
        <v>5506.68</v>
      </c>
      <c r="H61" s="179">
        <f>IFERROR('Data Sheet'!G61,0)</f>
        <v>5723.73</v>
      </c>
      <c r="I61" s="179">
        <f>IFERROR('Data Sheet'!H61,0)</f>
        <v>7726.02</v>
      </c>
      <c r="J61" s="179">
        <f>IFERROR('Data Sheet'!I61,0)</f>
        <v>8081.53</v>
      </c>
      <c r="K61" s="179">
        <f>IFERROR('Data Sheet'!J61,0)</f>
        <v>7161.75</v>
      </c>
      <c r="L61" s="179">
        <f>IFERROR('Data Sheet'!K61,0)</f>
        <v>9419.64</v>
      </c>
    </row>
    <row r="62" spans="1:13" ht="15">
      <c r="B62" s="122"/>
      <c r="C62" s="162"/>
      <c r="D62" s="125"/>
      <c r="E62" s="96"/>
      <c r="F62" s="96"/>
      <c r="G62" s="96"/>
      <c r="H62" s="96"/>
      <c r="I62" s="96"/>
      <c r="J62" s="96"/>
      <c r="K62" s="96"/>
      <c r="L62" s="125"/>
    </row>
    <row r="63" spans="1:13" ht="15">
      <c r="B63" s="126" t="s">
        <v>79</v>
      </c>
      <c r="C63" s="101">
        <f>IFERROR('Data Sheet'!B62,0)</f>
        <v>476.79</v>
      </c>
      <c r="D63" s="123">
        <f>IFERROR('Data Sheet'!C62,0)</f>
        <v>548.71</v>
      </c>
      <c r="E63" s="93">
        <f>IFERROR('Data Sheet'!D62,0)</f>
        <v>612.53</v>
      </c>
      <c r="F63" s="93">
        <f>IFERROR('Data Sheet'!E62,0)</f>
        <v>662.18</v>
      </c>
      <c r="G63" s="93">
        <f>IFERROR('Data Sheet'!F62,0)</f>
        <v>2738.43</v>
      </c>
      <c r="H63" s="93">
        <f>IFERROR('Data Sheet'!G62,0)</f>
        <v>3053.82</v>
      </c>
      <c r="I63" s="93">
        <f>IFERROR('Data Sheet'!H62,0)</f>
        <v>4686.71</v>
      </c>
      <c r="J63" s="93">
        <f>IFERROR('Data Sheet'!I62,0)</f>
        <v>4526.95</v>
      </c>
      <c r="K63" s="93">
        <f>IFERROR('Data Sheet'!J62,0)</f>
        <v>2449.92</v>
      </c>
      <c r="L63" s="123">
        <f>IFERROR('Data Sheet'!K62,0)</f>
        <v>3895.13</v>
      </c>
    </row>
    <row r="64" spans="1:13" ht="15">
      <c r="B64" s="127" t="s">
        <v>80</v>
      </c>
      <c r="C64" s="101">
        <f>IFERROR('Data Sheet'!B63,0)</f>
        <v>54.86</v>
      </c>
      <c r="D64" s="123">
        <f>IFERROR('Data Sheet'!C63,0)</f>
        <v>5.48</v>
      </c>
      <c r="E64" s="93">
        <f>IFERROR('Data Sheet'!D63,0)</f>
        <v>9.59</v>
      </c>
      <c r="F64" s="93">
        <f>IFERROR('Data Sheet'!E63,0)</f>
        <v>87.18</v>
      </c>
      <c r="G64" s="93">
        <f>IFERROR('Data Sheet'!F63,0)</f>
        <v>23.32</v>
      </c>
      <c r="H64" s="93">
        <f>IFERROR('Data Sheet'!G63,0)</f>
        <v>107.98</v>
      </c>
      <c r="I64" s="93">
        <f>IFERROR('Data Sheet'!H63,0)</f>
        <v>104.72</v>
      </c>
      <c r="J64" s="93">
        <f>IFERROR('Data Sheet'!I63,0)</f>
        <v>101.72</v>
      </c>
      <c r="K64" s="93">
        <f>IFERROR('Data Sheet'!J63,0)</f>
        <v>223.78</v>
      </c>
      <c r="L64" s="123">
        <f>IFERROR('Data Sheet'!K63,0)</f>
        <v>179.5</v>
      </c>
    </row>
    <row r="65" spans="1:13" ht="15">
      <c r="B65" s="122" t="s">
        <v>16</v>
      </c>
      <c r="C65" s="101">
        <f>IFERROR('Data Sheet'!B64,0)</f>
        <v>1066.97</v>
      </c>
      <c r="D65" s="123">
        <f>IFERROR('Data Sheet'!C64,0)</f>
        <v>1079.96</v>
      </c>
      <c r="E65" s="93">
        <f>IFERROR('Data Sheet'!D64,0)</f>
        <v>1022.88</v>
      </c>
      <c r="F65" s="93">
        <f>IFERROR('Data Sheet'!E64,0)</f>
        <v>882.83</v>
      </c>
      <c r="G65" s="93">
        <f>IFERROR('Data Sheet'!F64,0)</f>
        <v>1514.78</v>
      </c>
      <c r="H65" s="93">
        <f>IFERROR('Data Sheet'!G64,0)</f>
        <v>1487.29</v>
      </c>
      <c r="I65" s="93">
        <f>IFERROR('Data Sheet'!H64,0)</f>
        <v>1283.72</v>
      </c>
      <c r="J65" s="93">
        <f>IFERROR('Data Sheet'!I64,0)</f>
        <v>1109.8699999999999</v>
      </c>
      <c r="K65" s="93">
        <f>IFERROR('Data Sheet'!J64,0)</f>
        <v>1416.03</v>
      </c>
      <c r="L65" s="123">
        <f>IFERROR('Data Sheet'!K64,0)</f>
        <v>1480.25</v>
      </c>
    </row>
    <row r="66" spans="1:13" ht="15">
      <c r="B66" s="122" t="s">
        <v>38</v>
      </c>
      <c r="C66" s="101">
        <f>IFERROR('Data Sheet'!B65-SUM('Data Sheet'!B67:B69),0)</f>
        <v>238.89000000000004</v>
      </c>
      <c r="D66" s="123">
        <f>IFERROR('Data Sheet'!C65-SUM('Data Sheet'!C67:C69),0)</f>
        <v>242.53999999999996</v>
      </c>
      <c r="E66" s="93">
        <f>IFERROR('Data Sheet'!D65-SUM('Data Sheet'!D67:D69),0)</f>
        <v>298.18</v>
      </c>
      <c r="F66" s="93">
        <f>IFERROR('Data Sheet'!E65-SUM('Data Sheet'!E67:E69),0)</f>
        <v>358.79000000000008</v>
      </c>
      <c r="G66" s="93">
        <f>IFERROR('Data Sheet'!F65-SUM('Data Sheet'!F67:F69),0)</f>
        <v>543.81000000000017</v>
      </c>
      <c r="H66" s="93">
        <f>IFERROR('Data Sheet'!G65-SUM('Data Sheet'!G67:G69),0)</f>
        <v>544.0100000000001</v>
      </c>
      <c r="I66" s="93">
        <f>IFERROR('Data Sheet'!H65-SUM('Data Sheet'!H67:H69),0)</f>
        <v>678.8599999999999</v>
      </c>
      <c r="J66" s="93">
        <f>IFERROR('Data Sheet'!I65-SUM('Data Sheet'!I67:I69),0)</f>
        <v>861.13999999999965</v>
      </c>
      <c r="K66" s="93">
        <f>IFERROR('Data Sheet'!J65-SUM('Data Sheet'!J67:J69),0)</f>
        <v>1109.99</v>
      </c>
      <c r="L66" s="123">
        <f>IFERROR('Data Sheet'!K65-SUM('Data Sheet'!K67:K69),0)</f>
        <v>1416.92</v>
      </c>
    </row>
    <row r="67" spans="1:13" ht="15.75">
      <c r="B67" s="179" t="s">
        <v>81</v>
      </c>
      <c r="C67" s="179">
        <f>SUM(C63:C66)</f>
        <v>1837.51</v>
      </c>
      <c r="D67" s="179">
        <f>SUM(D63:D66)</f>
        <v>1876.69</v>
      </c>
      <c r="E67" s="179">
        <f>SUM(E63:E66)</f>
        <v>1943.18</v>
      </c>
      <c r="F67" s="179">
        <f t="shared" ref="F67:L67" si="21">SUM(F63:F66)</f>
        <v>1990.98</v>
      </c>
      <c r="G67" s="179">
        <f t="shared" si="21"/>
        <v>4820.34</v>
      </c>
      <c r="H67" s="179">
        <f t="shared" si="21"/>
        <v>5193.1000000000004</v>
      </c>
      <c r="I67" s="179">
        <f t="shared" si="21"/>
        <v>6754.01</v>
      </c>
      <c r="J67" s="179">
        <f t="shared" si="21"/>
        <v>6599.6799999999994</v>
      </c>
      <c r="K67" s="179">
        <f t="shared" si="21"/>
        <v>5199.72</v>
      </c>
      <c r="L67" s="179">
        <f t="shared" si="21"/>
        <v>6971.8</v>
      </c>
    </row>
    <row r="68" spans="1:13" ht="15">
      <c r="B68" s="122"/>
      <c r="C68" s="102"/>
      <c r="D68" s="106"/>
      <c r="E68" s="95"/>
      <c r="F68" s="95"/>
      <c r="G68" s="95"/>
      <c r="H68" s="95"/>
      <c r="I68" s="95"/>
      <c r="J68" s="95"/>
      <c r="K68" s="95"/>
      <c r="L68" s="106"/>
    </row>
    <row r="69" spans="1:13" ht="15">
      <c r="B69" s="122" t="s">
        <v>43</v>
      </c>
      <c r="C69" s="101">
        <f>IFERROR('Data Sheet'!B67,0)</f>
        <v>12.99</v>
      </c>
      <c r="D69" s="123">
        <f>IFERROR('Data Sheet'!C67,0)</f>
        <v>5.92</v>
      </c>
      <c r="E69" s="93">
        <f>IFERROR('Data Sheet'!D67,0)</f>
        <v>15.1</v>
      </c>
      <c r="F69" s="93">
        <f>IFERROR('Data Sheet'!E67,0)</f>
        <v>16.54</v>
      </c>
      <c r="G69" s="93">
        <f>IFERROR('Data Sheet'!F67,0)</f>
        <v>17.12</v>
      </c>
      <c r="H69" s="93">
        <f>IFERROR('Data Sheet'!G67,0)</f>
        <v>20.77</v>
      </c>
      <c r="I69" s="93">
        <f>IFERROR('Data Sheet'!H67,0)</f>
        <v>18.260000000000002</v>
      </c>
      <c r="J69" s="93">
        <f>IFERROR('Data Sheet'!I67,0)</f>
        <v>34.39</v>
      </c>
      <c r="K69" s="93">
        <f>IFERROR('Data Sheet'!J67,0)</f>
        <v>81.739999999999995</v>
      </c>
      <c r="L69" s="123">
        <f>IFERROR('Data Sheet'!K67,0)</f>
        <v>62.95</v>
      </c>
    </row>
    <row r="70" spans="1:13" ht="15">
      <c r="B70" s="122" t="s">
        <v>30</v>
      </c>
      <c r="C70" s="101">
        <f>IFERROR('Data Sheet'!B68,0)</f>
        <v>279.19</v>
      </c>
      <c r="D70" s="93">
        <f>IFERROR('Data Sheet'!C68,0)</f>
        <v>305.36</v>
      </c>
      <c r="E70" s="93">
        <f>IFERROR('Data Sheet'!D68,0)</f>
        <v>344.77</v>
      </c>
      <c r="F70" s="93">
        <f>IFERROR('Data Sheet'!E68,0)</f>
        <v>497.01</v>
      </c>
      <c r="G70" s="93">
        <f>IFERROR('Data Sheet'!F68,0)</f>
        <v>607.80999999999995</v>
      </c>
      <c r="H70" s="93">
        <f>IFERROR('Data Sheet'!G68,0)</f>
        <v>428.39</v>
      </c>
      <c r="I70" s="93">
        <f>IFERROR('Data Sheet'!H68,0)</f>
        <v>867.78</v>
      </c>
      <c r="J70" s="93">
        <f>IFERROR('Data Sheet'!I68,0)</f>
        <v>1361.16</v>
      </c>
      <c r="K70" s="93">
        <f>IFERROR('Data Sheet'!J68,0)</f>
        <v>1582.73</v>
      </c>
      <c r="L70" s="123">
        <f>IFERROR('Data Sheet'!K68,0)</f>
        <v>2045.05</v>
      </c>
    </row>
    <row r="71" spans="1:13" ht="15">
      <c r="B71" s="122" t="s">
        <v>52</v>
      </c>
      <c r="C71" s="101">
        <f>IFERROR('Data Sheet'!B69,0)</f>
        <v>26.9</v>
      </c>
      <c r="D71" s="93">
        <f>IFERROR('Data Sheet'!C69,0)</f>
        <v>34.28</v>
      </c>
      <c r="E71" s="93">
        <f>IFERROR('Data Sheet'!D69,0)</f>
        <v>32.81</v>
      </c>
      <c r="F71" s="93">
        <f>IFERROR('Data Sheet'!E69,0)</f>
        <v>54.23</v>
      </c>
      <c r="G71" s="93">
        <f>IFERROR('Data Sheet'!F69,0)</f>
        <v>61.41</v>
      </c>
      <c r="H71" s="93">
        <f>IFERROR('Data Sheet'!G69,0)</f>
        <v>81.47</v>
      </c>
      <c r="I71" s="93">
        <f>IFERROR('Data Sheet'!H69,0)</f>
        <v>85.97</v>
      </c>
      <c r="J71" s="93">
        <f>IFERROR('Data Sheet'!I69,0)</f>
        <v>86.3</v>
      </c>
      <c r="K71" s="93">
        <f>IFERROR('Data Sheet'!J69,0)</f>
        <v>297.56</v>
      </c>
      <c r="L71" s="123">
        <f>IFERROR('Data Sheet'!K69,0)</f>
        <v>339.84</v>
      </c>
    </row>
    <row r="72" spans="1:13" ht="15.75">
      <c r="B72" s="179" t="s">
        <v>82</v>
      </c>
      <c r="C72" s="179">
        <f>SUM(C69:C71)</f>
        <v>319.08</v>
      </c>
      <c r="D72" s="179">
        <f t="shared" ref="D72:L72" si="22">SUM(D69:D71)</f>
        <v>345.56000000000006</v>
      </c>
      <c r="E72" s="179">
        <f t="shared" si="22"/>
        <v>392.68</v>
      </c>
      <c r="F72" s="179">
        <f t="shared" si="22"/>
        <v>567.78</v>
      </c>
      <c r="G72" s="179">
        <f t="shared" si="22"/>
        <v>686.33999999999992</v>
      </c>
      <c r="H72" s="179">
        <f t="shared" si="22"/>
        <v>530.63</v>
      </c>
      <c r="I72" s="179">
        <f t="shared" si="22"/>
        <v>972.01</v>
      </c>
      <c r="J72" s="179">
        <f t="shared" si="22"/>
        <v>1481.8500000000001</v>
      </c>
      <c r="K72" s="179">
        <f t="shared" si="22"/>
        <v>1962.03</v>
      </c>
      <c r="L72" s="179">
        <f t="shared" si="22"/>
        <v>2447.84</v>
      </c>
    </row>
    <row r="73" spans="1:13" ht="15">
      <c r="B73" s="122"/>
      <c r="C73" s="768"/>
      <c r="D73" s="96"/>
      <c r="E73" s="96"/>
      <c r="F73" s="96"/>
      <c r="G73" s="96"/>
      <c r="H73" s="96"/>
      <c r="I73" s="96"/>
      <c r="J73" s="96"/>
      <c r="K73" s="96"/>
      <c r="L73" s="125"/>
    </row>
    <row r="74" spans="1:13" ht="16.5" thickBot="1">
      <c r="B74" s="769" t="s">
        <v>83</v>
      </c>
      <c r="C74" s="770">
        <f>IFERROR(C72+C67,0)</f>
        <v>2156.59</v>
      </c>
      <c r="D74" s="771">
        <f t="shared" ref="D74:L74" si="23">IFERROR(D72+D67,0)</f>
        <v>2222.25</v>
      </c>
      <c r="E74" s="771">
        <f t="shared" si="23"/>
        <v>2335.86</v>
      </c>
      <c r="F74" s="771">
        <f t="shared" si="23"/>
        <v>2558.7600000000002</v>
      </c>
      <c r="G74" s="771">
        <f t="shared" si="23"/>
        <v>5506.68</v>
      </c>
      <c r="H74" s="771">
        <f t="shared" si="23"/>
        <v>5723.7300000000005</v>
      </c>
      <c r="I74" s="771">
        <f t="shared" si="23"/>
        <v>7726.02</v>
      </c>
      <c r="J74" s="771">
        <f t="shared" si="23"/>
        <v>8081.53</v>
      </c>
      <c r="K74" s="771">
        <f t="shared" si="23"/>
        <v>7161.75</v>
      </c>
      <c r="L74" s="772">
        <f t="shared" si="23"/>
        <v>9419.64</v>
      </c>
    </row>
    <row r="75" spans="1:13" ht="15">
      <c r="B75" s="122"/>
      <c r="C75" s="122"/>
      <c r="D75" s="95"/>
      <c r="E75" s="95"/>
      <c r="F75" s="95"/>
      <c r="G75" s="95"/>
      <c r="H75" s="95"/>
      <c r="I75" s="95"/>
      <c r="J75" s="95"/>
      <c r="K75" s="95"/>
      <c r="L75" s="106"/>
    </row>
    <row r="76" spans="1:13" ht="15.75">
      <c r="A76" s="71" t="s">
        <v>57</v>
      </c>
      <c r="B76" s="128" t="s">
        <v>84</v>
      </c>
      <c r="C76" s="122" t="b">
        <f>C74=C61</f>
        <v>1</v>
      </c>
      <c r="D76" s="95" t="b">
        <f t="shared" ref="D76:L76" si="24">D74=D61</f>
        <v>1</v>
      </c>
      <c r="E76" s="95" t="b">
        <f t="shared" si="24"/>
        <v>1</v>
      </c>
      <c r="F76" s="95" t="b">
        <f t="shared" si="24"/>
        <v>1</v>
      </c>
      <c r="G76" s="95" t="b">
        <f t="shared" si="24"/>
        <v>1</v>
      </c>
      <c r="H76" s="95" t="b">
        <f t="shared" si="24"/>
        <v>1</v>
      </c>
      <c r="I76" s="95" t="b">
        <f t="shared" si="24"/>
        <v>1</v>
      </c>
      <c r="J76" s="95" t="b">
        <f t="shared" si="24"/>
        <v>1</v>
      </c>
      <c r="K76" s="95" t="b">
        <f t="shared" si="24"/>
        <v>1</v>
      </c>
      <c r="L76" s="106" t="b">
        <f t="shared" si="24"/>
        <v>1</v>
      </c>
      <c r="M76" s="75"/>
    </row>
    <row r="77" spans="1:13">
      <c r="A77" s="79"/>
      <c r="B77" s="129"/>
      <c r="C77" s="79"/>
      <c r="D77" s="79"/>
      <c r="E77" s="79"/>
      <c r="F77" s="79"/>
      <c r="G77" s="79"/>
      <c r="H77" s="79"/>
      <c r="I77" s="79"/>
      <c r="J77" s="79"/>
      <c r="K77" s="79"/>
      <c r="L77" s="103"/>
    </row>
    <row r="78" spans="1:13" ht="25.5" customHeight="1">
      <c r="A78" s="79"/>
      <c r="B78" s="107" t="s">
        <v>125</v>
      </c>
      <c r="C78" s="83"/>
      <c r="D78" s="83"/>
      <c r="E78" s="83"/>
      <c r="F78" s="83"/>
      <c r="G78" s="83"/>
      <c r="H78" s="83"/>
      <c r="I78" s="83"/>
      <c r="J78" s="83"/>
      <c r="K78" s="83"/>
      <c r="L78" s="130"/>
    </row>
    <row r="79" spans="1:13" ht="15.75" thickBot="1">
      <c r="A79" s="79"/>
      <c r="B79" s="131"/>
      <c r="C79" s="79"/>
      <c r="D79" s="79"/>
      <c r="E79" s="79"/>
      <c r="F79" s="79"/>
      <c r="G79" s="79"/>
      <c r="H79" s="79"/>
      <c r="I79" s="79"/>
      <c r="J79" s="79"/>
      <c r="K79" s="79"/>
      <c r="L79" s="103"/>
    </row>
    <row r="80" spans="1:13" ht="16.5" thickTop="1">
      <c r="A80" s="79"/>
      <c r="B80" s="191" t="s">
        <v>356</v>
      </c>
      <c r="C80" s="192"/>
      <c r="D80" s="192"/>
      <c r="E80" s="192"/>
      <c r="F80" s="192"/>
      <c r="G80" s="192"/>
      <c r="H80" s="192"/>
      <c r="I80" s="192"/>
      <c r="J80" s="192"/>
      <c r="K80" s="192"/>
      <c r="L80" s="193"/>
    </row>
    <row r="81" spans="1:15" ht="15">
      <c r="A81" s="79"/>
      <c r="B81" s="122" t="str">
        <f>' Cash Flow Date'!B4</f>
        <v>Profit from operations</v>
      </c>
      <c r="C81" s="194">
        <f>IFERROR(' Cash Flow Date'!C4,0)</f>
        <v>2848</v>
      </c>
      <c r="D81" s="100">
        <f>IFERROR(' Cash Flow Date'!D4,0)</f>
        <v>3056</v>
      </c>
      <c r="E81" s="100">
        <f>IFERROR(' Cash Flow Date'!E4,0)</f>
        <v>3274</v>
      </c>
      <c r="F81" s="100">
        <f>IFERROR(' Cash Flow Date'!F4,0)</f>
        <v>3861</v>
      </c>
      <c r="G81" s="100">
        <f>IFERROR(' Cash Flow Date'!G4,0)</f>
        <v>4380</v>
      </c>
      <c r="H81" s="100">
        <f>IFERROR(' Cash Flow Date'!H4,0)</f>
        <v>4970</v>
      </c>
      <c r="I81" s="100">
        <f>IFERROR(' Cash Flow Date'!I4,0)</f>
        <v>4957</v>
      </c>
      <c r="J81" s="100">
        <f>IFERROR(' Cash Flow Date'!J4,0)</f>
        <v>6460</v>
      </c>
      <c r="K81" s="100">
        <f>IFERROR(' Cash Flow Date'!K4,0)</f>
        <v>7929</v>
      </c>
      <c r="L81" s="133">
        <f>IFERROR(' Cash Flow Date'!L4,0)</f>
        <v>6390</v>
      </c>
    </row>
    <row r="82" spans="1:15" ht="15">
      <c r="A82" s="79"/>
      <c r="B82" s="122" t="str">
        <f>' Cash Flow Date'!B5</f>
        <v>Receivables</v>
      </c>
      <c r="C82" s="194">
        <f>IFERROR(' Cash Flow Date'!C5,0)</f>
        <v>-146</v>
      </c>
      <c r="D82" s="100">
        <f>IFERROR(' Cash Flow Date'!D5,0)</f>
        <v>-475</v>
      </c>
      <c r="E82" s="100">
        <f>IFERROR(' Cash Flow Date'!E5,0)</f>
        <v>-483</v>
      </c>
      <c r="F82" s="100">
        <f>IFERROR(' Cash Flow Date'!F5,0)</f>
        <v>-205</v>
      </c>
      <c r="G82" s="100">
        <f>IFERROR(' Cash Flow Date'!G5,0)</f>
        <v>160</v>
      </c>
      <c r="H82" s="100">
        <f>IFERROR(' Cash Flow Date'!H5,0)</f>
        <v>-849</v>
      </c>
      <c r="I82" s="100">
        <f>IFERROR(' Cash Flow Date'!I5,0)</f>
        <v>-1326</v>
      </c>
      <c r="J82" s="100">
        <f>IFERROR(' Cash Flow Date'!J5,0)</f>
        <v>-834</v>
      </c>
      <c r="K82" s="100">
        <f>IFERROR(' Cash Flow Date'!K5,0)</f>
        <v>-362</v>
      </c>
      <c r="L82" s="133">
        <f>IFERROR(' Cash Flow Date'!L5,0)</f>
        <v>282</v>
      </c>
    </row>
    <row r="83" spans="1:15" ht="15">
      <c r="A83" s="79"/>
      <c r="B83" s="122" t="str">
        <f>' Cash Flow Date'!B6</f>
        <v>Inventory</v>
      </c>
      <c r="C83" s="194">
        <f>IFERROR(' Cash Flow Date'!C6,0)</f>
        <v>202</v>
      </c>
      <c r="D83" s="100">
        <f>IFERROR(' Cash Flow Date'!D6,0)</f>
        <v>-629</v>
      </c>
      <c r="E83" s="100">
        <f>IFERROR(' Cash Flow Date'!E6,0)</f>
        <v>-39</v>
      </c>
      <c r="F83" s="100">
        <f>IFERROR(' Cash Flow Date'!F6,0)</f>
        <v>-492</v>
      </c>
      <c r="G83" s="100">
        <f>IFERROR(' Cash Flow Date'!G6,0)</f>
        <v>-251</v>
      </c>
      <c r="H83" s="100">
        <f>IFERROR(' Cash Flow Date'!H6,0)</f>
        <v>-409</v>
      </c>
      <c r="I83" s="100">
        <f>IFERROR(' Cash Flow Date'!I6,0)</f>
        <v>-2354</v>
      </c>
      <c r="J83" s="100">
        <f>IFERROR(' Cash Flow Date'!J6,0)</f>
        <v>-56</v>
      </c>
      <c r="K83" s="100">
        <f>IFERROR(' Cash Flow Date'!K6,0)</f>
        <v>315</v>
      </c>
      <c r="L83" s="133">
        <f>IFERROR(' Cash Flow Date'!L6,0)</f>
        <v>-805</v>
      </c>
    </row>
    <row r="84" spans="1:15" ht="15">
      <c r="A84" s="79"/>
      <c r="B84" s="122" t="str">
        <f>' Cash Flow Date'!B7</f>
        <v>Payables</v>
      </c>
      <c r="C84" s="194">
        <f>IFERROR(' Cash Flow Date'!C7,0)</f>
        <v>142</v>
      </c>
      <c r="D84" s="100">
        <f>IFERROR(' Cash Flow Date'!D7,0)</f>
        <v>501</v>
      </c>
      <c r="E84" s="100">
        <f>IFERROR(' Cash Flow Date'!E7,0)</f>
        <v>442</v>
      </c>
      <c r="F84" s="100">
        <f>IFERROR(' Cash Flow Date'!F7,0)</f>
        <v>287</v>
      </c>
      <c r="G84" s="100">
        <f>IFERROR(' Cash Flow Date'!G7,0)</f>
        <v>-241</v>
      </c>
      <c r="H84" s="100">
        <f>IFERROR(' Cash Flow Date'!H7,0)</f>
        <v>1143</v>
      </c>
      <c r="I84" s="100">
        <f>IFERROR(' Cash Flow Date'!I7,0)</f>
        <v>644</v>
      </c>
      <c r="J84" s="100">
        <f>IFERROR(' Cash Flow Date'!J7,0)</f>
        <v>-539</v>
      </c>
      <c r="K84" s="100">
        <f>IFERROR(' Cash Flow Date'!K7,0)</f>
        <v>269</v>
      </c>
      <c r="L84" s="133">
        <f>IFERROR(' Cash Flow Date'!L7,0)</f>
        <v>-160</v>
      </c>
    </row>
    <row r="85" spans="1:15" ht="15">
      <c r="A85" s="79"/>
      <c r="B85" s="122" t="str">
        <f>' Cash Flow Date'!B8</f>
        <v>Other WC items</v>
      </c>
      <c r="C85" s="194">
        <f>IFERROR(' Cash Flow Date'!C8,0)</f>
        <v>0</v>
      </c>
      <c r="D85" s="100">
        <f>IFERROR(' Cash Flow Date'!D8,0)</f>
        <v>0</v>
      </c>
      <c r="E85" s="100">
        <f>IFERROR(' Cash Flow Date'!E8,0)</f>
        <v>0</v>
      </c>
      <c r="F85" s="100">
        <f>IFERROR(' Cash Flow Date'!F8,0)</f>
        <v>0</v>
      </c>
      <c r="G85" s="100">
        <f>IFERROR(' Cash Flow Date'!G8,0)</f>
        <v>0</v>
      </c>
      <c r="H85" s="100">
        <f>IFERROR(' Cash Flow Date'!H8,0)</f>
        <v>-92</v>
      </c>
      <c r="I85" s="100">
        <f>IFERROR(' Cash Flow Date'!I8,0)</f>
        <v>242</v>
      </c>
      <c r="J85" s="100">
        <f>IFERROR(' Cash Flow Date'!J8,0)</f>
        <v>657</v>
      </c>
      <c r="K85" s="100">
        <f>IFERROR(' Cash Flow Date'!K8,0)</f>
        <v>-212</v>
      </c>
      <c r="L85" s="133">
        <f>IFERROR(' Cash Flow Date'!L8,0)</f>
        <v>114</v>
      </c>
    </row>
    <row r="86" spans="1:15" ht="15">
      <c r="A86" s="79"/>
      <c r="B86" s="122" t="str">
        <f>' Cash Flow Date'!B9</f>
        <v>Working capital changes</v>
      </c>
      <c r="C86" s="194">
        <f>IFERROR(' Cash Flow Date'!C9,0)</f>
        <v>198</v>
      </c>
      <c r="D86" s="100">
        <f>IFERROR(' Cash Flow Date'!D9,0)</f>
        <v>-603</v>
      </c>
      <c r="E86" s="100">
        <f>IFERROR(' Cash Flow Date'!E9,0)</f>
        <v>-80</v>
      </c>
      <c r="F86" s="100">
        <f>IFERROR(' Cash Flow Date'!F9,0)</f>
        <v>-410</v>
      </c>
      <c r="G86" s="100">
        <f>IFERROR(' Cash Flow Date'!G9,0)</f>
        <v>-331</v>
      </c>
      <c r="H86" s="100">
        <f>IFERROR(' Cash Flow Date'!H9,0)</f>
        <v>-206</v>
      </c>
      <c r="I86" s="100">
        <f>IFERROR(' Cash Flow Date'!I9,0)</f>
        <v>-2795</v>
      </c>
      <c r="J86" s="100">
        <f>IFERROR(' Cash Flow Date'!J9,0)</f>
        <v>-772</v>
      </c>
      <c r="K86" s="100">
        <f>IFERROR(' Cash Flow Date'!K9,0)</f>
        <v>10</v>
      </c>
      <c r="L86" s="133">
        <f>IFERROR(' Cash Flow Date'!L9,0)</f>
        <v>-570</v>
      </c>
    </row>
    <row r="87" spans="1:15" ht="15">
      <c r="A87" s="79"/>
      <c r="B87" s="122" t="str">
        <f>' Cash Flow Date'!B10</f>
        <v>Direct taxes</v>
      </c>
      <c r="C87" s="194">
        <f>IFERROR(' Cash Flow Date'!C10,0)</f>
        <v>-802</v>
      </c>
      <c r="D87" s="100">
        <f>IFERROR(' Cash Flow Date'!D10,0)</f>
        <v>-925</v>
      </c>
      <c r="E87" s="100">
        <f>IFERROR(' Cash Flow Date'!E10,0)</f>
        <v>-1081</v>
      </c>
      <c r="F87" s="100">
        <f>IFERROR(' Cash Flow Date'!F10,0)</f>
        <v>-982</v>
      </c>
      <c r="G87" s="100">
        <f>IFERROR(' Cash Flow Date'!G10,0)</f>
        <v>-1011</v>
      </c>
      <c r="H87" s="100">
        <f>IFERROR(' Cash Flow Date'!H10,0)</f>
        <v>-1080</v>
      </c>
      <c r="I87" s="100">
        <f>IFERROR(' Cash Flow Date'!I10,0)</f>
        <v>-1176</v>
      </c>
      <c r="J87" s="100">
        <f>IFERROR(' Cash Flow Date'!J10,0)</f>
        <v>-1494</v>
      </c>
      <c r="K87" s="100">
        <f>IFERROR(' Cash Flow Date'!K10,0)</f>
        <v>-1835</v>
      </c>
      <c r="L87" s="133">
        <f>IFERROR(' Cash Flow Date'!L10,0)</f>
        <v>-1396</v>
      </c>
    </row>
    <row r="88" spans="1:15" ht="15.75">
      <c r="B88" s="195" t="str">
        <f>' Cash Flow Date'!B3</f>
        <v>Cash from Operating Activity -</v>
      </c>
      <c r="C88" s="196">
        <f>SUM(C81:C87)</f>
        <v>2442</v>
      </c>
      <c r="D88" s="196">
        <f t="shared" ref="D88:L88" si="25">SUM(D81:D87)</f>
        <v>925</v>
      </c>
      <c r="E88" s="196">
        <f t="shared" si="25"/>
        <v>2033</v>
      </c>
      <c r="F88" s="196">
        <f t="shared" si="25"/>
        <v>2059</v>
      </c>
      <c r="G88" s="196">
        <f t="shared" si="25"/>
        <v>2706</v>
      </c>
      <c r="H88" s="196">
        <f t="shared" si="25"/>
        <v>3477</v>
      </c>
      <c r="I88" s="196">
        <f t="shared" si="25"/>
        <v>-1808</v>
      </c>
      <c r="J88" s="196">
        <f t="shared" si="25"/>
        <v>3422</v>
      </c>
      <c r="K88" s="196">
        <f t="shared" si="25"/>
        <v>6114</v>
      </c>
      <c r="L88" s="196">
        <f t="shared" si="25"/>
        <v>3855</v>
      </c>
    </row>
    <row r="89" spans="1:15" ht="15">
      <c r="B89" s="122" t="s">
        <v>225</v>
      </c>
      <c r="C89" s="194"/>
      <c r="D89" s="100"/>
      <c r="E89" s="100"/>
      <c r="F89" s="100"/>
      <c r="G89" s="100"/>
      <c r="H89" s="100"/>
      <c r="I89" s="100"/>
      <c r="J89" s="100"/>
      <c r="K89" s="100"/>
      <c r="L89" s="133"/>
    </row>
    <row r="90" spans="1:15" ht="15.75">
      <c r="B90" s="132" t="s">
        <v>357</v>
      </c>
      <c r="C90" s="194"/>
      <c r="D90" s="100"/>
      <c r="E90" s="100"/>
      <c r="F90" s="100"/>
      <c r="G90" s="100"/>
      <c r="H90" s="100"/>
      <c r="I90" s="100"/>
      <c r="J90" s="100"/>
      <c r="K90" s="100"/>
      <c r="L90" s="133"/>
    </row>
    <row r="91" spans="1:15" ht="15">
      <c r="B91" s="122" t="str">
        <f>' Cash Flow Date'!B12</f>
        <v>Fixed assets purchased</v>
      </c>
      <c r="C91" s="100">
        <f>IFERROR(' Cash Flow Date'!C12,0)</f>
        <v>-817</v>
      </c>
      <c r="D91" s="100">
        <f>IFERROR(' Cash Flow Date'!D12,0)</f>
        <v>-684</v>
      </c>
      <c r="E91" s="100">
        <f>IFERROR(' Cash Flow Date'!E12,0)</f>
        <v>-1426</v>
      </c>
      <c r="F91" s="100">
        <f>IFERROR(' Cash Flow Date'!F12,0)</f>
        <v>-1151</v>
      </c>
      <c r="G91" s="100">
        <f>IFERROR(' Cash Flow Date'!G12,0)</f>
        <v>-404</v>
      </c>
      <c r="H91" s="100">
        <f>IFERROR(' Cash Flow Date'!H12,0)</f>
        <v>-282</v>
      </c>
      <c r="I91" s="100">
        <f>IFERROR(' Cash Flow Date'!I12,0)</f>
        <v>-551</v>
      </c>
      <c r="J91" s="100">
        <f>IFERROR(' Cash Flow Date'!J12,0)</f>
        <v>-1446</v>
      </c>
      <c r="K91" s="100">
        <f>IFERROR(' Cash Flow Date'!K12,0)</f>
        <v>-2496</v>
      </c>
      <c r="L91" s="133">
        <f>IFERROR(' Cash Flow Date'!L12,0)</f>
        <v>-1830</v>
      </c>
    </row>
    <row r="92" spans="1:15" ht="15">
      <c r="B92" s="122" t="str">
        <f>' Cash Flow Date'!B13</f>
        <v>Fixed assets sold</v>
      </c>
      <c r="C92" s="100">
        <f>IFERROR(' Cash Flow Date'!C13,0)</f>
        <v>15</v>
      </c>
      <c r="D92" s="100">
        <f>IFERROR(' Cash Flow Date'!D13,0)</f>
        <v>17</v>
      </c>
      <c r="E92" s="100">
        <f>IFERROR(' Cash Flow Date'!E13,0)</f>
        <v>17</v>
      </c>
      <c r="F92" s="100">
        <f>IFERROR(' Cash Flow Date'!F13,0)</f>
        <v>17</v>
      </c>
      <c r="G92" s="100">
        <f>IFERROR(' Cash Flow Date'!G13,0)</f>
        <v>37</v>
      </c>
      <c r="H92" s="100">
        <f>IFERROR(' Cash Flow Date'!H13,0)</f>
        <v>28</v>
      </c>
      <c r="I92" s="100">
        <f>IFERROR(' Cash Flow Date'!I13,0)</f>
        <v>40</v>
      </c>
      <c r="J92" s="100">
        <f>IFERROR(' Cash Flow Date'!J13,0)</f>
        <v>26</v>
      </c>
      <c r="K92" s="100">
        <f>IFERROR(' Cash Flow Date'!K13,0)</f>
        <v>5</v>
      </c>
      <c r="L92" s="133">
        <f>IFERROR(' Cash Flow Date'!L13,0)</f>
        <v>10</v>
      </c>
    </row>
    <row r="93" spans="1:15" ht="15">
      <c r="B93" s="122" t="str">
        <f>' Cash Flow Date'!B14</f>
        <v>Investments purchased</v>
      </c>
      <c r="C93" s="100">
        <f>IFERROR(' Cash Flow Date'!C14,0)</f>
        <v>-282</v>
      </c>
      <c r="D93" s="100">
        <f>IFERROR(' Cash Flow Date'!D14,0)</f>
        <v>-153</v>
      </c>
      <c r="E93" s="100">
        <f>IFERROR(' Cash Flow Date'!E14,0)</f>
        <v>-320</v>
      </c>
      <c r="F93" s="100">
        <f>IFERROR(' Cash Flow Date'!F14,0)</f>
        <v>-573</v>
      </c>
      <c r="G93" s="100">
        <f>IFERROR(' Cash Flow Date'!G14,0)</f>
        <v>-25</v>
      </c>
      <c r="H93" s="100">
        <f>IFERROR(' Cash Flow Date'!H14,0)</f>
        <v>-140</v>
      </c>
      <c r="I93" s="100">
        <f>IFERROR(' Cash Flow Date'!I14,0)</f>
        <v>0</v>
      </c>
      <c r="J93" s="100">
        <f>IFERROR(' Cash Flow Date'!J14,0)</f>
        <v>-146</v>
      </c>
      <c r="K93" s="100">
        <f>IFERROR(' Cash Flow Date'!K14,0)</f>
        <v>-212</v>
      </c>
      <c r="L93" s="133">
        <f>IFERROR(' Cash Flow Date'!L14,0)</f>
        <v>-1</v>
      </c>
    </row>
    <row r="94" spans="1:15" ht="15">
      <c r="B94" s="122" t="str">
        <f>' Cash Flow Date'!B15</f>
        <v>Investments sold</v>
      </c>
      <c r="C94" s="100">
        <f>IFERROR(' Cash Flow Date'!C15,0)</f>
        <v>205</v>
      </c>
      <c r="D94" s="100">
        <f>IFERROR(' Cash Flow Date'!D15,0)</f>
        <v>357</v>
      </c>
      <c r="E94" s="100">
        <f>IFERROR(' Cash Flow Date'!E15,0)</f>
        <v>362</v>
      </c>
      <c r="F94" s="100">
        <f>IFERROR(' Cash Flow Date'!F15,0)</f>
        <v>733</v>
      </c>
      <c r="G94" s="100">
        <f>IFERROR(' Cash Flow Date'!G15,0)</f>
        <v>134</v>
      </c>
      <c r="H94" s="100">
        <f>IFERROR(' Cash Flow Date'!H15,0)</f>
        <v>272</v>
      </c>
      <c r="I94" s="100">
        <f>IFERROR(' Cash Flow Date'!I15,0)</f>
        <v>207</v>
      </c>
      <c r="J94" s="100">
        <f>IFERROR(' Cash Flow Date'!J15,0)</f>
        <v>446</v>
      </c>
      <c r="K94" s="100">
        <f>IFERROR(' Cash Flow Date'!K15,0)</f>
        <v>240</v>
      </c>
      <c r="L94" s="133">
        <f>IFERROR(' Cash Flow Date'!L15,0)</f>
        <v>421</v>
      </c>
      <c r="O94" s="88"/>
    </row>
    <row r="95" spans="1:15" ht="15">
      <c r="B95" s="122" t="str">
        <f>' Cash Flow Date'!B16</f>
        <v>Interest received</v>
      </c>
      <c r="C95" s="100">
        <f>IFERROR(' Cash Flow Date'!C16,0)</f>
        <v>15</v>
      </c>
      <c r="D95" s="100">
        <f>IFERROR(' Cash Flow Date'!D16,0)</f>
        <v>32</v>
      </c>
      <c r="E95" s="100">
        <f>IFERROR(' Cash Flow Date'!E16,0)</f>
        <v>39</v>
      </c>
      <c r="F95" s="100">
        <f>IFERROR(' Cash Flow Date'!F16,0)</f>
        <v>40</v>
      </c>
      <c r="G95" s="100">
        <f>IFERROR(' Cash Flow Date'!G16,0)</f>
        <v>65</v>
      </c>
      <c r="H95" s="100">
        <f>IFERROR(' Cash Flow Date'!H16,0)</f>
        <v>73</v>
      </c>
      <c r="I95" s="100">
        <f>IFERROR(' Cash Flow Date'!I16,0)</f>
        <v>77</v>
      </c>
      <c r="J95" s="100">
        <f>IFERROR(' Cash Flow Date'!J16,0)</f>
        <v>87</v>
      </c>
      <c r="K95" s="100">
        <f>IFERROR(' Cash Flow Date'!K16,0)</f>
        <v>135</v>
      </c>
      <c r="L95" s="133">
        <f>IFERROR(' Cash Flow Date'!L16,0)</f>
        <v>155</v>
      </c>
    </row>
    <row r="96" spans="1:15" ht="15">
      <c r="B96" s="122" t="str">
        <f>' Cash Flow Date'!B17</f>
        <v>Dividends received</v>
      </c>
      <c r="C96" s="100">
        <f>IFERROR(' Cash Flow Date'!C17,0)</f>
        <v>69</v>
      </c>
      <c r="D96" s="100">
        <f>IFERROR(' Cash Flow Date'!D17,0)</f>
        <v>74</v>
      </c>
      <c r="E96" s="100">
        <f>IFERROR(' Cash Flow Date'!E17,0)</f>
        <v>38</v>
      </c>
      <c r="F96" s="100">
        <f>IFERROR(' Cash Flow Date'!F17,0)</f>
        <v>40</v>
      </c>
      <c r="G96" s="100">
        <f>IFERROR(' Cash Flow Date'!G17,0)</f>
        <v>27</v>
      </c>
      <c r="H96" s="100">
        <f>IFERROR(' Cash Flow Date'!H17,0)</f>
        <v>8</v>
      </c>
      <c r="I96" s="100">
        <f>IFERROR(' Cash Flow Date'!I17,0)</f>
        <v>15</v>
      </c>
      <c r="J96" s="100">
        <f>IFERROR(' Cash Flow Date'!J17,0)</f>
        <v>56</v>
      </c>
      <c r="K96" s="100">
        <f>IFERROR(' Cash Flow Date'!K17,0)</f>
        <v>129</v>
      </c>
      <c r="L96" s="133">
        <f>IFERROR(' Cash Flow Date'!L17,0)</f>
        <v>136</v>
      </c>
    </row>
    <row r="97" spans="2:12" ht="15">
      <c r="B97" s="122" t="str">
        <f>' Cash Flow Date'!B18</f>
        <v>Investment in group cos</v>
      </c>
      <c r="C97" s="100">
        <f>IFERROR(' Cash Flow Date'!C18,0)</f>
        <v>0</v>
      </c>
      <c r="D97" s="100">
        <f>IFERROR(' Cash Flow Date'!D18,0)</f>
        <v>0</v>
      </c>
      <c r="E97" s="100">
        <f>IFERROR(' Cash Flow Date'!E18,0)</f>
        <v>0</v>
      </c>
      <c r="F97" s="100">
        <f>IFERROR(' Cash Flow Date'!F18,0)</f>
        <v>0</v>
      </c>
      <c r="G97" s="100">
        <f>IFERROR(' Cash Flow Date'!G18,0)</f>
        <v>0</v>
      </c>
      <c r="H97" s="100">
        <f>IFERROR(' Cash Flow Date'!H18,0)</f>
        <v>0</v>
      </c>
      <c r="I97" s="100">
        <f>IFERROR(' Cash Flow Date'!I18,0)</f>
        <v>0</v>
      </c>
      <c r="J97" s="100">
        <f>IFERROR(' Cash Flow Date'!J18,0)</f>
        <v>-180</v>
      </c>
      <c r="K97" s="100">
        <f>IFERROR(' Cash Flow Date'!K18,0)</f>
        <v>0</v>
      </c>
      <c r="L97" s="133">
        <f>IFERROR(' Cash Flow Date'!L18,0)</f>
        <v>0</v>
      </c>
    </row>
    <row r="98" spans="2:12" ht="15">
      <c r="B98" s="122" t="str">
        <f>' Cash Flow Date'!B19</f>
        <v>Redemp n Canc of Shares</v>
      </c>
      <c r="C98" s="100">
        <f>IFERROR(' Cash Flow Date'!C19,0)</f>
        <v>0</v>
      </c>
      <c r="D98" s="100">
        <f>IFERROR(' Cash Flow Date'!D19,0)</f>
        <v>0</v>
      </c>
      <c r="E98" s="100">
        <f>IFERROR(' Cash Flow Date'!E19,0)</f>
        <v>141</v>
      </c>
      <c r="F98" s="100">
        <f>IFERROR(' Cash Flow Date'!F19,0)</f>
        <v>0</v>
      </c>
      <c r="G98" s="100">
        <f>IFERROR(' Cash Flow Date'!G19,0)</f>
        <v>0</v>
      </c>
      <c r="H98" s="100">
        <f>IFERROR(' Cash Flow Date'!H19,0)</f>
        <v>0</v>
      </c>
      <c r="I98" s="100">
        <f>IFERROR(' Cash Flow Date'!I19,0)</f>
        <v>0</v>
      </c>
      <c r="J98" s="100">
        <f>IFERROR(' Cash Flow Date'!J19,0)</f>
        <v>0</v>
      </c>
      <c r="K98" s="100">
        <f>IFERROR(' Cash Flow Date'!K19,0)</f>
        <v>0</v>
      </c>
      <c r="L98" s="133">
        <f>IFERROR(' Cash Flow Date'!L19,0)</f>
        <v>38</v>
      </c>
    </row>
    <row r="99" spans="2:12" ht="15">
      <c r="B99" s="122" t="str">
        <f>' Cash Flow Date'!B20</f>
        <v>Acquisition of companies</v>
      </c>
      <c r="C99" s="100">
        <f>IFERROR(' Cash Flow Date'!C20,0)</f>
        <v>0</v>
      </c>
      <c r="D99" s="100">
        <f>IFERROR(' Cash Flow Date'!D20,0)</f>
        <v>0</v>
      </c>
      <c r="E99" s="100">
        <f>IFERROR(' Cash Flow Date'!E20,0)</f>
        <v>-525</v>
      </c>
      <c r="F99" s="100">
        <f>IFERROR(' Cash Flow Date'!F20,0)</f>
        <v>0</v>
      </c>
      <c r="G99" s="100">
        <f>IFERROR(' Cash Flow Date'!G20,0)</f>
        <v>0</v>
      </c>
      <c r="H99" s="100">
        <f>IFERROR(' Cash Flow Date'!H20,0)</f>
        <v>0</v>
      </c>
      <c r="I99" s="100">
        <f>IFERROR(' Cash Flow Date'!I20,0)</f>
        <v>0</v>
      </c>
      <c r="J99" s="100">
        <f>IFERROR(' Cash Flow Date'!J20,0)</f>
        <v>0</v>
      </c>
      <c r="K99" s="100">
        <f>IFERROR(' Cash Flow Date'!K20,0)</f>
        <v>0</v>
      </c>
      <c r="L99" s="133">
        <f>IFERROR(' Cash Flow Date'!L20,0)</f>
        <v>0</v>
      </c>
    </row>
    <row r="100" spans="2:12" ht="15">
      <c r="B100" s="122" t="str">
        <f>' Cash Flow Date'!B21</f>
        <v>Other investing items</v>
      </c>
      <c r="C100" s="194">
        <f>IFERROR(' Cash Flow Date'!C21,0)</f>
        <v>-70</v>
      </c>
      <c r="D100" s="100">
        <f>IFERROR(' Cash Flow Date'!D21,0)</f>
        <v>-324</v>
      </c>
      <c r="E100" s="100">
        <f>IFERROR(' Cash Flow Date'!E21,0)</f>
        <v>118</v>
      </c>
      <c r="F100" s="100">
        <f>IFERROR(' Cash Flow Date'!F21,0)</f>
        <v>-24</v>
      </c>
      <c r="G100" s="100">
        <f>IFERROR(' Cash Flow Date'!G21,0)</f>
        <v>-353</v>
      </c>
      <c r="H100" s="100">
        <f>IFERROR(' Cash Flow Date'!H21,0)</f>
        <v>-500</v>
      </c>
      <c r="I100" s="100">
        <f>IFERROR(' Cash Flow Date'!I21,0)</f>
        <v>-105</v>
      </c>
      <c r="J100" s="100">
        <f>IFERROR(' Cash Flow Date'!J21,0)</f>
        <v>-126</v>
      </c>
      <c r="K100" s="100">
        <f>IFERROR(' Cash Flow Date'!K21,0)</f>
        <v>-350</v>
      </c>
      <c r="L100" s="133">
        <f>IFERROR(' Cash Flow Date'!L21,0)</f>
        <v>130</v>
      </c>
    </row>
    <row r="101" spans="2:12" ht="15.75">
      <c r="B101" s="196" t="s">
        <v>358</v>
      </c>
      <c r="C101" s="196">
        <f t="shared" ref="C101:L101" si="26">SUM(C91:C100)</f>
        <v>-865</v>
      </c>
      <c r="D101" s="196">
        <f t="shared" si="26"/>
        <v>-681</v>
      </c>
      <c r="E101" s="196">
        <f t="shared" si="26"/>
        <v>-1556</v>
      </c>
      <c r="F101" s="196">
        <f t="shared" si="26"/>
        <v>-918</v>
      </c>
      <c r="G101" s="196">
        <f t="shared" si="26"/>
        <v>-519</v>
      </c>
      <c r="H101" s="196">
        <f t="shared" si="26"/>
        <v>-541</v>
      </c>
      <c r="I101" s="196">
        <f t="shared" si="26"/>
        <v>-317</v>
      </c>
      <c r="J101" s="196">
        <f t="shared" si="26"/>
        <v>-1283</v>
      </c>
      <c r="K101" s="196">
        <f t="shared" si="26"/>
        <v>-2549</v>
      </c>
      <c r="L101" s="196">
        <f t="shared" si="26"/>
        <v>-941</v>
      </c>
    </row>
    <row r="102" spans="2:12" ht="15">
      <c r="B102" s="122"/>
      <c r="C102" s="194"/>
      <c r="D102" s="100"/>
      <c r="E102" s="100"/>
      <c r="F102" s="100"/>
      <c r="G102" s="100"/>
      <c r="H102" s="100"/>
      <c r="I102" s="100"/>
      <c r="J102" s="100"/>
      <c r="K102" s="100"/>
      <c r="L102" s="133"/>
    </row>
    <row r="103" spans="2:12" ht="15.75">
      <c r="B103" s="132" t="s">
        <v>359</v>
      </c>
      <c r="C103" s="194"/>
      <c r="D103" s="100"/>
      <c r="E103" s="100"/>
      <c r="F103" s="100"/>
      <c r="G103" s="100"/>
      <c r="H103" s="100"/>
      <c r="I103" s="100"/>
      <c r="J103" s="100"/>
      <c r="K103" s="100"/>
      <c r="L103" s="133"/>
    </row>
    <row r="104" spans="2:12" ht="15">
      <c r="B104" s="122" t="str">
        <f>' Cash Flow Date'!B23</f>
        <v>Proceeds from shares</v>
      </c>
      <c r="C104" s="194">
        <f>IFERROR(' Cash Flow Date'!C23,0)</f>
        <v>0</v>
      </c>
      <c r="D104" s="100">
        <f>IFERROR(' Cash Flow Date'!D23,0)</f>
        <v>0</v>
      </c>
      <c r="E104" s="100">
        <f>IFERROR(' Cash Flow Date'!E23,0)</f>
        <v>0</v>
      </c>
      <c r="F104" s="100">
        <f>IFERROR(' Cash Flow Date'!F23,0)</f>
        <v>0</v>
      </c>
      <c r="G104" s="100">
        <f>IFERROR(' Cash Flow Date'!G23,0)</f>
        <v>0</v>
      </c>
      <c r="H104" s="100">
        <f>IFERROR(' Cash Flow Date'!H23,0)</f>
        <v>0</v>
      </c>
      <c r="I104" s="100">
        <f>IFERROR(' Cash Flow Date'!I23,0)</f>
        <v>0</v>
      </c>
      <c r="J104" s="100">
        <f>IFERROR(' Cash Flow Date'!J23,0)</f>
        <v>0</v>
      </c>
      <c r="K104" s="100">
        <f>IFERROR(' Cash Flow Date'!K23,0)</f>
        <v>1</v>
      </c>
      <c r="L104" s="133">
        <f>IFERROR(' Cash Flow Date'!L23,0)</f>
        <v>0</v>
      </c>
    </row>
    <row r="105" spans="2:12" ht="15">
      <c r="B105" s="122" t="str">
        <f>' Cash Flow Date'!B24</f>
        <v>Proceeds from borrowings</v>
      </c>
      <c r="C105" s="194">
        <f>IFERROR(' Cash Flow Date'!C24,0)</f>
        <v>8</v>
      </c>
      <c r="D105" s="100">
        <f>IFERROR(' Cash Flow Date'!D24,0)</f>
        <v>271</v>
      </c>
      <c r="E105" s="100">
        <f>IFERROR(' Cash Flow Date'!E24,0)</f>
        <v>10</v>
      </c>
      <c r="F105" s="100">
        <f>IFERROR(' Cash Flow Date'!F24,0)</f>
        <v>243</v>
      </c>
      <c r="G105" s="100">
        <f>IFERROR(' Cash Flow Date'!G24,0)</f>
        <v>18</v>
      </c>
      <c r="H105" s="100">
        <f>IFERROR(' Cash Flow Date'!H24,0)</f>
        <v>155</v>
      </c>
      <c r="I105" s="100">
        <f>IFERROR(' Cash Flow Date'!I24,0)</f>
        <v>418</v>
      </c>
      <c r="J105" s="100">
        <f>IFERROR(' Cash Flow Date'!J24,0)</f>
        <v>254</v>
      </c>
      <c r="K105" s="100">
        <f>IFERROR(' Cash Flow Date'!K24,0)</f>
        <v>101</v>
      </c>
      <c r="L105" s="133">
        <f>IFERROR(' Cash Flow Date'!L24,0)</f>
        <v>415</v>
      </c>
    </row>
    <row r="106" spans="2:12" ht="15">
      <c r="B106" s="122" t="str">
        <f>' Cash Flow Date'!B25</f>
        <v>Repayment of borrowings</v>
      </c>
      <c r="C106" s="194">
        <f>IFERROR(' Cash Flow Date'!C25,0)</f>
        <v>-119</v>
      </c>
      <c r="D106" s="100">
        <f>IFERROR(' Cash Flow Date'!D25,0)</f>
        <v>-58</v>
      </c>
      <c r="E106" s="100">
        <f>IFERROR(' Cash Flow Date'!E25,0)</f>
        <v>-54</v>
      </c>
      <c r="F106" s="100">
        <f>IFERROR(' Cash Flow Date'!F25,0)</f>
        <v>-26</v>
      </c>
      <c r="G106" s="100">
        <f>IFERROR(' Cash Flow Date'!G25,0)</f>
        <v>-279</v>
      </c>
      <c r="H106" s="100">
        <f>IFERROR(' Cash Flow Date'!H25,0)</f>
        <v>-14</v>
      </c>
      <c r="I106" s="100">
        <f>IFERROR(' Cash Flow Date'!I25,0)</f>
        <v>-8</v>
      </c>
      <c r="J106" s="100">
        <f>IFERROR(' Cash Flow Date'!J25,0)</f>
        <v>-25</v>
      </c>
      <c r="K106" s="100">
        <f>IFERROR(' Cash Flow Date'!K25,0)</f>
        <v>-98</v>
      </c>
      <c r="L106" s="133">
        <f>IFERROR(' Cash Flow Date'!L25,0)</f>
        <v>-428</v>
      </c>
    </row>
    <row r="107" spans="2:12" ht="15">
      <c r="B107" s="122" t="str">
        <f>' Cash Flow Date'!B26</f>
        <v>Interest paid fin</v>
      </c>
      <c r="C107" s="194">
        <f>IFERROR(' Cash Flow Date'!C26,0)</f>
        <v>-40</v>
      </c>
      <c r="D107" s="100">
        <f>IFERROR(' Cash Flow Date'!D26,0)</f>
        <v>-36</v>
      </c>
      <c r="E107" s="100">
        <f>IFERROR(' Cash Flow Date'!E26,0)</f>
        <v>-35</v>
      </c>
      <c r="F107" s="100">
        <f>IFERROR(' Cash Flow Date'!F26,0)</f>
        <v>-106</v>
      </c>
      <c r="G107" s="100">
        <f>IFERROR(' Cash Flow Date'!G26,0)</f>
        <v>-101</v>
      </c>
      <c r="H107" s="100">
        <f>IFERROR(' Cash Flow Date'!H26,0)</f>
        <v>-89</v>
      </c>
      <c r="I107" s="100">
        <f>IFERROR(' Cash Flow Date'!I26,0)</f>
        <v>-94</v>
      </c>
      <c r="J107" s="100">
        <f>IFERROR(' Cash Flow Date'!J26,0)</f>
        <v>-142</v>
      </c>
      <c r="K107" s="100">
        <f>IFERROR(' Cash Flow Date'!K26,0)</f>
        <v>-191</v>
      </c>
      <c r="L107" s="133">
        <f>IFERROR(' Cash Flow Date'!L26,0)</f>
        <v>-203</v>
      </c>
    </row>
    <row r="108" spans="2:12" ht="15">
      <c r="B108" s="122" t="str">
        <f>' Cash Flow Date'!B27</f>
        <v>Dividends paid</v>
      </c>
      <c r="C108" s="194">
        <f>IFERROR(' Cash Flow Date'!C27,0)</f>
        <v>-764</v>
      </c>
      <c r="D108" s="100">
        <f>IFERROR(' Cash Flow Date'!D27,0)</f>
        <v>-947</v>
      </c>
      <c r="E108" s="100">
        <f>IFERROR(' Cash Flow Date'!E27,0)</f>
        <v>-1218</v>
      </c>
      <c r="F108" s="100">
        <f>IFERROR(' Cash Flow Date'!F27,0)</f>
        <v>-1049</v>
      </c>
      <c r="G108" s="100">
        <f>IFERROR(' Cash Flow Date'!G27,0)</f>
        <v>-2121</v>
      </c>
      <c r="H108" s="100">
        <f>IFERROR(' Cash Flow Date'!H27,0)</f>
        <v>-499</v>
      </c>
      <c r="I108" s="100">
        <f>IFERROR(' Cash Flow Date'!I27,0)</f>
        <v>-1763</v>
      </c>
      <c r="J108" s="100">
        <f>IFERROR(' Cash Flow Date'!J27,0)</f>
        <v>-1936</v>
      </c>
      <c r="K108" s="100">
        <f>IFERROR(' Cash Flow Date'!K27,0)</f>
        <v>-2551</v>
      </c>
      <c r="L108" s="133">
        <f>IFERROR(' Cash Flow Date'!L27,0)</f>
        <v>-3140</v>
      </c>
    </row>
    <row r="109" spans="2:12" ht="15">
      <c r="B109" s="122" t="str">
        <f>' Cash Flow Date'!B28</f>
        <v>Financial liabilities</v>
      </c>
      <c r="C109" s="194">
        <f>IFERROR(' Cash Flow Date'!C28,0)</f>
        <v>0</v>
      </c>
      <c r="D109" s="100">
        <f>IFERROR(' Cash Flow Date'!D28,0)</f>
        <v>0</v>
      </c>
      <c r="E109" s="100">
        <f>IFERROR(' Cash Flow Date'!E28,0)</f>
        <v>0</v>
      </c>
      <c r="F109" s="100">
        <f>IFERROR(' Cash Flow Date'!F28,0)</f>
        <v>-180</v>
      </c>
      <c r="G109" s="100">
        <f>IFERROR(' Cash Flow Date'!G28,0)</f>
        <v>-179</v>
      </c>
      <c r="H109" s="100">
        <f>IFERROR(' Cash Flow Date'!H28,0)</f>
        <v>-203</v>
      </c>
      <c r="I109" s="100">
        <f>IFERROR(' Cash Flow Date'!I28,0)</f>
        <v>-221</v>
      </c>
      <c r="J109" s="100">
        <f>IFERROR(' Cash Flow Date'!J28,0)</f>
        <v>-256</v>
      </c>
      <c r="K109" s="100">
        <f>IFERROR(' Cash Flow Date'!K28,0)</f>
        <v>-286</v>
      </c>
      <c r="L109" s="133">
        <f>IFERROR(' Cash Flow Date'!L28,0)</f>
        <v>-325</v>
      </c>
    </row>
    <row r="110" spans="2:12" ht="15">
      <c r="B110" s="122" t="str">
        <f>' Cash Flow Date'!B29</f>
        <v>Other financing items</v>
      </c>
      <c r="C110" s="194">
        <f>IFERROR(' Cash Flow Date'!C29,0)</f>
        <v>66</v>
      </c>
      <c r="D110" s="100">
        <f>IFERROR(' Cash Flow Date'!D29,0)</f>
        <v>13</v>
      </c>
      <c r="E110" s="100">
        <f>IFERROR(' Cash Flow Date'!E29,0)</f>
        <v>-82</v>
      </c>
      <c r="F110" s="100">
        <f>IFERROR(' Cash Flow Date'!F29,0)</f>
        <v>0</v>
      </c>
      <c r="G110" s="100">
        <f>IFERROR(' Cash Flow Date'!G29,0)</f>
        <v>-209</v>
      </c>
      <c r="H110" s="100">
        <f>IFERROR(' Cash Flow Date'!H29,0)</f>
        <v>0</v>
      </c>
      <c r="I110" s="100">
        <f>IFERROR(' Cash Flow Date'!I29,0)</f>
        <v>-140</v>
      </c>
      <c r="J110" s="100">
        <f>IFERROR(' Cash Flow Date'!J29,0)</f>
        <v>-36</v>
      </c>
      <c r="K110" s="100">
        <f>IFERROR(' Cash Flow Date'!K29,0)</f>
        <v>41</v>
      </c>
      <c r="L110" s="133">
        <f>IFERROR(' Cash Flow Date'!L29,0)</f>
        <v>-72</v>
      </c>
    </row>
    <row r="111" spans="2:12" ht="15.75">
      <c r="B111" s="196" t="s">
        <v>360</v>
      </c>
      <c r="C111" s="196">
        <f t="shared" ref="C111:L111" si="27">SUM(C104:C110)</f>
        <v>-849</v>
      </c>
      <c r="D111" s="196">
        <f t="shared" si="27"/>
        <v>-757</v>
      </c>
      <c r="E111" s="196">
        <f t="shared" si="27"/>
        <v>-1379</v>
      </c>
      <c r="F111" s="196">
        <f t="shared" si="27"/>
        <v>-1118</v>
      </c>
      <c r="G111" s="196">
        <f t="shared" si="27"/>
        <v>-2871</v>
      </c>
      <c r="H111" s="196">
        <f t="shared" si="27"/>
        <v>-650</v>
      </c>
      <c r="I111" s="196">
        <f t="shared" si="27"/>
        <v>-1808</v>
      </c>
      <c r="J111" s="196">
        <f t="shared" si="27"/>
        <v>-2141</v>
      </c>
      <c r="K111" s="196">
        <f t="shared" si="27"/>
        <v>-2983</v>
      </c>
      <c r="L111" s="196">
        <f t="shared" si="27"/>
        <v>-3753</v>
      </c>
    </row>
    <row r="112" spans="2:12" ht="15">
      <c r="B112" s="122"/>
      <c r="C112" s="194"/>
      <c r="D112" s="100"/>
      <c r="E112" s="100"/>
      <c r="F112" s="100"/>
      <c r="G112" s="100"/>
      <c r="H112" s="100"/>
      <c r="I112" s="100"/>
      <c r="J112" s="100"/>
      <c r="K112" s="100"/>
      <c r="L112" s="133"/>
    </row>
    <row r="113" spans="2:12" ht="16.5" thickBot="1">
      <c r="B113" s="200" t="s">
        <v>21</v>
      </c>
      <c r="C113" s="201">
        <f t="shared" ref="C113:L113" si="28">IFERROR(C88+C101+C111,0)</f>
        <v>728</v>
      </c>
      <c r="D113" s="201">
        <f t="shared" si="28"/>
        <v>-513</v>
      </c>
      <c r="E113" s="201">
        <f t="shared" si="28"/>
        <v>-902</v>
      </c>
      <c r="F113" s="201">
        <f t="shared" si="28"/>
        <v>23</v>
      </c>
      <c r="G113" s="201">
        <f t="shared" si="28"/>
        <v>-684</v>
      </c>
      <c r="H113" s="201">
        <f t="shared" si="28"/>
        <v>2286</v>
      </c>
      <c r="I113" s="201">
        <f t="shared" si="28"/>
        <v>-3933</v>
      </c>
      <c r="J113" s="201">
        <f t="shared" si="28"/>
        <v>-2</v>
      </c>
      <c r="K113" s="201">
        <f t="shared" si="28"/>
        <v>582</v>
      </c>
      <c r="L113" s="201">
        <f t="shared" si="28"/>
        <v>-839</v>
      </c>
    </row>
    <row r="114" spans="2:12" ht="15" thickBot="1">
      <c r="B114" s="166"/>
      <c r="C114" s="197"/>
      <c r="D114" s="198"/>
      <c r="E114" s="198"/>
      <c r="F114" s="198"/>
      <c r="G114" s="198"/>
      <c r="H114" s="198"/>
      <c r="I114" s="198"/>
      <c r="J114" s="198"/>
      <c r="K114" s="198"/>
      <c r="L114" s="199"/>
    </row>
    <row r="115" spans="2:12" ht="15.75" thickTop="1" thickBot="1">
      <c r="B115" s="818"/>
      <c r="C115" s="819"/>
      <c r="D115" s="819"/>
      <c r="E115" s="819"/>
      <c r="F115" s="819"/>
      <c r="G115" s="819"/>
      <c r="H115" s="819"/>
      <c r="I115" s="819"/>
      <c r="J115" s="819"/>
      <c r="K115" s="819"/>
      <c r="L115" s="820"/>
    </row>
    <row r="116" spans="2:12" ht="15" thickTop="1">
      <c r="B116" s="79"/>
      <c r="C116" s="87"/>
      <c r="D116" s="87"/>
      <c r="E116" s="87"/>
      <c r="F116" s="87"/>
      <c r="G116" s="87"/>
      <c r="H116" s="87"/>
      <c r="I116" s="87"/>
      <c r="J116" s="87"/>
      <c r="K116" s="87"/>
      <c r="L116" s="87"/>
    </row>
    <row r="117" spans="2:12" ht="15">
      <c r="B117" s="86"/>
      <c r="C117" s="89"/>
      <c r="D117" s="89"/>
      <c r="E117" s="89"/>
      <c r="F117" s="89"/>
      <c r="G117" s="89"/>
      <c r="H117" s="89"/>
      <c r="I117" s="89"/>
      <c r="J117" s="89"/>
      <c r="K117" s="89"/>
      <c r="L117" s="89"/>
    </row>
    <row r="118" spans="2:12">
      <c r="B118" s="79"/>
      <c r="C118" s="79"/>
      <c r="D118" s="79"/>
      <c r="E118" s="79"/>
      <c r="F118" s="79"/>
      <c r="G118" s="79"/>
      <c r="H118" s="79"/>
      <c r="I118" s="79"/>
      <c r="J118" s="79"/>
      <c r="K118" s="79"/>
      <c r="L118" s="79"/>
    </row>
    <row r="119" spans="2:12" ht="15">
      <c r="B119" s="86"/>
      <c r="C119" s="89"/>
      <c r="D119" s="89"/>
      <c r="E119" s="89"/>
      <c r="F119" s="89"/>
      <c r="G119" s="89"/>
      <c r="H119" s="89"/>
      <c r="I119" s="89"/>
      <c r="J119" s="89"/>
      <c r="K119" s="89"/>
      <c r="L119" s="89"/>
    </row>
  </sheetData>
  <mergeCells count="3">
    <mergeCell ref="B6:M6"/>
    <mergeCell ref="B115:L115"/>
    <mergeCell ref="B53:L53"/>
  </mergeCells>
  <printOptions horizontalCentered="1" verticalCentered="1"/>
  <pageMargins left="0.57999999999999996" right="0.33" top="0.19685039370078741" bottom="0.12" header="0.11811023622047245" footer="0.11811023622047245"/>
  <pageSetup paperSize="9" scale="59" fitToWidth="0" orientation="landscape" horizontalDpi="360" verticalDpi="360" r:id="rId1"/>
  <rowBreaks count="1" manualBreakCount="1">
    <brk id="52" min="1" max="12" man="1"/>
  </rowBreaks>
  <colBreaks count="2" manualBreakCount="2">
    <brk id="13" max="46" man="1"/>
    <brk id="14" max="46" man="1"/>
  </colBreaks>
  <ignoredErrors>
    <ignoredError sqref="M10 M13 C19:L19"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4:R55"/>
  <sheetViews>
    <sheetView showGridLines="0" zoomScale="55" zoomScaleNormal="55" zoomScaleSheetLayoutView="70" workbookViewId="0">
      <pane xSplit="1" ySplit="8" topLeftCell="C34" activePane="bottomRight" state="frozen"/>
      <selection pane="topRight" activeCell="B1" sqref="B1"/>
      <selection pane="bottomLeft" activeCell="A9" sqref="A9"/>
      <selection pane="bottomRight" activeCell="Q10" sqref="Q10:Q66"/>
    </sheetView>
  </sheetViews>
  <sheetFormatPr defaultRowHeight="15"/>
  <cols>
    <col min="1" max="1" width="1.85546875" style="92" customWidth="1"/>
    <col min="2" max="2" width="38.42578125" style="92" bestFit="1" customWidth="1"/>
    <col min="3" max="3" width="10.28515625" style="92" bestFit="1" customWidth="1"/>
    <col min="4" max="5" width="11.5703125" style="92" bestFit="1" customWidth="1"/>
    <col min="6" max="6" width="10.42578125" style="92" bestFit="1" customWidth="1"/>
    <col min="7" max="7" width="11.7109375" style="92" bestFit="1" customWidth="1"/>
    <col min="8" max="8" width="13" style="92" bestFit="1" customWidth="1"/>
    <col min="9" max="9" width="10.85546875" style="92" bestFit="1" customWidth="1"/>
    <col min="10" max="10" width="11.7109375" style="92" bestFit="1" customWidth="1"/>
    <col min="11" max="12" width="10.85546875" style="92" bestFit="1" customWidth="1"/>
    <col min="13" max="13" width="10.42578125" style="92" customWidth="1"/>
    <col min="14" max="14" width="11.7109375" style="92" bestFit="1" customWidth="1"/>
    <col min="15" max="15" width="11.140625" style="92" bestFit="1" customWidth="1"/>
    <col min="16" max="16" width="9.140625" style="92"/>
    <col min="17" max="17" width="172.85546875" style="92" bestFit="1" customWidth="1"/>
    <col min="18" max="18" width="15.140625" style="92" customWidth="1"/>
    <col min="19" max="16384" width="9.140625" style="92"/>
  </cols>
  <sheetData>
    <row r="4" spans="2:18" ht="15.75">
      <c r="B4" s="549" t="str">
        <f>HistoricalFS!B2</f>
        <v>TRENT LTD</v>
      </c>
    </row>
    <row r="5" spans="2:18">
      <c r="B5" s="92" t="str">
        <f>HistoricalFS!B3</f>
        <v>( TRENT | BSE Code: 500251)</v>
      </c>
    </row>
    <row r="7" spans="2:18" ht="27.75" customHeight="1">
      <c r="B7" s="824" t="str">
        <f>"Ration Analysis -"&amp;'Data Sheet'!B1</f>
        <v>Ration Analysis -TRENT LTD</v>
      </c>
      <c r="C7" s="824"/>
      <c r="D7" s="824"/>
      <c r="E7" s="824"/>
      <c r="F7" s="824"/>
      <c r="G7" s="824"/>
      <c r="H7" s="824"/>
      <c r="I7" s="824"/>
      <c r="J7" s="824"/>
      <c r="K7" s="824"/>
      <c r="L7" s="824"/>
      <c r="M7" s="824"/>
      <c r="N7" s="824"/>
      <c r="O7" s="824"/>
      <c r="P7" s="550"/>
    </row>
    <row r="8" spans="2:18" ht="18">
      <c r="B8" s="773" t="s">
        <v>55</v>
      </c>
      <c r="C8" s="774">
        <f>HistoricalFS!C7</f>
        <v>42460</v>
      </c>
      <c r="D8" s="774">
        <f>HistoricalFS!D7</f>
        <v>42825</v>
      </c>
      <c r="E8" s="774">
        <f>HistoricalFS!E7</f>
        <v>43190</v>
      </c>
      <c r="F8" s="774">
        <f>HistoricalFS!F7</f>
        <v>43555</v>
      </c>
      <c r="G8" s="774">
        <f>HistoricalFS!G7</f>
        <v>43921</v>
      </c>
      <c r="H8" s="774">
        <f>HistoricalFS!H7</f>
        <v>44286</v>
      </c>
      <c r="I8" s="774">
        <f>HistoricalFS!I7</f>
        <v>44651</v>
      </c>
      <c r="J8" s="774">
        <f>HistoricalFS!J7</f>
        <v>45016</v>
      </c>
      <c r="K8" s="774">
        <f>HistoricalFS!K7</f>
        <v>45382</v>
      </c>
      <c r="L8" s="774">
        <f>HistoricalFS!L7</f>
        <v>45747</v>
      </c>
      <c r="M8" s="774" t="s">
        <v>128</v>
      </c>
      <c r="N8" s="774" t="s">
        <v>126</v>
      </c>
      <c r="O8" s="774" t="s">
        <v>127</v>
      </c>
      <c r="P8" s="550"/>
    </row>
    <row r="9" spans="2:18" ht="15.75">
      <c r="B9" s="551"/>
      <c r="C9" s="552"/>
      <c r="D9" s="552"/>
      <c r="E9" s="552"/>
      <c r="F9" s="552"/>
      <c r="G9" s="552"/>
      <c r="H9" s="552"/>
      <c r="I9" s="552"/>
      <c r="J9" s="552"/>
      <c r="K9" s="552"/>
      <c r="L9" s="554"/>
      <c r="M9" s="552"/>
      <c r="N9" s="552"/>
      <c r="O9" s="552"/>
    </row>
    <row r="10" spans="2:18" ht="19.5">
      <c r="B10" s="578" t="s">
        <v>8852</v>
      </c>
      <c r="C10" s="553"/>
      <c r="D10" s="553"/>
      <c r="E10" s="553"/>
      <c r="F10" s="553"/>
      <c r="G10" s="553"/>
      <c r="H10" s="553"/>
      <c r="I10" s="553"/>
      <c r="J10" s="553"/>
      <c r="K10" s="553"/>
      <c r="L10" s="554"/>
      <c r="M10" s="553"/>
      <c r="N10" s="553"/>
      <c r="O10" s="553"/>
      <c r="P10" s="98"/>
      <c r="R10" s="555"/>
    </row>
    <row r="11" spans="2:18">
      <c r="B11" s="556" t="s">
        <v>10</v>
      </c>
      <c r="C11" s="556"/>
      <c r="D11" s="775">
        <f>IFERROR(HistoricalFS!D11,0)</f>
        <v>7.4885687682736624E-2</v>
      </c>
      <c r="E11" s="775">
        <f>IFERROR(HistoricalFS!E11,0)</f>
        <v>0.19036216371300574</v>
      </c>
      <c r="F11" s="775">
        <f>IFERROR(HistoricalFS!F11,0)</f>
        <v>0.21913731888424337</v>
      </c>
      <c r="G11" s="775">
        <f>IFERROR(HistoricalFS!G11,0)</f>
        <v>0.32534673641949041</v>
      </c>
      <c r="H11" s="775">
        <f>IFERROR(HistoricalFS!H11,0)</f>
        <v>-0.25617473422107984</v>
      </c>
      <c r="I11" s="775">
        <f>IFERROR(HistoricalFS!I11,0)</f>
        <v>0.73470473898556099</v>
      </c>
      <c r="J11" s="775">
        <f>IFERROR(HistoricalFS!J11,0)</f>
        <v>0.83236624114610414</v>
      </c>
      <c r="K11" s="775">
        <f>IFERROR(HistoricalFS!K11,0)</f>
        <v>0.50146566011730132</v>
      </c>
      <c r="L11" s="558">
        <f>IFERROR(HistoricalFS!L11,0)</f>
        <v>0.38460264191591031</v>
      </c>
      <c r="M11" s="557"/>
      <c r="N11" s="557">
        <f>IFERROR(AVERAGE(D11:L11),0)</f>
        <v>0.33407738384925256</v>
      </c>
      <c r="O11" s="557">
        <f>IFERROR(MEDIAN(C11:L11),0)</f>
        <v>0.32534673641949041</v>
      </c>
      <c r="R11" s="555"/>
    </row>
    <row r="12" spans="2:18">
      <c r="B12" s="95" t="s">
        <v>106</v>
      </c>
      <c r="C12" s="95"/>
      <c r="D12" s="776">
        <f>IFERROR(HistoricalFS!D22/HistoricalFS!C22-1,0)</f>
        <v>0.48763368983957145</v>
      </c>
      <c r="E12" s="776">
        <f>IFERROR(HistoricalFS!E22/HistoricalFS!D22-1,0)</f>
        <v>0.56144686587283732</v>
      </c>
      <c r="F12" s="776">
        <f>IFERROR(HistoricalFS!F22/HistoricalFS!E22-1,0)</f>
        <v>0.154148681055154</v>
      </c>
      <c r="G12" s="776">
        <f>IFERROR(HistoricalFS!G22/HistoricalFS!F22-1,0)</f>
        <v>1.1981798537234067</v>
      </c>
      <c r="H12" s="776">
        <f>IFERROR(HistoricalFS!H22/HistoricalFS!G22-1,0)</f>
        <v>-0.78473259353082403</v>
      </c>
      <c r="I12" s="776">
        <f>IFERROR(HistoricalFS!I22/HistoricalFS!H22-1,0)</f>
        <v>4.222797927461146</v>
      </c>
      <c r="J12" s="776">
        <f>IFERROR(HistoricalFS!J22/HistoricalFS!I22-1,0)</f>
        <v>0.87340260963142335</v>
      </c>
      <c r="K12" s="776">
        <f>IFERROR(HistoricalFS!K22/HistoricalFS!J22-1,0)</f>
        <v>0.76878337746263781</v>
      </c>
      <c r="L12" s="398">
        <f>IFERROR(HistoricalFS!L22/HistoricalFS!K22-1,0)</f>
        <v>0.43095058076105275</v>
      </c>
      <c r="M12" s="99"/>
      <c r="N12" s="99">
        <f>IFERROR(AVERAGE(D12:L12),0)</f>
        <v>0.87917899914182285</v>
      </c>
      <c r="O12" s="99">
        <f>IFERROR(MEDIAN(C12:L12),0)</f>
        <v>0.56144686587283732</v>
      </c>
      <c r="R12" s="555"/>
    </row>
    <row r="13" spans="2:18">
      <c r="B13" s="95" t="s">
        <v>8830</v>
      </c>
      <c r="C13" s="95"/>
      <c r="D13" s="776">
        <f>IFERROR(HistoricalFS!D34/HistoricalFS!C34-1,0)</f>
        <v>12.572674418604269</v>
      </c>
      <c r="E13" s="776">
        <f>IFERROR(HistoricalFS!E34/HistoricalFS!D34-1,0)</f>
        <v>1.5527950310558976</v>
      </c>
      <c r="F13" s="776">
        <f>IFERROR(HistoricalFS!F34/HistoricalFS!E34-1,0)</f>
        <v>0.16058394160583633</v>
      </c>
      <c r="G13" s="776">
        <f>IFERROR(HistoricalFS!G34/HistoricalFS!F34-1,0)</f>
        <v>-0.86727391021470357</v>
      </c>
      <c r="H13" s="776">
        <f>IFERROR(HistoricalFS!H34/HistoricalFS!G34-1,0)</f>
        <v>-23.01633986928103</v>
      </c>
      <c r="I13" s="776">
        <f>IFERROR(HistoricalFS!I34/HistoricalFS!H34-1,0)</f>
        <v>-0.89871851961803162</v>
      </c>
      <c r="J13" s="776">
        <f>IFERROR(HistoricalFS!J34/HistoricalFS!I34-1,0)</f>
        <v>-6.1653639472399906</v>
      </c>
      <c r="K13" s="776">
        <f>IFERROR(HistoricalFS!K34/HistoricalFS!J34-1,0)</f>
        <v>3.4068662221591444</v>
      </c>
      <c r="L13" s="398">
        <f>IFERROR(HistoricalFS!L34/HistoricalFS!K34-1,0)</f>
        <v>0.85067387758605806</v>
      </c>
      <c r="M13" s="99"/>
      <c r="N13" s="776">
        <f>IFERROR(AVERAGE(D13:L13),0)</f>
        <v>-1.3782336394825054</v>
      </c>
      <c r="O13" s="99">
        <f>IFERROR(MEDIAN(C13:L13),0)</f>
        <v>0.16058394160583633</v>
      </c>
      <c r="R13" s="555"/>
    </row>
    <row r="14" spans="2:18">
      <c r="B14" s="95" t="s">
        <v>107</v>
      </c>
      <c r="C14" s="95"/>
      <c r="D14" s="776">
        <f>IFERROR(HistoricalFS!D40/HistoricalFS!C40-1,0)</f>
        <v>-1.1164055004796967</v>
      </c>
      <c r="E14" s="776">
        <f>IFERROR(HistoricalFS!E40/HistoricalFS!D40-1,0)</f>
        <v>15.365384615384198</v>
      </c>
      <c r="F14" s="776">
        <f>IFERROR(HistoricalFS!F40/HistoricalFS!E40-1,0)</f>
        <v>8.6452912539862981E-2</v>
      </c>
      <c r="G14" s="776">
        <f>IFERROR(HistoricalFS!G40/HistoricalFS!F40-1,0)</f>
        <v>-1.6280902348578512</v>
      </c>
      <c r="H14" s="776">
        <f>IFERROR(HistoricalFS!H40/HistoricalFS!G40-1,0)</f>
        <v>8.361131611316118</v>
      </c>
      <c r="I14" s="776">
        <f>IFERROR(HistoricalFS!I40/HistoricalFS!H40-1,0)</f>
        <v>-0.69106246550863459</v>
      </c>
      <c r="J14" s="776">
        <f>IFERROR(HistoricalFS!J40/HistoricalFS!I40-1,0)</f>
        <v>-1.4510888057162448</v>
      </c>
      <c r="K14" s="776">
        <f>IFERROR(HistoricalFS!K40/HistoricalFS!J40-1,0)</f>
        <v>8.212709786912832</v>
      </c>
      <c r="L14" s="398">
        <f>IFERROR(HistoricalFS!L40/HistoricalFS!K40-1,0)</f>
        <v>1.5163238153720173</v>
      </c>
      <c r="M14" s="99"/>
      <c r="N14" s="99">
        <f>IFERROR(AVERAGE(D14:L14),0)</f>
        <v>3.1839284149958447</v>
      </c>
      <c r="O14" s="99">
        <f>IFERROR(MEDIAN(C14:L14),0)</f>
        <v>8.6452912539862981E-2</v>
      </c>
      <c r="R14" s="555"/>
    </row>
    <row r="15" spans="2:18">
      <c r="B15" s="559" t="s">
        <v>108</v>
      </c>
      <c r="C15" s="559"/>
      <c r="D15" s="777">
        <f>IFERROR(HistoricalFS!D48/HistoricalFS!C48-1,0)</f>
        <v>0.1109996656636576</v>
      </c>
      <c r="E15" s="777">
        <f>IFERROR(HistoricalFS!E48/HistoricalFS!D48-1,0)</f>
        <v>0.14986458019861582</v>
      </c>
      <c r="F15" s="777">
        <f>IFERROR(HistoricalFS!F48/HistoricalFS!E48-1,0)</f>
        <v>0.13059408531797967</v>
      </c>
      <c r="G15" s="777">
        <f>IFERROR(HistoricalFS!G48/HistoricalFS!F48-1,0)</f>
        <v>-0.23078703703703707</v>
      </c>
      <c r="H15" s="777">
        <f>IFERROR(HistoricalFS!H48/HistoricalFS!G48-1,0)</f>
        <v>-0.4</v>
      </c>
      <c r="I15" s="777">
        <f>IFERROR(HistoricalFS!I48/HistoricalFS!H48-1,0)</f>
        <v>1.83356774496015</v>
      </c>
      <c r="J15" s="777">
        <f>IFERROR(HistoricalFS!J48/HistoricalFS!I48-1,0)</f>
        <v>0.2940105890138982</v>
      </c>
      <c r="K15" s="777">
        <f>IFERROR(HistoricalFS!K48/HistoricalFS!J48-1,0)</f>
        <v>0</v>
      </c>
      <c r="L15" s="561">
        <f>IFERROR(HistoricalFS!L48/HistoricalFS!K48-1,0)</f>
        <v>0</v>
      </c>
      <c r="M15" s="560"/>
      <c r="N15" s="560">
        <f>IFERROR(AVERAGE(D15:L15),0)</f>
        <v>0.20980551423525157</v>
      </c>
      <c r="O15" s="560">
        <f>IFERROR(MEDIAN(C15:L15),0)</f>
        <v>0.1109996656636576</v>
      </c>
      <c r="R15" s="555"/>
    </row>
    <row r="16" spans="2:18" ht="16.5" customHeight="1">
      <c r="B16" s="553"/>
      <c r="C16" s="95"/>
      <c r="D16" s="99"/>
      <c r="E16" s="99"/>
      <c r="F16" s="99"/>
      <c r="G16" s="99"/>
      <c r="H16" s="99"/>
      <c r="I16" s="99"/>
      <c r="J16" s="99"/>
      <c r="K16" s="99"/>
      <c r="L16" s="398"/>
      <c r="M16" s="99"/>
      <c r="N16" s="99"/>
      <c r="O16" s="99"/>
      <c r="R16" s="555"/>
    </row>
    <row r="17" spans="2:18" ht="19.5">
      <c r="B17" s="578" t="s">
        <v>8849</v>
      </c>
      <c r="C17" s="553"/>
      <c r="D17" s="553"/>
      <c r="E17" s="553"/>
      <c r="F17" s="553"/>
      <c r="G17" s="553"/>
      <c r="H17" s="553"/>
      <c r="I17" s="553"/>
      <c r="J17" s="553"/>
      <c r="K17" s="553"/>
      <c r="L17" s="554"/>
      <c r="M17" s="553"/>
      <c r="N17" s="553"/>
      <c r="O17" s="553"/>
      <c r="P17" s="553"/>
      <c r="Q17" s="553"/>
      <c r="R17" s="555"/>
    </row>
    <row r="18" spans="2:18">
      <c r="B18" s="556" t="s">
        <v>60</v>
      </c>
      <c r="C18" s="557">
        <f>IFERROR(HistoricalFS!C17,0)</f>
        <v>0.45382138218566342</v>
      </c>
      <c r="D18" s="557">
        <f>IFERROR(HistoricalFS!D17,0)</f>
        <v>0.44022974553640398</v>
      </c>
      <c r="E18" s="557">
        <f>IFERROR(HistoricalFS!E17,0)</f>
        <v>0.4553595431665014</v>
      </c>
      <c r="F18" s="557">
        <f>IFERROR(HistoricalFS!F17,0)</f>
        <v>0.4324814465600097</v>
      </c>
      <c r="G18" s="557">
        <f>IFERROR(HistoricalFS!G17,0)</f>
        <v>0.41310621403450393</v>
      </c>
      <c r="H18" s="557">
        <f>IFERROR(HistoricalFS!H17,0)</f>
        <v>0.35386199555720099</v>
      </c>
      <c r="I18" s="557">
        <f>IFERROR(HistoricalFS!I17,0)</f>
        <v>0.40405556222515698</v>
      </c>
      <c r="J18" s="557">
        <f>IFERROR(HistoricalFS!J17,0)</f>
        <v>0.38413034668685603</v>
      </c>
      <c r="K18" s="557">
        <f>IFERROR(HistoricalFS!K17,0)</f>
        <v>0.39777181778586213</v>
      </c>
      <c r="L18" s="558">
        <f>IFERROR(HistoricalFS!L17,0)</f>
        <v>0.39252775522757738</v>
      </c>
      <c r="M18" s="557"/>
      <c r="N18" s="557">
        <f t="shared" ref="N18:N25" si="0">IFERROR(AVERAGE(C18:L18),0)</f>
        <v>0.41273458089657361</v>
      </c>
      <c r="O18" s="557">
        <f t="shared" ref="O18:O25" si="1">IFERROR(MEDIAN(C18:L18),0)</f>
        <v>0.40858088812983046</v>
      </c>
      <c r="R18" s="555"/>
    </row>
    <row r="19" spans="2:18">
      <c r="B19" s="95" t="s">
        <v>109</v>
      </c>
      <c r="C19" s="776">
        <f>IFERROR(HistoricalFS!C23,0)</f>
        <v>5.3233066654014782E-2</v>
      </c>
      <c r="D19" s="776">
        <f>IFERROR(HistoricalFS!D23,0)</f>
        <v>7.3674163006775442E-2</v>
      </c>
      <c r="E19" s="776">
        <f>IFERROR(HistoricalFS!E23,0)</f>
        <v>9.6641420930167934E-2</v>
      </c>
      <c r="F19" s="776">
        <f>IFERROR(HistoricalFS!F23,0)</f>
        <v>9.1489749984792174E-2</v>
      </c>
      <c r="G19" s="776">
        <f>IFERROR(HistoricalFS!G23,0)</f>
        <v>0.15174212129731096</v>
      </c>
      <c r="H19" s="776">
        <f>IFERROR(HistoricalFS!H23,0)</f>
        <v>4.3915062322596572E-2</v>
      </c>
      <c r="I19" s="776">
        <f>IFERROR(HistoricalFS!I23,0)</f>
        <v>0.13221817599743901</v>
      </c>
      <c r="J19" s="776">
        <f>IFERROR(HistoricalFS!J23,0)</f>
        <v>0.13517924004066981</v>
      </c>
      <c r="K19" s="776">
        <f>IFERROR(HistoricalFS!K23,0)</f>
        <v>0.15924626124535463</v>
      </c>
      <c r="L19" s="398">
        <f>IFERROR(HistoricalFS!L23,0)</f>
        <v>0.16457684184232962</v>
      </c>
      <c r="M19" s="99"/>
      <c r="N19" s="776">
        <f t="shared" si="0"/>
        <v>0.11019161033214511</v>
      </c>
      <c r="O19" s="776">
        <f t="shared" si="1"/>
        <v>0.11442979846380347</v>
      </c>
      <c r="R19" s="555"/>
    </row>
    <row r="20" spans="2:18">
      <c r="B20" s="95" t="s">
        <v>110</v>
      </c>
      <c r="C20" s="776">
        <f>IFERROR(HistoricalFS!C29,0)</f>
        <v>3.0346880800868298E-2</v>
      </c>
      <c r="D20" s="776">
        <f>HistoricalFS!D29</f>
        <v>5.0892719207256569E-2</v>
      </c>
      <c r="E20" s="776">
        <f>HistoricalFS!E29</f>
        <v>7.5537901050309206E-2</v>
      </c>
      <c r="F20" s="776">
        <f>HistoricalFS!F29</f>
        <v>7.1845154814769663E-2</v>
      </c>
      <c r="G20" s="776">
        <f>HistoricalFS!G29</f>
        <v>8.0818019609980557E-2</v>
      </c>
      <c r="H20" s="776">
        <f>HistoricalFS!H29</f>
        <v>-5.5315161051462426E-2</v>
      </c>
      <c r="I20" s="776">
        <f>HistoricalFS!I29</f>
        <v>6.311666021938557E-2</v>
      </c>
      <c r="J20" s="776">
        <f>HistoricalFS!J29</f>
        <v>7.5280089104370215E-2</v>
      </c>
      <c r="K20" s="776">
        <f>HistoricalFS!K29</f>
        <v>0.1050156321842796</v>
      </c>
      <c r="L20" s="398">
        <f>HistoricalFS!L29</f>
        <v>0.11233287480718847</v>
      </c>
      <c r="M20" s="99"/>
      <c r="N20" s="776">
        <f t="shared" si="0"/>
        <v>6.0987077074694571E-2</v>
      </c>
      <c r="O20" s="776">
        <f t="shared" si="1"/>
        <v>7.3562621959569946E-2</v>
      </c>
      <c r="R20" s="555"/>
    </row>
    <row r="21" spans="2:18">
      <c r="B21" s="95" t="s">
        <v>112</v>
      </c>
      <c r="C21" s="776">
        <f>IFERROR(HistoricalFS!C35,0)</f>
        <v>2.0401264403945652E-3</v>
      </c>
      <c r="D21" s="776">
        <f>IFERROR(HistoricalFS!D35,0)</f>
        <v>2.5760852773057369E-2</v>
      </c>
      <c r="E21" s="776">
        <f>IFERROR(HistoricalFS!E35,0)</f>
        <v>5.5245520195044223E-2</v>
      </c>
      <c r="F21" s="776">
        <f>IFERROR(HistoricalFS!F35,0)</f>
        <v>5.2592158890443372E-2</v>
      </c>
      <c r="G21" s="776">
        <f>IFERROR(HistoricalFS!G35,0)</f>
        <v>5.2668116282939123E-3</v>
      </c>
      <c r="H21" s="776">
        <f>IFERROR(HistoricalFS!H35,0)</f>
        <v>-0.15589133654202147</v>
      </c>
      <c r="I21" s="776">
        <f>IFERROR(HistoricalFS!I35,0)</f>
        <v>-9.1017825621049382E-3</v>
      </c>
      <c r="J21" s="776">
        <f>IFERROR(HistoricalFS!J35,0)</f>
        <v>2.565754511636727E-2</v>
      </c>
      <c r="K21" s="776">
        <f>IFERROR(HistoricalFS!K35,0)</f>
        <v>7.5305997280024198E-2</v>
      </c>
      <c r="L21" s="398">
        <f>IFERROR(HistoricalFS!L35,0)</f>
        <v>0.10065475665918278</v>
      </c>
      <c r="M21" s="99"/>
      <c r="N21" s="776">
        <f t="shared" si="0"/>
        <v>1.7753064987868123E-2</v>
      </c>
      <c r="O21" s="776">
        <f t="shared" si="1"/>
        <v>2.5709198944712318E-2</v>
      </c>
      <c r="R21" s="555"/>
    </row>
    <row r="22" spans="2:18">
      <c r="B22" s="95" t="s">
        <v>111</v>
      </c>
      <c r="C22" s="776">
        <f>IFERROR(HistoricalFS!C41,0)</f>
        <v>-1.8544986567190672E-2</v>
      </c>
      <c r="D22" s="776">
        <f>IFERROR(HistoricalFS!D41,0)</f>
        <v>2.0083423451259627E-3</v>
      </c>
      <c r="E22" s="776">
        <f>IFERROR(HistoricalFS!E41,0)</f>
        <v>2.76111723971708E-2</v>
      </c>
      <c r="F22" s="776">
        <f>IFERROR(HistoricalFS!F41,0)</f>
        <v>2.4606119593649157E-2</v>
      </c>
      <c r="G22" s="776">
        <f>IFERROR(HistoricalFS!G41,0)</f>
        <v>-1.1660996333886019E-2</v>
      </c>
      <c r="H22" s="776">
        <f>IFERROR(HistoricalFS!H41,0)</f>
        <v>-0.14675505985437493</v>
      </c>
      <c r="I22" s="776">
        <f>IFERROR(HistoricalFS!I41,0)</f>
        <v>-2.6135944259918643E-2</v>
      </c>
      <c r="J22" s="776">
        <f>IFERROR(HistoricalFS!J41,0)</f>
        <v>6.4341023195771656E-3</v>
      </c>
      <c r="K22" s="776">
        <f>IFERROR(HistoricalFS!K41,0)</f>
        <v>3.9478436959348259E-2</v>
      </c>
      <c r="L22" s="398">
        <f>IFERROR(HistoricalFS!L41,0)</f>
        <v>7.1746599426540783E-2</v>
      </c>
      <c r="M22" s="99"/>
      <c r="N22" s="776">
        <f t="shared" si="0"/>
        <v>-3.1212213973958124E-3</v>
      </c>
      <c r="O22" s="776">
        <f t="shared" si="1"/>
        <v>4.2212223323515648E-3</v>
      </c>
      <c r="R22" s="555"/>
    </row>
    <row r="23" spans="2:18">
      <c r="B23" s="95" t="s">
        <v>8839</v>
      </c>
      <c r="C23" s="780" t="s">
        <v>105</v>
      </c>
      <c r="D23" s="776">
        <f>HistoricalFS!D40/'Data Sheet'!C79</f>
        <v>2.4169344771719876E-3</v>
      </c>
      <c r="E23" s="776">
        <f>HistoricalFS!E40/'Data Sheet'!D79</f>
        <v>3.7905735175275117E-2</v>
      </c>
      <c r="F23" s="776">
        <f>HistoricalFS!F40/'Data Sheet'!E79</f>
        <v>3.9927449504608289E-2</v>
      </c>
      <c r="G23" s="776">
        <f>HistoricalFS!G40/'Data Sheet'!F79</f>
        <v>-2.0152294833278794E-2</v>
      </c>
      <c r="H23" s="776">
        <f>HistoricalFS!H40/'Data Sheet'!G79</f>
        <v>-0.16190010211027911</v>
      </c>
      <c r="I23" s="776">
        <f>HistoricalFS!I40/'Data Sheet'!H79</f>
        <v>-5.0271219128378154E-2</v>
      </c>
      <c r="J23" s="776">
        <f>HistoricalFS!J40/'Data Sheet'!I79</f>
        <v>2.1385263404100581E-2</v>
      </c>
      <c r="K23" s="776">
        <f>HistoricalFS!K40/'Data Sheet'!J79</f>
        <v>0.14664059322580797</v>
      </c>
      <c r="L23" s="398">
        <f>HistoricalFS!L40/'Data Sheet'!K79</f>
        <v>0.25800988091690208</v>
      </c>
      <c r="M23" s="99"/>
      <c r="N23" s="776">
        <f t="shared" si="0"/>
        <v>3.0440248959103331E-2</v>
      </c>
      <c r="O23" s="776">
        <f t="shared" si="1"/>
        <v>2.1385263404100581E-2</v>
      </c>
      <c r="R23" s="555"/>
    </row>
    <row r="24" spans="2:18">
      <c r="B24" s="172" t="s">
        <v>8840</v>
      </c>
      <c r="C24" s="780" t="s">
        <v>105</v>
      </c>
      <c r="D24" s="776">
        <f>HistoricalFS!D28/'Data Sheet'!C82</f>
        <v>4.8501164679962822E-2</v>
      </c>
      <c r="E24" s="776">
        <f>HistoricalFS!E28/'Data Sheet'!D82</f>
        <v>8.3016023004256034E-2</v>
      </c>
      <c r="F24" s="776">
        <f>HistoricalFS!F28/'Data Sheet'!E82</f>
        <v>9.1567432676349661E-2</v>
      </c>
      <c r="G24" s="776">
        <f>HistoricalFS!G28/'Data Sheet'!F82</f>
        <v>0.11670284331919407</v>
      </c>
      <c r="H24" s="776">
        <f>HistoricalFS!H28/'Data Sheet'!G82</f>
        <v>-5.4119729005163694E-2</v>
      </c>
      <c r="I24" s="776">
        <f>HistoricalFS!I28/'Data Sheet'!H82</f>
        <v>5.8522085439358981E-2</v>
      </c>
      <c r="J24" s="776">
        <f>HistoricalFS!J28/'Data Sheet'!I82</f>
        <v>8.7703786630706687E-2</v>
      </c>
      <c r="K24" s="776">
        <f>HistoricalFS!K28/'Data Sheet'!J82</f>
        <v>0.20179249648301761</v>
      </c>
      <c r="L24" s="398">
        <f>HistoricalFS!L28/'Data Sheet'!K82</f>
        <v>0.28473792980000973</v>
      </c>
      <c r="M24" s="99"/>
      <c r="N24" s="776">
        <f t="shared" si="0"/>
        <v>0.10204711478085465</v>
      </c>
      <c r="O24" s="776">
        <f t="shared" si="1"/>
        <v>8.7703786630706687E-2</v>
      </c>
      <c r="R24" s="555"/>
    </row>
    <row r="25" spans="2:18">
      <c r="B25" s="559" t="s">
        <v>8841</v>
      </c>
      <c r="C25" s="562" t="s">
        <v>105</v>
      </c>
      <c r="D25" s="560">
        <f>HistoricalFS!D40/'Data Sheet'!C78</f>
        <v>1.6625407642207068E-3</v>
      </c>
      <c r="E25" s="560">
        <f>HistoricalFS!E40/'Data Sheet'!D78</f>
        <v>2.6138026506600371E-2</v>
      </c>
      <c r="F25" s="560">
        <f>HistoricalFS!F40/'Data Sheet'!E78</f>
        <v>2.6445362459189783E-2</v>
      </c>
      <c r="G25" s="777">
        <f>HistoricalFS!G40/'Data Sheet'!F78</f>
        <v>-1.0080045230018445E-2</v>
      </c>
      <c r="H25" s="777">
        <f>HistoricalFS!H40/'Data Sheet'!G78</f>
        <v>-6.7767784079120888E-2</v>
      </c>
      <c r="I25" s="777">
        <f>HistoricalFS!I40/'Data Sheet'!H78</f>
        <v>-1.748136582464347E-2</v>
      </c>
      <c r="J25" s="777">
        <f>HistoricalFS!J40/'Data Sheet'!I78</f>
        <v>6.7094521288879553E-3</v>
      </c>
      <c r="K25" s="777">
        <f>HistoricalFS!K40/'Data Sheet'!J78</f>
        <v>6.4100377346607854E-2</v>
      </c>
      <c r="L25" s="561">
        <f>HistoricalFS!L40/'Data Sheet'!K78</f>
        <v>0.14828069299377192</v>
      </c>
      <c r="M25" s="560"/>
      <c r="N25" s="560">
        <f t="shared" si="0"/>
        <v>1.9778584118388419E-2</v>
      </c>
      <c r="O25" s="560">
        <f t="shared" si="1"/>
        <v>6.7094521288879553E-3</v>
      </c>
      <c r="P25" s="95"/>
      <c r="Q25" s="95"/>
      <c r="R25" s="555"/>
    </row>
    <row r="26" spans="2:18">
      <c r="L26" s="563"/>
      <c r="R26" s="555"/>
    </row>
    <row r="27" spans="2:18" ht="19.5">
      <c r="B27" s="578" t="s">
        <v>8850</v>
      </c>
      <c r="C27" s="553"/>
      <c r="D27" s="553"/>
      <c r="E27" s="553"/>
      <c r="F27" s="553"/>
      <c r="G27" s="553"/>
      <c r="H27" s="553"/>
      <c r="I27" s="553"/>
      <c r="J27" s="553"/>
      <c r="K27" s="553"/>
      <c r="L27" s="554"/>
      <c r="M27" s="553"/>
      <c r="N27" s="553"/>
      <c r="O27" s="553"/>
      <c r="R27" s="555"/>
    </row>
    <row r="28" spans="2:18">
      <c r="B28" s="556" t="s">
        <v>113</v>
      </c>
      <c r="C28" s="564">
        <f>HistoricalFS!C28/HistoricalFS!C31</f>
        <v>1.0720720720720742</v>
      </c>
      <c r="D28" s="564">
        <f>HistoricalFS!D28/HistoricalFS!D31</f>
        <v>2.0250274423710231</v>
      </c>
      <c r="E28" s="564">
        <f>HistoricalFS!E28/HistoricalFS!E31</f>
        <v>3.7224760164458681</v>
      </c>
      <c r="F28" s="564">
        <f>HistoricalFS!F28/HistoricalFS!F31</f>
        <v>3.7316350710900421</v>
      </c>
      <c r="G28" s="564">
        <f>HistoricalFS!G28/HistoricalFS!G31</f>
        <v>1.069711812279303</v>
      </c>
      <c r="H28" s="779">
        <f>HistoricalFS!H28/HistoricalFS!H31</f>
        <v>-0.54998274473714481</v>
      </c>
      <c r="I28" s="564">
        <f>HistoricalFS!I28/HistoricalFS!I31</f>
        <v>0.87396872306366435</v>
      </c>
      <c r="J28" s="564">
        <f>HistoricalFS!J28/HistoricalFS!J31</f>
        <v>1.5170542067043238</v>
      </c>
      <c r="K28" s="564">
        <f>HistoricalFS!K28/HistoricalFS!K31</f>
        <v>3.5347331773921566</v>
      </c>
      <c r="L28" s="565">
        <f>HistoricalFS!L28/HistoricalFS!L31</f>
        <v>9.6190904547726124</v>
      </c>
      <c r="M28" s="557"/>
      <c r="N28" s="564">
        <f>IFERROR(AVERAGE(C28:L28),0)</f>
        <v>2.6615786231453926</v>
      </c>
      <c r="O28" s="564">
        <f>IFERROR(MEDIAN(C28:L28),0)</f>
        <v>1.7710408245376734</v>
      </c>
      <c r="R28" s="555"/>
    </row>
    <row r="29" spans="2:18">
      <c r="B29" s="95" t="s">
        <v>8846</v>
      </c>
      <c r="C29" s="566">
        <f>HistoricalFS!C59/SUM(HistoricalFS!C57:C58)</f>
        <v>0.27301470236753866</v>
      </c>
      <c r="D29" s="566">
        <f>HistoricalFS!D59/SUM(HistoricalFS!D57:D58)</f>
        <v>0.25311270344836501</v>
      </c>
      <c r="E29" s="566">
        <f>HistoricalFS!E59/SUM(HistoricalFS!E57:E58)</f>
        <v>0.24535374239204696</v>
      </c>
      <c r="F29" s="566">
        <f>HistoricalFS!F59/SUM(HistoricalFS!F57:F58)</f>
        <v>0.3001135735586179</v>
      </c>
      <c r="G29" s="566">
        <f>HistoricalFS!G59/SUM(HistoricalFS!G57:G58)</f>
        <v>0.12553135352232417</v>
      </c>
      <c r="H29" s="566">
        <f>HistoricalFS!H59/SUM(HistoricalFS!H57:H58)</f>
        <v>0.12966974055675887</v>
      </c>
      <c r="I29" s="566">
        <f>HistoricalFS!I59/SUM(HistoricalFS!I57:I58)</f>
        <v>1.9988832487309642</v>
      </c>
      <c r="J29" s="566">
        <f>HistoricalFS!J59/SUM(HistoricalFS!J57:J58)</f>
        <v>1.7199603928352643</v>
      </c>
      <c r="K29" s="566">
        <f>HistoricalFS!K59/SUM(HistoricalFS!K57:K58)</f>
        <v>0.43094937237876557</v>
      </c>
      <c r="L29" s="567">
        <f>HistoricalFS!L59/SUM(HistoricalFS!L57:L58)</f>
        <v>0.40961122279713064</v>
      </c>
      <c r="M29" s="99"/>
      <c r="N29" s="566">
        <f>IFERROR(AVERAGE(C29:L29),0)</f>
        <v>0.58862000525877767</v>
      </c>
      <c r="O29" s="566">
        <f>IFERROR(MEDIAN(C29:L29),0)</f>
        <v>0.28656413796307828</v>
      </c>
      <c r="R29" s="555"/>
    </row>
    <row r="30" spans="2:18">
      <c r="B30" s="95" t="s">
        <v>8844</v>
      </c>
      <c r="C30" s="566">
        <f>HistoricalFS!C59/HistoricalFS!C74</f>
        <v>0.18538526099073072</v>
      </c>
      <c r="D30" s="566">
        <f>HistoricalFS!D59/HistoricalFS!D74</f>
        <v>0.17628079649004388</v>
      </c>
      <c r="E30" s="566">
        <f>HistoricalFS!E59/HistoricalFS!E74</f>
        <v>0.16757425530639677</v>
      </c>
      <c r="F30" s="566">
        <f>HistoricalFS!F59/HistoricalFS!F74</f>
        <v>0.19311697853647858</v>
      </c>
      <c r="G30" s="566">
        <f>HistoricalFS!G59/HistoricalFS!G74</f>
        <v>5.4432071593046992E-2</v>
      </c>
      <c r="H30" s="566">
        <f>HistoricalFS!H59/HistoricalFS!H74</f>
        <v>5.2401144009238725E-2</v>
      </c>
      <c r="I30" s="566">
        <f>HistoricalFS!I59/HistoricalFS!I74</f>
        <v>0.61161633027095441</v>
      </c>
      <c r="J30" s="566">
        <f>HistoricalFS!J59/HistoricalFS!J74</f>
        <v>0.55238797603919065</v>
      </c>
      <c r="K30" s="566">
        <f>HistoricalFS!K59/HistoricalFS!K74</f>
        <v>0.24477118022829616</v>
      </c>
      <c r="L30" s="567">
        <f>HistoricalFS!L59/HistoricalFS!L74</f>
        <v>0.23750270710982588</v>
      </c>
      <c r="M30" s="99"/>
      <c r="N30" s="566">
        <f>IFERROR(AVERAGE(C30:L30),0)</f>
        <v>0.24754687005742029</v>
      </c>
      <c r="O30" s="566">
        <f>IFERROR(MEDIAN(C30:L30),0)</f>
        <v>0.18925111976360465</v>
      </c>
      <c r="R30" s="555"/>
    </row>
    <row r="31" spans="2:18">
      <c r="B31" s="559" t="s">
        <v>8845</v>
      </c>
      <c r="C31" s="559"/>
      <c r="D31" s="568">
        <f>HistoricalFS!D72/'Data Sheet'!C79</f>
        <v>0.22944941701415639</v>
      </c>
      <c r="E31" s="568">
        <f>HistoricalFS!E72/'Data Sheet'!D79</f>
        <v>0.24987114468066149</v>
      </c>
      <c r="F31" s="568">
        <f>HistoricalFS!F72/'Data Sheet'!E79</f>
        <v>0.35027823361753052</v>
      </c>
      <c r="G31" s="568">
        <f>HistoricalFS!G72/'Data Sheet'!F79</f>
        <v>0.34025402302269547</v>
      </c>
      <c r="H31" s="568">
        <f>HistoricalFS!H72/'Data Sheet'!G79</f>
        <v>0.22576157249829815</v>
      </c>
      <c r="I31" s="568">
        <f>HistoricalFS!I72/'Data Sheet'!H79</f>
        <v>0.41565266846695437</v>
      </c>
      <c r="J31" s="568">
        <f>HistoricalFS!J72/'Data Sheet'!I79</f>
        <v>0.59758160617321543</v>
      </c>
      <c r="K31" s="568">
        <f>HistoricalFS!K72/'Data Sheet'!J79</f>
        <v>0.58891258443727734</v>
      </c>
      <c r="L31" s="569">
        <f>HistoricalFS!L72/'Data Sheet'!K79</f>
        <v>0.5137405188950499</v>
      </c>
      <c r="M31" s="560"/>
      <c r="N31" s="570">
        <f>IFERROR(AVERAGE(D31:L31),0)</f>
        <v>0.39016686320064875</v>
      </c>
      <c r="O31" s="570">
        <f>IFERROR(MEDIAN(D31:L31),0)</f>
        <v>0.35027823361753052</v>
      </c>
      <c r="R31" s="555"/>
    </row>
    <row r="32" spans="2:18">
      <c r="B32" s="95"/>
      <c r="C32" s="95"/>
      <c r="D32" s="571"/>
      <c r="E32" s="571"/>
      <c r="F32" s="571"/>
      <c r="G32" s="571"/>
      <c r="H32" s="571"/>
      <c r="I32" s="571"/>
      <c r="J32" s="571"/>
      <c r="K32" s="571"/>
      <c r="L32" s="399"/>
      <c r="M32" s="99"/>
      <c r="N32" s="99"/>
      <c r="O32" s="99"/>
      <c r="R32" s="555"/>
    </row>
    <row r="33" spans="2:18" ht="19.5">
      <c r="B33" s="578" t="s">
        <v>8851</v>
      </c>
      <c r="C33" s="169" t="s">
        <v>225</v>
      </c>
      <c r="D33" s="169"/>
      <c r="E33" s="169"/>
      <c r="F33" s="169"/>
      <c r="G33" s="169"/>
      <c r="H33" s="169"/>
      <c r="I33" s="169"/>
      <c r="J33" s="169"/>
      <c r="K33" s="169"/>
      <c r="L33" s="403"/>
      <c r="M33" s="169"/>
      <c r="N33" s="169"/>
      <c r="O33" s="169"/>
      <c r="R33" s="555"/>
    </row>
    <row r="34" spans="2:18">
      <c r="B34" s="556" t="s">
        <v>8847</v>
      </c>
      <c r="C34" s="564"/>
      <c r="D34" s="564">
        <f>HistoricalFS!D10/'Data Sheet'!C74</f>
        <v>191.69116869381281</v>
      </c>
      <c r="E34" s="564">
        <f>HistoricalFS!E10/'Data Sheet'!D74</f>
        <v>205.27687916270219</v>
      </c>
      <c r="F34" s="564">
        <f>HistoricalFS!F10/'Data Sheet'!E74</f>
        <v>166.26042983565105</v>
      </c>
      <c r="G34" s="564">
        <f>HistoricalFS!G10/'Data Sheet'!F74</f>
        <v>207.12893642305409</v>
      </c>
      <c r="H34" s="564">
        <f>HistoricalFS!H10/'Data Sheet'!G74</f>
        <v>136.86777513855898</v>
      </c>
      <c r="I34" s="564">
        <f>HistoricalFS!I10/'Data Sheet'!H74</f>
        <v>230.49039200614914</v>
      </c>
      <c r="J34" s="564">
        <f>HistoricalFS!J10/'Data Sheet'!I74</f>
        <v>313.08717948717947</v>
      </c>
      <c r="K34" s="564">
        <f>HistoricalFS!K10/'Data Sheet'!J74</f>
        <v>213.12511840179113</v>
      </c>
      <c r="L34" s="565">
        <f>HistoricalFS!L10/'Data Sheet'!K74</f>
        <v>236.84580827977055</v>
      </c>
      <c r="M34" s="557"/>
      <c r="N34" s="564">
        <f>IFERROR(AVERAGE(C34:L34),0)</f>
        <v>211.19707638096327</v>
      </c>
      <c r="O34" s="564">
        <f>IFERROR(MEDIAN(C34:L34),0)</f>
        <v>207.12893642305409</v>
      </c>
      <c r="R34" s="555"/>
    </row>
    <row r="35" spans="2:18">
      <c r="B35" s="95" t="s">
        <v>114</v>
      </c>
      <c r="C35" s="572">
        <f>IFERROR(HistoricalFS!C10/HistoricalFS!C60,0)</f>
        <v>5.7666552667578665</v>
      </c>
      <c r="D35" s="572">
        <f>IFERROR(HistoricalFS!D10/HistoricalFS!D60,0)</f>
        <v>6.408457676260519</v>
      </c>
      <c r="E35" s="572">
        <f>IFERROR(HistoricalFS!E10/HistoricalFS!E60,0)</f>
        <v>6.1807712141179172</v>
      </c>
      <c r="F35" s="572">
        <f>IFERROR(HistoricalFS!F10/HistoricalFS!F60,0)</f>
        <v>6.2907847217239476</v>
      </c>
      <c r="G35" s="572">
        <f>IFERROR(HistoricalFS!G10/HistoricalFS!G60,0)</f>
        <v>1.2365270629298695</v>
      </c>
      <c r="H35" s="572">
        <f>IFERROR(HistoricalFS!H10/HistoricalFS!H60,0)</f>
        <v>0.8335428205878288</v>
      </c>
      <c r="I35" s="572">
        <f>IFERROR(HistoricalFS!I10/HistoricalFS!I60,0)</f>
        <v>7.0650268589199898</v>
      </c>
      <c r="J35" s="572">
        <f>IFERROR(HistoricalFS!J10/HistoricalFS!J60,0)</f>
        <v>8.0653880027399953</v>
      </c>
      <c r="K35" s="572">
        <f>IFERROR(HistoricalFS!K10/HistoricalFS!K60,0)</f>
        <v>9.2281323171913918</v>
      </c>
      <c r="L35" s="573">
        <f>IFERROR(HistoricalFS!L10/HistoricalFS!L60,0)</f>
        <v>9.9578720411922994</v>
      </c>
      <c r="M35" s="99"/>
      <c r="N35" s="572">
        <f t="shared" ref="N35:N42" si="2">IFERROR(AVERAGE(C35:L35),0)</f>
        <v>6.1033157982421624</v>
      </c>
      <c r="O35" s="572">
        <f>IFERROR(MEDIAN(C35:L35),0)</f>
        <v>6.3496211989922333</v>
      </c>
      <c r="R35" s="555"/>
    </row>
    <row r="36" spans="2:18">
      <c r="B36" s="95" t="s">
        <v>115</v>
      </c>
      <c r="C36" s="572">
        <f>IFERROR(HistoricalFS!C10/HistoricalFS!C70,0)</f>
        <v>6.0395071456714069</v>
      </c>
      <c r="D36" s="572">
        <f>IFERROR(HistoricalFS!D10/HistoricalFS!D70,0)</f>
        <v>5.935420487293686</v>
      </c>
      <c r="E36" s="572">
        <f>IFERROR(HistoricalFS!E10/HistoricalFS!E70,0)</f>
        <v>6.2576790323984106</v>
      </c>
      <c r="F36" s="572">
        <f>IFERROR(HistoricalFS!F10/HistoricalFS!F70,0)</f>
        <v>5.2921269189754732</v>
      </c>
      <c r="G36" s="572">
        <f>IFERROR(HistoricalFS!G10/HistoricalFS!G70,0)</f>
        <v>5.7353120218489337</v>
      </c>
      <c r="H36" s="572">
        <f>IFERROR(HistoricalFS!H10/HistoricalFS!H70,0)</f>
        <v>6.0528023529961024</v>
      </c>
      <c r="I36" s="572">
        <f>IFERROR(HistoricalFS!I10/HistoricalFS!I70,0)</f>
        <v>5.1833644472101232</v>
      </c>
      <c r="J36" s="572">
        <f>IFERROR(HistoricalFS!J10/HistoricalFS!J70,0)</f>
        <v>6.0551441417614384</v>
      </c>
      <c r="K36" s="572">
        <f>IFERROR(HistoricalFS!K10/HistoricalFS!K70,0)</f>
        <v>7.8188383362923561</v>
      </c>
      <c r="L36" s="573">
        <f>IFERROR(HistoricalFS!L10/HistoricalFS!L70,0)</f>
        <v>8.3785775408914205</v>
      </c>
      <c r="M36" s="99"/>
      <c r="N36" s="572">
        <f t="shared" si="2"/>
        <v>6.2748772425339352</v>
      </c>
      <c r="O36" s="572">
        <f>IFERROR(MEDIAN(C36:L36),0)</f>
        <v>6.0461547493337546</v>
      </c>
      <c r="R36" s="555"/>
    </row>
    <row r="37" spans="2:18">
      <c r="B37" s="95" t="s">
        <v>116</v>
      </c>
      <c r="C37" s="572">
        <f>IFERROR(HistoricalFS!C10/HistoricalFS!C63,0)</f>
        <v>3.5365045407831541</v>
      </c>
      <c r="D37" s="572">
        <f>IFERROR(HistoricalFS!D10/HistoricalFS!D63,0)</f>
        <v>3.3030927083523172</v>
      </c>
      <c r="E37" s="572">
        <f>IFERROR(HistoricalFS!E10/HistoricalFS!E63,0)</f>
        <v>3.5222111570045551</v>
      </c>
      <c r="F37" s="572">
        <f>IFERROR(HistoricalFS!F10/HistoricalFS!F63,0)</f>
        <v>3.9720921803739166</v>
      </c>
      <c r="G37" s="572">
        <f>IFERROR(HistoricalFS!G10/HistoricalFS!G63,0)</f>
        <v>1.2729848855000858</v>
      </c>
      <c r="H37" s="572">
        <f>IFERROR(HistoricalFS!H10/HistoricalFS!H63,0)</f>
        <v>0.84908737253669175</v>
      </c>
      <c r="I37" s="572">
        <f>IFERROR(HistoricalFS!I10/HistoricalFS!I63,0)</f>
        <v>0.95973934807146177</v>
      </c>
      <c r="J37" s="572">
        <f>IFERROR(HistoricalFS!J10/HistoricalFS!J63,0)</f>
        <v>1.8206562917637705</v>
      </c>
      <c r="K37" s="572">
        <f>IFERROR(HistoricalFS!K10/HistoricalFS!K63,0)</f>
        <v>5.0512302442528734</v>
      </c>
      <c r="L37" s="573">
        <f>IFERROR(HistoricalFS!L10/HistoricalFS!L63,0)</f>
        <v>4.3989828324086746</v>
      </c>
      <c r="M37" s="99"/>
      <c r="N37" s="572">
        <f t="shared" si="2"/>
        <v>2.8686581561047499</v>
      </c>
      <c r="O37" s="572">
        <f>IFERROR(MEDIAN(C37:L37),0)</f>
        <v>3.4126519326784361</v>
      </c>
      <c r="R37" s="555"/>
    </row>
    <row r="38" spans="2:18">
      <c r="B38" s="172" t="s">
        <v>117</v>
      </c>
      <c r="C38" s="572">
        <f>IFERROR(HistoricalFS!C10/SUM(HistoricalFS!C57:C58),0)</f>
        <v>1.1514487260907271</v>
      </c>
      <c r="D38" s="572">
        <f>IFERROR(HistoricalFS!D10/SUM(HistoricalFS!D57:D58),0)</f>
        <v>1.1710613882625074</v>
      </c>
      <c r="E38" s="572">
        <f>IFERROR(HistoricalFS!E10/SUM(HistoricalFS!E57:E58),0)</f>
        <v>1.3523257927628074</v>
      </c>
      <c r="F38" s="572">
        <f>IFERROR(HistoricalFS!F10/SUM(HistoricalFS!F57:F58),0)</f>
        <v>1.5974637263059439</v>
      </c>
      <c r="G38" s="572">
        <f>IFERROR(HistoricalFS!G10/SUM(HistoricalFS!G57:G58),0)</f>
        <v>1.4599312329076921</v>
      </c>
      <c r="H38" s="572">
        <f>IFERROR(HistoricalFS!H10/SUM(HistoricalFS!H57:H58),0)</f>
        <v>1.1210230736306921</v>
      </c>
      <c r="I38" s="572">
        <f>IFERROR(HistoricalFS!I10/SUM(HistoricalFS!I57:I58),0)</f>
        <v>1.9027157360406093</v>
      </c>
      <c r="J38" s="572">
        <f>IFERROR(HistoricalFS!J10/SUM(HistoricalFS!J57:J58),0)</f>
        <v>3.1755159912001201</v>
      </c>
      <c r="K38" s="572">
        <f>IFERROR(HistoricalFS!K10/SUM(HistoricalFS!K57:K58),0)</f>
        <v>3.0422568797415765</v>
      </c>
      <c r="L38" s="573">
        <f>IFERROR(HistoricalFS!L10/SUM(HistoricalFS!L57:L58),0)</f>
        <v>3.1372071903825525</v>
      </c>
      <c r="M38" s="99"/>
      <c r="N38" s="572">
        <f t="shared" si="2"/>
        <v>1.9110949737325229</v>
      </c>
      <c r="O38" s="572">
        <f>IFERROR(MEDIAN(C38:L38),0)</f>
        <v>1.528697479606818</v>
      </c>
      <c r="R38" s="555"/>
    </row>
    <row r="39" spans="2:18">
      <c r="B39" s="95" t="s">
        <v>118</v>
      </c>
      <c r="C39" s="574">
        <f t="shared" ref="C39:L39" si="3">IFERROR(365/C34,0)</f>
        <v>0</v>
      </c>
      <c r="D39" s="574">
        <f t="shared" si="3"/>
        <v>1.9041044117322503</v>
      </c>
      <c r="E39" s="574">
        <f t="shared" si="3"/>
        <v>1.7780862681115757</v>
      </c>
      <c r="F39" s="574">
        <f t="shared" si="3"/>
        <v>2.1953509945860459</v>
      </c>
      <c r="G39" s="574">
        <f t="shared" si="3"/>
        <v>1.7621873906333367</v>
      </c>
      <c r="H39" s="574">
        <f t="shared" si="3"/>
        <v>2.6668074324324325</v>
      </c>
      <c r="I39" s="574">
        <f t="shared" si="3"/>
        <v>1.583580108581109</v>
      </c>
      <c r="J39" s="574">
        <f t="shared" si="3"/>
        <v>1.1658094738911093</v>
      </c>
      <c r="K39" s="574">
        <f t="shared" si="3"/>
        <v>1.7126090192329602</v>
      </c>
      <c r="L39" s="567">
        <f t="shared" si="3"/>
        <v>1.541087016278748</v>
      </c>
      <c r="M39" s="99"/>
      <c r="N39" s="574">
        <f t="shared" si="2"/>
        <v>1.630962211547957</v>
      </c>
      <c r="O39" s="574">
        <f t="shared" ref="O39:O46" si="4">IFERROR(AVERAGE(D39:M39),0)</f>
        <v>1.8121802350532856</v>
      </c>
      <c r="R39" s="555"/>
    </row>
    <row r="40" spans="2:18">
      <c r="B40" s="95" t="s">
        <v>119</v>
      </c>
      <c r="C40" s="574">
        <f t="shared" ref="C40:L40" si="5">IFERROR(365/C35,0)</f>
        <v>63.294922813239467</v>
      </c>
      <c r="D40" s="574">
        <f t="shared" si="5"/>
        <v>56.955981991127985</v>
      </c>
      <c r="E40" s="574">
        <f t="shared" si="5"/>
        <v>59.054119195720887</v>
      </c>
      <c r="F40" s="574">
        <f t="shared" si="5"/>
        <v>58.02137827726748</v>
      </c>
      <c r="G40" s="574">
        <f t="shared" si="5"/>
        <v>295.18157017538829</v>
      </c>
      <c r="H40" s="574">
        <f t="shared" si="5"/>
        <v>437.88992117117112</v>
      </c>
      <c r="I40" s="574">
        <f t="shared" si="5"/>
        <v>51.662931689943569</v>
      </c>
      <c r="J40" s="574">
        <f t="shared" si="5"/>
        <v>45.255107364456762</v>
      </c>
      <c r="K40" s="574">
        <f t="shared" si="5"/>
        <v>39.55296558980082</v>
      </c>
      <c r="L40" s="567">
        <f t="shared" si="5"/>
        <v>36.654417579390483</v>
      </c>
      <c r="M40" s="99"/>
      <c r="N40" s="574">
        <f t="shared" si="2"/>
        <v>114.35233158475069</v>
      </c>
      <c r="O40" s="574">
        <f t="shared" si="4"/>
        <v>120.02537700380748</v>
      </c>
      <c r="R40" s="555"/>
    </row>
    <row r="41" spans="2:18">
      <c r="B41" s="95" t="s">
        <v>8831</v>
      </c>
      <c r="C41" s="574">
        <f t="shared" ref="C41:L41" si="6">IFERROR(365/C36,0)</f>
        <v>60.435395007620819</v>
      </c>
      <c r="D41" s="574">
        <f t="shared" si="6"/>
        <v>61.495221910794292</v>
      </c>
      <c r="E41" s="574">
        <f t="shared" si="6"/>
        <v>58.328335171915121</v>
      </c>
      <c r="F41" s="574">
        <f t="shared" si="6"/>
        <v>68.970379128900788</v>
      </c>
      <c r="G41" s="574">
        <f t="shared" si="6"/>
        <v>63.64082696974738</v>
      </c>
      <c r="H41" s="574">
        <f t="shared" si="6"/>
        <v>60.302646396396391</v>
      </c>
      <c r="I41" s="574">
        <f t="shared" si="6"/>
        <v>70.417583736844193</v>
      </c>
      <c r="J41" s="574">
        <f t="shared" si="6"/>
        <v>60.279324728646621</v>
      </c>
      <c r="K41" s="574">
        <f t="shared" si="6"/>
        <v>46.682126461906194</v>
      </c>
      <c r="L41" s="567">
        <f t="shared" si="6"/>
        <v>43.563480581116231</v>
      </c>
      <c r="M41" s="99"/>
      <c r="N41" s="574">
        <f t="shared" si="2"/>
        <v>59.411532009388793</v>
      </c>
      <c r="O41" s="574">
        <f t="shared" si="4"/>
        <v>59.297769454029691</v>
      </c>
      <c r="R41" s="555"/>
    </row>
    <row r="42" spans="2:18">
      <c r="B42" s="559" t="s">
        <v>120</v>
      </c>
      <c r="C42" s="575">
        <f>SUM(C39/C41)-C40</f>
        <v>-63.294922813239467</v>
      </c>
      <c r="D42" s="575">
        <f t="shared" ref="D42:L42" si="7">SUM(D39/D41)-D40</f>
        <v>-56.925018538154447</v>
      </c>
      <c r="E42" s="575">
        <f t="shared" si="7"/>
        <v>-59.023635104877712</v>
      </c>
      <c r="F42" s="575">
        <f t="shared" si="7"/>
        <v>-57.989547931801596</v>
      </c>
      <c r="G42" s="575">
        <f t="shared" si="7"/>
        <v>-295.15388060134376</v>
      </c>
      <c r="H42" s="575">
        <f t="shared" si="7"/>
        <v>-437.84569744979575</v>
      </c>
      <c r="I42" s="575">
        <f t="shared" si="7"/>
        <v>-51.640443271219929</v>
      </c>
      <c r="J42" s="575">
        <f t="shared" si="7"/>
        <v>-45.235767242795824</v>
      </c>
      <c r="K42" s="575">
        <f t="shared" si="7"/>
        <v>-39.516278978692164</v>
      </c>
      <c r="L42" s="576">
        <f t="shared" si="7"/>
        <v>-36.619041916203763</v>
      </c>
      <c r="M42" s="560"/>
      <c r="N42" s="575">
        <f t="shared" si="2"/>
        <v>-114.32442338481243</v>
      </c>
      <c r="O42" s="575">
        <f t="shared" si="4"/>
        <v>-119.99436789276498</v>
      </c>
      <c r="R42" s="555"/>
    </row>
    <row r="43" spans="2:18">
      <c r="L43" s="403"/>
      <c r="R43" s="555"/>
    </row>
    <row r="44" spans="2:18">
      <c r="B44" s="556" t="s">
        <v>121</v>
      </c>
      <c r="C44" s="557">
        <f>IFERROR(HistoricalFS!C88/HistoricalFS!C10,0)</f>
        <v>1.4482525486754003</v>
      </c>
      <c r="D44" s="557">
        <f>IFERROR(HistoricalFS!D88/HistoricalFS!D10,0)</f>
        <v>0.51036172231908361</v>
      </c>
      <c r="E44" s="557">
        <f>IFERROR(HistoricalFS!E88/HistoricalFS!E10,0)</f>
        <v>0.94231179257089348</v>
      </c>
      <c r="F44" s="557">
        <f>IFERROR(HistoricalFS!F88/HistoricalFS!F10,0)</f>
        <v>0.78281829794999702</v>
      </c>
      <c r="G44" s="557">
        <f>IFERROR(HistoricalFS!G88/HistoricalFS!G10,0)</f>
        <v>0.77625230207861207</v>
      </c>
      <c r="H44" s="557">
        <f>IFERROR(HistoricalFS!H88/HistoricalFS!H10,0)</f>
        <v>1.3409385412810071</v>
      </c>
      <c r="I44" s="778">
        <f>IFERROR(HistoricalFS!I88/HistoricalFS!I10,0)</f>
        <v>-0.40195463781841784</v>
      </c>
      <c r="J44" s="557">
        <f>IFERROR(HistoricalFS!J88/HistoricalFS!J10,0)</f>
        <v>0.41518948024877395</v>
      </c>
      <c r="K44" s="557">
        <f>IFERROR(HistoricalFS!K88/HistoricalFS!K10,0)</f>
        <v>0.4940562144498109</v>
      </c>
      <c r="L44" s="558">
        <f>IFERROR(HistoricalFS!L88/HistoricalFS!L10,0)</f>
        <v>0.22498323568496745</v>
      </c>
      <c r="M44" s="557"/>
      <c r="N44" s="557">
        <f>IFERROR(AVERAGE(C44:L44),0)</f>
        <v>0.65332094974401289</v>
      </c>
      <c r="O44" s="557">
        <f t="shared" si="4"/>
        <v>0.5649952165294142</v>
      </c>
      <c r="R44" s="555"/>
    </row>
    <row r="45" spans="2:18">
      <c r="B45" s="95" t="s">
        <v>122</v>
      </c>
      <c r="C45" s="99">
        <f>IFERROR(HistoricalFS!C88/HistoricalFS!C74,0)</f>
        <v>1.1323431899433827</v>
      </c>
      <c r="D45" s="99">
        <f>IFERROR(HistoricalFS!D88/HistoricalFS!D74,0)</f>
        <v>0.41624479694003824</v>
      </c>
      <c r="E45" s="99">
        <f>IFERROR(HistoricalFS!E88/HistoricalFS!E74,0)</f>
        <v>0.87034325687327152</v>
      </c>
      <c r="F45" s="99">
        <f>IFERROR(HistoricalFS!F88/HistoricalFS!F74,0)</f>
        <v>0.80468664509371723</v>
      </c>
      <c r="G45" s="99">
        <f>IFERROR(HistoricalFS!G88/HistoricalFS!G74,0)</f>
        <v>0.49140316851533045</v>
      </c>
      <c r="H45" s="99">
        <f>IFERROR(HistoricalFS!H88/HistoricalFS!H74,0)</f>
        <v>0.60747100230094708</v>
      </c>
      <c r="I45" s="776">
        <f>IFERROR(HistoricalFS!I88/HistoricalFS!I74,0)</f>
        <v>-0.23401440845351162</v>
      </c>
      <c r="J45" s="99">
        <f>IFERROR(HistoricalFS!J88/HistoricalFS!J74,0)</f>
        <v>0.42343467140504337</v>
      </c>
      <c r="K45" s="99">
        <f>IFERROR(HistoricalFS!K88/HistoricalFS!K74,0)</f>
        <v>0.85370195832024298</v>
      </c>
      <c r="L45" s="398">
        <f>IFERROR(HistoricalFS!L88/HistoricalFS!L74,0)</f>
        <v>0.40925130896722173</v>
      </c>
      <c r="M45" s="99"/>
      <c r="N45" s="99">
        <f>IFERROR(AVERAGE(C45:L45),0)</f>
        <v>0.57748655899056822</v>
      </c>
      <c r="O45" s="99">
        <f t="shared" si="4"/>
        <v>0.51583582221803348</v>
      </c>
      <c r="R45" s="555"/>
    </row>
    <row r="46" spans="2:18">
      <c r="B46" s="559"/>
      <c r="C46" s="560">
        <f>IFERROR(HistoricalFS!C88/HistoricalFS!C59,0)</f>
        <v>6.1080540270135062</v>
      </c>
      <c r="D46" s="560">
        <f>IFERROR(HistoricalFS!D88/HistoricalFS!D59,0)</f>
        <v>2.361260019400623</v>
      </c>
      <c r="E46" s="560">
        <f>IFERROR(HistoricalFS!E88/HistoricalFS!E59,0)</f>
        <v>5.1937766650486674</v>
      </c>
      <c r="F46" s="777">
        <f>IFERROR(HistoricalFS!F88/HistoricalFS!F59,0)</f>
        <v>4.1668353098312219</v>
      </c>
      <c r="G46" s="777">
        <f>IFERROR(HistoricalFS!G88/HistoricalFS!G59,0)</f>
        <v>9.0278241142323346</v>
      </c>
      <c r="H46" s="777">
        <f>IFERROR(HistoricalFS!H88/HistoricalFS!H59,0)</f>
        <v>11.592704964491714</v>
      </c>
      <c r="I46" s="777">
        <f>IFERROR(HistoricalFS!I88/HistoricalFS!I59,0)</f>
        <v>-0.38261635092352753</v>
      </c>
      <c r="J46" s="777">
        <f>IFERROR(HistoricalFS!J88/HistoricalFS!J59,0)</f>
        <v>0.76655302029058225</v>
      </c>
      <c r="K46" s="777">
        <f>IFERROR(HistoricalFS!K88/HistoricalFS!K59,0)</f>
        <v>3.4877552068180653</v>
      </c>
      <c r="L46" s="561">
        <f>IFERROR(HistoricalFS!L88/HistoricalFS!L59,0)</f>
        <v>1.7231437651696995</v>
      </c>
      <c r="M46" s="560"/>
      <c r="N46" s="560">
        <f>IFERROR(AVERAGE(C46:L46),0)</f>
        <v>4.4045290741372884</v>
      </c>
      <c r="O46" s="560">
        <f t="shared" si="4"/>
        <v>4.2152485238177091</v>
      </c>
      <c r="R46" s="555"/>
    </row>
    <row r="47" spans="2:18">
      <c r="R47" s="555"/>
    </row>
    <row r="48" spans="2:18">
      <c r="B48" s="825"/>
      <c r="C48" s="825"/>
      <c r="D48" s="825"/>
      <c r="E48" s="825"/>
      <c r="F48" s="825"/>
      <c r="G48" s="825"/>
      <c r="H48" s="825"/>
      <c r="I48" s="825"/>
      <c r="J48" s="825"/>
      <c r="K48" s="825"/>
      <c r="L48" s="825"/>
      <c r="M48" s="825"/>
      <c r="N48" s="825"/>
      <c r="O48" s="825"/>
      <c r="R48" s="555"/>
    </row>
    <row r="49" spans="11:18">
      <c r="R49" s="555"/>
    </row>
    <row r="50" spans="11:18">
      <c r="K50" s="577"/>
      <c r="R50" s="555"/>
    </row>
    <row r="51" spans="11:18">
      <c r="R51" s="555"/>
    </row>
    <row r="52" spans="11:18">
      <c r="R52" s="555"/>
    </row>
    <row r="53" spans="11:18">
      <c r="R53" s="555"/>
    </row>
    <row r="54" spans="11:18">
      <c r="R54" s="555"/>
    </row>
    <row r="55" spans="11:18">
      <c r="R55" s="555"/>
    </row>
  </sheetData>
  <mergeCells count="2">
    <mergeCell ref="B7:O7"/>
    <mergeCell ref="B48:O48"/>
  </mergeCells>
  <printOptions horizontalCentered="1" verticalCentered="1"/>
  <pageMargins left="0.11811023622047245" right="0.11811023622047245" top="0.19685039370078741" bottom="0.15748031496062992" header="0.11811023622047245" footer="0.11811023622047245"/>
  <pageSetup paperSize="9" scale="75" orientation="landscape" horizontalDpi="360" verticalDpi="360" r:id="rId1"/>
  <drawing r:id="rId2"/>
  <extLst>
    <ext xmlns:x14="http://schemas.microsoft.com/office/spreadsheetml/2009/9/main" uri="{05C60535-1F16-4fd2-B633-F4F36F0B64E0}">
      <x14:sparklineGroups xmlns:xm="http://schemas.microsoft.com/office/excel/2006/main">
        <x14:sparklineGroup manualMax="0" manualMin="0" lineWeight="0.25"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Analysis'!C24:L24</xm:f>
              <xm:sqref>M24</xm:sqref>
            </x14:sparkline>
          </x14:sparklines>
        </x14:sparklineGroup>
        <x14:sparklineGroup manualMax="0" manualMin="0" lineWeight="0.25"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Analysis'!C25:L25</xm:f>
              <xm:sqref>M25</xm:sqref>
            </x14:sparkline>
            <x14:sparkline>
              <xm:f>'Ration Analysis'!C23:L23</xm:f>
              <xm:sqref>M23</xm:sqref>
            </x14:sparkline>
          </x14:sparklines>
        </x14:sparklineGroup>
        <x14:sparklineGroup manualMax="0" manualMin="0"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Analysis'!C28:L28</xm:f>
              <xm:sqref>M28</xm:sqref>
            </x14:sparkline>
            <x14:sparkline>
              <xm:f>'Ration Analysis'!C29:L29</xm:f>
              <xm:sqref>M29</xm:sqref>
            </x14:sparkline>
            <x14:sparkline>
              <xm:f>'Ration Analysis'!C30:L30</xm:f>
              <xm:sqref>M30</xm:sqref>
            </x14:sparkline>
            <x14:sparkline>
              <xm:f>'Ration Analysis'!D31:L31</xm:f>
              <xm:sqref>M31</xm:sqref>
            </x14:sparkline>
            <x14:sparkline>
              <xm:f>'Ration Analysis'!D32:L32</xm:f>
              <xm:sqref>M32</xm:sqref>
            </x14:sparkline>
          </x14:sparklines>
        </x14:sparklineGroup>
        <x14:sparklineGroup manualMax="0" manualMin="0"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Analysis'!C34:L34</xm:f>
              <xm:sqref>M34</xm:sqref>
            </x14:sparkline>
            <x14:sparkline>
              <xm:f>'Ration Analysis'!C35:L35</xm:f>
              <xm:sqref>M35</xm:sqref>
            </x14:sparkline>
            <x14:sparkline>
              <xm:f>'Ration Analysis'!C36:L36</xm:f>
              <xm:sqref>M36</xm:sqref>
            </x14:sparkline>
            <x14:sparkline>
              <xm:f>'Ration Analysis'!C37:L37</xm:f>
              <xm:sqref>M37</xm:sqref>
            </x14:sparkline>
            <x14:sparkline>
              <xm:f>'Ration Analysis'!C38:L38</xm:f>
              <xm:sqref>M38</xm:sqref>
            </x14:sparkline>
          </x14:sparklines>
        </x14:sparklineGroup>
        <x14:sparklineGroup manualMax="0" manualMin="0"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Analysis'!C39:L39</xm:f>
              <xm:sqref>M39</xm:sqref>
            </x14:sparkline>
            <x14:sparkline>
              <xm:f>'Ration Analysis'!C40:L40</xm:f>
              <xm:sqref>M40</xm:sqref>
            </x14:sparkline>
            <x14:sparkline>
              <xm:f>'Ration Analysis'!C41:L41</xm:f>
              <xm:sqref>M41</xm:sqref>
            </x14:sparkline>
            <x14:sparkline>
              <xm:f>'Ration Analysis'!C42:L42</xm:f>
              <xm:sqref>M42</xm:sqref>
            </x14:sparkline>
          </x14:sparklines>
        </x14:sparklineGroup>
        <x14:sparklineGroup manualMax="0" manualMin="0"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Analysis'!C44:L44</xm:f>
              <xm:sqref>M44</xm:sqref>
            </x14:sparkline>
            <x14:sparkline>
              <xm:f>'Ration Analysis'!C45:L45</xm:f>
              <xm:sqref>M45</xm:sqref>
            </x14:sparkline>
            <x14:sparkline>
              <xm:f>'Ration Analysis'!C46:L46</xm:f>
              <xm:sqref>M46</xm:sqref>
            </x14:sparkline>
          </x14:sparklines>
        </x14:sparklineGroup>
        <x14:sparklineGroup manualMax="0" manualMin="0" lineWeight="0.25"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Analysis'!C19:L19</xm:f>
              <xm:sqref>M19</xm:sqref>
            </x14:sparkline>
            <x14:sparkline>
              <xm:f>'Ration Analysis'!C20:L20</xm:f>
              <xm:sqref>M20</xm:sqref>
            </x14:sparkline>
            <x14:sparkline>
              <xm:f>'Ration Analysis'!C21:L21</xm:f>
              <xm:sqref>M21</xm:sqref>
            </x14:sparkline>
            <x14:sparkline>
              <xm:f>'Ration Analysis'!C22:L22</xm:f>
              <xm:sqref>M22</xm:sqref>
            </x14:sparkline>
          </x14:sparklines>
        </x14:sparklineGroup>
        <x14:sparklineGroup manualMax="0" manualMin="0" lineWeight="0.25"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Analysis'!C18:L18</xm:f>
              <xm:sqref>M18</xm:sqref>
            </x14:sparkline>
          </x14:sparklines>
        </x14:sparklineGroup>
        <x14:sparklineGroup manualMax="0" manualMin="0"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Analysis'!D12:L12</xm:f>
              <xm:sqref>M12</xm:sqref>
            </x14:sparkline>
            <x14:sparkline>
              <xm:f>'Ration Analysis'!D13:L13</xm:f>
              <xm:sqref>M13</xm:sqref>
            </x14:sparkline>
            <x14:sparkline>
              <xm:f>'Ration Analysis'!D14:L14</xm:f>
              <xm:sqref>M14</xm:sqref>
            </x14:sparkline>
            <x14:sparkline>
              <xm:f>'Ration Analysis'!D15:L15</xm:f>
              <xm:sqref>M15</xm:sqref>
            </x14:sparkline>
            <x14:sparkline>
              <xm:f>'Ration Analysis'!D16:L16</xm:f>
              <xm:sqref>M16</xm:sqref>
            </x14:sparkline>
          </x14:sparklines>
        </x14:sparklineGroup>
        <x14:sparklineGroup manualMax="0" manualMin="0" displayEmptyCellsAs="gap" markers="1">
          <x14:colorSeries rgb="FF85804D"/>
          <x14:colorNegative theme="4"/>
          <x14:colorAxis rgb="FF000000"/>
          <x14:colorMarkers theme="9" tint="-0.499984740745262"/>
          <x14:colorFirst theme="9" tint="0.39997558519241921"/>
          <x14:colorLast theme="9" tint="0.39997558519241921"/>
          <x14:colorHigh theme="9"/>
          <x14:colorLow theme="9"/>
          <x14:sparklines>
            <x14:sparkline>
              <xm:f>'Ration Analysis'!D11:L11</xm:f>
              <xm:sqref>M11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4:W48"/>
  <sheetViews>
    <sheetView showGridLines="0" topLeftCell="C1" zoomScale="70" zoomScaleNormal="70" zoomScaleSheetLayoutView="70" workbookViewId="0">
      <selection activeCell="W9" sqref="W9"/>
    </sheetView>
  </sheetViews>
  <sheetFormatPr defaultRowHeight="15"/>
  <cols>
    <col min="1" max="1" width="1.85546875" customWidth="1"/>
    <col min="2" max="2" width="26.5703125" bestFit="1" customWidth="1"/>
    <col min="3" max="3" width="16.85546875" customWidth="1"/>
    <col min="4" max="4" width="13.7109375" customWidth="1"/>
    <col min="5" max="5" width="17" bestFit="1" customWidth="1"/>
    <col min="6" max="6" width="5" customWidth="1"/>
    <col min="7" max="7" width="17.140625" bestFit="1" customWidth="1"/>
    <col min="8" max="8" width="12" customWidth="1"/>
    <col min="9" max="9" width="12.42578125" customWidth="1"/>
    <col min="10" max="10" width="19.140625" bestFit="1" customWidth="1"/>
    <col min="11" max="11" width="5" customWidth="1"/>
    <col min="12" max="12" width="17.140625" bestFit="1" customWidth="1"/>
    <col min="13" max="13" width="11.140625" customWidth="1"/>
    <col min="14" max="14" width="13.5703125" customWidth="1"/>
    <col min="15" max="15" width="18.5703125" customWidth="1"/>
  </cols>
  <sheetData>
    <row r="4" spans="1:23" ht="28.5">
      <c r="B4" s="68" t="str">
        <f>'Ration Analysis'!B4</f>
        <v>TRENT LTD</v>
      </c>
    </row>
    <row r="5" spans="1:23">
      <c r="B5" t="str">
        <f>'Ration Analysis'!B5</f>
        <v>( TRENT | BSE Code: 500251)</v>
      </c>
    </row>
    <row r="7" spans="1:23" s="12" customFormat="1" ht="18.75">
      <c r="A7"/>
      <c r="B7" s="826" t="str">
        <f>'Data Sheet'!B1&amp;" - "&amp;'Data Sheet'!A42</f>
        <v>TRENT LTD - Sales</v>
      </c>
      <c r="C7" s="826"/>
      <c r="D7" s="826"/>
      <c r="E7" s="826"/>
      <c r="F7" s="235"/>
      <c r="G7" s="826" t="str">
        <f>'Data Sheet'!B1&amp;" - "&amp;HistoricalFS!B22</f>
        <v>TRENT LTD - EBITDA</v>
      </c>
      <c r="H7" s="826"/>
      <c r="I7" s="826"/>
      <c r="J7" s="826"/>
      <c r="K7" s="236"/>
      <c r="L7" s="826" t="str">
        <f>'Data Sheet'!B1&amp;" - "&amp;HistoricalFS!B45</f>
        <v xml:space="preserve">TRENT LTD - EPS </v>
      </c>
      <c r="M7" s="826"/>
      <c r="N7" s="826"/>
      <c r="O7" s="826"/>
      <c r="P7" s="38"/>
      <c r="Q7" s="38"/>
      <c r="R7" s="38"/>
      <c r="S7" s="38"/>
      <c r="T7" s="38"/>
      <c r="U7" s="38"/>
      <c r="V7" s="38"/>
      <c r="W7" s="38"/>
    </row>
    <row r="8" spans="1:23">
      <c r="B8" s="784"/>
      <c r="C8" s="202"/>
      <c r="D8" s="785"/>
      <c r="E8" s="784"/>
      <c r="F8" s="30"/>
      <c r="G8" s="74"/>
      <c r="H8" s="781"/>
      <c r="I8" s="783"/>
      <c r="J8" s="783"/>
      <c r="K8" s="75"/>
      <c r="L8" s="783"/>
      <c r="M8" s="781"/>
      <c r="N8" s="783"/>
      <c r="O8" s="782"/>
      <c r="P8" s="38"/>
      <c r="Q8" s="38"/>
    </row>
    <row r="9" spans="1:23" ht="15.75">
      <c r="B9" s="786" t="s">
        <v>130</v>
      </c>
      <c r="C9" s="787" t="s">
        <v>129</v>
      </c>
      <c r="D9" s="787" t="s">
        <v>1</v>
      </c>
      <c r="E9" s="786" t="s">
        <v>10</v>
      </c>
      <c r="F9" s="32"/>
      <c r="G9" s="786" t="s">
        <v>130</v>
      </c>
      <c r="H9" s="787" t="s">
        <v>129</v>
      </c>
      <c r="I9" s="787" t="str">
        <f>HistoricalFS!B22</f>
        <v>EBITDA</v>
      </c>
      <c r="J9" s="787" t="s">
        <v>106</v>
      </c>
      <c r="K9" s="72"/>
      <c r="L9" s="786" t="s">
        <v>130</v>
      </c>
      <c r="M9" s="787" t="s">
        <v>129</v>
      </c>
      <c r="N9" s="787" t="str">
        <f>HistoricalFS!B45</f>
        <v xml:space="preserve">EPS </v>
      </c>
      <c r="O9" s="787" t="s">
        <v>132</v>
      </c>
    </row>
    <row r="10" spans="1:23" ht="3" customHeight="1">
      <c r="B10" s="203"/>
      <c r="C10" s="207"/>
      <c r="D10" s="207"/>
      <c r="E10" s="76"/>
      <c r="F10" s="32"/>
      <c r="G10" s="203"/>
      <c r="H10" s="205"/>
      <c r="I10" s="205"/>
      <c r="J10" s="76"/>
      <c r="K10" s="72"/>
      <c r="L10" s="203"/>
      <c r="M10" s="207"/>
      <c r="N10" s="207"/>
      <c r="O10" s="207"/>
    </row>
    <row r="11" spans="1:23" ht="15.75">
      <c r="B11" s="211">
        <v>1</v>
      </c>
      <c r="C11" s="212">
        <v>2016</v>
      </c>
      <c r="D11" s="213">
        <f t="array" ref="D11:D20">TRANSPOSE('Data Sheet'!B17:K17)</f>
        <v>1686.17</v>
      </c>
      <c r="E11" s="214"/>
      <c r="F11" s="214"/>
      <c r="G11" s="215">
        <v>1</v>
      </c>
      <c r="H11" s="216">
        <v>2016</v>
      </c>
      <c r="I11" s="217">
        <f t="array" ref="I11:I20">TRANSPOSE(HistoricalFS!C22:L22)</f>
        <v>89.760000000000105</v>
      </c>
      <c r="J11" s="92"/>
      <c r="K11" s="218"/>
      <c r="L11" s="215">
        <v>1</v>
      </c>
      <c r="M11" s="219">
        <v>2016</v>
      </c>
      <c r="N11" s="220">
        <f t="array" ref="N11:N20">TRANSPOSE(HistoricalFS!C45:L45)</f>
        <v>-0.94101715317483903</v>
      </c>
      <c r="O11" s="122"/>
      <c r="P11" s="31"/>
    </row>
    <row r="12" spans="1:23" ht="15.75">
      <c r="B12" s="211">
        <f>B11+1</f>
        <v>2</v>
      </c>
      <c r="C12" s="221">
        <f>C11+1</f>
        <v>2017</v>
      </c>
      <c r="D12" s="213">
        <v>1812.44</v>
      </c>
      <c r="E12" s="222">
        <f>D12/D11-1</f>
        <v>7.4885687682736624E-2</v>
      </c>
      <c r="F12" s="214"/>
      <c r="G12" s="215">
        <f>G11+1</f>
        <v>2</v>
      </c>
      <c r="H12" s="216">
        <f>H11+1</f>
        <v>2017</v>
      </c>
      <c r="I12" s="217">
        <v>133.53000000000009</v>
      </c>
      <c r="J12" s="98">
        <f>I12/I11-1</f>
        <v>0.48763368983957145</v>
      </c>
      <c r="K12" s="92"/>
      <c r="L12" s="215">
        <f>L11+1</f>
        <v>2</v>
      </c>
      <c r="M12" s="219">
        <f>M11+1</f>
        <v>2017</v>
      </c>
      <c r="N12" s="220">
        <v>0.10953957267529643</v>
      </c>
      <c r="O12" s="165">
        <f>N12/N11-1</f>
        <v>-1.1164055004796967</v>
      </c>
    </row>
    <row r="13" spans="1:23" ht="15.75">
      <c r="B13" s="211">
        <f t="shared" ref="B13:B25" si="0">B12+1</f>
        <v>3</v>
      </c>
      <c r="C13" s="221">
        <f t="shared" ref="C13:C25" si="1">C12+1</f>
        <v>2018</v>
      </c>
      <c r="D13" s="213">
        <v>2157.46</v>
      </c>
      <c r="E13" s="222">
        <f t="shared" ref="E13:E25" si="2">D13/D12-1</f>
        <v>0.19036216371300574</v>
      </c>
      <c r="F13" s="214"/>
      <c r="G13" s="215">
        <f t="shared" ref="G13:G25" si="3">G12+1</f>
        <v>3</v>
      </c>
      <c r="H13" s="216">
        <f t="shared" ref="H13:H25" si="4">H12+1</f>
        <v>2018</v>
      </c>
      <c r="I13" s="217">
        <v>208.50000000000011</v>
      </c>
      <c r="J13" s="98">
        <f t="shared" ref="J13:J25" si="5">I13/I12-1</f>
        <v>0.56144686587283732</v>
      </c>
      <c r="K13" s="92"/>
      <c r="L13" s="215">
        <f t="shared" ref="L13:L25" si="6">L12+1</f>
        <v>3</v>
      </c>
      <c r="M13" s="219">
        <f t="shared" ref="M13:M25" si="7">M12+1</f>
        <v>2018</v>
      </c>
      <c r="N13" s="220">
        <v>1.7926572374360554</v>
      </c>
      <c r="O13" s="165">
        <f t="shared" ref="O13:O25" si="8">N13/N12-1</f>
        <v>15.365384615384198</v>
      </c>
    </row>
    <row r="14" spans="1:23" ht="15.75">
      <c r="B14" s="211">
        <f t="shared" si="0"/>
        <v>4</v>
      </c>
      <c r="C14" s="221">
        <f t="shared" si="1"/>
        <v>2019</v>
      </c>
      <c r="D14" s="213">
        <v>2630.24</v>
      </c>
      <c r="E14" s="222">
        <f t="shared" si="2"/>
        <v>0.21913731888424337</v>
      </c>
      <c r="F14" s="214"/>
      <c r="G14" s="215">
        <f t="shared" si="3"/>
        <v>4</v>
      </c>
      <c r="H14" s="216">
        <f t="shared" si="4"/>
        <v>2019</v>
      </c>
      <c r="I14" s="217">
        <v>240.63999999999976</v>
      </c>
      <c r="J14" s="98">
        <f t="shared" si="5"/>
        <v>0.154148681055154</v>
      </c>
      <c r="K14" s="92"/>
      <c r="L14" s="215">
        <f t="shared" si="6"/>
        <v>4</v>
      </c>
      <c r="M14" s="219">
        <f t="shared" si="7"/>
        <v>2019</v>
      </c>
      <c r="N14" s="220">
        <v>1.947637676798067</v>
      </c>
      <c r="O14" s="165">
        <f t="shared" si="8"/>
        <v>8.6452912539862981E-2</v>
      </c>
    </row>
    <row r="15" spans="1:23" ht="15.75">
      <c r="B15" s="211">
        <f t="shared" si="0"/>
        <v>5</v>
      </c>
      <c r="C15" s="221">
        <f t="shared" si="1"/>
        <v>2020</v>
      </c>
      <c r="D15" s="213">
        <v>3485.98</v>
      </c>
      <c r="E15" s="222">
        <f t="shared" si="2"/>
        <v>0.32534673641949041</v>
      </c>
      <c r="F15" s="214"/>
      <c r="G15" s="215">
        <f t="shared" si="3"/>
        <v>5</v>
      </c>
      <c r="H15" s="216">
        <f t="shared" si="4"/>
        <v>2020</v>
      </c>
      <c r="I15" s="217">
        <v>528.97</v>
      </c>
      <c r="J15" s="98">
        <f t="shared" si="5"/>
        <v>1.1981798537234067</v>
      </c>
      <c r="K15" s="92"/>
      <c r="L15" s="215">
        <f t="shared" si="6"/>
        <v>5</v>
      </c>
      <c r="M15" s="219">
        <f t="shared" si="7"/>
        <v>2020</v>
      </c>
      <c r="N15" s="220">
        <v>-1.1434599156118139</v>
      </c>
      <c r="O15" s="165">
        <f t="shared" si="8"/>
        <v>-1.5871009424564386</v>
      </c>
    </row>
    <row r="16" spans="1:23" ht="15.75">
      <c r="B16" s="211">
        <f t="shared" si="0"/>
        <v>6</v>
      </c>
      <c r="C16" s="221">
        <f t="shared" si="1"/>
        <v>2021</v>
      </c>
      <c r="D16" s="213">
        <v>2592.96</v>
      </c>
      <c r="E16" s="222">
        <f t="shared" si="2"/>
        <v>-0.25617473422107984</v>
      </c>
      <c r="F16" s="214"/>
      <c r="G16" s="215">
        <f t="shared" si="3"/>
        <v>6</v>
      </c>
      <c r="H16" s="216">
        <f t="shared" si="4"/>
        <v>2021</v>
      </c>
      <c r="I16" s="217">
        <v>113.87</v>
      </c>
      <c r="J16" s="98">
        <f t="shared" si="5"/>
        <v>-0.78473259353082403</v>
      </c>
      <c r="K16" s="92"/>
      <c r="L16" s="215">
        <f t="shared" si="6"/>
        <v>6</v>
      </c>
      <c r="M16" s="219">
        <f t="shared" si="7"/>
        <v>2021</v>
      </c>
      <c r="N16" s="220">
        <v>-10.704078762306612</v>
      </c>
      <c r="O16" s="165">
        <f t="shared" si="8"/>
        <v>8.361131611316118</v>
      </c>
    </row>
    <row r="17" spans="2:22" ht="15.75">
      <c r="B17" s="211">
        <f t="shared" si="0"/>
        <v>7</v>
      </c>
      <c r="C17" s="221">
        <f t="shared" si="1"/>
        <v>2022</v>
      </c>
      <c r="D17" s="213">
        <v>4498.0200000000004</v>
      </c>
      <c r="E17" s="222">
        <f t="shared" si="2"/>
        <v>0.73470473898556099</v>
      </c>
      <c r="F17" s="214"/>
      <c r="G17" s="215">
        <f t="shared" si="3"/>
        <v>7</v>
      </c>
      <c r="H17" s="216">
        <f t="shared" si="4"/>
        <v>2022</v>
      </c>
      <c r="I17" s="217">
        <v>594.72000000000071</v>
      </c>
      <c r="J17" s="98">
        <f t="shared" si="5"/>
        <v>4.222797927461146</v>
      </c>
      <c r="K17" s="92"/>
      <c r="L17" s="215">
        <f t="shared" si="6"/>
        <v>7</v>
      </c>
      <c r="M17" s="219">
        <f t="shared" si="7"/>
        <v>2022</v>
      </c>
      <c r="N17" s="220">
        <v>-3.3068917018283903</v>
      </c>
      <c r="O17" s="165">
        <f t="shared" si="8"/>
        <v>-0.69106246550863459</v>
      </c>
    </row>
    <row r="18" spans="2:22" ht="15.75">
      <c r="B18" s="211">
        <f t="shared" si="0"/>
        <v>8</v>
      </c>
      <c r="C18" s="221">
        <f t="shared" si="1"/>
        <v>2023</v>
      </c>
      <c r="D18" s="213">
        <v>8242.02</v>
      </c>
      <c r="E18" s="222">
        <f t="shared" si="2"/>
        <v>0.83236624114610414</v>
      </c>
      <c r="F18" s="214"/>
      <c r="G18" s="215">
        <f t="shared" si="3"/>
        <v>8</v>
      </c>
      <c r="H18" s="216">
        <f t="shared" si="4"/>
        <v>2023</v>
      </c>
      <c r="I18" s="217">
        <v>1114.1500000000015</v>
      </c>
      <c r="J18" s="98">
        <f t="shared" si="5"/>
        <v>0.87340260963142335</v>
      </c>
      <c r="K18" s="92"/>
      <c r="L18" s="215">
        <f t="shared" si="6"/>
        <v>8</v>
      </c>
      <c r="M18" s="219">
        <f t="shared" si="7"/>
        <v>2023</v>
      </c>
      <c r="N18" s="220">
        <v>1.4917018284107284</v>
      </c>
      <c r="O18" s="165">
        <f t="shared" si="8"/>
        <v>-1.4510888057162448</v>
      </c>
    </row>
    <row r="19" spans="2:22" ht="15.75">
      <c r="B19" s="211">
        <f t="shared" si="0"/>
        <v>9</v>
      </c>
      <c r="C19" s="221">
        <f t="shared" si="1"/>
        <v>2024</v>
      </c>
      <c r="D19" s="213">
        <v>12375.11</v>
      </c>
      <c r="E19" s="222">
        <f t="shared" si="2"/>
        <v>0.50146566011730132</v>
      </c>
      <c r="F19" s="214"/>
      <c r="G19" s="215">
        <f t="shared" si="3"/>
        <v>9</v>
      </c>
      <c r="H19" s="216">
        <f t="shared" si="4"/>
        <v>2024</v>
      </c>
      <c r="I19" s="217">
        <v>1970.6900000000005</v>
      </c>
      <c r="J19" s="98">
        <f t="shared" si="5"/>
        <v>0.76878337746263781</v>
      </c>
      <c r="K19" s="92"/>
      <c r="L19" s="215">
        <f t="shared" si="6"/>
        <v>9</v>
      </c>
      <c r="M19" s="219">
        <f t="shared" si="7"/>
        <v>2024</v>
      </c>
      <c r="N19" s="220">
        <v>13.742616033755283</v>
      </c>
      <c r="O19" s="165">
        <f t="shared" si="8"/>
        <v>8.212709786912832</v>
      </c>
    </row>
    <row r="20" spans="2:22" ht="15.75">
      <c r="B20" s="211">
        <f t="shared" si="0"/>
        <v>10</v>
      </c>
      <c r="C20" s="221">
        <f t="shared" si="1"/>
        <v>2025</v>
      </c>
      <c r="D20" s="213">
        <v>17134.61</v>
      </c>
      <c r="E20" s="222">
        <f t="shared" si="2"/>
        <v>0.38460264191591031</v>
      </c>
      <c r="F20" s="214"/>
      <c r="G20" s="215">
        <f t="shared" si="3"/>
        <v>10</v>
      </c>
      <c r="H20" s="216">
        <f t="shared" si="4"/>
        <v>2025</v>
      </c>
      <c r="I20" s="217">
        <v>2819.9599999999996</v>
      </c>
      <c r="J20" s="98">
        <f t="shared" si="5"/>
        <v>0.43095058076105275</v>
      </c>
      <c r="K20" s="92"/>
      <c r="L20" s="215">
        <f t="shared" si="6"/>
        <v>10</v>
      </c>
      <c r="M20" s="219">
        <f t="shared" si="7"/>
        <v>2025</v>
      </c>
      <c r="N20" s="220">
        <v>34.580872011251756</v>
      </c>
      <c r="O20" s="165">
        <f t="shared" si="8"/>
        <v>1.5163238153720173</v>
      </c>
    </row>
    <row r="21" spans="2:22" ht="15.75">
      <c r="B21" s="223">
        <f t="shared" si="0"/>
        <v>11</v>
      </c>
      <c r="C21" s="224">
        <f t="shared" si="1"/>
        <v>2026</v>
      </c>
      <c r="D21" s="225">
        <f>FORECAST(B21,$D$11:$D$20,$B$11:$B$20)</f>
        <v>13931.76</v>
      </c>
      <c r="E21" s="226">
        <f t="shared" si="2"/>
        <v>-0.18692284213063504</v>
      </c>
      <c r="F21" s="214"/>
      <c r="G21" s="227">
        <f t="shared" si="3"/>
        <v>11</v>
      </c>
      <c r="H21" s="228">
        <f t="shared" si="4"/>
        <v>2026</v>
      </c>
      <c r="I21" s="229">
        <f>FORECAST(G21,$I$11:$I$20,$G$11:$G$20)</f>
        <v>2201.7226666666675</v>
      </c>
      <c r="J21" s="230">
        <f t="shared" si="5"/>
        <v>-0.21923620666014132</v>
      </c>
      <c r="K21" s="92"/>
      <c r="L21" s="227">
        <f t="shared" si="6"/>
        <v>11</v>
      </c>
      <c r="M21" s="231">
        <f t="shared" si="7"/>
        <v>2026</v>
      </c>
      <c r="N21" s="232">
        <f>FORECAST(L21,$N$11:$N$20,$L$11:$L$20)</f>
        <v>16.700276138730501</v>
      </c>
      <c r="O21" s="233">
        <f t="shared" si="8"/>
        <v>-0.5170660782268115</v>
      </c>
    </row>
    <row r="22" spans="2:22" ht="15.75">
      <c r="B22" s="223">
        <f t="shared" si="0"/>
        <v>12</v>
      </c>
      <c r="C22" s="224">
        <f t="shared" si="1"/>
        <v>2027</v>
      </c>
      <c r="D22" s="225">
        <f>FORECAST(B22,$D$11:$D$20,$B$11:$B$20)</f>
        <v>15435.443454545451</v>
      </c>
      <c r="E22" s="226">
        <f t="shared" si="2"/>
        <v>0.10793205270155748</v>
      </c>
      <c r="F22" s="214"/>
      <c r="G22" s="227">
        <f t="shared" si="3"/>
        <v>12</v>
      </c>
      <c r="H22" s="228">
        <f t="shared" si="4"/>
        <v>2027</v>
      </c>
      <c r="I22" s="229">
        <f>FORECAST(G22,$I$11:$I$20,$G$11:$G$20)</f>
        <v>2459.9487878787886</v>
      </c>
      <c r="J22" s="230">
        <f t="shared" si="5"/>
        <v>0.11728367297188558</v>
      </c>
      <c r="K22" s="92"/>
      <c r="L22" s="227">
        <f t="shared" si="6"/>
        <v>12</v>
      </c>
      <c r="M22" s="231">
        <f t="shared" si="7"/>
        <v>2027</v>
      </c>
      <c r="N22" s="232">
        <f>FORECAST(L22,$N$11:$N$20,$L$11:$L$20)</f>
        <v>19.053606767092312</v>
      </c>
      <c r="O22" s="233">
        <f t="shared" si="8"/>
        <v>0.14091567162198437</v>
      </c>
    </row>
    <row r="23" spans="2:22" ht="15.75">
      <c r="B23" s="223">
        <f t="shared" si="0"/>
        <v>13</v>
      </c>
      <c r="C23" s="224">
        <f t="shared" si="1"/>
        <v>2028</v>
      </c>
      <c r="D23" s="225">
        <f>FORECAST(B23,$D$11:$D$20,$B$11:$B$20)</f>
        <v>16939.126909090905</v>
      </c>
      <c r="E23" s="226">
        <f t="shared" si="2"/>
        <v>9.7417573973402449E-2</v>
      </c>
      <c r="F23" s="214"/>
      <c r="G23" s="227">
        <f t="shared" si="3"/>
        <v>13</v>
      </c>
      <c r="H23" s="228">
        <f t="shared" si="4"/>
        <v>2028</v>
      </c>
      <c r="I23" s="229">
        <f>FORECAST(G23,$I$11:$I$20,$G$11:$G$20)</f>
        <v>2718.1749090909102</v>
      </c>
      <c r="J23" s="230">
        <f t="shared" si="5"/>
        <v>0.10497215327591825</v>
      </c>
      <c r="K23" s="92"/>
      <c r="L23" s="227">
        <f t="shared" si="6"/>
        <v>13</v>
      </c>
      <c r="M23" s="231">
        <f t="shared" si="7"/>
        <v>2028</v>
      </c>
      <c r="N23" s="232">
        <f>FORECAST(L23,$N$11:$N$20,$L$11:$L$20)</f>
        <v>21.406937395454122</v>
      </c>
      <c r="O23" s="233">
        <f t="shared" si="8"/>
        <v>0.12351103164500454</v>
      </c>
    </row>
    <row r="24" spans="2:22" ht="15.75">
      <c r="B24" s="223">
        <f t="shared" si="0"/>
        <v>14</v>
      </c>
      <c r="C24" s="224">
        <f t="shared" si="1"/>
        <v>2029</v>
      </c>
      <c r="D24" s="225">
        <f>FORECAST(B24,$D$11:$D$20,$B$11:$B$20)</f>
        <v>18442.810363636359</v>
      </c>
      <c r="E24" s="226">
        <f t="shared" si="2"/>
        <v>8.8769832271488269E-2</v>
      </c>
      <c r="F24" s="214"/>
      <c r="G24" s="227">
        <f t="shared" si="3"/>
        <v>14</v>
      </c>
      <c r="H24" s="228">
        <f t="shared" si="4"/>
        <v>2029</v>
      </c>
      <c r="I24" s="229">
        <f>FORECAST(G24,$I$11:$I$20,$G$11:$G$20)</f>
        <v>2976.4010303030313</v>
      </c>
      <c r="J24" s="230">
        <f t="shared" si="5"/>
        <v>9.4999817836772138E-2</v>
      </c>
      <c r="K24" s="92"/>
      <c r="L24" s="227">
        <f t="shared" si="6"/>
        <v>14</v>
      </c>
      <c r="M24" s="231">
        <f t="shared" si="7"/>
        <v>2029</v>
      </c>
      <c r="N24" s="232">
        <f>FORECAST(L24,$N$11:$N$20,$L$11:$L$20)</f>
        <v>23.760268023815925</v>
      </c>
      <c r="O24" s="234">
        <f t="shared" si="8"/>
        <v>0.10993308313507488</v>
      </c>
    </row>
    <row r="25" spans="2:22" ht="15.75">
      <c r="B25" s="223">
        <f t="shared" si="0"/>
        <v>15</v>
      </c>
      <c r="C25" s="224">
        <f t="shared" si="1"/>
        <v>2030</v>
      </c>
      <c r="D25" s="225">
        <f>FORECAST(B25,$D$11:$D$20,$B$11:$B$20)</f>
        <v>19946.493818181814</v>
      </c>
      <c r="E25" s="226">
        <f t="shared" si="2"/>
        <v>8.15322298986636E-2</v>
      </c>
      <c r="F25" s="214"/>
      <c r="G25" s="227">
        <f t="shared" si="3"/>
        <v>15</v>
      </c>
      <c r="H25" s="228">
        <f t="shared" si="4"/>
        <v>2030</v>
      </c>
      <c r="I25" s="229">
        <f>FORECAST(G25,$I$11:$I$20,$G$11:$G$20)</f>
        <v>3234.6271515151529</v>
      </c>
      <c r="J25" s="230">
        <f t="shared" si="5"/>
        <v>8.675783894142497E-2</v>
      </c>
      <c r="K25" s="92"/>
      <c r="L25" s="227">
        <f t="shared" si="6"/>
        <v>15</v>
      </c>
      <c r="M25" s="231">
        <f t="shared" si="7"/>
        <v>2030</v>
      </c>
      <c r="N25" s="232">
        <f>FORECAST(L25,$N$11:$N$20,$L$11:$L$20)</f>
        <v>26.113598652177735</v>
      </c>
      <c r="O25" s="234">
        <f t="shared" si="8"/>
        <v>9.9044784595988755E-2</v>
      </c>
    </row>
    <row r="26" spans="2:22">
      <c r="B26" s="204"/>
      <c r="C26" s="206"/>
      <c r="D26" s="209"/>
      <c r="E26" s="10"/>
      <c r="G26" s="210"/>
      <c r="H26" s="210"/>
      <c r="I26" s="210"/>
      <c r="L26" s="210"/>
      <c r="M26" s="208"/>
      <c r="N26" s="208"/>
      <c r="O26" s="210"/>
    </row>
    <row r="27" spans="2:22">
      <c r="B27" s="35"/>
      <c r="C27" s="206"/>
      <c r="D27" s="34"/>
      <c r="E27" s="10"/>
      <c r="F27" s="15"/>
      <c r="I27" s="210"/>
      <c r="O27" s="210"/>
      <c r="R27" s="15"/>
      <c r="S27" s="15"/>
      <c r="T27" s="15"/>
      <c r="U27" s="15"/>
      <c r="V27" s="15"/>
    </row>
    <row r="28" spans="2:22">
      <c r="B28" s="15"/>
      <c r="C28" s="15"/>
      <c r="D28" s="15"/>
      <c r="E28" s="15"/>
      <c r="F28" s="15"/>
      <c r="H28" s="15"/>
      <c r="I28" s="15"/>
      <c r="J28" s="15"/>
      <c r="K28" s="15"/>
      <c r="L28" s="15"/>
      <c r="M28" s="15"/>
      <c r="N28" s="15"/>
      <c r="O28" s="15"/>
      <c r="P28" s="15"/>
      <c r="Q28" s="15"/>
      <c r="R28" s="15"/>
      <c r="S28" s="15"/>
      <c r="T28" s="15"/>
      <c r="U28" s="15"/>
      <c r="V28" s="15"/>
    </row>
    <row r="29" spans="2:22">
      <c r="B29" s="15"/>
      <c r="C29" s="15"/>
      <c r="D29" s="15"/>
      <c r="E29" s="15"/>
      <c r="F29" s="15"/>
      <c r="G29" s="15"/>
      <c r="H29" s="36"/>
      <c r="I29" s="36"/>
      <c r="J29" s="15"/>
      <c r="K29" s="15"/>
      <c r="L29" s="15"/>
      <c r="M29" s="15"/>
      <c r="N29" s="15"/>
      <c r="O29" s="15"/>
      <c r="P29" s="15"/>
      <c r="Q29" s="15"/>
      <c r="R29" s="15"/>
      <c r="S29" s="15"/>
      <c r="T29" s="15"/>
      <c r="U29" s="15"/>
      <c r="V29" s="15"/>
    </row>
    <row r="30" spans="2:22">
      <c r="B30" s="15"/>
      <c r="C30" s="15"/>
      <c r="D30" s="15"/>
      <c r="E30" s="15"/>
      <c r="F30" s="15"/>
      <c r="G30" s="15"/>
      <c r="H30" s="33"/>
      <c r="I30" s="33"/>
      <c r="J30" s="15"/>
      <c r="K30" s="15"/>
      <c r="L30" s="15"/>
      <c r="M30" s="15"/>
      <c r="N30" s="15"/>
      <c r="O30" s="15"/>
      <c r="P30" s="15"/>
      <c r="Q30" s="15"/>
      <c r="R30" s="15"/>
      <c r="S30" s="15"/>
      <c r="T30" s="15"/>
      <c r="U30" s="15"/>
      <c r="V30" s="15"/>
    </row>
    <row r="31" spans="2:22">
      <c r="B31" s="15"/>
      <c r="C31" s="15"/>
      <c r="D31" s="29"/>
      <c r="E31" s="15"/>
      <c r="F31" s="15"/>
      <c r="G31" s="15"/>
      <c r="H31" s="33"/>
      <c r="I31" s="33"/>
      <c r="J31" s="15"/>
      <c r="K31" s="15"/>
      <c r="L31" s="15"/>
      <c r="M31" s="15"/>
      <c r="N31" s="15"/>
      <c r="O31" s="15"/>
      <c r="P31" s="15"/>
      <c r="Q31" s="15"/>
      <c r="R31" s="15"/>
      <c r="S31" s="15"/>
      <c r="T31" s="15"/>
      <c r="U31" s="15"/>
      <c r="V31" s="15"/>
    </row>
    <row r="32" spans="2:22">
      <c r="B32" s="15"/>
      <c r="C32" s="15"/>
      <c r="D32" s="28"/>
      <c r="E32" s="15"/>
      <c r="F32" s="15"/>
      <c r="G32" s="15"/>
      <c r="H32" s="33"/>
      <c r="I32" s="33"/>
      <c r="J32" s="15"/>
      <c r="K32" s="15"/>
      <c r="L32" s="15"/>
      <c r="M32" s="15"/>
      <c r="N32" s="15"/>
      <c r="O32" s="15"/>
      <c r="P32" s="15"/>
      <c r="Q32" s="15"/>
      <c r="R32" s="15"/>
      <c r="S32" s="15"/>
      <c r="T32" s="15"/>
      <c r="U32" s="15"/>
      <c r="V32" s="15"/>
    </row>
    <row r="33" spans="2:22">
      <c r="B33" s="15"/>
      <c r="C33" s="15"/>
      <c r="D33" s="15"/>
      <c r="E33" s="15"/>
      <c r="F33" s="15"/>
      <c r="G33" s="15"/>
      <c r="H33" s="33"/>
      <c r="I33" s="33"/>
      <c r="J33" s="15"/>
      <c r="K33" s="15"/>
      <c r="L33" s="15"/>
      <c r="M33" s="15"/>
      <c r="N33" s="15"/>
      <c r="O33" s="15"/>
      <c r="P33" s="15"/>
      <c r="Q33" s="15"/>
      <c r="R33" s="15"/>
      <c r="S33" s="15"/>
      <c r="T33" s="15"/>
      <c r="U33" s="15"/>
      <c r="V33" s="15"/>
    </row>
    <row r="34" spans="2:22">
      <c r="B34" s="15"/>
      <c r="C34" s="15"/>
      <c r="D34" s="28"/>
      <c r="E34" s="15"/>
      <c r="F34" s="15"/>
      <c r="G34" s="15"/>
      <c r="H34" s="33"/>
      <c r="I34" s="33"/>
      <c r="J34" s="15"/>
      <c r="K34" s="15"/>
      <c r="L34" s="15"/>
      <c r="M34" s="15"/>
      <c r="N34" s="15"/>
      <c r="O34" s="15"/>
      <c r="P34" s="15"/>
      <c r="Q34" s="15"/>
      <c r="R34" s="15"/>
      <c r="S34" s="15"/>
      <c r="T34" s="15"/>
      <c r="U34" s="15"/>
      <c r="V34" s="15"/>
    </row>
    <row r="35" spans="2:22">
      <c r="B35" s="15"/>
      <c r="C35" s="15"/>
      <c r="D35" s="15"/>
      <c r="E35" s="15"/>
      <c r="F35" s="15"/>
      <c r="G35" s="15"/>
      <c r="H35" s="15"/>
      <c r="I35" s="15"/>
      <c r="J35" s="15"/>
      <c r="K35" s="15"/>
      <c r="L35" s="15"/>
      <c r="M35" s="15"/>
      <c r="N35" s="15"/>
      <c r="O35" s="15"/>
      <c r="P35" s="15"/>
      <c r="Q35" s="15"/>
      <c r="R35" s="15"/>
      <c r="S35" s="15"/>
      <c r="T35" s="15"/>
      <c r="U35" s="15"/>
      <c r="V35" s="15"/>
    </row>
    <row r="36" spans="2:22">
      <c r="B36" s="15"/>
      <c r="C36" s="15"/>
      <c r="D36" s="15"/>
      <c r="E36" s="15"/>
      <c r="F36" s="15"/>
      <c r="G36" s="15"/>
      <c r="H36" s="15"/>
      <c r="I36" s="15"/>
      <c r="J36" s="15"/>
      <c r="K36" s="15"/>
      <c r="L36" s="15"/>
      <c r="M36" s="15"/>
      <c r="N36" s="15"/>
      <c r="O36" s="15"/>
      <c r="P36" s="15"/>
      <c r="Q36" s="15"/>
      <c r="R36" s="15"/>
      <c r="S36" s="15"/>
      <c r="T36" s="15"/>
      <c r="U36" s="15"/>
      <c r="V36" s="15"/>
    </row>
    <row r="37" spans="2:22">
      <c r="B37" s="15"/>
      <c r="C37" s="15"/>
      <c r="D37" s="15"/>
      <c r="E37" s="15"/>
      <c r="F37" s="15"/>
      <c r="G37" s="15"/>
      <c r="H37" s="37"/>
      <c r="I37" s="37"/>
      <c r="J37" s="37"/>
      <c r="K37" s="37"/>
      <c r="L37" s="37"/>
      <c r="M37" s="37"/>
      <c r="N37" s="15"/>
      <c r="O37" s="15"/>
      <c r="P37" s="15"/>
      <c r="Q37" s="15"/>
      <c r="R37" s="15"/>
      <c r="S37" s="15"/>
      <c r="T37" s="15"/>
      <c r="U37" s="15"/>
      <c r="V37" s="15"/>
    </row>
    <row r="38" spans="2:22">
      <c r="B38" s="15"/>
      <c r="C38" s="15"/>
      <c r="D38" s="15"/>
      <c r="E38" s="15"/>
      <c r="F38" s="15"/>
      <c r="G38" s="15"/>
      <c r="H38" s="33"/>
      <c r="I38" s="33"/>
      <c r="J38" s="33"/>
      <c r="K38" s="33"/>
      <c r="L38" s="33"/>
      <c r="M38" s="33"/>
      <c r="N38" s="15"/>
      <c r="O38" s="15"/>
      <c r="P38" s="15"/>
      <c r="Q38" s="15"/>
      <c r="R38" s="15"/>
      <c r="S38" s="15"/>
      <c r="T38" s="15"/>
      <c r="U38" s="15"/>
      <c r="V38" s="15"/>
    </row>
    <row r="39" spans="2:22">
      <c r="B39" s="15"/>
      <c r="C39" s="15"/>
      <c r="D39" s="15"/>
      <c r="E39" s="15"/>
      <c r="F39" s="15"/>
      <c r="G39" s="15"/>
      <c r="H39" s="33"/>
      <c r="I39" s="33"/>
      <c r="J39" s="33"/>
      <c r="K39" s="33"/>
      <c r="L39" s="33"/>
      <c r="M39" s="33"/>
      <c r="N39" s="15"/>
      <c r="O39" s="15"/>
      <c r="P39" s="15"/>
      <c r="Q39" s="15"/>
      <c r="R39" s="15"/>
      <c r="S39" s="15"/>
      <c r="T39" s="15"/>
      <c r="U39" s="15"/>
      <c r="V39" s="15"/>
    </row>
    <row r="40" spans="2:22">
      <c r="B40" s="15"/>
      <c r="C40" s="15"/>
      <c r="D40" s="15"/>
      <c r="E40" s="15"/>
      <c r="F40" s="15"/>
      <c r="G40" s="15"/>
      <c r="H40" s="33"/>
      <c r="I40" s="33"/>
      <c r="J40" s="33"/>
      <c r="K40" s="33"/>
      <c r="L40" s="33"/>
      <c r="M40" s="33"/>
      <c r="N40" s="15"/>
      <c r="O40" s="15"/>
      <c r="P40" s="15"/>
      <c r="Q40" s="15"/>
      <c r="R40" s="15"/>
      <c r="S40" s="15"/>
      <c r="T40" s="15"/>
      <c r="U40" s="15"/>
      <c r="V40" s="15"/>
    </row>
    <row r="41" spans="2:22">
      <c r="B41" s="15"/>
      <c r="C41" s="15"/>
      <c r="D41" s="15"/>
      <c r="E41" s="15"/>
      <c r="F41" s="15"/>
      <c r="G41" s="15"/>
      <c r="H41" s="15"/>
      <c r="I41" s="15"/>
      <c r="J41" s="15"/>
      <c r="K41" s="15"/>
      <c r="L41" s="15"/>
      <c r="M41" s="15"/>
      <c r="N41" s="15"/>
      <c r="O41" s="15"/>
      <c r="P41" s="15"/>
      <c r="Q41" s="15"/>
      <c r="R41" s="15"/>
      <c r="S41" s="15"/>
      <c r="T41" s="15"/>
      <c r="U41" s="15"/>
      <c r="V41" s="15"/>
    </row>
    <row r="42" spans="2:22">
      <c r="B42" s="15"/>
      <c r="C42" s="15"/>
      <c r="D42" s="15"/>
      <c r="E42" s="15"/>
      <c r="F42" s="15"/>
      <c r="G42" s="15"/>
      <c r="H42" s="37"/>
      <c r="I42" s="37"/>
      <c r="J42" s="37"/>
      <c r="K42" s="37"/>
      <c r="L42" s="37"/>
      <c r="M42" s="37"/>
      <c r="N42" s="37"/>
      <c r="O42" s="37"/>
      <c r="P42" s="37"/>
      <c r="Q42" s="15"/>
      <c r="R42" s="15"/>
      <c r="S42" s="15"/>
      <c r="T42" s="15"/>
      <c r="U42" s="15"/>
      <c r="V42" s="15"/>
    </row>
    <row r="43" spans="2:22">
      <c r="B43" s="15"/>
      <c r="C43" s="15"/>
      <c r="D43" s="15"/>
      <c r="E43" s="15"/>
      <c r="F43" s="16"/>
      <c r="G43" s="15"/>
      <c r="H43" s="33"/>
      <c r="I43" s="33"/>
      <c r="J43" s="33"/>
      <c r="K43" s="33"/>
      <c r="L43" s="33"/>
      <c r="M43" s="33"/>
      <c r="N43" s="33"/>
      <c r="O43" s="33"/>
      <c r="P43" s="33"/>
      <c r="Q43" s="15"/>
      <c r="R43" s="15"/>
      <c r="S43" s="15"/>
      <c r="T43" s="15"/>
      <c r="U43" s="15"/>
      <c r="V43" s="15"/>
    </row>
    <row r="44" spans="2:22">
      <c r="B44" s="237"/>
      <c r="C44" s="237"/>
      <c r="D44" s="237"/>
      <c r="E44" s="237"/>
      <c r="F44" s="237"/>
      <c r="G44" s="237"/>
      <c r="H44" s="238"/>
      <c r="I44" s="238"/>
      <c r="J44" s="238"/>
      <c r="K44" s="238"/>
      <c r="L44" s="238"/>
      <c r="M44" s="238"/>
      <c r="N44" s="238"/>
      <c r="O44" s="238"/>
      <c r="P44" s="238"/>
      <c r="Q44" s="15"/>
      <c r="R44" s="15"/>
      <c r="S44" s="15"/>
      <c r="T44" s="15"/>
      <c r="U44" s="15"/>
      <c r="V44" s="15"/>
    </row>
    <row r="45" spans="2:22">
      <c r="B45" s="15"/>
      <c r="C45" s="15"/>
      <c r="D45" s="15"/>
      <c r="E45" s="15"/>
      <c r="F45" s="15"/>
      <c r="G45" s="15"/>
      <c r="H45" s="15"/>
      <c r="I45" s="15"/>
      <c r="J45" s="15"/>
      <c r="K45" s="15"/>
      <c r="L45" s="15"/>
      <c r="M45" s="15"/>
      <c r="N45" s="15"/>
      <c r="O45" s="15"/>
      <c r="P45" s="15"/>
      <c r="Q45" s="15"/>
      <c r="R45" s="15"/>
      <c r="S45" s="15"/>
      <c r="T45" s="15"/>
      <c r="U45" s="15"/>
      <c r="V45" s="15"/>
    </row>
    <row r="46" spans="2:22">
      <c r="B46" s="15"/>
      <c r="C46" s="15"/>
      <c r="D46" s="15"/>
      <c r="E46" s="15"/>
      <c r="F46" s="15"/>
      <c r="G46" s="15"/>
      <c r="H46" s="15"/>
      <c r="I46" s="15"/>
      <c r="J46" s="15"/>
      <c r="K46" s="15"/>
      <c r="L46" s="15"/>
      <c r="M46" s="15"/>
      <c r="N46" s="15"/>
      <c r="O46" s="15"/>
      <c r="P46" s="15"/>
      <c r="Q46" s="15"/>
      <c r="R46" s="15"/>
      <c r="S46" s="15"/>
      <c r="T46" s="15"/>
      <c r="U46" s="15"/>
      <c r="V46" s="15"/>
    </row>
    <row r="47" spans="2:22">
      <c r="B47" s="15"/>
      <c r="C47" s="15"/>
      <c r="D47" s="15"/>
      <c r="E47" s="15"/>
      <c r="F47" s="15"/>
      <c r="G47" s="15"/>
      <c r="H47" s="15"/>
      <c r="I47" s="15"/>
      <c r="J47" s="15"/>
      <c r="K47" s="15"/>
      <c r="L47" s="15"/>
      <c r="M47" s="15"/>
      <c r="N47" s="15"/>
      <c r="O47" s="15"/>
      <c r="P47" s="15"/>
      <c r="Q47" s="15"/>
      <c r="R47" s="15"/>
      <c r="S47" s="15"/>
      <c r="T47" s="15"/>
      <c r="U47" s="15"/>
      <c r="V47" s="15"/>
    </row>
    <row r="48" spans="2:22">
      <c r="B48" s="15"/>
      <c r="C48" s="15"/>
      <c r="D48" s="15"/>
      <c r="E48" s="15"/>
      <c r="G48" s="15"/>
      <c r="H48" s="15"/>
      <c r="I48" s="15"/>
      <c r="J48" s="15"/>
      <c r="K48" s="15"/>
      <c r="L48" s="15"/>
      <c r="M48" s="15"/>
      <c r="N48" s="15"/>
      <c r="O48" s="15"/>
      <c r="P48" s="15"/>
      <c r="Q48" s="15"/>
    </row>
  </sheetData>
  <mergeCells count="3">
    <mergeCell ref="B7:E7"/>
    <mergeCell ref="G7:J7"/>
    <mergeCell ref="L7:O7"/>
  </mergeCells>
  <printOptions horizontalCentered="1" verticalCentered="1"/>
  <pageMargins left="0.15748031496062992" right="0.15748031496062992" top="0.11811023622047245" bottom="0" header="0.11811023622047245" footer="0.11811023622047245"/>
  <pageSetup paperSize="9" scale="65" orientation="landscape"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4:O47"/>
  <sheetViews>
    <sheetView showGridLines="0" topLeftCell="F20" zoomScaleNormal="100" workbookViewId="0">
      <selection activeCell="O31" sqref="O3:O31"/>
    </sheetView>
  </sheetViews>
  <sheetFormatPr defaultRowHeight="15"/>
  <cols>
    <col min="1" max="1" width="1.85546875" customWidth="1"/>
    <col min="2" max="2" width="38.42578125" bestFit="1" customWidth="1"/>
    <col min="3" max="12" width="11.28515625" bestFit="1" customWidth="1"/>
    <col min="15" max="15" width="43.7109375" bestFit="1" customWidth="1"/>
  </cols>
  <sheetData>
    <row r="4" spans="2:12" ht="28.5">
      <c r="B4" s="68" t="str">
        <f>'Altman Z Score'!B3</f>
        <v>TRENT LTD</v>
      </c>
    </row>
    <row r="5" spans="2:12" ht="15.75" thickBot="1">
      <c r="B5" s="67" t="str">
        <f>'Dupont Analysis'!B4</f>
        <v>( TRENT | BSE Code: 500251)</v>
      </c>
    </row>
    <row r="7" spans="2:12">
      <c r="B7" s="840" t="str">
        <f>"Common Size Incom Statement"&amp;" - "&amp;'Data Sheet'!$B$1</f>
        <v>Common Size Incom Statement - TRENT LTD</v>
      </c>
      <c r="C7" s="840"/>
      <c r="D7" s="840"/>
      <c r="E7" s="840"/>
      <c r="F7" s="840"/>
      <c r="G7" s="840"/>
      <c r="H7" s="840"/>
      <c r="I7" s="840"/>
      <c r="J7" s="840"/>
      <c r="K7" s="840"/>
      <c r="L7" s="840"/>
    </row>
    <row r="8" spans="2:12">
      <c r="B8" s="15"/>
      <c r="C8" s="802"/>
      <c r="D8" s="802"/>
    </row>
    <row r="9" spans="2:12">
      <c r="B9" s="807" t="s">
        <v>242</v>
      </c>
      <c r="C9" s="808">
        <f>'Data Sheet'!B56</f>
        <v>42460</v>
      </c>
      <c r="D9" s="808">
        <f>'Data Sheet'!C56</f>
        <v>42825</v>
      </c>
      <c r="E9" s="808">
        <f>'Data Sheet'!D56</f>
        <v>43190</v>
      </c>
      <c r="F9" s="808">
        <f>'Data Sheet'!E56</f>
        <v>43555</v>
      </c>
      <c r="G9" s="808">
        <f>'Data Sheet'!F56</f>
        <v>43921</v>
      </c>
      <c r="H9" s="808">
        <f>'Data Sheet'!G56</f>
        <v>44286</v>
      </c>
      <c r="I9" s="808">
        <f>'Data Sheet'!H56</f>
        <v>44651</v>
      </c>
      <c r="J9" s="808">
        <f>'Data Sheet'!I56</f>
        <v>45016</v>
      </c>
      <c r="K9" s="808">
        <f>'Data Sheet'!J56</f>
        <v>45382</v>
      </c>
      <c r="L9" s="808">
        <f>'Data Sheet'!K56</f>
        <v>45747</v>
      </c>
    </row>
    <row r="10" spans="2:12">
      <c r="B10" s="210"/>
      <c r="C10" s="208"/>
    </row>
    <row r="11" spans="2:12">
      <c r="B11" s="803" t="str">
        <f>'Data Sheet'!A17</f>
        <v>Sales</v>
      </c>
      <c r="C11" s="804">
        <f>'Data Sheet'!B17/'Data Sheet'!B$17</f>
        <v>1</v>
      </c>
      <c r="D11" s="804">
        <f>'Data Sheet'!C17/'Data Sheet'!C$17</f>
        <v>1</v>
      </c>
      <c r="E11" s="804">
        <f>'Data Sheet'!D17/'Data Sheet'!D$17</f>
        <v>1</v>
      </c>
      <c r="F11" s="804">
        <f>'Data Sheet'!E17/'Data Sheet'!E$17</f>
        <v>1</v>
      </c>
      <c r="G11" s="804">
        <f>'Data Sheet'!F17/'Data Sheet'!F$17</f>
        <v>1</v>
      </c>
      <c r="H11" s="804">
        <f>'Data Sheet'!G17/'Data Sheet'!G$17</f>
        <v>1</v>
      </c>
      <c r="I11" s="804">
        <f>'Data Sheet'!H17/'Data Sheet'!H$17</f>
        <v>1</v>
      </c>
      <c r="J11" s="804">
        <f>'Data Sheet'!I17/'Data Sheet'!I$17</f>
        <v>1</v>
      </c>
      <c r="K11" s="804">
        <f>'Data Sheet'!J17/'Data Sheet'!J$17</f>
        <v>1</v>
      </c>
      <c r="L11" s="806">
        <f>'Data Sheet'!K17/'Data Sheet'!K$17</f>
        <v>1</v>
      </c>
    </row>
    <row r="12" spans="2:12">
      <c r="B12" s="790" t="str">
        <f>'Data Sheet'!A18</f>
        <v>Raw Material Cost</v>
      </c>
      <c r="C12" s="794">
        <f>'Data Sheet'!B18/'Data Sheet'!B$17</f>
        <v>0.480497221513845</v>
      </c>
      <c r="D12" s="28">
        <f>'Data Sheet'!C18/'Data Sheet'!C$17</f>
        <v>0.50275871201253564</v>
      </c>
      <c r="E12" s="28">
        <f>'Data Sheet'!D18/'Data Sheet'!D$17</f>
        <v>0.49596284519759343</v>
      </c>
      <c r="F12" s="28">
        <f>'Data Sheet'!E18/'Data Sheet'!E$17</f>
        <v>0.55495696210231771</v>
      </c>
      <c r="G12" s="28">
        <f>'Data Sheet'!F18/'Data Sheet'!F$17</f>
        <v>0.55985404391304605</v>
      </c>
      <c r="H12" s="28">
        <f>'Data Sheet'!G18/'Data Sheet'!G$17</f>
        <v>0.52898617795878078</v>
      </c>
      <c r="I12" s="28">
        <f>'Data Sheet'!H18/'Data Sheet'!H$17</f>
        <v>0.64925900729654373</v>
      </c>
      <c r="J12" s="28">
        <f>'Data Sheet'!I18/'Data Sheet'!I$17</f>
        <v>0.63225398628006235</v>
      </c>
      <c r="K12" s="28">
        <f>'Data Sheet'!J18/'Data Sheet'!J$17</f>
        <v>0.57563932765042092</v>
      </c>
      <c r="L12" s="28">
        <f>'Data Sheet'!K18/'Data Sheet'!K$17</f>
        <v>0.59198254293503028</v>
      </c>
    </row>
    <row r="13" spans="2:12">
      <c r="B13" s="791" t="str">
        <f>'Data Sheet'!A19</f>
        <v>Change in Inventory</v>
      </c>
      <c r="C13" s="795">
        <f>'Data Sheet'!B19/'Data Sheet'!B$17</f>
        <v>8.6527455713243627E-3</v>
      </c>
      <c r="D13" s="795">
        <f>'Data Sheet'!C19/'Data Sheet'!C$17</f>
        <v>1.6475028138862528E-2</v>
      </c>
      <c r="E13" s="795">
        <f>'Data Sheet'!D19/'Data Sheet'!D$17</f>
        <v>1.7849693621202711E-2</v>
      </c>
      <c r="F13" s="795">
        <f>'Data Sheet'!E19/'Data Sheet'!E$17</f>
        <v>5.6356073970436162E-2</v>
      </c>
      <c r="G13" s="795">
        <f>'Data Sheet'!F19/'Data Sheet'!F$17</f>
        <v>2.0048881519687433E-2</v>
      </c>
      <c r="H13" s="795">
        <f>'Data Sheet'!G19/'Data Sheet'!G$17</f>
        <v>-6.2615697889670502E-2</v>
      </c>
      <c r="I13" s="795">
        <f>'Data Sheet'!H19/'Data Sheet'!H$17</f>
        <v>9.7562927688182782E-2</v>
      </c>
      <c r="J13" s="795">
        <f>'Data Sheet'!I19/'Data Sheet'!I$17</f>
        <v>5.961038677411605E-2</v>
      </c>
      <c r="K13" s="795">
        <f>'Data Sheet'!J19/'Data Sheet'!J$17</f>
        <v>1.3309780680737383E-2</v>
      </c>
      <c r="L13" s="795">
        <f>'Data Sheet'!K19/'Data Sheet'!K$17</f>
        <v>2.651067050840375E-2</v>
      </c>
    </row>
    <row r="14" spans="2:12">
      <c r="B14" s="791" t="str">
        <f>'Data Sheet'!A20</f>
        <v>Power and Fuel</v>
      </c>
      <c r="C14" s="795">
        <f>'Data Sheet'!B20/'Data Sheet'!B$17</f>
        <v>2.9012495774447415E-2</v>
      </c>
      <c r="D14" s="795">
        <f>'Data Sheet'!C20/'Data Sheet'!C$17</f>
        <v>2.8293350400564982E-2</v>
      </c>
      <c r="E14" s="795">
        <f>'Data Sheet'!D20/'Data Sheet'!D$17</f>
        <v>2.4450047741325448E-2</v>
      </c>
      <c r="F14" s="795">
        <f>'Data Sheet'!E20/'Data Sheet'!E$17</f>
        <v>2.2499847922623033E-2</v>
      </c>
      <c r="G14" s="795">
        <f>'Data Sheet'!F20/'Data Sheet'!F$17</f>
        <v>1.9116575539733446E-2</v>
      </c>
      <c r="H14" s="795">
        <f>'Data Sheet'!G20/'Data Sheet'!G$17</f>
        <v>1.9055442428730099E-2</v>
      </c>
      <c r="I14" s="795">
        <f>'Data Sheet'!H20/'Data Sheet'!H$17</f>
        <v>1.5982587894229013E-2</v>
      </c>
      <c r="J14" s="795">
        <f>'Data Sheet'!I20/'Data Sheet'!I$17</f>
        <v>1.7505417361277937E-2</v>
      </c>
      <c r="K14" s="795">
        <f>'Data Sheet'!J20/'Data Sheet'!J$17</f>
        <v>1.8517815195178061E-2</v>
      </c>
      <c r="L14" s="795">
        <f>'Data Sheet'!K20/'Data Sheet'!K$17</f>
        <v>2.0418906528949302E-2</v>
      </c>
    </row>
    <row r="15" spans="2:12">
      <c r="B15" s="791" t="str">
        <f>'Data Sheet'!A21</f>
        <v>Other Mfr. Exp</v>
      </c>
      <c r="C15" s="795">
        <f>'Data Sheet'!B21/'Data Sheet'!B$17</f>
        <v>4.5321646097368593E-2</v>
      </c>
      <c r="D15" s="795">
        <f>'Data Sheet'!C21/'Data Sheet'!C$17</f>
        <v>4.5193220189357987E-2</v>
      </c>
      <c r="E15" s="795">
        <f>'Data Sheet'!D21/'Data Sheet'!D$17</f>
        <v>4.2077257515782444E-2</v>
      </c>
      <c r="F15" s="795">
        <f>'Data Sheet'!E21/'Data Sheet'!E$17</f>
        <v>4.6417817385485741E-2</v>
      </c>
      <c r="G15" s="795">
        <f>'Data Sheet'!F21/'Data Sheet'!F$17</f>
        <v>2.7972048032404089E-2</v>
      </c>
      <c r="H15" s="795">
        <f>'Data Sheet'!G21/'Data Sheet'!G$17</f>
        <v>3.548068616561767E-2</v>
      </c>
      <c r="I15" s="795">
        <f>'Data Sheet'!H21/'Data Sheet'!H$17</f>
        <v>2.8265770272253122E-2</v>
      </c>
      <c r="J15" s="795">
        <f>'Data Sheet'!I21/'Data Sheet'!I$17</f>
        <v>2.572063644591981E-2</v>
      </c>
      <c r="K15" s="795">
        <f>'Data Sheet'!J21/'Data Sheet'!J$17</f>
        <v>2.1380820049276328E-2</v>
      </c>
      <c r="L15" s="795">
        <f>'Data Sheet'!K21/'Data Sheet'!K$17</f>
        <v>2.1581465816846723E-2</v>
      </c>
    </row>
    <row r="16" spans="2:12">
      <c r="B16" s="791" t="str">
        <f>'Data Sheet'!A22</f>
        <v>Employee Cost</v>
      </c>
      <c r="C16" s="795">
        <f>'Data Sheet'!B22/'Data Sheet'!B$17</f>
        <v>9.8264113345629442E-2</v>
      </c>
      <c r="D16" s="795">
        <f>'Data Sheet'!C22/'Data Sheet'!C$17</f>
        <v>0.10743528061618592</v>
      </c>
      <c r="E16" s="795">
        <f>'Data Sheet'!D22/'Data Sheet'!D$17</f>
        <v>0.10800663743476124</v>
      </c>
      <c r="F16" s="795">
        <f>'Data Sheet'!E22/'Data Sheet'!E$17</f>
        <v>0.10983408358172639</v>
      </c>
      <c r="G16" s="795">
        <f>'Data Sheet'!F22/'Data Sheet'!F$17</f>
        <v>0.10356054825328889</v>
      </c>
      <c r="H16" s="795">
        <f>'Data Sheet'!G22/'Data Sheet'!G$17</f>
        <v>0.11700913242009131</v>
      </c>
      <c r="I16" s="795">
        <f>'Data Sheet'!H22/'Data Sheet'!H$17</f>
        <v>8.9577191742144319E-2</v>
      </c>
      <c r="J16" s="795">
        <f>'Data Sheet'!I22/'Data Sheet'!I$17</f>
        <v>7.9964620323658517E-2</v>
      </c>
      <c r="K16" s="795">
        <f>'Data Sheet'!J22/'Data Sheet'!J$17</f>
        <v>8.4180261832016032E-2</v>
      </c>
      <c r="L16" s="795">
        <f>'Data Sheet'!K22/'Data Sheet'!K$17</f>
        <v>7.6776769357458377E-2</v>
      </c>
    </row>
    <row r="17" spans="2:15">
      <c r="B17" s="791" t="str">
        <f>'Data Sheet'!A23</f>
        <v>Selling and admin</v>
      </c>
      <c r="C17" s="795">
        <f>'Data Sheet'!B23/'Data Sheet'!B$17</f>
        <v>0.26335422881441373</v>
      </c>
      <c r="D17" s="795">
        <f>'Data Sheet'!C23/'Data Sheet'!C$17</f>
        <v>0.22459777978857229</v>
      </c>
      <c r="E17" s="795">
        <f>'Data Sheet'!D23/'Data Sheet'!D$17</f>
        <v>0.20886134621267602</v>
      </c>
      <c r="F17" s="795">
        <f>'Data Sheet'!E23/'Data Sheet'!E$17</f>
        <v>0.19557530871707526</v>
      </c>
      <c r="G17" s="795">
        <f>'Data Sheet'!F23/'Data Sheet'!F$17</f>
        <v>0.1253076609733848</v>
      </c>
      <c r="H17" s="795">
        <f>'Data Sheet'!G23/'Data Sheet'!G$17</f>
        <v>0.14061921510551648</v>
      </c>
      <c r="I17" s="795">
        <f>'Data Sheet'!H23/'Data Sheet'!H$17</f>
        <v>0.15674229994530925</v>
      </c>
      <c r="J17" s="795">
        <f>'Data Sheet'!I23/'Data Sheet'!I$17</f>
        <v>0.15196881347048416</v>
      </c>
      <c r="K17" s="795">
        <f>'Data Sheet'!J23/'Data Sheet'!J$17</f>
        <v>0.13814422659677367</v>
      </c>
      <c r="L17" s="795">
        <f>'Data Sheet'!K23/'Data Sheet'!K$17</f>
        <v>0.13556363407162461</v>
      </c>
    </row>
    <row r="18" spans="2:15">
      <c r="B18" s="791" t="str">
        <f>'Data Sheet'!A24</f>
        <v>Other Expenses</v>
      </c>
      <c r="C18" s="795">
        <f>'Data Sheet'!B24/'Data Sheet'!B$17</f>
        <v>3.8969973371605467E-2</v>
      </c>
      <c r="D18" s="795">
        <f>'Data Sheet'!C24/'Data Sheet'!C$17</f>
        <v>3.4522522124870336E-2</v>
      </c>
      <c r="E18" s="795">
        <f>'Data Sheet'!D24/'Data Sheet'!D$17</f>
        <v>4.1850138588896205E-2</v>
      </c>
      <c r="F18" s="795">
        <f>'Data Sheet'!E24/'Data Sheet'!E$17</f>
        <v>3.5582304276415844E-2</v>
      </c>
      <c r="G18" s="795">
        <f>'Data Sheet'!F24/'Data Sheet'!F$17</f>
        <v>3.2495883510519283E-2</v>
      </c>
      <c r="H18" s="795">
        <f>'Data Sheet'!G24/'Data Sheet'!G$17</f>
        <v>5.2318585708996668E-2</v>
      </c>
      <c r="I18" s="795">
        <f>'Data Sheet'!H24/'Data Sheet'!H$17</f>
        <v>2.5517894540264381E-2</v>
      </c>
      <c r="J18" s="795">
        <f>'Data Sheet'!I24/'Data Sheet'!I$17</f>
        <v>1.7017672852043551E-2</v>
      </c>
      <c r="K18" s="795">
        <f>'Data Sheet'!J24/'Data Sheet'!J$17</f>
        <v>1.6201068111717794E-2</v>
      </c>
      <c r="L18" s="795">
        <f>'Data Sheet'!K24/'Data Sheet'!K$17</f>
        <v>1.5610509956164746E-2</v>
      </c>
    </row>
    <row r="19" spans="2:15">
      <c r="B19" s="791" t="str">
        <f>'Data Sheet'!A25</f>
        <v>Other Income</v>
      </c>
      <c r="C19" s="795">
        <f>'Data Sheet'!B25/'Data Sheet'!B$17</f>
        <v>5.1264107415029327E-2</v>
      </c>
      <c r="D19" s="795">
        <f>'Data Sheet'!C25/'Data Sheet'!C$17</f>
        <v>4.4862174747853721E-2</v>
      </c>
      <c r="E19" s="795">
        <f>'Data Sheet'!D25/'Data Sheet'!D$17</f>
        <v>1.2732565146051374E-2</v>
      </c>
      <c r="F19" s="795">
        <f>'Data Sheet'!E25/'Data Sheet'!E$17</f>
        <v>1.1459030354644444E-2</v>
      </c>
      <c r="G19" s="795">
        <f>'Data Sheet'!F25/'Data Sheet'!F$17</f>
        <v>4.2062777181739425E-2</v>
      </c>
      <c r="H19" s="795">
        <f>'Data Sheet'!G25/'Data Sheet'!G$17</f>
        <v>7.6900530667653955E-2</v>
      </c>
      <c r="I19" s="795">
        <f>'Data Sheet'!H25/'Data Sheet'!H$17</f>
        <v>3.382821774914295E-2</v>
      </c>
      <c r="J19" s="795">
        <f>'Data Sheet'!I25/'Data Sheet'!I$17</f>
        <v>4.1324820857022916E-2</v>
      </c>
      <c r="K19" s="795">
        <f>'Data Sheet'!J25/'Data Sheet'!J$17</f>
        <v>7.9911208870062561E-2</v>
      </c>
      <c r="L19" s="795">
        <f>'Data Sheet'!K25/'Data Sheet'!K$17</f>
        <v>1.7803731745280459E-2</v>
      </c>
    </row>
    <row r="20" spans="2:15">
      <c r="B20" s="791" t="str">
        <f>'Data Sheet'!A26</f>
        <v>Depreciation</v>
      </c>
      <c r="C20" s="795">
        <f>'Data Sheet'!B26/'Data Sheet'!B$17</f>
        <v>2.288618585314648E-2</v>
      </c>
      <c r="D20" s="795">
        <f>'Data Sheet'!C26/'Data Sheet'!C$17</f>
        <v>2.278144379951888E-2</v>
      </c>
      <c r="E20" s="795">
        <f>'Data Sheet'!D26/'Data Sheet'!D$17</f>
        <v>2.1103519879858722E-2</v>
      </c>
      <c r="F20" s="795">
        <f>'Data Sheet'!E26/'Data Sheet'!E$17</f>
        <v>1.9644595170022511E-2</v>
      </c>
      <c r="G20" s="795">
        <f>'Data Sheet'!F26/'Data Sheet'!F$17</f>
        <v>7.092410168733039E-2</v>
      </c>
      <c r="H20" s="795">
        <f>'Data Sheet'!G26/'Data Sheet'!G$17</f>
        <v>9.9230223374058998E-2</v>
      </c>
      <c r="I20" s="795">
        <f>'Data Sheet'!H26/'Data Sheet'!H$17</f>
        <v>6.9101515778053443E-2</v>
      </c>
      <c r="J20" s="795">
        <f>'Data Sheet'!I26/'Data Sheet'!I$17</f>
        <v>5.9899150936299592E-2</v>
      </c>
      <c r="K20" s="795">
        <f>'Data Sheet'!J26/'Data Sheet'!J$17</f>
        <v>5.4230629061075009E-2</v>
      </c>
      <c r="L20" s="795">
        <f>'Data Sheet'!K26/'Data Sheet'!K$17</f>
        <v>5.2243967035141149E-2</v>
      </c>
    </row>
    <row r="21" spans="2:15">
      <c r="B21" s="791" t="str">
        <f>'Data Sheet'!A27</f>
        <v>Interest</v>
      </c>
      <c r="C21" s="795">
        <f>'Data Sheet'!B27/'Data Sheet'!B$17</f>
        <v>2.8306754360473734E-2</v>
      </c>
      <c r="D21" s="795">
        <f>'Data Sheet'!C27/'Data Sheet'!C$17</f>
        <v>2.51318664341992E-2</v>
      </c>
      <c r="E21" s="795">
        <f>'Data Sheet'!D27/'Data Sheet'!D$17</f>
        <v>2.0292380855264986E-2</v>
      </c>
      <c r="F21" s="795">
        <f>'Data Sheet'!E27/'Data Sheet'!E$17</f>
        <v>1.9252995924326298E-2</v>
      </c>
      <c r="G21" s="795">
        <f>'Data Sheet'!F27/'Data Sheet'!F$17</f>
        <v>7.5551207981686644E-2</v>
      </c>
      <c r="H21" s="795">
        <f>'Data Sheet'!G27/'Data Sheet'!G$17</f>
        <v>0.10057617549055906</v>
      </c>
      <c r="I21" s="795">
        <f>'Data Sheet'!H27/'Data Sheet'!H$17</f>
        <v>7.2218442781490505E-2</v>
      </c>
      <c r="J21" s="795">
        <f>'Data Sheet'!I27/'Data Sheet'!I$17</f>
        <v>4.9622543988002941E-2</v>
      </c>
      <c r="K21" s="795">
        <f>'Data Sheet'!J27/'Data Sheet'!J$17</f>
        <v>2.9709634904255398E-2</v>
      </c>
      <c r="L21" s="795">
        <f>'Data Sheet'!K27/'Data Sheet'!K$17</f>
        <v>1.1678118148005703E-2</v>
      </c>
    </row>
    <row r="22" spans="2:15">
      <c r="B22" s="791" t="str">
        <f>'Data Sheet'!A28</f>
        <v>Profit before tax</v>
      </c>
      <c r="C22" s="795">
        <f>'Data Sheet'!B28/'Data Sheet'!B$17</f>
        <v>5.3304233855423828E-2</v>
      </c>
      <c r="D22" s="795">
        <f>'Data Sheet'!C28/'Data Sheet'!C$17</f>
        <v>7.0623027520911041E-2</v>
      </c>
      <c r="E22" s="795">
        <f>'Data Sheet'!D28/'Data Sheet'!D$17</f>
        <v>6.7978085341095548E-2</v>
      </c>
      <c r="F22" s="795">
        <f>'Data Sheet'!E28/'Data Sheet'!E$17</f>
        <v>6.4051189245087903E-2</v>
      </c>
      <c r="G22" s="795">
        <f>'Data Sheet'!F28/'Data Sheet'!F$17</f>
        <v>4.7329588810033338E-2</v>
      </c>
      <c r="H22" s="795">
        <f>'Data Sheet'!G28/'Data Sheet'!G$17</f>
        <v>-7.899080587436752E-2</v>
      </c>
      <c r="I22" s="795">
        <f>'Data Sheet'!H28/'Data Sheet'!H$17</f>
        <v>2.4726435187037848E-2</v>
      </c>
      <c r="J22" s="795">
        <f>'Data Sheet'!I28/'Data Sheet'!I$17</f>
        <v>6.6982365973390023E-2</v>
      </c>
      <c r="K22" s="795">
        <f>'Data Sheet'!J28/'Data Sheet'!J$17</f>
        <v>0.15521720615008675</v>
      </c>
      <c r="L22" s="795">
        <f>'Data Sheet'!K28/'Data Sheet'!K$17</f>
        <v>0.11845848840446324</v>
      </c>
    </row>
    <row r="23" spans="2:15">
      <c r="B23" s="791" t="str">
        <f>'Data Sheet'!A29</f>
        <v>Tax</v>
      </c>
      <c r="C23" s="795">
        <f>'Data Sheet'!B29/'Data Sheet'!B$17</f>
        <v>2.0585113007585237E-2</v>
      </c>
      <c r="D23" s="795">
        <f>'Data Sheet'!C29/'Data Sheet'!C$17</f>
        <v>2.3752510427931407E-2</v>
      </c>
      <c r="E23" s="795">
        <f>'Data Sheet'!D29/'Data Sheet'!D$17</f>
        <v>2.7634347797873424E-2</v>
      </c>
      <c r="F23" s="795">
        <f>'Data Sheet'!E29/'Data Sheet'!E$17</f>
        <v>2.7986039296794211E-2</v>
      </c>
      <c r="G23" s="795">
        <f>'Data Sheet'!F29/'Data Sheet'!F$17</f>
        <v>1.6927807962179933E-2</v>
      </c>
      <c r="H23" s="795">
        <f>'Data Sheet'!G29/'Data Sheet'!G$17</f>
        <v>-9.1362766876465513E-3</v>
      </c>
      <c r="I23" s="795">
        <f>'Data Sheet'!H29/'Data Sheet'!H$17</f>
        <v>1.7034161697813705E-2</v>
      </c>
      <c r="J23" s="795">
        <f>'Data Sheet'!I29/'Data Sheet'!I$17</f>
        <v>1.9223442796790106E-2</v>
      </c>
      <c r="K23" s="795">
        <f>'Data Sheet'!J29/'Data Sheet'!J$17</f>
        <v>3.5827560320675939E-2</v>
      </c>
      <c r="L23" s="795">
        <f>'Data Sheet'!K29/'Data Sheet'!K$17</f>
        <v>2.8908157232642003E-2</v>
      </c>
    </row>
    <row r="24" spans="2:15">
      <c r="B24" s="791" t="str">
        <f>'Data Sheet'!A30</f>
        <v>Net profit</v>
      </c>
      <c r="C24" s="795">
        <f>'Data Sheet'!B30/'Data Sheet'!B$17</f>
        <v>3.2677606647016612E-2</v>
      </c>
      <c r="D24" s="795">
        <f>'Data Sheet'!C30/'Data Sheet'!C$17</f>
        <v>4.6820860276753987E-2</v>
      </c>
      <c r="E24" s="795">
        <f>'Data Sheet'!D30/'Data Sheet'!D$17</f>
        <v>4.0311291982238373E-2</v>
      </c>
      <c r="F24" s="795">
        <f>'Data Sheet'!E30/'Data Sheet'!E$17</f>
        <v>3.6863556177383051E-2</v>
      </c>
      <c r="G24" s="795">
        <f>'Data Sheet'!F30/'Data Sheet'!F$17</f>
        <v>3.5241166042260713E-2</v>
      </c>
      <c r="H24" s="795">
        <f>'Data Sheet'!G30/'Data Sheet'!G$17</f>
        <v>-5.6371868443786249E-2</v>
      </c>
      <c r="I24" s="795">
        <f>'Data Sheet'!H30/'Data Sheet'!H$17</f>
        <v>2.3528130155045995E-2</v>
      </c>
      <c r="J24" s="795">
        <f>'Data Sheet'!I30/'Data Sheet'!I$17</f>
        <v>5.3946726651961527E-2</v>
      </c>
      <c r="K24" s="795">
        <f>'Data Sheet'!J30/'Data Sheet'!J$17</f>
        <v>0.12014438659535147</v>
      </c>
      <c r="L24" s="795">
        <f>'Data Sheet'!K30/'Data Sheet'!K$17</f>
        <v>9.0268760129352227E-2</v>
      </c>
    </row>
    <row r="25" spans="2:15">
      <c r="B25" s="791" t="str">
        <f>'Data Sheet'!A31</f>
        <v>Dividend Amount</v>
      </c>
      <c r="C25" s="795">
        <f>'Data Sheet'!B31/'Data Sheet'!B$17</f>
        <v>1.7738424951220813E-2</v>
      </c>
      <c r="D25" s="795">
        <f>'Data Sheet'!C31/'Data Sheet'!C$17</f>
        <v>1.8334400035311511E-2</v>
      </c>
      <c r="E25" s="795">
        <f>'Data Sheet'!D31/'Data Sheet'!D$17</f>
        <v>1.7710641216986643E-2</v>
      </c>
      <c r="F25" s="795">
        <f>'Data Sheet'!E31/'Data Sheet'!E$17</f>
        <v>1.6424356712695421E-2</v>
      </c>
      <c r="G25" s="795">
        <f>'Data Sheet'!F31/'Data Sheet'!F$17</f>
        <v>1.0197993103804381E-2</v>
      </c>
      <c r="H25" s="795">
        <f>'Data Sheet'!G31/'Data Sheet'!G$17</f>
        <v>8.2261199555720092E-3</v>
      </c>
      <c r="I25" s="795">
        <f>'Data Sheet'!H31/'Data Sheet'!H$17</f>
        <v>1.3437023401407729E-2</v>
      </c>
      <c r="J25" s="795">
        <f>'Data Sheet'!I31/'Data Sheet'!I$17</f>
        <v>9.4891786236869103E-3</v>
      </c>
      <c r="K25" s="795">
        <f>'Data Sheet'!J31/'Data Sheet'!J$17</f>
        <v>6.3199438227215746E-3</v>
      </c>
      <c r="L25" s="795">
        <f>'Data Sheet'!K31/'Data Sheet'!K$17</f>
        <v>4.5644458788382108E-3</v>
      </c>
    </row>
    <row r="26" spans="2:15">
      <c r="B26" s="791" t="str">
        <f>'Data Sheet'!A33</f>
        <v>EBITDA</v>
      </c>
      <c r="C26" s="795">
        <f>'Data Sheet'!B33/'Data Sheet'!B$17</f>
        <v>0.10445565986822206</v>
      </c>
      <c r="D26" s="795">
        <f>'Data Sheet'!C33/'Data Sheet'!C$17</f>
        <v>0.11848668093840346</v>
      </c>
      <c r="E26" s="795">
        <f>'Data Sheet'!D33/'Data Sheet'!D$17</f>
        <v>0.10934154051523551</v>
      </c>
      <c r="F26" s="795">
        <f>'Data Sheet'!E33/'Data Sheet'!E$17</f>
        <v>0.10374718656852608</v>
      </c>
      <c r="G26" s="795">
        <f>'Data Sheet'!F33/'Data Sheet'!F$17</f>
        <v>0.19864428367345768</v>
      </c>
      <c r="H26" s="795">
        <f>'Data Sheet'!G33/'Data Sheet'!G$17</f>
        <v>0.13429825373318524</v>
      </c>
      <c r="I26" s="795">
        <f>'Data Sheet'!H33/'Data Sheet'!H$17</f>
        <v>0.18188225041240363</v>
      </c>
      <c r="J26" s="795">
        <f>'Data Sheet'!I33/'Data Sheet'!I$17</f>
        <v>0.18269186437305418</v>
      </c>
      <c r="K26" s="795">
        <f>'Data Sheet'!J33/'Data Sheet'!J$17</f>
        <v>0.23991221088135781</v>
      </c>
      <c r="L26" s="795">
        <f>'Data Sheet'!K32/'Data Sheet'!K$17</f>
        <v>0</v>
      </c>
    </row>
    <row r="27" spans="2:15">
      <c r="B27" s="42"/>
      <c r="C27" s="801"/>
    </row>
    <row r="28" spans="2:15">
      <c r="B28" s="836" t="str">
        <f>"Common Size Balance Sheet"&amp;" - "&amp;'Data Sheet'!$B$1</f>
        <v>Common Size Balance Sheet - TRENT LTD</v>
      </c>
      <c r="C28" s="836"/>
      <c r="D28" s="836"/>
      <c r="E28" s="836"/>
      <c r="F28" s="836"/>
      <c r="G28" s="836"/>
      <c r="H28" s="836"/>
      <c r="I28" s="836"/>
      <c r="J28" s="836"/>
      <c r="K28" s="836"/>
      <c r="L28" s="836"/>
    </row>
    <row r="29" spans="2:15">
      <c r="F29" s="15"/>
      <c r="G29" s="802"/>
      <c r="H29" s="802"/>
      <c r="K29" s="15"/>
      <c r="L29" s="802"/>
    </row>
    <row r="30" spans="2:15">
      <c r="B30" s="807" t="s">
        <v>242</v>
      </c>
      <c r="C30" s="808">
        <f>C9</f>
        <v>42460</v>
      </c>
      <c r="D30" s="808">
        <f t="shared" ref="D30:L30" si="0">D9</f>
        <v>42825</v>
      </c>
      <c r="E30" s="808">
        <f t="shared" si="0"/>
        <v>43190</v>
      </c>
      <c r="F30" s="808">
        <f t="shared" si="0"/>
        <v>43555</v>
      </c>
      <c r="G30" s="808">
        <f t="shared" si="0"/>
        <v>43921</v>
      </c>
      <c r="H30" s="808">
        <f t="shared" si="0"/>
        <v>44286</v>
      </c>
      <c r="I30" s="808">
        <f t="shared" si="0"/>
        <v>44651</v>
      </c>
      <c r="J30" s="808">
        <f t="shared" si="0"/>
        <v>45016</v>
      </c>
      <c r="K30" s="808">
        <f t="shared" si="0"/>
        <v>45382</v>
      </c>
      <c r="L30" s="808">
        <f t="shared" si="0"/>
        <v>45747</v>
      </c>
      <c r="O30" s="9"/>
    </row>
    <row r="31" spans="2:15">
      <c r="B31" s="789"/>
      <c r="C31" s="793"/>
      <c r="D31" s="793"/>
      <c r="E31" s="793"/>
      <c r="F31" s="797"/>
      <c r="G31" s="793"/>
      <c r="H31" s="793"/>
      <c r="I31" s="793"/>
      <c r="J31" s="793"/>
      <c r="K31" s="797"/>
      <c r="L31" s="43"/>
    </row>
    <row r="32" spans="2:15">
      <c r="B32" s="803" t="s">
        <v>78</v>
      </c>
      <c r="C32" s="804">
        <f>'Data Sheet'!B61/'Data Sheet'!B$61</f>
        <v>1</v>
      </c>
      <c r="D32" s="804">
        <f>'Data Sheet'!C61/'Data Sheet'!C$61</f>
        <v>1</v>
      </c>
      <c r="E32" s="804">
        <f>'Data Sheet'!D61/'Data Sheet'!D$61</f>
        <v>1</v>
      </c>
      <c r="F32" s="805">
        <f>'Data Sheet'!E61/'Data Sheet'!E$61</f>
        <v>1</v>
      </c>
      <c r="G32" s="804">
        <f>'Data Sheet'!F61/'Data Sheet'!F$61</f>
        <v>1</v>
      </c>
      <c r="H32" s="804">
        <f>'Data Sheet'!G61/'Data Sheet'!G$61</f>
        <v>1</v>
      </c>
      <c r="I32" s="804">
        <f>'Data Sheet'!H61/'Data Sheet'!H$61</f>
        <v>1</v>
      </c>
      <c r="J32" s="804">
        <f>'Data Sheet'!I61/'Data Sheet'!I$61</f>
        <v>1</v>
      </c>
      <c r="K32" s="805">
        <f>'Data Sheet'!J61/'Data Sheet'!J$61</f>
        <v>1</v>
      </c>
      <c r="L32" s="240">
        <f>'Data Sheet'!K61/'Data Sheet'!K$61</f>
        <v>1</v>
      </c>
    </row>
    <row r="33" spans="2:12">
      <c r="B33" s="790" t="str">
        <f>'Data Sheet'!A57</f>
        <v>Equity Share Capital</v>
      </c>
      <c r="C33" s="794">
        <f>'Data Sheet'!B57/'Data Sheet'!B$61</f>
        <v>1.5408584849229568E-2</v>
      </c>
      <c r="D33" s="794">
        <f>'Data Sheet'!C57/'Data Sheet'!C$61</f>
        <v>1.4953313083586453E-2</v>
      </c>
      <c r="E33" s="794">
        <f>'Data Sheet'!D57/'Data Sheet'!D$61</f>
        <v>1.4226023819920712E-2</v>
      </c>
      <c r="F33" s="794">
        <f>'Data Sheet'!E57/'Data Sheet'!E$61</f>
        <v>1.2986759211493065E-2</v>
      </c>
      <c r="G33" s="794">
        <f>'Data Sheet'!F57/'Data Sheet'!F$61</f>
        <v>6.4557955065484094E-3</v>
      </c>
      <c r="H33" s="794">
        <f>'Data Sheet'!G57/'Data Sheet'!G$61</f>
        <v>6.2109847948802616E-3</v>
      </c>
      <c r="I33" s="794">
        <f>'Data Sheet'!H57/'Data Sheet'!H$61</f>
        <v>4.6013341927667794E-3</v>
      </c>
      <c r="J33" s="794">
        <f>'Data Sheet'!I57/'Data Sheet'!I$61</f>
        <v>4.3989195115281387E-3</v>
      </c>
      <c r="K33" s="798">
        <f>'Data Sheet'!J57/'Data Sheet'!J$61</f>
        <v>4.9638705623625511E-3</v>
      </c>
      <c r="L33" s="28">
        <f>'Data Sheet'!K57/'Data Sheet'!K$61</f>
        <v>3.7740295807483087E-3</v>
      </c>
    </row>
    <row r="34" spans="2:12">
      <c r="B34" s="791" t="str">
        <f>'Data Sheet'!A58</f>
        <v>Reserves</v>
      </c>
      <c r="C34" s="795">
        <f>'Data Sheet'!B58/'Data Sheet'!B$61</f>
        <v>0.66362173616681885</v>
      </c>
      <c r="D34" s="795">
        <f>'Data Sheet'!C58/'Data Sheet'!C$61</f>
        <v>0.68149848126898416</v>
      </c>
      <c r="E34" s="795">
        <f>'Data Sheet'!D58/'Data Sheet'!D$61</f>
        <v>0.66876439512642027</v>
      </c>
      <c r="F34" s="795">
        <f>'Data Sheet'!E58/'Data Sheet'!E$61</f>
        <v>0.63049289499601358</v>
      </c>
      <c r="G34" s="795">
        <f>'Data Sheet'!F58/'Data Sheet'!F$61</f>
        <v>0.42715756136183686</v>
      </c>
      <c r="H34" s="795">
        <f>'Data Sheet'!G58/'Data Sheet'!G$61</f>
        <v>0.39790136851318986</v>
      </c>
      <c r="I34" s="795">
        <f>'Data Sheet'!H58/'Data Sheet'!H$61</f>
        <v>0.30137768217012117</v>
      </c>
      <c r="J34" s="795">
        <f>'Data Sheet'!I58/'Data Sheet'!I$61</f>
        <v>0.31676427607148649</v>
      </c>
      <c r="K34" s="799">
        <f>'Data Sheet'!J58/'Data Sheet'!J$61</f>
        <v>0.56301741892693824</v>
      </c>
      <c r="L34" s="788">
        <f>'Data Sheet'!K58/'Data Sheet'!K$61</f>
        <v>0.57605067709593993</v>
      </c>
    </row>
    <row r="35" spans="2:12">
      <c r="B35" s="791" t="str">
        <f>'Data Sheet'!A59</f>
        <v>Borrowings</v>
      </c>
      <c r="C35" s="795">
        <f>'Data Sheet'!B59/'Data Sheet'!B$61</f>
        <v>0.18538526099073072</v>
      </c>
      <c r="D35" s="795">
        <f>'Data Sheet'!C59/'Data Sheet'!C$61</f>
        <v>0.17628079649004388</v>
      </c>
      <c r="E35" s="795">
        <f>'Data Sheet'!D59/'Data Sheet'!D$61</f>
        <v>0.16757425530639677</v>
      </c>
      <c r="F35" s="795">
        <f>'Data Sheet'!E59/'Data Sheet'!E$61</f>
        <v>0.19311697853647858</v>
      </c>
      <c r="G35" s="795">
        <f>'Data Sheet'!F59/'Data Sheet'!F$61</f>
        <v>5.4432071593046992E-2</v>
      </c>
      <c r="H35" s="795">
        <f>'Data Sheet'!G59/'Data Sheet'!G$61</f>
        <v>5.2401144009238738E-2</v>
      </c>
      <c r="I35" s="795">
        <f>'Data Sheet'!H59/'Data Sheet'!H$61</f>
        <v>0.61161633027095441</v>
      </c>
      <c r="J35" s="795">
        <f>'Data Sheet'!I59/'Data Sheet'!I$61</f>
        <v>0.55238797603919065</v>
      </c>
      <c r="K35" s="799">
        <f>'Data Sheet'!J59/'Data Sheet'!J$61</f>
        <v>0.24477118022829616</v>
      </c>
      <c r="L35" s="788">
        <f>'Data Sheet'!K59/'Data Sheet'!K$61</f>
        <v>0.23750270710982588</v>
      </c>
    </row>
    <row r="36" spans="2:12">
      <c r="B36" s="791" t="str">
        <f>'Data Sheet'!A60</f>
        <v>Other Liabilities</v>
      </c>
      <c r="C36" s="795">
        <f>'Data Sheet'!B60/'Data Sheet'!B$61</f>
        <v>0.13558441799322077</v>
      </c>
      <c r="D36" s="795">
        <f>'Data Sheet'!C60/'Data Sheet'!C$61</f>
        <v>0.12726740915738552</v>
      </c>
      <c r="E36" s="795">
        <f>'Data Sheet'!D60/'Data Sheet'!D$61</f>
        <v>0.14943532574726223</v>
      </c>
      <c r="F36" s="795">
        <f>'Data Sheet'!E60/'Data Sheet'!E$61</f>
        <v>0.16340336725601462</v>
      </c>
      <c r="G36" s="795">
        <f>'Data Sheet'!F60/'Data Sheet'!F$61</f>
        <v>0.51195457153856772</v>
      </c>
      <c r="H36" s="795">
        <f>'Data Sheet'!G60/'Data Sheet'!G$61</f>
        <v>0.54348650268269127</v>
      </c>
      <c r="I36" s="795">
        <f>'Data Sheet'!H60/'Data Sheet'!H$61</f>
        <v>8.2404653366157474E-2</v>
      </c>
      <c r="J36" s="795">
        <f>'Data Sheet'!I60/'Data Sheet'!I$61</f>
        <v>0.12644882837779481</v>
      </c>
      <c r="K36" s="799">
        <f>'Data Sheet'!J60/'Data Sheet'!J$61</f>
        <v>0.18724753028240304</v>
      </c>
      <c r="L36" s="788">
        <f>'Data Sheet'!K60/'Data Sheet'!K$61</f>
        <v>0.18267258621348589</v>
      </c>
    </row>
    <row r="37" spans="2:12">
      <c r="B37" s="792"/>
      <c r="C37" s="796"/>
      <c r="D37" s="796"/>
      <c r="E37" s="796"/>
      <c r="F37" s="796"/>
      <c r="G37" s="796"/>
      <c r="H37" s="796"/>
      <c r="I37" s="796"/>
      <c r="J37" s="796"/>
      <c r="K37" s="800"/>
      <c r="L37" s="60"/>
    </row>
    <row r="38" spans="2:12">
      <c r="B38" s="803" t="s">
        <v>83</v>
      </c>
      <c r="C38" s="804">
        <f>'Data Sheet'!B77/'Data Sheet'!B$77</f>
        <v>1</v>
      </c>
      <c r="D38" s="804">
        <f>'Data Sheet'!C77/'Data Sheet'!C$77</f>
        <v>1</v>
      </c>
      <c r="E38" s="804">
        <f>'Data Sheet'!D77/'Data Sheet'!D$77</f>
        <v>1</v>
      </c>
      <c r="F38" s="804">
        <f>'Data Sheet'!E77/'Data Sheet'!E$77</f>
        <v>1</v>
      </c>
      <c r="G38" s="804">
        <f>'Data Sheet'!F77/'Data Sheet'!F$77</f>
        <v>1</v>
      </c>
      <c r="H38" s="804">
        <f>'Data Sheet'!G77/'Data Sheet'!G$77</f>
        <v>1</v>
      </c>
      <c r="I38" s="804">
        <f>'Data Sheet'!H77/'Data Sheet'!H$77</f>
        <v>1</v>
      </c>
      <c r="J38" s="804">
        <f>'Data Sheet'!I77/'Data Sheet'!I$77</f>
        <v>1</v>
      </c>
      <c r="K38" s="805">
        <f>'Data Sheet'!J77/'Data Sheet'!J$77</f>
        <v>1</v>
      </c>
      <c r="L38" s="240">
        <f>'Data Sheet'!K77/'Data Sheet'!K$77</f>
        <v>1</v>
      </c>
    </row>
    <row r="39" spans="2:12">
      <c r="B39" s="790" t="str">
        <f>'Data Sheet'!A62</f>
        <v>Net Block</v>
      </c>
      <c r="C39" s="794">
        <f>'Data Sheet'!B62/'Data Sheet'!B$77</f>
        <v>0.22108513903894575</v>
      </c>
      <c r="D39" s="794">
        <f>'Data Sheet'!C62/'Data Sheet'!C$77</f>
        <v>0.24691641354483071</v>
      </c>
      <c r="E39" s="794">
        <f>'Data Sheet'!D62/'Data Sheet'!D$77</f>
        <v>0.26222890070466548</v>
      </c>
      <c r="F39" s="794">
        <f>'Data Sheet'!E62/'Data Sheet'!E$77</f>
        <v>0.25878941362222324</v>
      </c>
      <c r="G39" s="794">
        <f>'Data Sheet'!F62/'Data Sheet'!F$77</f>
        <v>0.49729237943733789</v>
      </c>
      <c r="H39" s="794">
        <f>'Data Sheet'!G62/'Data Sheet'!G$77</f>
        <v>0.5335366972236637</v>
      </c>
      <c r="I39" s="794">
        <f>'Data Sheet'!H62/'Data Sheet'!H$77</f>
        <v>0.60661375455926847</v>
      </c>
      <c r="J39" s="794">
        <f>'Data Sheet'!I62/'Data Sheet'!I$77</f>
        <v>0.56016001920428438</v>
      </c>
      <c r="K39" s="798">
        <f>'Data Sheet'!J62/'Data Sheet'!J$77</f>
        <v>0.34208398785213112</v>
      </c>
      <c r="L39" s="28">
        <f>'Data Sheet'!K62/'Data Sheet'!K$77</f>
        <v>0.41351155670492717</v>
      </c>
    </row>
    <row r="40" spans="2:12">
      <c r="B40" s="791" t="str">
        <f>'Data Sheet'!A63</f>
        <v>Capital Work in Progress</v>
      </c>
      <c r="C40" s="795">
        <f>'Data Sheet'!B63/'Data Sheet'!B$77</f>
        <v>2.5438307698728083E-2</v>
      </c>
      <c r="D40" s="795">
        <f>'Data Sheet'!C63/'Data Sheet'!C$77</f>
        <v>2.465969175385308E-3</v>
      </c>
      <c r="E40" s="795">
        <f>'Data Sheet'!D63/'Data Sheet'!D$77</f>
        <v>4.1055542712320082E-3</v>
      </c>
      <c r="F40" s="795">
        <f>'Data Sheet'!E63/'Data Sheet'!E$77</f>
        <v>3.4071190733011299E-2</v>
      </c>
      <c r="G40" s="795">
        <f>'Data Sheet'!F63/'Data Sheet'!F$77</f>
        <v>4.2348565741971564E-3</v>
      </c>
      <c r="H40" s="795">
        <f>'Data Sheet'!G63/'Data Sheet'!G$77</f>
        <v>1.8865320341805082E-2</v>
      </c>
      <c r="I40" s="795">
        <f>'Data Sheet'!H63/'Data Sheet'!H$77</f>
        <v>1.3554197374586139E-2</v>
      </c>
      <c r="J40" s="795">
        <f>'Data Sheet'!I63/'Data Sheet'!I$77</f>
        <v>1.258672553340766E-2</v>
      </c>
      <c r="K40" s="799">
        <f>'Data Sheet'!J63/'Data Sheet'!J$77</f>
        <v>3.1246552867665027E-2</v>
      </c>
      <c r="L40" s="788">
        <f>'Data Sheet'!K63/'Data Sheet'!K$77</f>
        <v>1.9055929950613826E-2</v>
      </c>
    </row>
    <row r="41" spans="2:12">
      <c r="B41" s="791" t="str">
        <f>'Data Sheet'!A64</f>
        <v>Investments</v>
      </c>
      <c r="C41" s="795">
        <f>'Data Sheet'!B64/'Data Sheet'!B$77</f>
        <v>0.49474865412526253</v>
      </c>
      <c r="D41" s="795">
        <f>'Data Sheet'!C64/'Data Sheet'!C$77</f>
        <v>0.48597592530093375</v>
      </c>
      <c r="E41" s="795">
        <f>'Data Sheet'!D64/'Data Sheet'!D$77</f>
        <v>0.4379029565128047</v>
      </c>
      <c r="F41" s="795">
        <f>'Data Sheet'!E64/'Data Sheet'!E$77</f>
        <v>0.34502258906657912</v>
      </c>
      <c r="G41" s="795">
        <f>'Data Sheet'!F64/'Data Sheet'!F$77</f>
        <v>0.27508044774709989</v>
      </c>
      <c r="H41" s="795">
        <f>'Data Sheet'!G64/'Data Sheet'!G$77</f>
        <v>0.25984628904577961</v>
      </c>
      <c r="I41" s="795">
        <f>'Data Sheet'!H64/'Data Sheet'!H$77</f>
        <v>0.1661554073119148</v>
      </c>
      <c r="J41" s="795">
        <f>'Data Sheet'!I64/'Data Sheet'!I$77</f>
        <v>0.13733414341096301</v>
      </c>
      <c r="K41" s="799">
        <f>'Data Sheet'!J64/'Data Sheet'!J$77</f>
        <v>0.19772122735364958</v>
      </c>
      <c r="L41" s="788">
        <f>'Data Sheet'!K64/'Data Sheet'!K$77</f>
        <v>0.15714507136153824</v>
      </c>
    </row>
    <row r="42" spans="2:12">
      <c r="B42" s="791" t="str">
        <f>'Data Sheet'!A65</f>
        <v>Other Assets</v>
      </c>
      <c r="C42" s="795">
        <f>'Data Sheet'!B76/'Data Sheet'!B$77</f>
        <v>0.11077209854446141</v>
      </c>
      <c r="D42" s="795">
        <f>'Data Sheet'!C76/'Data Sheet'!C$77</f>
        <v>0.10914163572955336</v>
      </c>
      <c r="E42" s="795">
        <f>'Data Sheet'!D76/'Data Sheet'!D$77</f>
        <v>0.12765319839373934</v>
      </c>
      <c r="F42" s="795">
        <f>'Data Sheet'!E76/'Data Sheet'!E$77</f>
        <v>0.14022026293986151</v>
      </c>
      <c r="G42" s="795">
        <f>'Data Sheet'!F76/'Data Sheet'!F$77</f>
        <v>9.8754603499749419E-2</v>
      </c>
      <c r="H42" s="795">
        <f>'Data Sheet'!G76/'Data Sheet'!G$77</f>
        <v>9.504466493003691E-2</v>
      </c>
      <c r="I42" s="795">
        <f>'Data Sheet'!H76/'Data Sheet'!H$77</f>
        <v>8.7866715333379905E-2</v>
      </c>
      <c r="J42" s="795">
        <f>'Data Sheet'!I76/'Data Sheet'!I$77</f>
        <v>0.10655655550372264</v>
      </c>
      <c r="K42" s="799">
        <f>'Data Sheet'!J76/'Data Sheet'!J$77</f>
        <v>0.15498865500750514</v>
      </c>
      <c r="L42" s="788">
        <f>'Data Sheet'!K76/'Data Sheet'!K$77</f>
        <v>0.15042188448815455</v>
      </c>
    </row>
    <row r="43" spans="2:12">
      <c r="B43" s="791" t="str">
        <f>'Data Sheet'!A67</f>
        <v>Receivables</v>
      </c>
      <c r="C43" s="795">
        <f>'Data Sheet'!B67/'Data Sheet'!B$77</f>
        <v>6.0233980496988294E-3</v>
      </c>
      <c r="D43" s="795">
        <f>'Data Sheet'!C67/'Data Sheet'!C$77</f>
        <v>2.6639667004162448E-3</v>
      </c>
      <c r="E43" s="795">
        <f>'Data Sheet'!D67/'Data Sheet'!D$77</f>
        <v>6.4644285188324635E-3</v>
      </c>
      <c r="F43" s="795">
        <f>'Data Sheet'!E67/'Data Sheet'!E$77</f>
        <v>6.4640685331957661E-3</v>
      </c>
      <c r="G43" s="795">
        <f>'Data Sheet'!F67/'Data Sheet'!F$77</f>
        <v>3.1089513100452542E-3</v>
      </c>
      <c r="H43" s="795">
        <f>'Data Sheet'!G67/'Data Sheet'!G$77</f>
        <v>3.6287525791747692E-3</v>
      </c>
      <c r="I43" s="795">
        <f>'Data Sheet'!H67/'Data Sheet'!H$77</f>
        <v>2.3634419791820371E-3</v>
      </c>
      <c r="J43" s="795">
        <f>'Data Sheet'!I67/'Data Sheet'!I$77</f>
        <v>4.255382334780667E-3</v>
      </c>
      <c r="K43" s="799">
        <f>'Data Sheet'!J67/'Data Sheet'!J$77</f>
        <v>1.1413411526512374E-2</v>
      </c>
      <c r="L43" s="788">
        <f>'Data Sheet'!K67/'Data Sheet'!K$77</f>
        <v>6.6828456289200018E-3</v>
      </c>
    </row>
    <row r="44" spans="2:12">
      <c r="B44" s="791" t="str">
        <f>'Data Sheet'!A68</f>
        <v>Inventory</v>
      </c>
      <c r="C44" s="795">
        <f>'Data Sheet'!B68/'Data Sheet'!B$77</f>
        <v>0.12945900704352703</v>
      </c>
      <c r="D44" s="795">
        <f>'Data Sheet'!C68/'Data Sheet'!C$77</f>
        <v>0.13741028237147035</v>
      </c>
      <c r="E44" s="795">
        <f>'Data Sheet'!D68/'Data Sheet'!D$77</f>
        <v>0.14759874307535553</v>
      </c>
      <c r="F44" s="795">
        <f>'Data Sheet'!E68/'Data Sheet'!E$77</f>
        <v>0.19423861557942126</v>
      </c>
      <c r="G44" s="795">
        <f>'Data Sheet'!F68/'Data Sheet'!F$77</f>
        <v>0.11037685138776902</v>
      </c>
      <c r="H44" s="795">
        <f>'Data Sheet'!G68/'Data Sheet'!G$77</f>
        <v>7.4844550668882015E-2</v>
      </c>
      <c r="I44" s="795">
        <f>'Data Sheet'!H68/'Data Sheet'!H$77</f>
        <v>0.11231915009280327</v>
      </c>
      <c r="J44" s="795">
        <f>'Data Sheet'!I68/'Data Sheet'!I$77</f>
        <v>0.16842850301861159</v>
      </c>
      <c r="K44" s="799">
        <f>'Data Sheet'!J68/'Data Sheet'!J$77</f>
        <v>0.2209976611861626</v>
      </c>
      <c r="L44" s="788">
        <f>'Data Sheet'!K68/'Data Sheet'!K$77</f>
        <v>0.21710489997494598</v>
      </c>
    </row>
    <row r="45" spans="2:12">
      <c r="B45" s="791" t="str">
        <f>'Data Sheet'!A69</f>
        <v>Cash &amp; Bank</v>
      </c>
      <c r="C45" s="795">
        <f>'Data Sheet'!B69/'Data Sheet'!B$77</f>
        <v>1.2473395499376328E-2</v>
      </c>
      <c r="D45" s="795">
        <f>'Data Sheet'!C69/'Data Sheet'!C$77</f>
        <v>1.5425807177410282E-2</v>
      </c>
      <c r="E45" s="795">
        <f>'Data Sheet'!D69/'Data Sheet'!D$77</f>
        <v>1.4046218523370407E-2</v>
      </c>
      <c r="F45" s="795">
        <f>'Data Sheet'!E69/'Data Sheet'!E$77</f>
        <v>2.1193859525707761E-2</v>
      </c>
      <c r="G45" s="795">
        <f>'Data Sheet'!F69/'Data Sheet'!F$77</f>
        <v>1.1151910043801345E-2</v>
      </c>
      <c r="H45" s="795">
        <f>'Data Sheet'!G69/'Data Sheet'!G$77</f>
        <v>1.4233725210658086E-2</v>
      </c>
      <c r="I45" s="795">
        <f>'Data Sheet'!H69/'Data Sheet'!H$77</f>
        <v>1.1127333348865263E-2</v>
      </c>
      <c r="J45" s="795">
        <f>'Data Sheet'!I69/'Data Sheet'!I$77</f>
        <v>1.0678670994230054E-2</v>
      </c>
      <c r="K45" s="799">
        <f>'Data Sheet'!J69/'Data Sheet'!J$77</f>
        <v>4.154850420637414E-2</v>
      </c>
      <c r="L45" s="788">
        <f>'Data Sheet'!K69/'Data Sheet'!K$77</f>
        <v>3.6077811890900285E-2</v>
      </c>
    </row>
    <row r="46" spans="2:12">
      <c r="B46" s="801"/>
      <c r="C46" s="801"/>
      <c r="D46" s="801"/>
      <c r="E46" s="801"/>
      <c r="F46" s="801"/>
      <c r="G46" s="801"/>
      <c r="H46" s="801"/>
      <c r="I46" s="801"/>
      <c r="J46" s="801"/>
      <c r="K46" s="801"/>
      <c r="L46" s="801"/>
    </row>
    <row r="47" spans="2:12">
      <c r="B47" s="841"/>
      <c r="C47" s="841"/>
      <c r="D47" s="841"/>
      <c r="E47" s="841"/>
      <c r="F47" s="841"/>
      <c r="G47" s="841"/>
      <c r="H47" s="841"/>
      <c r="I47" s="841"/>
      <c r="J47" s="841"/>
      <c r="K47" s="841"/>
      <c r="L47" s="842"/>
    </row>
  </sheetData>
  <mergeCells count="3">
    <mergeCell ref="B7:L7"/>
    <mergeCell ref="B28:L28"/>
    <mergeCell ref="B47:L47"/>
  </mergeCells>
  <printOptions horizontalCentered="1" verticalCentered="1"/>
  <pageMargins left="0.11811023622047245" right="0.11811023622047245" top="0.15748031496062992" bottom="0.15748031496062992" header="0.31496062992125984" footer="0.31496062992125984"/>
  <pageSetup scale="85" orientation="landscape" horizontalDpi="360" verticalDpi="360" r:id="rId1"/>
  <colBreaks count="1" manualBreakCount="1">
    <brk id="12"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
  <sheetViews>
    <sheetView showGridLines="0" zoomScale="85" zoomScaleNormal="85"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FAC46"/>
  </sheetPr>
  <dimension ref="B2:R94"/>
  <sheetViews>
    <sheetView showGridLines="0" topLeftCell="C37" zoomScale="70" zoomScaleNormal="70" zoomScaleSheetLayoutView="70" workbookViewId="0">
      <selection activeCell="O51" sqref="O51"/>
    </sheetView>
  </sheetViews>
  <sheetFormatPr defaultRowHeight="15" outlineLevelRow="1"/>
  <cols>
    <col min="1" max="1" width="1.85546875" customWidth="1"/>
    <col min="2" max="2" width="36.28515625" bestFit="1" customWidth="1"/>
    <col min="3" max="3" width="20.5703125" bestFit="1" customWidth="1"/>
    <col min="4" max="4" width="24.7109375" customWidth="1"/>
    <col min="5" max="5" width="20.140625" customWidth="1"/>
    <col min="6" max="6" width="20.5703125" customWidth="1"/>
    <col min="7" max="7" width="19.5703125" customWidth="1"/>
    <col min="8" max="9" width="20.7109375" customWidth="1"/>
    <col min="12" max="16" width="11.85546875" bestFit="1" customWidth="1"/>
    <col min="17" max="17" width="12.140625" bestFit="1" customWidth="1"/>
  </cols>
  <sheetData>
    <row r="2" spans="2:9" ht="28.5">
      <c r="B2" s="68" t="str">
        <f>'Intrisic Growth'!B4</f>
        <v>TRENT LTD</v>
      </c>
    </row>
    <row r="3" spans="2:9">
      <c r="B3" s="15" t="str">
        <f>'Intrisic Growth'!B5</f>
        <v>( TRENT | BSE Code: 500251)</v>
      </c>
    </row>
    <row r="4" spans="2:9" ht="15.75" thickBot="1">
      <c r="B4" s="15"/>
    </row>
    <row r="5" spans="2:9" ht="27" thickBot="1">
      <c r="B5" s="835" t="s">
        <v>8877</v>
      </c>
      <c r="C5" s="835"/>
      <c r="D5" s="835"/>
      <c r="E5" s="835"/>
      <c r="F5" s="835"/>
      <c r="G5" s="835"/>
      <c r="H5" s="835"/>
      <c r="I5" s="835"/>
    </row>
    <row r="6" spans="2:9">
      <c r="B6" s="15"/>
    </row>
    <row r="7" spans="2:9" ht="15.75">
      <c r="B7" s="257"/>
    </row>
    <row r="8" spans="2:9" ht="9" customHeight="1">
      <c r="B8" s="258"/>
    </row>
    <row r="9" spans="2:9">
      <c r="B9" s="259"/>
    </row>
    <row r="10" spans="2:9">
      <c r="B10" s="259"/>
    </row>
    <row r="11" spans="2:9">
      <c r="B11" s="259"/>
    </row>
    <row r="12" spans="2:9">
      <c r="B12" s="15"/>
    </row>
    <row r="13" spans="2:9">
      <c r="B13" s="15"/>
      <c r="D13" s="210"/>
    </row>
    <row r="14" spans="2:9">
      <c r="B14" s="259"/>
      <c r="C14" s="71"/>
      <c r="D14" s="103"/>
      <c r="E14" s="71"/>
      <c r="F14" s="71"/>
    </row>
    <row r="15" spans="2:9" ht="21" thickBot="1">
      <c r="B15" s="264" t="s">
        <v>8891</v>
      </c>
      <c r="C15" s="262"/>
      <c r="D15" s="457"/>
      <c r="E15" s="462"/>
      <c r="F15" s="262"/>
      <c r="G15" s="262"/>
      <c r="H15" s="263"/>
      <c r="I15" s="263"/>
    </row>
    <row r="16" spans="2:9" ht="16.5" thickTop="1">
      <c r="B16" s="260"/>
      <c r="D16" s="210"/>
      <c r="E16" s="208"/>
      <c r="F16" s="208"/>
      <c r="G16" s="469"/>
      <c r="H16" s="471"/>
      <c r="I16" s="545" t="s">
        <v>8932</v>
      </c>
    </row>
    <row r="17" spans="2:9" ht="5.25" customHeight="1" thickBot="1">
      <c r="B17" s="260"/>
      <c r="D17" s="210"/>
      <c r="E17" s="208"/>
      <c r="F17" s="208"/>
      <c r="G17" s="208"/>
      <c r="H17" s="471"/>
      <c r="I17" s="260"/>
    </row>
    <row r="18" spans="2:9" ht="17.25" thickBot="1">
      <c r="B18" s="405" t="s">
        <v>129</v>
      </c>
      <c r="C18" s="405"/>
      <c r="D18" s="458"/>
      <c r="E18" s="463">
        <f>E27</f>
        <v>46083</v>
      </c>
      <c r="F18" s="463">
        <f>366+E18</f>
        <v>46449</v>
      </c>
      <c r="G18" s="463">
        <f>366+F18</f>
        <v>46815</v>
      </c>
      <c r="H18" s="463">
        <f>366+G18</f>
        <v>47181</v>
      </c>
      <c r="I18" s="406">
        <f>366+H18</f>
        <v>47547</v>
      </c>
    </row>
    <row r="19" spans="2:9" ht="15.75">
      <c r="B19" s="407" t="s">
        <v>8893</v>
      </c>
      <c r="C19" s="407"/>
      <c r="D19" s="459"/>
      <c r="E19" s="464">
        <f t="array" ref="E19:I19">CHOOSE(F21,E22:I22,E23:I23,E24:I24)</f>
        <v>0.2</v>
      </c>
      <c r="F19" s="464">
        <v>0.18000000000000002</v>
      </c>
      <c r="G19" s="464">
        <v>0.16000000000000003</v>
      </c>
      <c r="H19" s="464">
        <v>0.14000000000000004</v>
      </c>
      <c r="I19" s="408">
        <v>0.12000000000000004</v>
      </c>
    </row>
    <row r="20" spans="2:9" ht="15.75">
      <c r="B20" s="407" t="s">
        <v>8892</v>
      </c>
      <c r="C20" s="407"/>
      <c r="D20" s="460"/>
      <c r="E20" s="465">
        <f>D28*(1+E19)</f>
        <v>20561.531999999999</v>
      </c>
      <c r="F20" s="465">
        <f>E28*(1+F19)</f>
        <v>24262.607759999999</v>
      </c>
      <c r="G20" s="465">
        <f>F28*(1+G19)</f>
        <v>28144.625001600001</v>
      </c>
      <c r="H20" s="465">
        <f>G28*(1+H19)</f>
        <v>32084.872501824004</v>
      </c>
      <c r="I20" s="409">
        <f>H28*(1+I19)</f>
        <v>35935.057202042888</v>
      </c>
    </row>
    <row r="21" spans="2:9" ht="15.75">
      <c r="B21" s="407" t="s">
        <v>8894</v>
      </c>
      <c r="C21" s="407"/>
      <c r="D21" s="461"/>
      <c r="E21" s="466" t="s">
        <v>8895</v>
      </c>
      <c r="F21" s="468">
        <f>MATCH(E21,B22:B24)</f>
        <v>1</v>
      </c>
      <c r="G21" s="470"/>
      <c r="H21" s="470"/>
      <c r="I21" s="407"/>
    </row>
    <row r="22" spans="2:9" ht="15.75">
      <c r="B22" s="390" t="s">
        <v>8895</v>
      </c>
      <c r="C22" s="407"/>
      <c r="D22" s="461"/>
      <c r="E22" s="467">
        <f>WACC!C16</f>
        <v>0.2</v>
      </c>
      <c r="F22" s="467">
        <f t="shared" ref="F22:I24" si="0">E22-Taper_rate</f>
        <v>0.18000000000000002</v>
      </c>
      <c r="G22" s="467">
        <f t="shared" si="0"/>
        <v>0.16000000000000003</v>
      </c>
      <c r="H22" s="467">
        <f t="shared" si="0"/>
        <v>0.14000000000000004</v>
      </c>
      <c r="I22" s="410">
        <f t="shared" si="0"/>
        <v>0.12000000000000004</v>
      </c>
    </row>
    <row r="23" spans="2:9" ht="15.75">
      <c r="B23" s="391" t="s">
        <v>8896</v>
      </c>
      <c r="C23" s="407"/>
      <c r="D23" s="461"/>
      <c r="E23" s="467">
        <f>E22+5%</f>
        <v>0.25</v>
      </c>
      <c r="F23" s="467">
        <f t="shared" si="0"/>
        <v>0.23</v>
      </c>
      <c r="G23" s="467">
        <f t="shared" si="0"/>
        <v>0.21000000000000002</v>
      </c>
      <c r="H23" s="467">
        <f t="shared" si="0"/>
        <v>0.19000000000000003</v>
      </c>
      <c r="I23" s="410">
        <f t="shared" si="0"/>
        <v>0.17000000000000004</v>
      </c>
    </row>
    <row r="24" spans="2:9" ht="15.75">
      <c r="B24" s="391" t="s">
        <v>8897</v>
      </c>
      <c r="C24" s="407"/>
      <c r="D24" s="461"/>
      <c r="E24" s="467">
        <f>E22-5%</f>
        <v>0.15000000000000002</v>
      </c>
      <c r="F24" s="467">
        <f t="shared" si="0"/>
        <v>0.13000000000000003</v>
      </c>
      <c r="G24" s="467">
        <f t="shared" si="0"/>
        <v>0.11000000000000003</v>
      </c>
      <c r="H24" s="467">
        <f t="shared" si="0"/>
        <v>9.0000000000000024E-2</v>
      </c>
      <c r="I24" s="410">
        <f t="shared" si="0"/>
        <v>7.0000000000000021E-2</v>
      </c>
    </row>
    <row r="25" spans="2:9">
      <c r="B25" s="15"/>
      <c r="C25" s="15"/>
      <c r="D25" s="210"/>
      <c r="E25" s="208"/>
      <c r="F25" s="208"/>
      <c r="G25" s="208"/>
      <c r="H25" s="208"/>
      <c r="I25" s="15"/>
    </row>
    <row r="26" spans="2:9">
      <c r="B26" s="260"/>
    </row>
    <row r="27" spans="2:9" ht="16.5">
      <c r="B27" s="392" t="s">
        <v>301</v>
      </c>
      <c r="C27" s="392"/>
      <c r="D27" s="393">
        <f>'Intrisic Growth'!K8</f>
        <v>45717</v>
      </c>
      <c r="E27" s="394">
        <f>366+D27</f>
        <v>46083</v>
      </c>
      <c r="F27" s="394">
        <f>366+E27</f>
        <v>46449</v>
      </c>
      <c r="G27" s="394">
        <f>366+F27</f>
        <v>46815</v>
      </c>
      <c r="H27" s="394">
        <f>366+G27</f>
        <v>47181</v>
      </c>
      <c r="I27" s="394">
        <f>366+H27</f>
        <v>47547</v>
      </c>
    </row>
    <row r="28" spans="2:9" s="12" customFormat="1" ht="15.75">
      <c r="B28" s="172" t="s">
        <v>8792</v>
      </c>
      <c r="C28" s="172"/>
      <c r="D28" s="411">
        <f>HistoricalFS!L10</f>
        <v>17134.61</v>
      </c>
      <c r="E28" s="412">
        <f>E20</f>
        <v>20561.531999999999</v>
      </c>
      <c r="F28" s="412">
        <f>F20</f>
        <v>24262.607759999999</v>
      </c>
      <c r="G28" s="412">
        <f>G20</f>
        <v>28144.625001600001</v>
      </c>
      <c r="H28" s="412">
        <f>H20</f>
        <v>32084.872501824004</v>
      </c>
      <c r="I28" s="412">
        <f>I20</f>
        <v>35935.057202042888</v>
      </c>
    </row>
    <row r="29" spans="2:9" s="12" customFormat="1" ht="15.75">
      <c r="B29" s="172" t="s">
        <v>8898</v>
      </c>
      <c r="C29" s="172"/>
      <c r="D29" s="354">
        <f>HistoricalFS!L23</f>
        <v>0.16457684184232962</v>
      </c>
      <c r="E29" s="441">
        <f>D29</f>
        <v>0.16457684184232962</v>
      </c>
      <c r="F29" s="365">
        <f t="shared" ref="F29:I29" si="1">E29</f>
        <v>0.16457684184232962</v>
      </c>
      <c r="G29" s="365">
        <f t="shared" si="1"/>
        <v>0.16457684184232962</v>
      </c>
      <c r="H29" s="365">
        <f t="shared" si="1"/>
        <v>0.16457684184232962</v>
      </c>
      <c r="I29" s="364">
        <f t="shared" si="1"/>
        <v>0.16457684184232962</v>
      </c>
    </row>
    <row r="30" spans="2:9" s="12" customFormat="1" ht="15.75">
      <c r="B30" s="172" t="s">
        <v>8899</v>
      </c>
      <c r="C30" s="172"/>
      <c r="D30" s="432">
        <f>D28*D29</f>
        <v>2819.9599999999996</v>
      </c>
      <c r="E30" s="440">
        <f t="shared" ref="E30:I30" si="2">E28*E29</f>
        <v>3383.9519999999993</v>
      </c>
      <c r="F30" s="449">
        <f t="shared" si="2"/>
        <v>3993.0633599999992</v>
      </c>
      <c r="G30" s="449">
        <f t="shared" si="2"/>
        <v>4631.9534975999995</v>
      </c>
      <c r="H30" s="449">
        <f t="shared" si="2"/>
        <v>5280.4269872639998</v>
      </c>
      <c r="I30" s="412">
        <f t="shared" si="2"/>
        <v>5914.0782257356805</v>
      </c>
    </row>
    <row r="31" spans="2:9" s="12" customFormat="1" ht="15.75">
      <c r="B31" s="172" t="s">
        <v>8900</v>
      </c>
      <c r="C31" s="172"/>
      <c r="D31" s="432">
        <f>D28*AVERAGE(HistoricalFS!$H$26:$L$26)</f>
        <v>1147.0095941267984</v>
      </c>
      <c r="E31" s="440">
        <f>E28*AVERAGE(HistoricalFS!$H$26:$L$26)</f>
        <v>1376.4115129521581</v>
      </c>
      <c r="F31" s="449">
        <f>F28*AVERAGE(HistoricalFS!$H$26:$L$26)</f>
        <v>1624.1655852835465</v>
      </c>
      <c r="G31" s="449">
        <f>G28*AVERAGE(HistoricalFS!$H$26:$L$26)</f>
        <v>1884.032078928914</v>
      </c>
      <c r="H31" s="449">
        <f>H28*AVERAGE(HistoricalFS!$H$26:$L$26)</f>
        <v>2147.796569978962</v>
      </c>
      <c r="I31" s="412">
        <f>I28*AVERAGE(HistoricalFS!$H$26:$L$26)</f>
        <v>2405.532158376438</v>
      </c>
    </row>
    <row r="32" spans="2:9" s="12" customFormat="1" ht="15.75">
      <c r="B32" s="172" t="s">
        <v>284</v>
      </c>
      <c r="C32" s="172"/>
      <c r="D32" s="432">
        <f>HistoricalFS!L28</f>
        <v>1924.7799999999997</v>
      </c>
      <c r="E32" s="440">
        <f>E30-E31</f>
        <v>2007.5404870478412</v>
      </c>
      <c r="F32" s="449">
        <f t="shared" ref="F32:I32" si="3">F30-F31</f>
        <v>2368.8977747164527</v>
      </c>
      <c r="G32" s="449">
        <f t="shared" si="3"/>
        <v>2747.9214186710856</v>
      </c>
      <c r="H32" s="449">
        <f t="shared" si="3"/>
        <v>3132.6304172850378</v>
      </c>
      <c r="I32" s="412">
        <f t="shared" si="3"/>
        <v>3508.5460673592424</v>
      </c>
    </row>
    <row r="33" spans="2:18" s="12" customFormat="1" ht="15.75">
      <c r="B33" s="172" t="s">
        <v>8</v>
      </c>
      <c r="C33" s="172"/>
      <c r="D33" s="433">
        <f>D32*Tax_rate</f>
        <v>481.19499999999994</v>
      </c>
      <c r="E33" s="442">
        <f>E32*Tax_rate</f>
        <v>501.88512176196031</v>
      </c>
      <c r="F33" s="450">
        <f t="shared" ref="F33:I33" si="4">F32*Tax_rate</f>
        <v>592.22444367911316</v>
      </c>
      <c r="G33" s="450">
        <f t="shared" si="4"/>
        <v>686.98035466777139</v>
      </c>
      <c r="H33" s="450">
        <f t="shared" si="4"/>
        <v>783.15760432125944</v>
      </c>
      <c r="I33" s="413">
        <f t="shared" si="4"/>
        <v>877.13651683981061</v>
      </c>
      <c r="M33" s="852">
        <v>46083</v>
      </c>
      <c r="N33" s="852">
        <v>46449</v>
      </c>
      <c r="O33" s="852">
        <v>46815</v>
      </c>
      <c r="P33" s="852">
        <v>47181</v>
      </c>
      <c r="Q33" s="852">
        <v>47547</v>
      </c>
      <c r="R33" s="852"/>
    </row>
    <row r="34" spans="2:18" ht="15.75">
      <c r="B34" s="95" t="s">
        <v>8902</v>
      </c>
      <c r="C34" s="95"/>
      <c r="D34" s="434">
        <f>D32-D33</f>
        <v>1443.5849999999998</v>
      </c>
      <c r="E34" s="443">
        <f t="shared" ref="E34:I34" si="5">E32-E33</f>
        <v>1505.6553652858809</v>
      </c>
      <c r="F34" s="451">
        <f t="shared" si="5"/>
        <v>1776.6733310373395</v>
      </c>
      <c r="G34" s="451">
        <f t="shared" si="5"/>
        <v>2060.9410640033143</v>
      </c>
      <c r="H34" s="451">
        <f t="shared" si="5"/>
        <v>2349.4728129637783</v>
      </c>
      <c r="I34" s="414">
        <f t="shared" si="5"/>
        <v>2631.4095505194318</v>
      </c>
      <c r="L34" s="765"/>
      <c r="M34" s="853">
        <v>2019.4720525155362</v>
      </c>
      <c r="N34" s="853">
        <v>2382.9770219683328</v>
      </c>
      <c r="O34" s="853">
        <v>2764.2533454832665</v>
      </c>
      <c r="P34" s="853">
        <v>3151.2488138509243</v>
      </c>
      <c r="Q34" s="853">
        <v>3529.398671513035</v>
      </c>
      <c r="R34" s="854"/>
    </row>
    <row r="35" spans="2:18" ht="15.75">
      <c r="B35" s="95" t="s">
        <v>8903</v>
      </c>
      <c r="C35" s="95"/>
      <c r="D35" s="434">
        <f t="shared" ref="D35:I35" si="6">D31</f>
        <v>1147.0095941267984</v>
      </c>
      <c r="E35" s="443">
        <f t="shared" si="6"/>
        <v>1376.4115129521581</v>
      </c>
      <c r="F35" s="451">
        <f t="shared" si="6"/>
        <v>1624.1655852835465</v>
      </c>
      <c r="G35" s="451">
        <f t="shared" si="6"/>
        <v>1884.032078928914</v>
      </c>
      <c r="H35" s="451">
        <f t="shared" si="6"/>
        <v>2147.796569978962</v>
      </c>
      <c r="I35" s="414">
        <f t="shared" si="6"/>
        <v>2405.532158376438</v>
      </c>
      <c r="M35" s="854"/>
      <c r="N35" s="854"/>
      <c r="O35" s="854"/>
      <c r="P35" s="854"/>
      <c r="Q35" s="854"/>
      <c r="R35" s="854"/>
    </row>
    <row r="36" spans="2:18" ht="15.75">
      <c r="B36" s="95" t="s">
        <v>8904</v>
      </c>
      <c r="C36" s="95"/>
      <c r="D36" s="435">
        <f>-D34*'Intrisic Growth'!$K$54</f>
        <v>-827.03451281109437</v>
      </c>
      <c r="E36" s="444">
        <f>-E34*'Intrisic Growth'!$K$54</f>
        <v>-862.59482572250261</v>
      </c>
      <c r="F36" s="452">
        <f>-F34*'Intrisic Growth'!$K$54</f>
        <v>-1017.8618943525531</v>
      </c>
      <c r="G36" s="452">
        <f>-G34*'Intrisic Growth'!$K$54</f>
        <v>-1180.7197974489618</v>
      </c>
      <c r="H36" s="452">
        <f>-H34*'Intrisic Growth'!$K$54</f>
        <v>-1346.0205690918167</v>
      </c>
      <c r="I36" s="415">
        <f>-I34*'Intrisic Growth'!$K$54</f>
        <v>-1507.5430373828347</v>
      </c>
      <c r="K36" s="40"/>
      <c r="M36" s="854">
        <v>1911.2658131858527</v>
      </c>
      <c r="N36" s="854">
        <v>2020.0847382362942</v>
      </c>
      <c r="O36" s="854">
        <v>2098.9112018897831</v>
      </c>
      <c r="P36" s="854">
        <v>2143.2133475754799</v>
      </c>
      <c r="Q36" s="854">
        <v>2150.0567177028506</v>
      </c>
      <c r="R36" s="854"/>
    </row>
    <row r="37" spans="2:18" ht="16.5" thickBot="1">
      <c r="B37" s="326" t="s">
        <v>8905</v>
      </c>
      <c r="C37" s="326"/>
      <c r="D37" s="436">
        <f>SUM(D34:D36)</f>
        <v>1763.5600813157039</v>
      </c>
      <c r="E37" s="445">
        <f t="shared" ref="E37:I37" si="7">SUM(E34:E36)</f>
        <v>2019.4720525155362</v>
      </c>
      <c r="F37" s="453">
        <f t="shared" si="7"/>
        <v>2382.9770219683328</v>
      </c>
      <c r="G37" s="453">
        <f t="shared" si="7"/>
        <v>2764.2533454832665</v>
      </c>
      <c r="H37" s="453">
        <f t="shared" si="7"/>
        <v>3151.2488138509243</v>
      </c>
      <c r="I37" s="416">
        <f t="shared" si="7"/>
        <v>3529.398671513035</v>
      </c>
      <c r="K37" s="299"/>
    </row>
    <row r="38" spans="2:18" ht="15.75">
      <c r="B38" s="95" t="s">
        <v>307</v>
      </c>
      <c r="C38" s="95"/>
      <c r="D38" s="437"/>
      <c r="E38" s="446">
        <v>0.5</v>
      </c>
      <c r="F38" s="454">
        <f>E38+1</f>
        <v>1.5</v>
      </c>
      <c r="G38" s="454">
        <f t="shared" ref="G38:I38" si="8">F38+1</f>
        <v>2.5</v>
      </c>
      <c r="H38" s="454">
        <f t="shared" si="8"/>
        <v>3.5</v>
      </c>
      <c r="I38" s="400">
        <f t="shared" si="8"/>
        <v>4.5</v>
      </c>
    </row>
    <row r="39" spans="2:18" ht="15.75">
      <c r="B39" s="95" t="s">
        <v>306</v>
      </c>
      <c r="C39" s="95"/>
      <c r="D39" s="110"/>
      <c r="E39" s="447">
        <f>1/(1+$C$45)^E38</f>
        <v>0.94641855073215919</v>
      </c>
      <c r="F39" s="455">
        <f t="shared" ref="F39:I39" si="9">1/(1+$C$45)^F38</f>
        <v>0.84771473648860851</v>
      </c>
      <c r="G39" s="455">
        <f t="shared" si="9"/>
        <v>0.7593049332179922</v>
      </c>
      <c r="H39" s="455">
        <f t="shared" si="9"/>
        <v>0.68011555868113327</v>
      </c>
      <c r="I39" s="404">
        <f t="shared" si="9"/>
        <v>0.60918499659918901</v>
      </c>
    </row>
    <row r="40" spans="2:18" ht="4.5" customHeight="1">
      <c r="B40" s="95"/>
      <c r="C40" s="95"/>
      <c r="D40" s="110"/>
      <c r="E40" s="106"/>
      <c r="F40" s="122"/>
      <c r="G40" s="122"/>
      <c r="H40" s="122"/>
      <c r="I40" s="95"/>
    </row>
    <row r="41" spans="2:18" ht="16.5" thickBot="1">
      <c r="B41" s="417" t="s">
        <v>303</v>
      </c>
      <c r="C41" s="417"/>
      <c r="D41" s="766"/>
      <c r="E41" s="448">
        <f>E37*E39</f>
        <v>1911.2658131858527</v>
      </c>
      <c r="F41" s="456">
        <f t="shared" ref="F41:I41" si="10">F37*F39</f>
        <v>2020.0847382362942</v>
      </c>
      <c r="G41" s="456">
        <f t="shared" si="10"/>
        <v>2098.9112018897831</v>
      </c>
      <c r="H41" s="456">
        <f t="shared" si="10"/>
        <v>2143.2133475754799</v>
      </c>
      <c r="I41" s="418">
        <f t="shared" si="10"/>
        <v>2150.0567177028506</v>
      </c>
    </row>
    <row r="42" spans="2:18">
      <c r="B42" s="71"/>
      <c r="C42" s="71"/>
      <c r="D42" s="103"/>
      <c r="E42" s="103"/>
      <c r="F42" s="129"/>
      <c r="G42" s="129"/>
      <c r="H42" s="129"/>
      <c r="I42" s="71"/>
    </row>
    <row r="43" spans="2:18" hidden="1" outlineLevel="1">
      <c r="B43" s="266" t="s">
        <v>304</v>
      </c>
      <c r="C43" s="253">
        <f>'Intrisic Growth'!K64</f>
        <v>0.24828275634935026</v>
      </c>
      <c r="D43" s="71"/>
      <c r="E43" s="103"/>
      <c r="F43" s="71"/>
      <c r="G43" s="71"/>
      <c r="H43" s="71"/>
      <c r="I43" s="71"/>
    </row>
    <row r="44" spans="2:18" hidden="1" outlineLevel="1">
      <c r="B44" s="266" t="s">
        <v>305</v>
      </c>
      <c r="C44" s="267">
        <f>WACC!C18</f>
        <v>6.5000000000000002E-2</v>
      </c>
      <c r="D44" s="71"/>
      <c r="E44" s="71"/>
      <c r="F44" s="71"/>
      <c r="G44" s="71"/>
      <c r="H44" s="71"/>
      <c r="I44" s="71"/>
      <c r="K44">
        <v>1</v>
      </c>
    </row>
    <row r="45" spans="2:18" hidden="1" outlineLevel="1">
      <c r="B45" s="266" t="s">
        <v>163</v>
      </c>
      <c r="C45" s="253">
        <f>WACC!J61</f>
        <v>0.11643517564929916</v>
      </c>
      <c r="D45" s="71"/>
      <c r="E45" s="71"/>
      <c r="F45" s="71"/>
      <c r="G45" s="71"/>
      <c r="H45" s="71"/>
      <c r="I45" s="71"/>
      <c r="K45" t="s">
        <v>302</v>
      </c>
    </row>
    <row r="46" spans="2:18" collapsed="1">
      <c r="B46" s="71"/>
      <c r="C46" s="71"/>
      <c r="D46" s="71"/>
      <c r="E46" s="71"/>
      <c r="F46" s="71"/>
      <c r="G46" s="71"/>
      <c r="H46" s="71"/>
      <c r="I46" s="71"/>
    </row>
    <row r="47" spans="2:18" ht="18">
      <c r="B47" s="396" t="s">
        <v>308</v>
      </c>
      <c r="C47" s="395"/>
      <c r="D47" s="255"/>
      <c r="E47" s="396" t="s">
        <v>8918</v>
      </c>
      <c r="F47" s="397"/>
      <c r="G47" s="397"/>
      <c r="H47" s="397"/>
      <c r="I47" s="282"/>
    </row>
    <row r="48" spans="2:18" ht="12" customHeight="1">
      <c r="B48" s="71"/>
      <c r="C48" s="71"/>
      <c r="D48" s="255"/>
      <c r="E48" s="16"/>
    </row>
    <row r="49" spans="2:11">
      <c r="B49" s="71" t="s">
        <v>9010</v>
      </c>
      <c r="C49" s="284">
        <f>I37</f>
        <v>3529.398671513035</v>
      </c>
      <c r="D49" s="16"/>
      <c r="E49" s="419" t="s">
        <v>8917</v>
      </c>
      <c r="F49" s="309"/>
      <c r="G49" s="422"/>
      <c r="H49" s="422"/>
      <c r="I49" s="425"/>
    </row>
    <row r="50" spans="2:11">
      <c r="B50" s="71" t="s">
        <v>163</v>
      </c>
      <c r="C50" s="281">
        <f>C45</f>
        <v>0.11643517564929916</v>
      </c>
      <c r="D50" s="16"/>
      <c r="E50" s="310">
        <f>C64</f>
        <v>1528.4733955221845</v>
      </c>
      <c r="F50" s="429">
        <v>0.16</v>
      </c>
      <c r="G50" s="423">
        <v>0.1164</v>
      </c>
      <c r="H50" s="423">
        <v>0.18</v>
      </c>
      <c r="I50" s="426">
        <v>0.19</v>
      </c>
    </row>
    <row r="51" spans="2:11" ht="15.75" customHeight="1">
      <c r="B51" s="103" t="s">
        <v>309</v>
      </c>
      <c r="C51" s="281">
        <f>C44</f>
        <v>6.5000000000000002E-2</v>
      </c>
      <c r="D51" s="16"/>
      <c r="E51" s="420">
        <f>E52-1%</f>
        <v>0.04</v>
      </c>
      <c r="F51" s="424">
        <f t="dataTable" ref="F51:I55" dt2D="1" dtr="1" r1="C45" r2="C51"/>
        <v>690.34047253968208</v>
      </c>
      <c r="G51" s="424">
        <v>1099.435818660231</v>
      </c>
      <c r="H51" s="424">
        <v>588.38030514796901</v>
      </c>
      <c r="I51" s="427">
        <v>547.6845961472867</v>
      </c>
    </row>
    <row r="52" spans="2:11" ht="15.75" thickBot="1">
      <c r="B52" s="431" t="s">
        <v>310</v>
      </c>
      <c r="C52" s="283">
        <f>C49*(1+C51)/(C50-C51)</f>
        <v>73078.57974064484</v>
      </c>
      <c r="D52" s="16"/>
      <c r="E52" s="420">
        <v>0.05</v>
      </c>
      <c r="F52" s="424">
        <v>735.09886794714157</v>
      </c>
      <c r="G52" s="424">
        <v>1232.6101628609863</v>
      </c>
      <c r="H52" s="424">
        <v>618.95717245614162</v>
      </c>
      <c r="I52" s="427">
        <v>573.41329019131058</v>
      </c>
    </row>
    <row r="53" spans="2:11">
      <c r="B53" s="71"/>
      <c r="C53" s="71"/>
      <c r="D53" s="304"/>
      <c r="E53" s="420">
        <f>C44</f>
        <v>6.5000000000000002E-2</v>
      </c>
      <c r="F53" s="424">
        <v>819.90424871916991</v>
      </c>
      <c r="G53" s="428">
        <v>1529.5319497366006</v>
      </c>
      <c r="H53" s="424">
        <v>674.79319101889155</v>
      </c>
      <c r="I53" s="427">
        <v>619.72493947055375</v>
      </c>
    </row>
    <row r="54" spans="2:11">
      <c r="B54" s="265" t="s">
        <v>8914</v>
      </c>
      <c r="C54" s="265"/>
      <c r="D54" s="255"/>
      <c r="E54" s="421">
        <v>7.0000000000000007E-2</v>
      </c>
      <c r="F54" s="424">
        <v>854.45458903370013</v>
      </c>
      <c r="G54" s="424">
        <v>1671.1670549703711</v>
      </c>
      <c r="H54" s="424">
        <v>696.78919833149018</v>
      </c>
      <c r="I54" s="427">
        <v>637.73502530137068</v>
      </c>
    </row>
    <row r="55" spans="2:11">
      <c r="B55" s="71"/>
      <c r="C55" s="71"/>
      <c r="D55" s="305"/>
      <c r="E55" s="421">
        <f>E54+1%</f>
        <v>0.08</v>
      </c>
      <c r="F55" s="424">
        <v>936.51164728070898</v>
      </c>
      <c r="G55" s="424">
        <v>2071.1694950261826</v>
      </c>
      <c r="H55" s="424">
        <v>747.38001515046665</v>
      </c>
      <c r="I55" s="427">
        <v>678.66703855322703</v>
      </c>
    </row>
    <row r="56" spans="2:11" ht="17.25" customHeight="1">
      <c r="B56" s="71" t="s">
        <v>9009</v>
      </c>
      <c r="C56" s="284">
        <f>SUM(E41:I41)</f>
        <v>10323.531818590262</v>
      </c>
      <c r="D56" s="304"/>
      <c r="E56" s="16"/>
      <c r="F56" s="210"/>
      <c r="G56" s="210"/>
      <c r="H56" s="210"/>
      <c r="I56" s="208"/>
    </row>
    <row r="57" spans="2:11">
      <c r="B57" s="71" t="s">
        <v>311</v>
      </c>
      <c r="C57" s="284">
        <f>C52*I39</f>
        <v>44518.374350778293</v>
      </c>
      <c r="D57" s="304"/>
      <c r="E57" s="16"/>
      <c r="F57" s="210"/>
      <c r="G57" s="210"/>
      <c r="H57" s="210"/>
    </row>
    <row r="58" spans="2:11">
      <c r="B58" s="80" t="s">
        <v>8915</v>
      </c>
      <c r="C58" s="303">
        <f>SUM(C56:C57)</f>
        <v>54841.906169368551</v>
      </c>
      <c r="D58" s="304"/>
      <c r="E58" s="16"/>
      <c r="H58" s="210"/>
    </row>
    <row r="59" spans="2:11">
      <c r="B59" s="71"/>
      <c r="C59" s="284"/>
      <c r="D59" s="304"/>
      <c r="E59" s="16"/>
    </row>
    <row r="60" spans="2:11">
      <c r="B60" s="79" t="s">
        <v>8916</v>
      </c>
      <c r="C60" s="284">
        <f>'Data Sheet'!K69+'Data Sheet'!K64</f>
        <v>1820.09</v>
      </c>
      <c r="D60" s="304"/>
      <c r="E60" s="16"/>
    </row>
    <row r="61" spans="2:11">
      <c r="B61" s="255" t="s">
        <v>312</v>
      </c>
      <c r="C61" s="284">
        <f>WACC!D29</f>
        <v>2348.5700000000002</v>
      </c>
      <c r="D61" s="255"/>
      <c r="E61" s="16"/>
      <c r="F61" s="71"/>
      <c r="G61" s="71"/>
      <c r="H61" s="71"/>
      <c r="I61" s="73"/>
    </row>
    <row r="62" spans="2:11">
      <c r="B62" s="80" t="s">
        <v>313</v>
      </c>
      <c r="C62" s="303">
        <f>C58+C60-C61</f>
        <v>54313.426169368548</v>
      </c>
      <c r="D62" s="255"/>
      <c r="E62" s="16"/>
      <c r="F62" s="71"/>
      <c r="G62" s="71"/>
      <c r="H62" s="71"/>
      <c r="I62" s="71"/>
    </row>
    <row r="63" spans="2:11">
      <c r="B63" s="103" t="s">
        <v>314</v>
      </c>
      <c r="C63" s="300">
        <f>'Data Sheet'!B6</f>
        <v>35.534426918051146</v>
      </c>
      <c r="D63" s="314"/>
      <c r="E63" s="16"/>
      <c r="F63" s="71"/>
      <c r="G63" s="71"/>
      <c r="H63" s="71"/>
      <c r="I63" s="71"/>
      <c r="K63" s="9"/>
    </row>
    <row r="64" spans="2:11" ht="15.75" thickBot="1">
      <c r="B64" s="430" t="s">
        <v>316</v>
      </c>
      <c r="C64" s="301">
        <f>C62/C63</f>
        <v>1528.4733955221845</v>
      </c>
      <c r="D64" s="308">
        <f>C65/C64-1</f>
        <v>1.8038433724493297</v>
      </c>
      <c r="E64" s="16"/>
      <c r="F64" s="71"/>
      <c r="G64" s="71"/>
      <c r="H64" s="71"/>
      <c r="I64" s="71"/>
    </row>
    <row r="65" spans="2:11">
      <c r="B65" s="813" t="s">
        <v>361</v>
      </c>
      <c r="C65" s="812">
        <f>'Data Sheet'!B8</f>
        <v>4285.6000000000004</v>
      </c>
      <c r="D65" s="71"/>
      <c r="E65" s="16"/>
      <c r="F65" s="71"/>
      <c r="G65" s="71"/>
      <c r="H65" s="71"/>
      <c r="I65" s="71"/>
    </row>
    <row r="66" spans="2:11" ht="15.75" customHeight="1">
      <c r="B66" s="812" t="s">
        <v>9011</v>
      </c>
      <c r="C66" s="814">
        <f>C64/C65-1</f>
        <v>-0.64334669695674251</v>
      </c>
      <c r="D66" s="71"/>
      <c r="E66" s="268"/>
      <c r="F66" s="71"/>
      <c r="G66" s="71"/>
      <c r="H66" s="71"/>
      <c r="I66" s="71"/>
    </row>
    <row r="67" spans="2:11" ht="8.25" customHeight="1">
      <c r="B67" s="812"/>
      <c r="C67" s="814"/>
      <c r="D67" s="71"/>
      <c r="E67" s="268"/>
      <c r="F67" s="71"/>
      <c r="G67" s="71"/>
      <c r="H67" s="71"/>
      <c r="I67" s="71"/>
    </row>
    <row r="68" spans="2:11" ht="27" customHeight="1">
      <c r="B68" s="313" t="s">
        <v>8919</v>
      </c>
      <c r="C68" s="307"/>
      <c r="D68" s="268"/>
      <c r="F68" s="71"/>
      <c r="G68" s="71"/>
      <c r="H68" s="71"/>
      <c r="I68" s="71"/>
    </row>
    <row r="69" spans="2:11" ht="12" customHeight="1">
      <c r="B69" s="71"/>
      <c r="C69" s="302"/>
      <c r="D69" s="75"/>
      <c r="E69" s="71"/>
      <c r="F69" s="75"/>
      <c r="G69" s="75"/>
      <c r="H69" s="75"/>
      <c r="I69" s="75"/>
    </row>
    <row r="70" spans="2:11" ht="15.75">
      <c r="B70" s="311" t="s">
        <v>8920</v>
      </c>
      <c r="C70" s="71"/>
      <c r="D70" s="75"/>
      <c r="E70" s="75"/>
      <c r="F70" s="75"/>
      <c r="G70" s="75"/>
      <c r="H70" s="75"/>
      <c r="I70" s="75"/>
    </row>
    <row r="71" spans="2:11" ht="15.75">
      <c r="B71" s="312" t="s">
        <v>8937</v>
      </c>
      <c r="C71" s="306"/>
      <c r="D71" s="71"/>
      <c r="E71" s="75"/>
      <c r="F71" s="71"/>
      <c r="G71" s="71"/>
      <c r="H71" s="71"/>
      <c r="I71" s="71"/>
    </row>
    <row r="72" spans="2:11" ht="15.75">
      <c r="B72" s="312" t="s">
        <v>8938</v>
      </c>
      <c r="C72" s="75"/>
      <c r="D72" s="71"/>
      <c r="E72" s="71"/>
      <c r="F72" s="71"/>
      <c r="G72" s="71"/>
      <c r="H72" s="71"/>
      <c r="I72" s="71"/>
    </row>
    <row r="73" spans="2:11" ht="15.75">
      <c r="B73" s="312" t="s">
        <v>8939</v>
      </c>
      <c r="C73" s="71"/>
      <c r="D73" s="8"/>
      <c r="E73" s="71"/>
      <c r="K73" s="9"/>
    </row>
    <row r="74" spans="2:11" ht="15.75">
      <c r="B74" s="312" t="s">
        <v>8940</v>
      </c>
      <c r="C74" s="8"/>
    </row>
    <row r="75" spans="2:11" ht="15.75">
      <c r="B75" s="214"/>
      <c r="C75" s="8"/>
    </row>
    <row r="76" spans="2:11" ht="15.75">
      <c r="B76" s="311" t="s">
        <v>8921</v>
      </c>
    </row>
    <row r="77" spans="2:11" ht="15.75">
      <c r="B77" s="312" t="s">
        <v>8922</v>
      </c>
    </row>
    <row r="78" spans="2:11" ht="15.75">
      <c r="B78" s="312" t="s">
        <v>8923</v>
      </c>
    </row>
    <row r="79" spans="2:11" ht="15.75">
      <c r="B79" s="312" t="s">
        <v>8924</v>
      </c>
    </row>
    <row r="80" spans="2:11" ht="15.75">
      <c r="B80" s="312" t="s">
        <v>8925</v>
      </c>
    </row>
    <row r="81" spans="2:9" ht="15.75">
      <c r="B81" s="312" t="s">
        <v>8926</v>
      </c>
    </row>
    <row r="82" spans="2:9" ht="15" customHeight="1"/>
    <row r="83" spans="2:9" ht="26.25" customHeight="1">
      <c r="B83" s="313" t="s">
        <v>8927</v>
      </c>
      <c r="D83" s="214"/>
    </row>
    <row r="84" spans="2:9" ht="15.75">
      <c r="B84" s="214"/>
      <c r="D84" s="810"/>
    </row>
    <row r="85" spans="2:9" ht="15.75">
      <c r="B85" s="810"/>
      <c r="C85" s="214"/>
    </row>
    <row r="86" spans="2:9" ht="15.75">
      <c r="C86" s="810"/>
      <c r="D86" s="71"/>
      <c r="E86" s="71"/>
    </row>
    <row r="87" spans="2:9" ht="15.75">
      <c r="C87" s="810"/>
      <c r="D87" s="71"/>
      <c r="E87" s="71"/>
    </row>
    <row r="88" spans="2:9" ht="15.75">
      <c r="B88" s="472" t="s">
        <v>8928</v>
      </c>
      <c r="D88" s="71"/>
      <c r="E88" s="71"/>
    </row>
    <row r="89" spans="2:9" ht="15.75">
      <c r="B89" s="92" t="s">
        <v>8929</v>
      </c>
      <c r="C89" s="71"/>
      <c r="D89" s="71"/>
      <c r="E89" s="71"/>
    </row>
    <row r="90" spans="2:9" ht="15.75">
      <c r="B90" s="92" t="s">
        <v>8930</v>
      </c>
      <c r="C90" s="71"/>
      <c r="D90" s="71"/>
      <c r="E90" s="71"/>
    </row>
    <row r="91" spans="2:9" ht="15.75">
      <c r="B91" s="92" t="s">
        <v>8931</v>
      </c>
      <c r="C91" s="71"/>
      <c r="D91" s="75"/>
      <c r="E91" s="75"/>
      <c r="F91" s="815"/>
      <c r="G91" s="815"/>
      <c r="H91" s="815"/>
      <c r="I91" s="816"/>
    </row>
    <row r="92" spans="2:9">
      <c r="B92" s="71"/>
      <c r="C92" s="71"/>
      <c r="D92" s="815"/>
      <c r="E92" s="815"/>
      <c r="F92" s="12"/>
      <c r="G92" s="12"/>
      <c r="H92" s="12"/>
      <c r="I92" s="12"/>
    </row>
    <row r="93" spans="2:9">
      <c r="B93" s="811"/>
      <c r="C93" s="811"/>
      <c r="D93" s="811"/>
      <c r="E93" s="811"/>
      <c r="F93" s="811"/>
      <c r="G93" s="811"/>
      <c r="H93" s="811"/>
      <c r="I93" s="811"/>
    </row>
    <row r="94" spans="2:9">
      <c r="C94" s="815"/>
    </row>
  </sheetData>
  <mergeCells count="1">
    <mergeCell ref="B5:I5"/>
  </mergeCells>
  <dataValidations count="1">
    <dataValidation type="list" allowBlank="1" showInputMessage="1" showErrorMessage="1" sqref="E21">
      <formula1>$B$22:$B$24</formula1>
    </dataValidation>
  </dataValidations>
  <printOptions horizontalCentered="1" verticalCentered="1"/>
  <pageMargins left="0.19685039370078741" right="0.19685039370078741" top="0.23622047244094491" bottom="0.23622047244094491" header="0.11811023622047245" footer="0.11811023622047245"/>
  <pageSetup paperSize="9" scale="52" orientation="portrait" horizontalDpi="360" verticalDpi="360" r:id="rId1"/>
  <ignoredErrors>
    <ignoredError sqref="E33:I33"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F4:H8"/>
  <sheetViews>
    <sheetView workbookViewId="0">
      <selection activeCell="J10" sqref="J10"/>
    </sheetView>
  </sheetViews>
  <sheetFormatPr defaultRowHeight="15"/>
  <cols>
    <col min="5" max="5" width="5.42578125" bestFit="1" customWidth="1"/>
    <col min="6" max="6" width="6.5703125" bestFit="1" customWidth="1"/>
    <col min="7" max="7" width="9.5703125" bestFit="1" customWidth="1"/>
    <col min="8" max="8" width="7.140625" bestFit="1" customWidth="1"/>
    <col min="11" max="11" width="14.7109375" bestFit="1" customWidth="1"/>
  </cols>
  <sheetData>
    <row r="4" spans="6:8">
      <c r="F4" s="39"/>
      <c r="G4" s="39"/>
      <c r="H4" s="40"/>
    </row>
    <row r="5" spans="6:8">
      <c r="F5" s="39"/>
      <c r="G5" s="39"/>
      <c r="H5" s="40"/>
    </row>
    <row r="6" spans="6:8">
      <c r="F6" s="39"/>
      <c r="G6" s="39"/>
      <c r="H6" s="40"/>
    </row>
    <row r="7" spans="6:8">
      <c r="F7" s="39"/>
      <c r="G7" s="39"/>
      <c r="H7" s="40"/>
    </row>
    <row r="8" spans="6:8">
      <c r="F8" s="39"/>
      <c r="G8" s="39"/>
      <c r="H8" s="4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FAC6F"/>
  </sheetPr>
  <dimension ref="B4:Q68"/>
  <sheetViews>
    <sheetView showGridLines="0" topLeftCell="H10" zoomScale="70" zoomScaleNormal="70" workbookViewId="0">
      <selection activeCell="P23" sqref="P1:P1048576"/>
    </sheetView>
  </sheetViews>
  <sheetFormatPr defaultRowHeight="14.25"/>
  <cols>
    <col min="1" max="1" width="1.85546875" style="71" customWidth="1"/>
    <col min="2" max="2" width="28.5703125" style="71" customWidth="1"/>
    <col min="3" max="3" width="10.5703125" style="71" bestFit="1" customWidth="1"/>
    <col min="4" max="4" width="15" style="71" bestFit="1" customWidth="1"/>
    <col min="5" max="5" width="17.28515625" style="71" bestFit="1" customWidth="1"/>
    <col min="6" max="6" width="15.7109375" style="71" bestFit="1" customWidth="1"/>
    <col min="7" max="7" width="9.7109375" style="71" customWidth="1"/>
    <col min="8" max="8" width="36.7109375" style="71" bestFit="1" customWidth="1"/>
    <col min="9" max="9" width="12.85546875" style="71" bestFit="1" customWidth="1"/>
    <col min="10" max="10" width="20" style="71" customWidth="1"/>
    <col min="11" max="15" width="9.140625" style="71"/>
    <col min="16" max="16" width="9.140625" style="79"/>
    <col min="17" max="16384" width="9.140625" style="71"/>
  </cols>
  <sheetData>
    <row r="4" spans="2:16">
      <c r="D4" s="247"/>
    </row>
    <row r="6" spans="2:16" ht="27.75">
      <c r="B6" s="248" t="str">
        <f>'Beta-Regression'!B2</f>
        <v>TRENT LTD</v>
      </c>
    </row>
    <row r="7" spans="2:16">
      <c r="B7" s="79" t="str">
        <f>'Beta-Regression'!B3</f>
        <v>( TRENT | BSE Code: 500251)</v>
      </c>
      <c r="C7" s="79"/>
    </row>
    <row r="9" spans="2:16" ht="26.25">
      <c r="B9" s="827" t="s">
        <v>8832</v>
      </c>
      <c r="C9" s="827"/>
      <c r="D9" s="827"/>
      <c r="E9" s="827"/>
      <c r="F9" s="827"/>
      <c r="G9" s="827"/>
      <c r="H9" s="827"/>
      <c r="I9" s="827"/>
      <c r="J9" s="827"/>
      <c r="K9" s="84"/>
      <c r="L9" s="84"/>
      <c r="M9" s="84"/>
      <c r="N9" s="84"/>
      <c r="O9" s="84"/>
      <c r="P9" s="850"/>
    </row>
    <row r="10" spans="2:16">
      <c r="B10" s="249"/>
    </row>
    <row r="11" spans="2:16" ht="18">
      <c r="B11" s="829" t="s">
        <v>8878</v>
      </c>
      <c r="C11" s="829"/>
      <c r="D11" s="829"/>
      <c r="E11" s="829"/>
      <c r="F11" s="829"/>
      <c r="G11" s="829"/>
      <c r="H11" s="829"/>
      <c r="I11" s="829"/>
      <c r="J11" s="829"/>
    </row>
    <row r="12" spans="2:16" ht="15.75" thickBot="1">
      <c r="B12" s="258"/>
      <c r="G12"/>
      <c r="H12"/>
      <c r="I12"/>
    </row>
    <row r="13" spans="2:16" ht="17.25" thickBot="1">
      <c r="B13" s="387" t="s">
        <v>8879</v>
      </c>
      <c r="C13" s="388" t="s">
        <v>8880</v>
      </c>
      <c r="D13" s="830" t="s">
        <v>8881</v>
      </c>
      <c r="E13" s="830"/>
      <c r="F13" s="830"/>
      <c r="G13" s="830"/>
      <c r="H13" s="830"/>
      <c r="I13" s="830"/>
      <c r="J13" s="830"/>
    </row>
    <row r="14" spans="2:16" ht="6" customHeight="1">
      <c r="B14" s="319"/>
      <c r="C14" s="320"/>
      <c r="D14" s="321"/>
      <c r="E14" s="321"/>
      <c r="F14" s="321"/>
      <c r="G14" s="321"/>
      <c r="H14" s="321"/>
      <c r="I14" s="321"/>
      <c r="J14" s="321"/>
    </row>
    <row r="15" spans="2:16" s="79" customFormat="1" ht="18" customHeight="1">
      <c r="B15" s="376" t="s">
        <v>8882</v>
      </c>
      <c r="C15" s="377">
        <v>46067</v>
      </c>
      <c r="D15" s="831"/>
      <c r="E15" s="831"/>
      <c r="F15" s="831"/>
      <c r="G15" s="831"/>
      <c r="H15" s="831"/>
      <c r="I15" s="831"/>
      <c r="J15" s="832"/>
    </row>
    <row r="16" spans="2:16" ht="22.5" customHeight="1">
      <c r="B16" s="378" t="s">
        <v>8883</v>
      </c>
      <c r="C16" s="379">
        <v>0.2</v>
      </c>
      <c r="D16" s="833" t="s">
        <v>9013</v>
      </c>
      <c r="E16" s="833"/>
      <c r="F16" s="833"/>
      <c r="G16" s="833"/>
      <c r="H16" s="833"/>
      <c r="I16" s="833"/>
      <c r="J16" s="834"/>
    </row>
    <row r="17" spans="2:11" ht="24.75" customHeight="1">
      <c r="B17" s="378"/>
      <c r="C17" s="379">
        <v>0.02</v>
      </c>
      <c r="D17" s="833"/>
      <c r="E17" s="833"/>
      <c r="F17" s="833"/>
      <c r="G17" s="833"/>
      <c r="H17" s="833"/>
      <c r="I17" s="833"/>
      <c r="J17" s="834"/>
    </row>
    <row r="18" spans="2:11" ht="19.5" customHeight="1">
      <c r="B18" s="378" t="s">
        <v>8884</v>
      </c>
      <c r="C18" s="380">
        <v>6.5000000000000002E-2</v>
      </c>
      <c r="D18" s="833" t="s">
        <v>8885</v>
      </c>
      <c r="E18" s="833"/>
      <c r="F18" s="833"/>
      <c r="G18" s="833"/>
      <c r="H18" s="833"/>
      <c r="I18" s="833"/>
      <c r="J18" s="834"/>
    </row>
    <row r="19" spans="2:11" ht="24" customHeight="1">
      <c r="B19" s="378" t="s">
        <v>8886</v>
      </c>
      <c r="C19" s="380">
        <v>6.7599999999999993E-2</v>
      </c>
      <c r="D19" s="833" t="s">
        <v>8887</v>
      </c>
      <c r="E19" s="833"/>
      <c r="F19" s="833"/>
      <c r="G19" s="833"/>
      <c r="H19" s="833"/>
      <c r="I19" s="833"/>
      <c r="J19" s="834"/>
    </row>
    <row r="20" spans="2:11" ht="21" customHeight="1">
      <c r="B20" s="378" t="s">
        <v>8888</v>
      </c>
      <c r="C20" s="380">
        <f>12%-C19</f>
        <v>5.2400000000000002E-2</v>
      </c>
      <c r="D20" s="833" t="s">
        <v>8889</v>
      </c>
      <c r="E20" s="833"/>
      <c r="F20" s="833"/>
      <c r="G20" s="833"/>
      <c r="H20" s="833"/>
      <c r="I20" s="833"/>
      <c r="J20" s="834"/>
    </row>
    <row r="21" spans="2:11" ht="18" customHeight="1">
      <c r="B21" s="378" t="s">
        <v>148</v>
      </c>
      <c r="C21" s="380">
        <v>0.25</v>
      </c>
      <c r="D21" s="833" t="s">
        <v>8890</v>
      </c>
      <c r="E21" s="833"/>
      <c r="F21" s="833"/>
      <c r="G21" s="833"/>
      <c r="H21" s="833"/>
      <c r="I21" s="833"/>
      <c r="J21" s="834"/>
    </row>
    <row r="22" spans="2:11">
      <c r="B22" s="249"/>
    </row>
    <row r="24" spans="2:11" ht="25.5">
      <c r="B24" s="389" t="s">
        <v>133</v>
      </c>
    </row>
    <row r="25" spans="2:11" ht="19.5" thickBot="1">
      <c r="B25" s="256"/>
      <c r="C25" s="79"/>
      <c r="J25" s="315" t="s">
        <v>8932</v>
      </c>
    </row>
    <row r="26" spans="2:11" ht="16.5">
      <c r="B26" s="381"/>
      <c r="C26" s="381"/>
      <c r="D26" s="381"/>
      <c r="E26" s="381"/>
      <c r="F26" s="382"/>
      <c r="G26" s="382" t="s">
        <v>138</v>
      </c>
      <c r="H26" s="382" t="s">
        <v>138</v>
      </c>
      <c r="I26" s="382" t="s">
        <v>141</v>
      </c>
      <c r="J26" s="382" t="s">
        <v>142</v>
      </c>
      <c r="K26" s="79"/>
    </row>
    <row r="27" spans="2:11" ht="20.25" thickBot="1">
      <c r="B27" s="383" t="s">
        <v>134</v>
      </c>
      <c r="C27" s="384" t="s">
        <v>135</v>
      </c>
      <c r="D27" s="385" t="s">
        <v>136</v>
      </c>
      <c r="E27" s="385" t="s">
        <v>137</v>
      </c>
      <c r="F27" s="385" t="s">
        <v>8934</v>
      </c>
      <c r="G27" s="385" t="s">
        <v>139</v>
      </c>
      <c r="H27" s="385" t="s">
        <v>140</v>
      </c>
      <c r="I27" s="385" t="s">
        <v>8935</v>
      </c>
      <c r="J27" s="386" t="s">
        <v>8936</v>
      </c>
    </row>
    <row r="28" spans="2:11">
      <c r="B28" s="318"/>
      <c r="C28" s="318"/>
      <c r="D28" s="317"/>
      <c r="E28" s="322"/>
      <c r="F28" s="317"/>
      <c r="G28" s="317"/>
      <c r="H28" s="317"/>
      <c r="I28" s="318"/>
      <c r="J28" s="103"/>
    </row>
    <row r="29" spans="2:11" ht="19.5" customHeight="1">
      <c r="B29" s="350" t="str">
        <f>'Beta-comps'!C3</f>
        <v>Trent</v>
      </c>
      <c r="C29" s="351" t="s">
        <v>144</v>
      </c>
      <c r="D29" s="352">
        <f>'Beta-comps'!G3</f>
        <v>2348.5700000000002</v>
      </c>
      <c r="E29" s="353">
        <f>'Beta-comps'!E3</f>
        <v>151462.5</v>
      </c>
      <c r="F29" s="354">
        <f>Tax_rate</f>
        <v>0.25</v>
      </c>
      <c r="G29" s="355">
        <f>D29/E29</f>
        <v>1.5505950317735414E-2</v>
      </c>
      <c r="H29" s="356">
        <f>D29/(D29+E29)</f>
        <v>1.5269187061763501E-2</v>
      </c>
      <c r="I29" s="357">
        <f>'Beta-Regression'!K11</f>
        <v>1.3748374360012952</v>
      </c>
      <c r="J29" s="358">
        <f>I29/(1+G29*(1-Tax_rate))</f>
        <v>1.3590326168238063</v>
      </c>
    </row>
    <row r="30" spans="2:11" ht="20.25" customHeight="1">
      <c r="B30" s="359" t="str">
        <f>'Beta-comps'!C4</f>
        <v>Avenue Super.</v>
      </c>
      <c r="C30" s="360" t="s">
        <v>144</v>
      </c>
      <c r="D30" s="361">
        <f>'Beta-comps'!G4</f>
        <v>1609.19</v>
      </c>
      <c r="E30" s="362">
        <f>'Beta-comps'!E4</f>
        <v>254384.57</v>
      </c>
      <c r="F30" s="363">
        <f>F29</f>
        <v>0.25</v>
      </c>
      <c r="G30" s="364">
        <f>D30/E30</f>
        <v>6.3258160665955483E-3</v>
      </c>
      <c r="H30" s="365">
        <f>D30/(D30+E30)</f>
        <v>6.286051660009213E-3</v>
      </c>
      <c r="I30" s="366">
        <v>1.25</v>
      </c>
      <c r="J30" s="367">
        <f>I30/(1+G30*(1-Tax_rate))</f>
        <v>1.2440975507935832</v>
      </c>
    </row>
    <row r="31" spans="2:11" ht="18" customHeight="1">
      <c r="B31" s="359" t="str">
        <f>'Beta-comps'!C5</f>
        <v>Page Industries</v>
      </c>
      <c r="C31" s="360" t="s">
        <v>144</v>
      </c>
      <c r="D31" s="361">
        <f>'Beta-comps'!G5</f>
        <v>268.13</v>
      </c>
      <c r="E31" s="362">
        <f>'Beta-comps'!E5</f>
        <v>37398.94</v>
      </c>
      <c r="F31" s="363">
        <f t="shared" ref="F31:F33" si="0">F30</f>
        <v>0.25</v>
      </c>
      <c r="G31" s="364">
        <f>D31/E31</f>
        <v>7.1694545353424453E-3</v>
      </c>
      <c r="H31" s="365">
        <f>D31/(D31+E31)</f>
        <v>7.1184193514388034E-3</v>
      </c>
      <c r="I31" s="366">
        <v>0.39</v>
      </c>
      <c r="J31" s="367">
        <f>I31/(1+G31*(1-Tax_rate))</f>
        <v>0.38791415035157883</v>
      </c>
    </row>
    <row r="32" spans="2:11" ht="17.25" customHeight="1">
      <c r="B32" s="359" t="str">
        <f>'Beta-comps'!C6</f>
        <v>Vedant Fashions</v>
      </c>
      <c r="C32" s="360" t="s">
        <v>144</v>
      </c>
      <c r="D32" s="361">
        <f>'Beta-comps'!G6</f>
        <v>463.76</v>
      </c>
      <c r="E32" s="362">
        <f>'Beta-comps'!E6</f>
        <v>11062.57</v>
      </c>
      <c r="F32" s="363">
        <f t="shared" si="0"/>
        <v>0.25</v>
      </c>
      <c r="G32" s="364">
        <f>D32/E32</f>
        <v>4.1921542643345987E-2</v>
      </c>
      <c r="H32" s="365">
        <f>D32/(D32+E32)</f>
        <v>4.0234836240156231E-2</v>
      </c>
      <c r="I32" s="366">
        <v>0.67</v>
      </c>
      <c r="J32" s="367">
        <f>I32/(1+G32*(1-Tax_rate))</f>
        <v>0.64957656136205688</v>
      </c>
    </row>
    <row r="33" spans="2:16" ht="18" customHeight="1">
      <c r="B33" s="359" t="str">
        <f>'Beta-comps'!C7</f>
        <v>V2 Retail</v>
      </c>
      <c r="C33" s="360" t="s">
        <v>144</v>
      </c>
      <c r="D33" s="361">
        <f>'Beta-comps'!G7</f>
        <v>1312.5</v>
      </c>
      <c r="E33" s="362">
        <f>'Beta-comps'!E7</f>
        <v>7406.52</v>
      </c>
      <c r="F33" s="363">
        <f t="shared" si="0"/>
        <v>0.25</v>
      </c>
      <c r="G33" s="364">
        <f>D33/E33</f>
        <v>0.17720872960580678</v>
      </c>
      <c r="H33" s="365">
        <f>D33/(D33+E33)</f>
        <v>0.15053297274234947</v>
      </c>
      <c r="I33" s="368">
        <v>1.8</v>
      </c>
      <c r="J33" s="367">
        <f>I33/(1+G33*(1-Tax_rate))</f>
        <v>1.5888336107173311</v>
      </c>
    </row>
    <row r="34" spans="2:16" ht="15.75">
      <c r="B34" s="106"/>
      <c r="C34" s="106"/>
      <c r="D34" s="106"/>
      <c r="E34" s="369"/>
      <c r="F34" s="92"/>
      <c r="G34" s="326"/>
      <c r="H34" s="326"/>
      <c r="I34" s="92"/>
      <c r="J34" s="92"/>
      <c r="P34" s="86"/>
    </row>
    <row r="35" spans="2:16" ht="15.75">
      <c r="B35" s="92"/>
      <c r="C35" s="106"/>
      <c r="D35" s="92"/>
      <c r="E35" s="370" t="s">
        <v>145</v>
      </c>
      <c r="F35" s="371">
        <f>AVERAGE(F29:F33)</f>
        <v>0.25</v>
      </c>
      <c r="G35" s="371">
        <f>AVERAGE(G29:G33)</f>
        <v>4.9626298633765234E-2</v>
      </c>
      <c r="H35" s="371">
        <f>AVERAGE(H29:H33)</f>
        <v>4.3888293411143441E-2</v>
      </c>
      <c r="I35" s="372">
        <f>AVERAGE(I29:I33)</f>
        <v>1.0969674872002591</v>
      </c>
      <c r="J35" s="372">
        <f>AVERAGE(J29:J33)</f>
        <v>1.0458908980096713</v>
      </c>
    </row>
    <row r="36" spans="2:16" ht="15.75">
      <c r="B36" s="92"/>
      <c r="C36" s="92"/>
      <c r="D36" s="92"/>
      <c r="E36" s="373" t="s">
        <v>127</v>
      </c>
      <c r="F36" s="374">
        <f>MEDIAN(F29:F33)</f>
        <v>0.25</v>
      </c>
      <c r="G36" s="374">
        <f>MEDIAN(G29:G33)</f>
        <v>1.5505950317735414E-2</v>
      </c>
      <c r="H36" s="374">
        <f>MEDIAN(H29:H33)</f>
        <v>1.5269187061763501E-2</v>
      </c>
      <c r="I36" s="373">
        <f>MEDIAN(I29:I33)</f>
        <v>1.25</v>
      </c>
      <c r="J36" s="375">
        <f>MEDIAN(J29:J33)</f>
        <v>1.2440975507935832</v>
      </c>
    </row>
    <row r="37" spans="2:16" ht="15">
      <c r="B37" s="92"/>
      <c r="C37" s="92"/>
      <c r="D37" s="92"/>
      <c r="E37" s="92"/>
      <c r="F37" s="92"/>
      <c r="G37" s="95"/>
      <c r="H37" s="95"/>
      <c r="I37" s="92"/>
      <c r="J37" s="92"/>
      <c r="L37" s="250"/>
    </row>
    <row r="38" spans="2:16">
      <c r="G38" s="79"/>
      <c r="H38" s="79"/>
    </row>
    <row r="39" spans="2:16" ht="18.75" thickBot="1">
      <c r="B39" s="329" t="s">
        <v>146</v>
      </c>
      <c r="C39" s="323"/>
      <c r="D39" s="323"/>
      <c r="E39" s="323"/>
      <c r="F39" s="323"/>
      <c r="H39" s="329" t="s">
        <v>150</v>
      </c>
      <c r="I39" s="323"/>
      <c r="J39" s="323"/>
    </row>
    <row r="40" spans="2:16" ht="15">
      <c r="P40" s="86"/>
    </row>
    <row r="41" spans="2:16" ht="19.5" customHeight="1">
      <c r="B41" s="92" t="s">
        <v>147</v>
      </c>
      <c r="C41" s="92"/>
      <c r="D41" s="92"/>
      <c r="E41" s="92"/>
      <c r="F41" s="324">
        <f>200/D29</f>
        <v>8.5158202650974846E-2</v>
      </c>
      <c r="H41" s="92" t="s">
        <v>151</v>
      </c>
      <c r="I41" s="106"/>
      <c r="J41" s="339">
        <f>C19</f>
        <v>6.7599999999999993E-2</v>
      </c>
      <c r="P41" s="851"/>
    </row>
    <row r="42" spans="2:16" ht="20.25" customHeight="1">
      <c r="B42" s="92" t="s">
        <v>148</v>
      </c>
      <c r="C42" s="92"/>
      <c r="D42" s="92"/>
      <c r="E42" s="106"/>
      <c r="F42" s="325">
        <f>F33</f>
        <v>0.25</v>
      </c>
      <c r="H42" s="92" t="s">
        <v>152</v>
      </c>
      <c r="I42" s="106"/>
      <c r="J42" s="324">
        <f>C20</f>
        <v>5.2400000000000002E-2</v>
      </c>
    </row>
    <row r="43" spans="2:16" ht="18">
      <c r="B43" s="326" t="s">
        <v>149</v>
      </c>
      <c r="C43" s="326"/>
      <c r="D43" s="326"/>
      <c r="E43" s="327"/>
      <c r="F43" s="328">
        <f>F41*(1-F42)</f>
        <v>6.3868651988231134E-2</v>
      </c>
      <c r="H43" s="92" t="s">
        <v>8933</v>
      </c>
      <c r="I43" s="106"/>
      <c r="J43" s="331">
        <f>J51</f>
        <v>0.94776922562033494</v>
      </c>
    </row>
    <row r="44" spans="2:16" ht="15">
      <c r="E44" s="103"/>
      <c r="H44" s="326" t="s">
        <v>153</v>
      </c>
      <c r="I44" s="327"/>
      <c r="J44" s="332">
        <f>J41+J42*J43</f>
        <v>0.11726310742250555</v>
      </c>
      <c r="P44" s="851"/>
    </row>
    <row r="45" spans="2:16">
      <c r="I45" s="103"/>
    </row>
    <row r="46" spans="2:16" ht="18.75" thickBot="1">
      <c r="B46" s="329" t="s">
        <v>154</v>
      </c>
      <c r="C46" s="323"/>
      <c r="D46" s="323"/>
      <c r="E46" s="323"/>
      <c r="F46" s="323"/>
      <c r="H46" s="329" t="s">
        <v>155</v>
      </c>
      <c r="I46" s="323"/>
      <c r="J46" s="323"/>
    </row>
    <row r="47" spans="2:16" ht="15">
      <c r="E47" s="79"/>
      <c r="P47" s="86"/>
    </row>
    <row r="48" spans="2:16" ht="18.75" customHeight="1">
      <c r="B48" s="92"/>
      <c r="C48" s="92"/>
      <c r="D48" s="106"/>
      <c r="E48" s="336" t="s">
        <v>156</v>
      </c>
      <c r="F48" s="337" t="s">
        <v>157</v>
      </c>
      <c r="H48" s="92" t="s">
        <v>159</v>
      </c>
      <c r="I48" s="106"/>
      <c r="J48" s="333">
        <f>J36</f>
        <v>1.2440975507935832</v>
      </c>
    </row>
    <row r="49" spans="2:17" ht="18" customHeight="1">
      <c r="B49" s="92" t="s">
        <v>136</v>
      </c>
      <c r="C49" s="92"/>
      <c r="D49" s="338">
        <f>D29</f>
        <v>2348.5700000000002</v>
      </c>
      <c r="E49" s="156">
        <f>D49/$D$51</f>
        <v>1.5269187061763501E-2</v>
      </c>
      <c r="F49" s="324">
        <f>G36</f>
        <v>1.5505950317735414E-2</v>
      </c>
      <c r="H49" s="92" t="s">
        <v>160</v>
      </c>
      <c r="I49" s="106"/>
      <c r="J49" s="334">
        <f>F53</f>
        <v>1.5750171697573794E-2</v>
      </c>
    </row>
    <row r="50" spans="2:17" ht="23.25" customHeight="1">
      <c r="B50" s="92" t="s">
        <v>44</v>
      </c>
      <c r="C50" s="92"/>
      <c r="D50" s="338">
        <f>E29</f>
        <v>151462.5</v>
      </c>
      <c r="E50" s="156">
        <f>D50/$D$51</f>
        <v>0.9847308129382365</v>
      </c>
      <c r="F50" s="339">
        <f>F51-F49</f>
        <v>0.98449404968226462</v>
      </c>
      <c r="H50" s="92" t="s">
        <v>148</v>
      </c>
      <c r="I50" s="106"/>
      <c r="J50" s="334">
        <f>F42</f>
        <v>0.25</v>
      </c>
      <c r="P50" s="86"/>
    </row>
    <row r="51" spans="2:17" ht="18.75" customHeight="1">
      <c r="B51" s="95" t="s">
        <v>158</v>
      </c>
      <c r="C51" s="326"/>
      <c r="D51" s="340">
        <f>SUM(D49:D50)</f>
        <v>153811.07</v>
      </c>
      <c r="E51" s="341">
        <f>D51/$D$51</f>
        <v>1</v>
      </c>
      <c r="F51" s="342">
        <v>1</v>
      </c>
      <c r="H51" s="326" t="s">
        <v>155</v>
      </c>
      <c r="I51" s="327"/>
      <c r="J51" s="335">
        <f>J36*(1+F53)*(1-Tax_rate)</f>
        <v>0.94776922562033494</v>
      </c>
      <c r="P51" s="851"/>
    </row>
    <row r="52" spans="2:17" ht="15">
      <c r="B52" s="92"/>
      <c r="C52" s="92"/>
      <c r="D52" s="92"/>
      <c r="E52" s="92"/>
      <c r="F52" s="92"/>
      <c r="I52" s="103"/>
    </row>
    <row r="53" spans="2:17" ht="15">
      <c r="B53" s="92" t="s">
        <v>164</v>
      </c>
      <c r="C53" s="92"/>
      <c r="D53" s="92"/>
      <c r="E53" s="343">
        <f>E49/E50</f>
        <v>1.5505950317735414E-2</v>
      </c>
      <c r="F53" s="343">
        <f>F49/F50</f>
        <v>1.5750171697573794E-2</v>
      </c>
      <c r="P53" s="851"/>
      <c r="Q53" s="75"/>
    </row>
    <row r="54" spans="2:17" ht="18">
      <c r="H54" s="330" t="s">
        <v>161</v>
      </c>
      <c r="I54" s="277"/>
      <c r="J54" s="277"/>
    </row>
    <row r="55" spans="2:17" ht="15" customHeight="1">
      <c r="B55" s="254" t="s">
        <v>235</v>
      </c>
      <c r="P55" s="851"/>
    </row>
    <row r="56" spans="2:17" ht="20.25" customHeight="1">
      <c r="B56" s="254" t="s">
        <v>238</v>
      </c>
      <c r="H56" s="344" t="s">
        <v>150</v>
      </c>
      <c r="I56" s="344"/>
      <c r="J56" s="345">
        <f>J44</f>
        <v>0.11726310742250555</v>
      </c>
      <c r="P56" s="255"/>
    </row>
    <row r="57" spans="2:17" ht="19.5" customHeight="1">
      <c r="B57" s="254" t="s">
        <v>236</v>
      </c>
      <c r="H57" s="344" t="s">
        <v>162</v>
      </c>
      <c r="I57" s="344"/>
      <c r="J57" s="345">
        <f>F50</f>
        <v>0.98449404968226462</v>
      </c>
    </row>
    <row r="58" spans="2:17" ht="20.25" customHeight="1">
      <c r="B58" s="254" t="s">
        <v>237</v>
      </c>
      <c r="H58" s="346" t="s">
        <v>233</v>
      </c>
      <c r="I58" s="344"/>
      <c r="J58" s="345">
        <f>F43</f>
        <v>6.3868651988231134E-2</v>
      </c>
      <c r="P58" s="86"/>
    </row>
    <row r="59" spans="2:17" ht="15">
      <c r="H59" s="346" t="s">
        <v>234</v>
      </c>
      <c r="I59" s="344"/>
      <c r="J59" s="345">
        <f>F49</f>
        <v>1.5505950317735414E-2</v>
      </c>
      <c r="P59" s="851"/>
    </row>
    <row r="60" spans="2:17" ht="15.75" thickBot="1">
      <c r="H60" s="172"/>
      <c r="I60" s="95"/>
      <c r="J60" s="347"/>
    </row>
    <row r="61" spans="2:17" ht="16.5" thickBot="1">
      <c r="H61" s="348" t="s">
        <v>163</v>
      </c>
      <c r="I61" s="348"/>
      <c r="J61" s="349">
        <f>(J56*J57)+(J58*J59)</f>
        <v>0.11643517564929916</v>
      </c>
      <c r="P61" s="851"/>
    </row>
    <row r="62" spans="2:17">
      <c r="B62" s="79"/>
      <c r="C62" s="79"/>
      <c r="D62" s="79"/>
      <c r="E62" s="79"/>
      <c r="F62" s="79"/>
      <c r="G62" s="79"/>
      <c r="H62" s="79"/>
      <c r="I62" s="79"/>
      <c r="J62" s="79"/>
    </row>
    <row r="63" spans="2:17">
      <c r="B63" s="828"/>
      <c r="C63" s="828"/>
      <c r="D63" s="828"/>
      <c r="E63" s="828"/>
      <c r="F63" s="828"/>
      <c r="G63" s="828"/>
      <c r="H63" s="828"/>
      <c r="I63" s="828"/>
      <c r="J63" s="828"/>
      <c r="K63" s="79"/>
    </row>
    <row r="64" spans="2:17">
      <c r="B64" s="79"/>
      <c r="C64" s="79"/>
      <c r="D64" s="79"/>
      <c r="E64" s="79"/>
      <c r="F64" s="79"/>
      <c r="G64" s="79"/>
      <c r="H64" s="79"/>
      <c r="I64" s="79"/>
      <c r="J64" s="79"/>
    </row>
    <row r="65" spans="16:16">
      <c r="P65" s="851"/>
    </row>
    <row r="68" spans="16:16" ht="15">
      <c r="P68" s="86"/>
    </row>
  </sheetData>
  <mergeCells count="11">
    <mergeCell ref="B9:J9"/>
    <mergeCell ref="B63:J63"/>
    <mergeCell ref="B11:J11"/>
    <mergeCell ref="D13:J13"/>
    <mergeCell ref="D15:J15"/>
    <mergeCell ref="D21:J21"/>
    <mergeCell ref="D16:J16"/>
    <mergeCell ref="D17:J17"/>
    <mergeCell ref="D18:J18"/>
    <mergeCell ref="D19:J19"/>
    <mergeCell ref="D20:J20"/>
  </mergeCells>
  <printOptions verticalCentered="1"/>
  <pageMargins left="0.39370078740157483" right="0.19685039370078741" top="0.19685039370078741" bottom="0.19685039370078741" header="0.11811023622047245" footer="0.11811023622047245"/>
  <pageSetup scale="58" orientation="portrait" horizontalDpi="360"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FAC6F"/>
  </sheetPr>
  <dimension ref="A1:W119"/>
  <sheetViews>
    <sheetView showGridLines="0" tabSelected="1" zoomScale="85" zoomScaleNormal="85" workbookViewId="0">
      <selection activeCell="M120" sqref="M120"/>
    </sheetView>
  </sheetViews>
  <sheetFormatPr defaultRowHeight="14.25" outlineLevelRow="2"/>
  <cols>
    <col min="1" max="1" width="1.85546875" style="71" customWidth="1"/>
    <col min="2" max="2" width="18.85546875" style="71" customWidth="1"/>
    <col min="3" max="3" width="14.7109375" style="71" bestFit="1" customWidth="1"/>
    <col min="4" max="4" width="11.28515625" style="71" customWidth="1"/>
    <col min="5" max="5" width="15" style="71" customWidth="1"/>
    <col min="6" max="6" width="8" style="71" customWidth="1"/>
    <col min="7" max="7" width="17.7109375" style="71" customWidth="1"/>
    <col min="8" max="8" width="18.5703125" style="71" customWidth="1"/>
    <col min="9" max="9" width="2" style="71" customWidth="1"/>
    <col min="10" max="10" width="38.28515625" style="71" customWidth="1"/>
    <col min="11" max="11" width="18.7109375" style="71" customWidth="1"/>
    <col min="12" max="12" width="9.140625" style="71" customWidth="1"/>
    <col min="13" max="13" width="9.140625" style="75" customWidth="1"/>
    <col min="14" max="14" width="9.140625" style="75"/>
    <col min="15" max="15" width="18" style="75" bestFit="1" customWidth="1"/>
    <col min="16" max="16" width="12" style="75" bestFit="1" customWidth="1"/>
    <col min="17" max="18" width="9.140625" style="75"/>
    <col min="19" max="16384" width="9.140625" style="71"/>
  </cols>
  <sheetData>
    <row r="1" spans="1:23">
      <c r="M1" s="71"/>
      <c r="N1" s="71"/>
      <c r="O1" s="71"/>
      <c r="P1" s="71"/>
      <c r="Q1" s="71"/>
      <c r="R1" s="71"/>
    </row>
    <row r="2" spans="1:23" ht="27.75">
      <c r="B2" s="522" t="str">
        <f>'Ration Analysis'!$B$4</f>
        <v>TRENT LTD</v>
      </c>
      <c r="M2" s="71"/>
      <c r="N2" s="71"/>
      <c r="O2" s="71"/>
      <c r="P2" s="71"/>
      <c r="Q2" s="71"/>
      <c r="R2" s="71"/>
    </row>
    <row r="3" spans="1:23">
      <c r="B3" s="71" t="str">
        <f>Forcasting!B5</f>
        <v>( TRENT | BSE Code: 500251)</v>
      </c>
      <c r="M3" s="71"/>
      <c r="N3" s="71"/>
      <c r="O3" s="71"/>
      <c r="P3" s="71"/>
      <c r="Q3" s="71"/>
      <c r="R3" s="71"/>
    </row>
    <row r="4" spans="1:23" ht="15">
      <c r="B4" s="80"/>
      <c r="M4" s="71"/>
      <c r="N4" s="71"/>
      <c r="O4" s="71"/>
      <c r="P4" s="71"/>
      <c r="Q4" s="71"/>
      <c r="R4" s="71"/>
    </row>
    <row r="5" spans="1:23" ht="20.25">
      <c r="B5" s="839" t="s">
        <v>8826</v>
      </c>
      <c r="C5" s="839"/>
      <c r="D5" s="839"/>
      <c r="E5" s="839"/>
      <c r="F5" s="839"/>
      <c r="G5" s="839"/>
      <c r="H5" s="839"/>
      <c r="I5" s="839"/>
      <c r="J5" s="839"/>
      <c r="K5" s="839"/>
      <c r="M5" s="71"/>
      <c r="N5" s="71"/>
      <c r="O5" s="71"/>
      <c r="P5" s="71"/>
      <c r="Q5" s="71"/>
      <c r="R5" s="71"/>
    </row>
    <row r="6" spans="1:23">
      <c r="M6" s="71"/>
      <c r="N6" s="71"/>
      <c r="O6" s="71"/>
      <c r="P6" s="71"/>
      <c r="Q6" s="71"/>
      <c r="R6" s="71"/>
    </row>
    <row r="7" spans="1:23" ht="15">
      <c r="B7" s="523" t="s">
        <v>224</v>
      </c>
      <c r="M7" s="71"/>
      <c r="N7" s="71"/>
      <c r="O7" s="71"/>
      <c r="P7" s="71"/>
      <c r="Q7" s="71"/>
      <c r="R7" s="71"/>
    </row>
    <row r="8" spans="1:23" ht="18">
      <c r="B8" s="838" t="s">
        <v>9012</v>
      </c>
      <c r="C8" s="838"/>
      <c r="D8" s="838"/>
      <c r="E8" s="838"/>
      <c r="G8" s="838" t="s">
        <v>8827</v>
      </c>
      <c r="H8" s="838"/>
      <c r="I8" s="524"/>
      <c r="J8" s="838" t="s">
        <v>218</v>
      </c>
      <c r="K8" s="838"/>
      <c r="L8" s="524"/>
      <c r="M8" s="71"/>
      <c r="N8" s="250"/>
      <c r="O8" s="525"/>
      <c r="P8" s="71"/>
      <c r="Q8" s="71"/>
      <c r="R8" s="71"/>
    </row>
    <row r="9" spans="1:23" ht="6" customHeight="1">
      <c r="C9" s="103"/>
      <c r="G9" s="103"/>
      <c r="J9" s="526"/>
      <c r="K9" s="526"/>
      <c r="M9" s="71"/>
      <c r="N9" s="71"/>
      <c r="O9" s="73"/>
      <c r="P9" s="71"/>
      <c r="Q9" s="71"/>
      <c r="R9" s="71"/>
    </row>
    <row r="10" spans="1:23" ht="12.75" customHeight="1">
      <c r="C10" s="103"/>
      <c r="G10" s="103"/>
      <c r="J10" s="526"/>
      <c r="K10" s="526"/>
      <c r="M10" s="71"/>
      <c r="N10" s="71"/>
      <c r="O10" s="73"/>
      <c r="P10" s="71"/>
      <c r="Q10" s="71"/>
      <c r="R10" s="71"/>
    </row>
    <row r="11" spans="1:23" s="79" customFormat="1" ht="15.75">
      <c r="A11" s="71"/>
      <c r="B11" s="534" t="s">
        <v>165</v>
      </c>
      <c r="C11" s="534" t="s">
        <v>166</v>
      </c>
      <c r="D11" s="535" t="s">
        <v>8829</v>
      </c>
      <c r="E11" s="535" t="s">
        <v>9008</v>
      </c>
      <c r="F11" s="71"/>
      <c r="G11" s="763" t="s">
        <v>216</v>
      </c>
      <c r="H11" s="535" t="s">
        <v>8828</v>
      </c>
      <c r="I11" s="71"/>
      <c r="J11" s="536" t="s">
        <v>219</v>
      </c>
      <c r="K11" s="537">
        <f>SLOPE(D13:D116,H13:H116)</f>
        <v>1.3748374360012952</v>
      </c>
      <c r="L11" s="71"/>
      <c r="M11" s="527"/>
      <c r="N11" s="528"/>
    </row>
    <row r="12" spans="1:23" s="79" customFormat="1" ht="15">
      <c r="A12" s="71"/>
      <c r="B12" s="760" t="s">
        <v>8859</v>
      </c>
      <c r="C12" s="761">
        <v>4251.3500000000004</v>
      </c>
      <c r="D12" s="95"/>
      <c r="E12" s="95"/>
      <c r="F12" s="95"/>
      <c r="G12" s="764">
        <v>25471.1</v>
      </c>
      <c r="H12" s="95"/>
      <c r="I12" s="71"/>
      <c r="J12" s="536" t="s">
        <v>220</v>
      </c>
      <c r="K12" s="538">
        <v>0.25</v>
      </c>
      <c r="L12" s="71"/>
      <c r="M12" s="255"/>
      <c r="N12" s="255"/>
      <c r="O12" s="255"/>
      <c r="P12" s="255"/>
      <c r="Q12" s="255"/>
      <c r="R12" s="255"/>
      <c r="S12" s="255"/>
      <c r="T12" s="255"/>
      <c r="U12" s="255"/>
      <c r="V12" s="255"/>
      <c r="W12" s="255"/>
    </row>
    <row r="13" spans="1:23" s="79" customFormat="1" ht="15">
      <c r="A13" s="71"/>
      <c r="B13" s="762">
        <v>46175</v>
      </c>
      <c r="C13" s="761">
        <v>4118.8999999999996</v>
      </c>
      <c r="D13" s="99">
        <f>C13/C12-1</f>
        <v>-3.1154809648699988E-2</v>
      </c>
      <c r="E13" s="99">
        <f>H13-D13</f>
        <v>3.989412597190567E-2</v>
      </c>
      <c r="F13" s="95"/>
      <c r="G13" s="761">
        <v>25693.7</v>
      </c>
      <c r="H13" s="99">
        <f>G13/G12-1</f>
        <v>8.7393163232056814E-3</v>
      </c>
      <c r="I13" s="71"/>
      <c r="J13" s="536"/>
      <c r="K13" s="539"/>
      <c r="L13" s="71"/>
      <c r="M13" s="809"/>
      <c r="W13" s="255"/>
    </row>
    <row r="14" spans="1:23" s="79" customFormat="1" ht="15">
      <c r="A14" s="71"/>
      <c r="B14" s="762" t="s">
        <v>8860</v>
      </c>
      <c r="C14" s="761">
        <v>3785.6</v>
      </c>
      <c r="D14" s="99">
        <f t="shared" ref="D14:D77" si="0">C14/C13-1</f>
        <v>-8.091966301682485E-2</v>
      </c>
      <c r="E14" s="99">
        <f t="shared" ref="E14:E77" si="1">H14-D14</f>
        <v>6.6400539651953361E-2</v>
      </c>
      <c r="F14" s="95"/>
      <c r="G14" s="761">
        <v>25320.65</v>
      </c>
      <c r="H14" s="99">
        <f t="shared" ref="H14:H77" si="2">G14/G13-1</f>
        <v>-1.4519123364871489E-2</v>
      </c>
      <c r="I14" s="71"/>
      <c r="J14" s="536" t="s">
        <v>221</v>
      </c>
      <c r="K14" s="539">
        <v>1</v>
      </c>
      <c r="L14" s="71"/>
      <c r="M14" s="809"/>
      <c r="N14" s="255"/>
      <c r="O14" s="255"/>
      <c r="P14" s="255"/>
      <c r="Q14" s="255"/>
      <c r="R14" s="255"/>
    </row>
    <row r="15" spans="1:23" s="79" customFormat="1" ht="15">
      <c r="A15" s="71"/>
      <c r="B15" s="762" t="s">
        <v>8861</v>
      </c>
      <c r="C15" s="761">
        <v>3754.9</v>
      </c>
      <c r="D15" s="99">
        <f t="shared" si="0"/>
        <v>-8.1096787827557026E-3</v>
      </c>
      <c r="E15" s="99">
        <f t="shared" si="1"/>
        <v>-2.6325414998989993E-3</v>
      </c>
      <c r="F15" s="95"/>
      <c r="G15" s="761">
        <v>25048.65</v>
      </c>
      <c r="H15" s="99">
        <f t="shared" si="2"/>
        <v>-1.0742220282654702E-2</v>
      </c>
      <c r="I15" s="71"/>
      <c r="J15" s="540" t="s">
        <v>222</v>
      </c>
      <c r="K15" s="541">
        <v>0.75</v>
      </c>
      <c r="L15" s="71"/>
      <c r="M15" s="809"/>
      <c r="N15" s="255"/>
      <c r="O15" s="255"/>
      <c r="P15" s="255"/>
      <c r="Q15" s="255"/>
      <c r="R15" s="255"/>
    </row>
    <row r="16" spans="1:23" ht="16.5" thickBot="1">
      <c r="B16" s="762" t="s">
        <v>8862</v>
      </c>
      <c r="C16" s="761">
        <v>3901.75</v>
      </c>
      <c r="D16" s="99">
        <f t="shared" si="0"/>
        <v>3.9108897706996215E-2</v>
      </c>
      <c r="E16" s="99">
        <f t="shared" si="1"/>
        <v>-1.3331061376495423E-2</v>
      </c>
      <c r="F16" s="95"/>
      <c r="G16" s="761">
        <v>25694.35</v>
      </c>
      <c r="H16" s="99">
        <f t="shared" si="2"/>
        <v>2.5777836330500792E-2</v>
      </c>
      <c r="J16" s="542" t="s">
        <v>223</v>
      </c>
      <c r="K16" s="543">
        <f>(K11*K12)+(K14*K15)</f>
        <v>1.0937093590003237</v>
      </c>
      <c r="M16" s="809"/>
      <c r="N16" s="529"/>
      <c r="O16" s="255"/>
      <c r="P16" s="255"/>
      <c r="Q16" s="255"/>
      <c r="R16" s="255"/>
      <c r="S16" s="79"/>
      <c r="T16" s="79"/>
      <c r="U16" s="79"/>
      <c r="V16" s="79"/>
    </row>
    <row r="17" spans="2:22" ht="15">
      <c r="B17" s="762">
        <v>46266</v>
      </c>
      <c r="C17" s="761">
        <v>3975.8</v>
      </c>
      <c r="D17" s="99">
        <f t="shared" si="0"/>
        <v>1.8978663420260222E-2</v>
      </c>
      <c r="E17" s="99">
        <f t="shared" si="1"/>
        <v>-1.9408719055059254E-2</v>
      </c>
      <c r="F17" s="95"/>
      <c r="G17" s="761">
        <v>25683.3</v>
      </c>
      <c r="H17" s="99">
        <f t="shared" si="2"/>
        <v>-4.3005563479903142E-4</v>
      </c>
      <c r="J17" s="103"/>
      <c r="M17" s="809"/>
      <c r="N17" s="530"/>
      <c r="O17" s="255"/>
      <c r="P17" s="255"/>
      <c r="Q17" s="255"/>
      <c r="R17" s="255"/>
      <c r="S17" s="79"/>
      <c r="T17" s="79"/>
      <c r="U17" s="79"/>
      <c r="V17" s="79"/>
    </row>
    <row r="18" spans="2:22" ht="15">
      <c r="B18" s="762">
        <v>46054</v>
      </c>
      <c r="C18" s="761">
        <v>4408.8</v>
      </c>
      <c r="D18" s="99">
        <f t="shared" si="0"/>
        <v>0.10890889883796961</v>
      </c>
      <c r="E18" s="99">
        <f t="shared" si="1"/>
        <v>-8.3785569670767668E-2</v>
      </c>
      <c r="F18" s="95"/>
      <c r="G18" s="761">
        <v>26328.55</v>
      </c>
      <c r="H18" s="99">
        <f t="shared" si="2"/>
        <v>2.5123329167201947E-2</v>
      </c>
      <c r="J18" s="103"/>
      <c r="M18" s="809"/>
      <c r="N18" s="530"/>
      <c r="O18" s="255"/>
      <c r="P18" s="255"/>
      <c r="Q18" s="255"/>
      <c r="R18" s="255"/>
      <c r="S18" s="79"/>
      <c r="T18" s="79"/>
      <c r="U18" s="79"/>
      <c r="V18" s="79"/>
    </row>
    <row r="19" spans="2:22" ht="15">
      <c r="B19" s="762" t="s">
        <v>8863</v>
      </c>
      <c r="C19" s="761">
        <v>4283.8</v>
      </c>
      <c r="D19" s="99">
        <f t="shared" si="0"/>
        <v>-2.8352386136817231E-2</v>
      </c>
      <c r="E19" s="99">
        <f t="shared" si="1"/>
        <v>1.7480158080201869E-2</v>
      </c>
      <c r="F19" s="95"/>
      <c r="G19" s="761">
        <v>26042.3</v>
      </c>
      <c r="H19" s="99">
        <f t="shared" si="2"/>
        <v>-1.0872228056615363E-2</v>
      </c>
      <c r="J19" s="79"/>
      <c r="K19" s="79"/>
      <c r="L19" s="79"/>
      <c r="M19" s="809"/>
      <c r="N19" s="79"/>
      <c r="O19" s="79"/>
      <c r="P19" s="79"/>
      <c r="Q19" s="79"/>
      <c r="R19" s="79"/>
      <c r="S19" s="79"/>
      <c r="T19" s="79"/>
      <c r="U19" s="79"/>
      <c r="V19" s="79"/>
    </row>
    <row r="20" spans="2:22" ht="15">
      <c r="B20" s="762" t="s">
        <v>8864</v>
      </c>
      <c r="C20" s="761">
        <v>4061.75</v>
      </c>
      <c r="D20" s="99">
        <f t="shared" si="0"/>
        <v>-5.1834819552733613E-2</v>
      </c>
      <c r="E20" s="99">
        <f t="shared" si="1"/>
        <v>4.892033043310906E-2</v>
      </c>
      <c r="F20" s="95"/>
      <c r="G20" s="761">
        <v>25966.400000000001</v>
      </c>
      <c r="H20" s="99">
        <f t="shared" si="2"/>
        <v>-2.9144891196245526E-3</v>
      </c>
      <c r="I20" s="71" t="s">
        <v>225</v>
      </c>
      <c r="J20" s="79"/>
      <c r="K20" s="79"/>
      <c r="L20" s="79"/>
      <c r="M20" s="809"/>
      <c r="N20" s="79"/>
      <c r="O20" s="79"/>
      <c r="P20" s="79"/>
      <c r="Q20" s="79"/>
      <c r="R20" s="79"/>
      <c r="S20" s="79"/>
      <c r="T20" s="79"/>
      <c r="U20" s="79"/>
      <c r="V20" s="79"/>
    </row>
    <row r="21" spans="2:22" ht="15">
      <c r="B21" s="762">
        <v>46003</v>
      </c>
      <c r="C21" s="761">
        <v>4072.95</v>
      </c>
      <c r="D21" s="99">
        <f t="shared" si="0"/>
        <v>2.7574321413184055E-3</v>
      </c>
      <c r="E21" s="99">
        <f t="shared" si="1"/>
        <v>3.4465363106428448E-4</v>
      </c>
      <c r="F21" s="95"/>
      <c r="G21" s="761">
        <v>26046.95</v>
      </c>
      <c r="H21" s="99">
        <f t="shared" si="2"/>
        <v>3.10208577238269E-3</v>
      </c>
      <c r="J21" s="529"/>
      <c r="K21" s="529"/>
      <c r="L21" s="79"/>
      <c r="M21" s="809"/>
      <c r="N21" s="79"/>
      <c r="O21" s="79"/>
      <c r="P21" s="79"/>
      <c r="Q21" s="79"/>
      <c r="R21" s="79"/>
      <c r="S21" s="79"/>
      <c r="T21" s="79"/>
      <c r="U21" s="79"/>
      <c r="V21" s="79"/>
    </row>
    <row r="22" spans="2:22" ht="15">
      <c r="B22" s="762">
        <v>45789</v>
      </c>
      <c r="C22" s="761">
        <v>4189.3500000000004</v>
      </c>
      <c r="D22" s="99">
        <f t="shared" si="0"/>
        <v>2.8578794240047278E-2</v>
      </c>
      <c r="E22" s="99">
        <f t="shared" si="1"/>
        <v>-2.322308080718849E-2</v>
      </c>
      <c r="F22" s="95"/>
      <c r="G22" s="761">
        <v>26186.45</v>
      </c>
      <c r="H22" s="99">
        <f t="shared" si="2"/>
        <v>5.3557134328587885E-3</v>
      </c>
      <c r="J22" s="530"/>
      <c r="K22" s="530"/>
      <c r="L22" s="79"/>
      <c r="M22" s="809"/>
      <c r="N22" s="79"/>
      <c r="O22" s="79"/>
      <c r="P22" s="79"/>
      <c r="Q22" s="79"/>
      <c r="R22" s="79"/>
      <c r="S22" s="79"/>
      <c r="T22" s="79"/>
      <c r="U22" s="79"/>
      <c r="V22" s="79"/>
    </row>
    <row r="23" spans="2:22" ht="15">
      <c r="B23" s="762" t="s">
        <v>8865</v>
      </c>
      <c r="C23" s="761">
        <v>4250.8500000000004</v>
      </c>
      <c r="D23" s="99">
        <f t="shared" si="0"/>
        <v>1.4680081635575881E-2</v>
      </c>
      <c r="E23" s="99">
        <f t="shared" si="1"/>
        <v>-1.4049984772503521E-2</v>
      </c>
      <c r="F23" s="95"/>
      <c r="G23" s="761">
        <v>26202.95</v>
      </c>
      <c r="H23" s="99">
        <f t="shared" si="2"/>
        <v>6.3009686307236024E-4</v>
      </c>
      <c r="J23" s="530"/>
      <c r="K23" s="530"/>
      <c r="L23" s="79"/>
      <c r="M23" s="809"/>
      <c r="N23" s="79"/>
      <c r="O23" s="79"/>
      <c r="P23" s="79"/>
      <c r="Q23" s="79"/>
      <c r="R23" s="79"/>
      <c r="S23" s="79"/>
      <c r="T23" s="79"/>
      <c r="U23" s="79"/>
      <c r="V23" s="79"/>
    </row>
    <row r="24" spans="2:22" ht="15">
      <c r="B24" s="762" t="s">
        <v>8866</v>
      </c>
      <c r="C24" s="761">
        <v>4360.3999999999996</v>
      </c>
      <c r="D24" s="99">
        <f t="shared" si="0"/>
        <v>2.5771316324970206E-2</v>
      </c>
      <c r="E24" s="99">
        <f t="shared" si="1"/>
        <v>-3.091577525039646E-2</v>
      </c>
      <c r="F24" s="95"/>
      <c r="G24" s="761">
        <v>26068.15</v>
      </c>
      <c r="H24" s="99">
        <f t="shared" si="2"/>
        <v>-5.144458925426254E-3</v>
      </c>
      <c r="J24" s="530"/>
      <c r="K24" s="530"/>
      <c r="L24" s="79"/>
      <c r="M24" s="809"/>
      <c r="N24" s="79"/>
      <c r="O24" s="79"/>
      <c r="P24" s="79"/>
      <c r="Q24" s="79"/>
      <c r="R24" s="79"/>
      <c r="S24" s="79"/>
      <c r="T24" s="79"/>
      <c r="U24" s="79"/>
      <c r="V24" s="79"/>
    </row>
    <row r="25" spans="2:22" ht="15">
      <c r="B25" s="762" t="s">
        <v>8867</v>
      </c>
      <c r="C25" s="761">
        <v>4389.3999999999996</v>
      </c>
      <c r="D25" s="99">
        <f t="shared" si="0"/>
        <v>6.6507659847721001E-3</v>
      </c>
      <c r="E25" s="99">
        <f t="shared" si="1"/>
        <v>-1.2715638252271066E-2</v>
      </c>
      <c r="F25" s="95"/>
      <c r="G25" s="761">
        <v>25910.05</v>
      </c>
      <c r="H25" s="99">
        <f t="shared" si="2"/>
        <v>-6.0648722674989664E-3</v>
      </c>
      <c r="J25" s="530"/>
      <c r="K25" s="530"/>
      <c r="L25" s="79"/>
      <c r="M25" s="809"/>
      <c r="N25" s="79"/>
      <c r="O25" s="79"/>
      <c r="P25" s="79"/>
      <c r="Q25" s="79"/>
      <c r="R25" s="79"/>
      <c r="S25" s="79"/>
      <c r="T25" s="79"/>
      <c r="U25" s="79"/>
      <c r="V25" s="79"/>
    </row>
    <row r="26" spans="2:22" ht="15">
      <c r="B26" s="762">
        <v>45849</v>
      </c>
      <c r="C26" s="761">
        <v>4624.8500000000004</v>
      </c>
      <c r="D26" s="99">
        <f t="shared" si="0"/>
        <v>5.3640588690937463E-2</v>
      </c>
      <c r="E26" s="99">
        <f t="shared" si="1"/>
        <v>-6.9763676064369728E-2</v>
      </c>
      <c r="F26" s="95"/>
      <c r="G26" s="761">
        <v>25492.3</v>
      </c>
      <c r="H26" s="99">
        <f t="shared" si="2"/>
        <v>-1.6123087373432266E-2</v>
      </c>
      <c r="J26" s="530"/>
      <c r="K26" s="530"/>
      <c r="L26" s="79"/>
      <c r="M26" s="809"/>
      <c r="N26" s="79"/>
      <c r="O26" s="79"/>
      <c r="P26" s="79"/>
      <c r="Q26" s="79"/>
      <c r="R26" s="79"/>
      <c r="S26" s="79"/>
      <c r="T26" s="79"/>
      <c r="U26" s="79"/>
      <c r="V26" s="79"/>
    </row>
    <row r="27" spans="2:22" ht="15" hidden="1" outlineLevel="1">
      <c r="B27" s="762" t="s">
        <v>8868</v>
      </c>
      <c r="C27" s="761">
        <v>4693.6000000000004</v>
      </c>
      <c r="D27" s="99">
        <f t="shared" si="0"/>
        <v>1.4865346984226591E-2</v>
      </c>
      <c r="E27" s="99">
        <f t="shared" si="1"/>
        <v>-5.8508602568618784E-3</v>
      </c>
      <c r="F27" s="95"/>
      <c r="G27" s="761">
        <v>25722.1</v>
      </c>
      <c r="H27" s="99">
        <f t="shared" si="2"/>
        <v>9.0144867273647122E-3</v>
      </c>
      <c r="J27" s="79"/>
      <c r="K27" s="79"/>
      <c r="L27" s="79"/>
      <c r="M27" s="809"/>
      <c r="N27" s="79"/>
      <c r="O27" s="79"/>
      <c r="P27" s="79"/>
      <c r="Q27" s="79"/>
      <c r="R27" s="79"/>
      <c r="S27" s="79"/>
      <c r="T27" s="79"/>
      <c r="U27" s="79"/>
      <c r="V27" s="79"/>
    </row>
    <row r="28" spans="2:22" ht="15" hidden="1" outlineLevel="1">
      <c r="B28" s="762" t="s">
        <v>8869</v>
      </c>
      <c r="C28" s="761">
        <v>4788.55</v>
      </c>
      <c r="D28" s="99">
        <f t="shared" si="0"/>
        <v>2.0229674450315205E-2</v>
      </c>
      <c r="E28" s="99">
        <f t="shared" si="1"/>
        <v>-1.7389704152400043E-2</v>
      </c>
      <c r="F28" s="95"/>
      <c r="G28" s="761">
        <v>25795.15</v>
      </c>
      <c r="H28" s="99">
        <f t="shared" si="2"/>
        <v>2.839970297915162E-3</v>
      </c>
      <c r="J28" s="79"/>
      <c r="K28" s="79"/>
      <c r="L28" s="79"/>
      <c r="M28" s="809"/>
      <c r="N28" s="79"/>
      <c r="O28" s="79"/>
      <c r="P28" s="79"/>
      <c r="Q28" s="79"/>
      <c r="R28" s="79"/>
      <c r="S28" s="79"/>
      <c r="T28" s="79"/>
      <c r="U28" s="79"/>
      <c r="V28" s="79"/>
    </row>
    <row r="29" spans="2:22" ht="15" hidden="1" outlineLevel="2">
      <c r="B29" s="762" t="s">
        <v>8870</v>
      </c>
      <c r="C29" s="761">
        <v>4810.5</v>
      </c>
      <c r="D29" s="99">
        <f t="shared" si="0"/>
        <v>4.583851061386035E-3</v>
      </c>
      <c r="E29" s="99">
        <f t="shared" si="1"/>
        <v>-7.8906742432633958E-3</v>
      </c>
      <c r="F29" s="95"/>
      <c r="G29" s="761">
        <v>25709.85</v>
      </c>
      <c r="H29" s="99">
        <f t="shared" si="2"/>
        <v>-3.3068231818773608E-3</v>
      </c>
      <c r="J29" s="531"/>
      <c r="K29" s="531"/>
      <c r="L29" s="531"/>
      <c r="M29" s="809"/>
      <c r="N29" s="531"/>
      <c r="O29" s="531"/>
      <c r="P29" s="79"/>
      <c r="Q29" s="79"/>
      <c r="R29" s="79"/>
      <c r="S29" s="531"/>
      <c r="T29" s="531"/>
      <c r="U29" s="531"/>
      <c r="V29" s="79"/>
    </row>
    <row r="30" spans="2:22" ht="15" hidden="1" outlineLevel="2">
      <c r="B30" s="762">
        <v>45940</v>
      </c>
      <c r="C30" s="761">
        <v>4689.55</v>
      </c>
      <c r="D30" s="99">
        <f t="shared" si="0"/>
        <v>-2.5142916536742499E-2</v>
      </c>
      <c r="E30" s="99">
        <f t="shared" si="1"/>
        <v>8.6317350245983526E-3</v>
      </c>
      <c r="F30" s="95"/>
      <c r="G30" s="761">
        <v>25285.35</v>
      </c>
      <c r="H30" s="99">
        <f t="shared" si="2"/>
        <v>-1.6511181512144146E-2</v>
      </c>
      <c r="J30" s="530"/>
      <c r="K30" s="530"/>
      <c r="L30" s="530"/>
      <c r="M30" s="809"/>
      <c r="N30" s="530"/>
      <c r="O30" s="530"/>
      <c r="P30" s="79"/>
      <c r="Q30" s="79"/>
      <c r="R30" s="79"/>
      <c r="S30" s="530"/>
      <c r="T30" s="530"/>
      <c r="U30" s="530"/>
      <c r="V30" s="79"/>
    </row>
    <row r="31" spans="2:22" ht="15" hidden="1" outlineLevel="2">
      <c r="B31" s="762">
        <v>45726</v>
      </c>
      <c r="C31" s="761">
        <v>4814.8999999999996</v>
      </c>
      <c r="D31" s="99">
        <f t="shared" si="0"/>
        <v>2.6729643569212369E-2</v>
      </c>
      <c r="E31" s="99">
        <f t="shared" si="1"/>
        <v>-4.2197098043838976E-2</v>
      </c>
      <c r="F31" s="95"/>
      <c r="G31" s="761">
        <v>24894.25</v>
      </c>
      <c r="H31" s="99">
        <f t="shared" si="2"/>
        <v>-1.5467454474626607E-2</v>
      </c>
      <c r="J31" s="530"/>
      <c r="K31" s="530"/>
      <c r="L31" s="530"/>
      <c r="M31" s="809"/>
      <c r="N31" s="530"/>
      <c r="O31" s="530"/>
      <c r="P31" s="79"/>
      <c r="Q31" s="79"/>
      <c r="R31" s="79"/>
      <c r="S31" s="530"/>
      <c r="T31" s="530"/>
      <c r="U31" s="530"/>
      <c r="V31" s="79"/>
    </row>
    <row r="32" spans="2:22" ht="15" hidden="1" outlineLevel="2">
      <c r="B32" s="762" t="s">
        <v>8871</v>
      </c>
      <c r="C32" s="761">
        <v>4681.3500000000004</v>
      </c>
      <c r="D32" s="99">
        <f t="shared" si="0"/>
        <v>-2.7736816964007427E-2</v>
      </c>
      <c r="E32" s="99">
        <f t="shared" si="1"/>
        <v>1.8114112925926351E-2</v>
      </c>
      <c r="F32" s="95"/>
      <c r="G32" s="761">
        <v>24654.7</v>
      </c>
      <c r="H32" s="99">
        <f t="shared" si="2"/>
        <v>-9.6227040380810758E-3</v>
      </c>
      <c r="J32" s="530"/>
      <c r="K32" s="530"/>
      <c r="L32" s="530"/>
      <c r="M32" s="809"/>
      <c r="N32" s="530"/>
      <c r="O32" s="530"/>
      <c r="P32" s="79"/>
      <c r="Q32" s="79"/>
      <c r="R32" s="79"/>
      <c r="S32" s="79"/>
    </row>
    <row r="33" spans="2:22" ht="15" hidden="1" outlineLevel="2">
      <c r="B33" s="762" t="s">
        <v>8872</v>
      </c>
      <c r="C33" s="761">
        <v>5079.45</v>
      </c>
      <c r="D33" s="99">
        <f t="shared" si="0"/>
        <v>8.503957191835676E-2</v>
      </c>
      <c r="E33" s="99">
        <f t="shared" si="1"/>
        <v>-5.7768909529441137E-2</v>
      </c>
      <c r="F33" s="95"/>
      <c r="G33" s="761">
        <v>25327.05</v>
      </c>
      <c r="H33" s="99">
        <f t="shared" si="2"/>
        <v>2.7270662388915623E-2</v>
      </c>
      <c r="J33" s="79"/>
      <c r="K33" s="79"/>
      <c r="L33" s="79"/>
      <c r="M33" s="809"/>
      <c r="N33" s="79"/>
      <c r="O33" s="79"/>
      <c r="P33" s="79"/>
      <c r="Q33" s="79"/>
      <c r="R33" s="79"/>
      <c r="S33" s="79"/>
    </row>
    <row r="34" spans="2:22" ht="15" hidden="1" outlineLevel="2">
      <c r="B34" s="762">
        <v>46000</v>
      </c>
      <c r="C34" s="761">
        <v>5128.75</v>
      </c>
      <c r="D34" s="99">
        <f t="shared" si="0"/>
        <v>9.7057752315703461E-3</v>
      </c>
      <c r="E34" s="99">
        <f t="shared" si="1"/>
        <v>-1.8117730038782365E-2</v>
      </c>
      <c r="F34" s="95"/>
      <c r="G34" s="761">
        <v>25114</v>
      </c>
      <c r="H34" s="99">
        <f t="shared" si="2"/>
        <v>-8.4119548072120187E-3</v>
      </c>
      <c r="J34" s="531"/>
      <c r="K34" s="531"/>
      <c r="L34" s="531"/>
      <c r="M34" s="809"/>
      <c r="N34" s="531"/>
      <c r="O34" s="531"/>
      <c r="P34" s="531"/>
      <c r="Q34" s="531"/>
      <c r="R34" s="531"/>
      <c r="S34" s="79"/>
    </row>
    <row r="35" spans="2:22" ht="15" hidden="1" outlineLevel="2">
      <c r="B35" s="762">
        <v>45786</v>
      </c>
      <c r="C35" s="761">
        <v>5523.8</v>
      </c>
      <c r="D35" s="99">
        <f t="shared" si="0"/>
        <v>7.7026565927370338E-2</v>
      </c>
      <c r="E35" s="99">
        <f t="shared" si="1"/>
        <v>-9.1878839559607295E-2</v>
      </c>
      <c r="F35" s="95"/>
      <c r="G35" s="761">
        <v>24741</v>
      </c>
      <c r="H35" s="99">
        <f t="shared" si="2"/>
        <v>-1.4852273632236956E-2</v>
      </c>
      <c r="J35" s="530"/>
      <c r="K35" s="530"/>
      <c r="L35" s="530"/>
      <c r="M35" s="809"/>
      <c r="N35" s="530"/>
      <c r="O35" s="530"/>
      <c r="P35" s="530"/>
      <c r="Q35" s="530"/>
      <c r="R35" s="530"/>
      <c r="S35" s="79"/>
      <c r="T35" s="79"/>
      <c r="U35" s="79"/>
      <c r="V35" s="79"/>
    </row>
    <row r="36" spans="2:22" ht="15" hidden="1" outlineLevel="2">
      <c r="B36" s="762" t="s">
        <v>8873</v>
      </c>
      <c r="C36" s="761">
        <v>5305</v>
      </c>
      <c r="D36" s="99">
        <f t="shared" si="0"/>
        <v>-3.9610413121402011E-2</v>
      </c>
      <c r="E36" s="99">
        <f t="shared" si="1"/>
        <v>2.6912866538806313E-2</v>
      </c>
      <c r="F36" s="95"/>
      <c r="G36" s="761">
        <v>24426.85</v>
      </c>
      <c r="H36" s="99">
        <f t="shared" si="2"/>
        <v>-1.2697546582595698E-2</v>
      </c>
      <c r="J36" s="530"/>
      <c r="K36" s="530"/>
      <c r="L36" s="530"/>
      <c r="M36" s="809"/>
      <c r="N36" s="530"/>
      <c r="O36" s="530"/>
      <c r="P36" s="530"/>
      <c r="Q36" s="530"/>
      <c r="R36" s="530"/>
      <c r="S36" s="79"/>
      <c r="T36" s="79"/>
      <c r="U36" s="79"/>
      <c r="V36" s="79"/>
    </row>
    <row r="37" spans="2:22" ht="15" hidden="1" outlineLevel="2">
      <c r="B37" s="762" t="s">
        <v>8874</v>
      </c>
      <c r="C37" s="761">
        <v>5414.6</v>
      </c>
      <c r="D37" s="99">
        <f t="shared" si="0"/>
        <v>2.065975494816219E-2</v>
      </c>
      <c r="E37" s="99">
        <f t="shared" si="1"/>
        <v>-2.5137393956042864E-3</v>
      </c>
      <c r="F37" s="95"/>
      <c r="G37" s="761">
        <v>24870.1</v>
      </c>
      <c r="H37" s="99">
        <f t="shared" si="2"/>
        <v>1.8146015552557904E-2</v>
      </c>
      <c r="M37" s="809"/>
      <c r="N37" s="71"/>
      <c r="O37" s="71"/>
      <c r="P37" s="71"/>
      <c r="Q37" s="71"/>
      <c r="R37" s="71"/>
      <c r="S37" s="79"/>
      <c r="T37" s="79"/>
      <c r="U37" s="79"/>
      <c r="V37" s="79"/>
    </row>
    <row r="38" spans="2:22" ht="15" hidden="1" outlineLevel="2">
      <c r="B38" s="762" t="s">
        <v>167</v>
      </c>
      <c r="C38" s="761">
        <v>5369.15</v>
      </c>
      <c r="D38" s="99">
        <f t="shared" si="0"/>
        <v>-8.3939718538766916E-3</v>
      </c>
      <c r="E38" s="99">
        <f t="shared" si="1"/>
        <v>-1.2079195739824744E-3</v>
      </c>
      <c r="F38" s="95"/>
      <c r="G38" s="761">
        <v>24631.3</v>
      </c>
      <c r="H38" s="99">
        <f t="shared" si="2"/>
        <v>-9.6018914278591661E-3</v>
      </c>
      <c r="M38" s="809"/>
      <c r="N38" s="71"/>
      <c r="O38" s="71"/>
      <c r="P38" s="71"/>
      <c r="Q38" s="71"/>
      <c r="R38" s="71"/>
      <c r="S38" s="79"/>
      <c r="T38" s="79"/>
      <c r="U38" s="79"/>
      <c r="V38" s="79"/>
    </row>
    <row r="39" spans="2:22" ht="15" hidden="1" outlineLevel="2">
      <c r="B39" s="762">
        <v>45877</v>
      </c>
      <c r="C39" s="761">
        <v>5312</v>
      </c>
      <c r="D39" s="99">
        <f t="shared" si="0"/>
        <v>-1.0644142927651479E-2</v>
      </c>
      <c r="E39" s="99">
        <f t="shared" si="1"/>
        <v>-2.3632217163271907E-4</v>
      </c>
      <c r="F39" s="95"/>
      <c r="G39" s="761">
        <v>24363.3</v>
      </c>
      <c r="H39" s="99">
        <f t="shared" si="2"/>
        <v>-1.0880465099284198E-2</v>
      </c>
      <c r="M39" s="809"/>
      <c r="N39" s="71"/>
      <c r="O39" s="71"/>
      <c r="P39" s="71"/>
      <c r="Q39" s="71"/>
      <c r="R39" s="71"/>
    </row>
    <row r="40" spans="2:22" ht="15" hidden="1" outlineLevel="2">
      <c r="B40" s="762">
        <v>45665</v>
      </c>
      <c r="C40" s="761">
        <v>5182.05</v>
      </c>
      <c r="D40" s="99">
        <f t="shared" si="0"/>
        <v>-2.4463478915662584E-2</v>
      </c>
      <c r="E40" s="99">
        <f t="shared" si="1"/>
        <v>3.2756690426418489E-2</v>
      </c>
      <c r="F40" s="95"/>
      <c r="G40" s="761">
        <v>24565.35</v>
      </c>
      <c r="H40" s="99">
        <f t="shared" si="2"/>
        <v>8.2932115107559046E-3</v>
      </c>
      <c r="M40" s="809"/>
    </row>
    <row r="41" spans="2:22" ht="15" hidden="1" outlineLevel="2">
      <c r="B41" s="762" t="s">
        <v>168</v>
      </c>
      <c r="C41" s="761">
        <v>5041.1499999999996</v>
      </c>
      <c r="D41" s="99">
        <f t="shared" si="0"/>
        <v>-2.7190011674916414E-2</v>
      </c>
      <c r="E41" s="99">
        <f t="shared" si="1"/>
        <v>3.8248270563961517E-2</v>
      </c>
      <c r="F41" s="95"/>
      <c r="G41" s="761">
        <v>24837</v>
      </c>
      <c r="H41" s="99">
        <f t="shared" si="2"/>
        <v>1.1058258889045103E-2</v>
      </c>
      <c r="M41" s="809"/>
    </row>
    <row r="42" spans="2:22" ht="15" hidden="1" outlineLevel="2">
      <c r="B42" s="762" t="s">
        <v>169</v>
      </c>
      <c r="C42" s="761">
        <v>5370.65</v>
      </c>
      <c r="D42" s="99">
        <f t="shared" si="0"/>
        <v>6.5362070162562125E-2</v>
      </c>
      <c r="E42" s="99">
        <f t="shared" si="1"/>
        <v>-6.0071576141545124E-2</v>
      </c>
      <c r="F42" s="95"/>
      <c r="G42" s="761">
        <v>24968.400000000001</v>
      </c>
      <c r="H42" s="99">
        <f t="shared" si="2"/>
        <v>5.2904940210170004E-3</v>
      </c>
      <c r="M42" s="809"/>
    </row>
    <row r="43" spans="2:22" ht="15" hidden="1" outlineLevel="2">
      <c r="B43" s="762">
        <v>45968</v>
      </c>
      <c r="C43" s="761">
        <v>5352.4</v>
      </c>
      <c r="D43" s="99">
        <f t="shared" si="0"/>
        <v>-3.3980989265731676E-3</v>
      </c>
      <c r="E43" s="99">
        <f t="shared" si="1"/>
        <v>1.0665284649326701E-2</v>
      </c>
      <c r="F43" s="95"/>
      <c r="G43" s="761">
        <v>25149.85</v>
      </c>
      <c r="H43" s="99">
        <f t="shared" si="2"/>
        <v>7.267185722753533E-3</v>
      </c>
      <c r="M43" s="809"/>
    </row>
    <row r="44" spans="2:22" ht="15" hidden="1" outlineLevel="2">
      <c r="B44" s="762">
        <v>45754</v>
      </c>
      <c r="C44" s="761">
        <v>5448.65</v>
      </c>
      <c r="D44" s="99">
        <f t="shared" si="0"/>
        <v>1.7982587250579218E-2</v>
      </c>
      <c r="E44" s="99">
        <f t="shared" si="1"/>
        <v>-5.6107440785522211E-3</v>
      </c>
      <c r="F44" s="95"/>
      <c r="G44" s="761">
        <v>25461</v>
      </c>
      <c r="H44" s="99">
        <f t="shared" si="2"/>
        <v>1.2371843172026997E-2</v>
      </c>
      <c r="M44" s="809"/>
      <c r="O44" s="532"/>
    </row>
    <row r="45" spans="2:22" ht="15" hidden="1" outlineLevel="2">
      <c r="B45" s="762" t="s">
        <v>170</v>
      </c>
      <c r="C45" s="761">
        <v>6018.2</v>
      </c>
      <c r="D45" s="99">
        <f t="shared" si="0"/>
        <v>0.1045304800271627</v>
      </c>
      <c r="E45" s="99">
        <f t="shared" si="1"/>
        <v>-9.7586526529656714E-2</v>
      </c>
      <c r="F45" s="95"/>
      <c r="G45" s="761">
        <v>25637.8</v>
      </c>
      <c r="H45" s="99">
        <f t="shared" si="2"/>
        <v>6.9439534975059836E-3</v>
      </c>
      <c r="M45" s="809"/>
      <c r="O45" s="532"/>
    </row>
    <row r="46" spans="2:22" ht="15" hidden="1" outlineLevel="2">
      <c r="B46" s="762" t="s">
        <v>171</v>
      </c>
      <c r="C46" s="761">
        <v>5906.95</v>
      </c>
      <c r="D46" s="99">
        <f t="shared" si="0"/>
        <v>-1.8485593699112735E-2</v>
      </c>
      <c r="E46" s="99">
        <f t="shared" si="1"/>
        <v>-2.0075843426848872E-3</v>
      </c>
      <c r="F46" s="95"/>
      <c r="G46" s="761">
        <v>25112.400000000001</v>
      </c>
      <c r="H46" s="99">
        <f t="shared" si="2"/>
        <v>-2.0493178041797622E-2</v>
      </c>
      <c r="M46" s="809"/>
      <c r="O46" s="532"/>
    </row>
    <row r="47" spans="2:22" ht="15" hidden="1" outlineLevel="2">
      <c r="B47" s="762" t="s">
        <v>172</v>
      </c>
      <c r="C47" s="761">
        <v>5588.65</v>
      </c>
      <c r="D47" s="99">
        <f t="shared" si="0"/>
        <v>-5.3885677041451197E-2</v>
      </c>
      <c r="E47" s="99">
        <f t="shared" si="1"/>
        <v>3.8204181047440167E-2</v>
      </c>
      <c r="F47" s="95"/>
      <c r="G47" s="761">
        <v>24718.6</v>
      </c>
      <c r="H47" s="99">
        <f t="shared" si="2"/>
        <v>-1.568149599401103E-2</v>
      </c>
      <c r="M47" s="809"/>
      <c r="O47" s="532"/>
    </row>
    <row r="48" spans="2:22" ht="15" hidden="1" outlineLevel="2">
      <c r="B48" s="762">
        <v>45814</v>
      </c>
      <c r="C48" s="761">
        <v>5775.65</v>
      </c>
      <c r="D48" s="99">
        <f t="shared" si="0"/>
        <v>3.3460674760452003E-2</v>
      </c>
      <c r="E48" s="99">
        <f t="shared" si="1"/>
        <v>-2.1953146016914671E-2</v>
      </c>
      <c r="F48" s="95"/>
      <c r="G48" s="761">
        <v>25003.05</v>
      </c>
      <c r="H48" s="99">
        <f t="shared" si="2"/>
        <v>1.1507528743537332E-2</v>
      </c>
      <c r="M48" s="809"/>
      <c r="O48" s="532"/>
    </row>
    <row r="49" spans="2:15" ht="15" hidden="1" outlineLevel="2">
      <c r="B49" s="762" t="s">
        <v>173</v>
      </c>
      <c r="C49" s="761">
        <v>5641.65</v>
      </c>
      <c r="D49" s="99">
        <f t="shared" si="0"/>
        <v>-2.3200851852172466E-2</v>
      </c>
      <c r="E49" s="99">
        <f t="shared" si="1"/>
        <v>1.3108083169951712E-2</v>
      </c>
      <c r="F49" s="95"/>
      <c r="G49" s="761">
        <v>24750.7</v>
      </c>
      <c r="H49" s="99">
        <f t="shared" si="2"/>
        <v>-1.0092768682220754E-2</v>
      </c>
      <c r="M49" s="809"/>
      <c r="O49" s="532"/>
    </row>
    <row r="50" spans="2:15" ht="15" hidden="1" outlineLevel="2">
      <c r="B50" s="762" t="s">
        <v>174</v>
      </c>
      <c r="C50" s="761">
        <v>5433.85</v>
      </c>
      <c r="D50" s="99">
        <f t="shared" si="0"/>
        <v>-3.6833195962174048E-2</v>
      </c>
      <c r="E50" s="99">
        <f t="shared" si="1"/>
        <v>4.0972472831111051E-2</v>
      </c>
      <c r="F50" s="95"/>
      <c r="G50" s="761">
        <v>24853.15</v>
      </c>
      <c r="H50" s="99">
        <f t="shared" si="2"/>
        <v>4.139276868937003E-3</v>
      </c>
      <c r="M50" s="809"/>
      <c r="O50" s="532"/>
    </row>
    <row r="51" spans="2:15" ht="15" hidden="1" outlineLevel="2">
      <c r="B51" s="762" t="s">
        <v>175</v>
      </c>
      <c r="C51" s="761">
        <v>5584.15</v>
      </c>
      <c r="D51" s="99">
        <f t="shared" si="0"/>
        <v>2.7659946446810135E-2</v>
      </c>
      <c r="E51" s="99">
        <f t="shared" si="1"/>
        <v>-2.0954559000953221E-2</v>
      </c>
      <c r="F51" s="95"/>
      <c r="G51" s="761">
        <v>25019.8</v>
      </c>
      <c r="H51" s="99">
        <f t="shared" si="2"/>
        <v>6.705387445856914E-3</v>
      </c>
      <c r="M51" s="809"/>
      <c r="O51" s="532"/>
    </row>
    <row r="52" spans="2:15" ht="15" hidden="1" outlineLevel="2">
      <c r="B52" s="762">
        <v>45905</v>
      </c>
      <c r="C52" s="761">
        <v>5114.1499999999996</v>
      </c>
      <c r="D52" s="99">
        <f t="shared" si="0"/>
        <v>-8.4166793513784532E-2</v>
      </c>
      <c r="E52" s="99">
        <f t="shared" si="1"/>
        <v>4.3726821971246221E-2</v>
      </c>
      <c r="F52" s="95"/>
      <c r="G52" s="761">
        <v>24008</v>
      </c>
      <c r="H52" s="99">
        <f t="shared" si="2"/>
        <v>-4.0439971542538311E-2</v>
      </c>
      <c r="M52" s="809"/>
      <c r="O52" s="532"/>
    </row>
    <row r="53" spans="2:15" ht="15" hidden="1" outlineLevel="2">
      <c r="B53" s="762">
        <v>45693</v>
      </c>
      <c r="C53" s="761">
        <v>5145.75</v>
      </c>
      <c r="D53" s="99">
        <f t="shared" si="0"/>
        <v>6.1789349158707374E-3</v>
      </c>
      <c r="E53" s="99">
        <f t="shared" si="1"/>
        <v>7.9288624849955802E-3</v>
      </c>
      <c r="F53" s="95"/>
      <c r="G53" s="761">
        <v>24346.7</v>
      </c>
      <c r="H53" s="99">
        <f t="shared" si="2"/>
        <v>1.4107797400866318E-2</v>
      </c>
      <c r="M53" s="809"/>
      <c r="O53" s="532"/>
    </row>
    <row r="54" spans="2:15" ht="15" hidden="1" outlineLevel="2">
      <c r="B54" s="762" t="s">
        <v>176</v>
      </c>
      <c r="C54" s="761">
        <v>5139.3999999999996</v>
      </c>
      <c r="D54" s="99">
        <f t="shared" si="0"/>
        <v>-1.2340280814264748E-3</v>
      </c>
      <c r="E54" s="99">
        <f t="shared" si="1"/>
        <v>-1.1389859344795639E-2</v>
      </c>
      <c r="F54" s="95"/>
      <c r="G54" s="761">
        <v>24039.35</v>
      </c>
      <c r="H54" s="99">
        <f t="shared" si="2"/>
        <v>-1.2623887426222113E-2</v>
      </c>
      <c r="M54" s="809"/>
      <c r="O54" s="532"/>
    </row>
    <row r="55" spans="2:15" ht="15" hidden="1" outlineLevel="2">
      <c r="B55" s="762" t="s">
        <v>177</v>
      </c>
      <c r="C55" s="761">
        <v>5130.55</v>
      </c>
      <c r="D55" s="99">
        <f t="shared" si="0"/>
        <v>-1.7219908938785888E-3</v>
      </c>
      <c r="E55" s="99">
        <f t="shared" si="1"/>
        <v>-6.0860405212801449E-3</v>
      </c>
      <c r="F55" s="95"/>
      <c r="G55" s="761">
        <v>23851.65</v>
      </c>
      <c r="H55" s="99">
        <f t="shared" si="2"/>
        <v>-7.8080314151587338E-3</v>
      </c>
      <c r="M55" s="809"/>
      <c r="O55" s="532"/>
    </row>
    <row r="56" spans="2:15" ht="15" hidden="1" outlineLevel="2">
      <c r="B56" s="762">
        <v>45965</v>
      </c>
      <c r="C56" s="761">
        <v>4780.05</v>
      </c>
      <c r="D56" s="99">
        <f t="shared" si="0"/>
        <v>-6.8316262389022664E-2</v>
      </c>
      <c r="E56" s="99">
        <f t="shared" si="1"/>
        <v>2.5421955286578979E-2</v>
      </c>
      <c r="F56" s="95"/>
      <c r="G56" s="761">
        <v>22828.55</v>
      </c>
      <c r="H56" s="99">
        <f t="shared" si="2"/>
        <v>-4.2894307102443685E-2</v>
      </c>
      <c r="M56" s="809"/>
      <c r="O56" s="532"/>
    </row>
    <row r="57" spans="2:15" ht="15" hidden="1" outlineLevel="2">
      <c r="B57" s="762">
        <v>45751</v>
      </c>
      <c r="C57" s="761">
        <v>5561.25</v>
      </c>
      <c r="D57" s="99">
        <f t="shared" si="0"/>
        <v>0.16342925283208332</v>
      </c>
      <c r="E57" s="99">
        <f t="shared" si="1"/>
        <v>-0.16010446873497686</v>
      </c>
      <c r="F57" s="95"/>
      <c r="G57" s="761">
        <v>22904.45</v>
      </c>
      <c r="H57" s="99">
        <f t="shared" si="2"/>
        <v>3.3247840971064591E-3</v>
      </c>
      <c r="M57" s="809"/>
      <c r="O57" s="532"/>
    </row>
    <row r="58" spans="2:15" ht="15" hidden="1" outlineLevel="2">
      <c r="B58" s="762" t="s">
        <v>178</v>
      </c>
      <c r="C58" s="761">
        <v>5311.05</v>
      </c>
      <c r="D58" s="99">
        <f t="shared" si="0"/>
        <v>-4.4989885367498261E-2</v>
      </c>
      <c r="E58" s="99">
        <f t="shared" si="1"/>
        <v>7.1836196892114512E-2</v>
      </c>
      <c r="F58" s="95"/>
      <c r="G58" s="761">
        <v>23519.35</v>
      </c>
      <c r="H58" s="99">
        <f t="shared" si="2"/>
        <v>2.6846311524616251E-2</v>
      </c>
      <c r="M58" s="809"/>
      <c r="O58" s="532"/>
    </row>
    <row r="59" spans="2:15" ht="15" hidden="1" outlineLevel="2">
      <c r="B59" s="762" t="s">
        <v>179</v>
      </c>
      <c r="C59" s="761">
        <v>5147.6499999999996</v>
      </c>
      <c r="D59" s="99">
        <f t="shared" si="0"/>
        <v>-3.0766044379171853E-2</v>
      </c>
      <c r="E59" s="99">
        <f t="shared" si="1"/>
        <v>2.358259755772496E-2</v>
      </c>
      <c r="F59" s="95"/>
      <c r="G59" s="761">
        <v>23350.400000000001</v>
      </c>
      <c r="H59" s="99">
        <f t="shared" si="2"/>
        <v>-7.1834468214468927E-3</v>
      </c>
      <c r="M59" s="809"/>
      <c r="O59" s="532"/>
    </row>
    <row r="60" spans="2:15" ht="15" hidden="1" outlineLevel="1" collapsed="1">
      <c r="B60" s="762" t="s">
        <v>180</v>
      </c>
      <c r="C60" s="761">
        <v>5025.5</v>
      </c>
      <c r="D60" s="99">
        <f t="shared" si="0"/>
        <v>-2.3729274523326072E-2</v>
      </c>
      <c r="E60" s="99">
        <f t="shared" si="1"/>
        <v>-1.7092295985102091E-2</v>
      </c>
      <c r="F60" s="95"/>
      <c r="G60" s="761">
        <v>22397.200000000001</v>
      </c>
      <c r="H60" s="99">
        <f t="shared" si="2"/>
        <v>-4.0821570508428162E-2</v>
      </c>
      <c r="M60" s="809"/>
      <c r="O60" s="532"/>
    </row>
    <row r="61" spans="2:15" ht="15" hidden="1" outlineLevel="1">
      <c r="B61" s="762">
        <v>45841</v>
      </c>
      <c r="C61" s="761">
        <v>4997.3500000000004</v>
      </c>
      <c r="D61" s="99">
        <f t="shared" si="0"/>
        <v>-5.6014326932642966E-3</v>
      </c>
      <c r="E61" s="99">
        <f t="shared" si="1"/>
        <v>1.2535335145356541E-2</v>
      </c>
      <c r="F61" s="95"/>
      <c r="G61" s="761">
        <v>22552.5</v>
      </c>
      <c r="H61" s="99">
        <f t="shared" si="2"/>
        <v>6.9339024520922443E-3</v>
      </c>
      <c r="M61" s="809"/>
      <c r="O61" s="532"/>
    </row>
    <row r="62" spans="2:15" ht="15" hidden="1" outlineLevel="1">
      <c r="B62" s="762" t="s">
        <v>181</v>
      </c>
      <c r="C62" s="761">
        <v>4853.3</v>
      </c>
      <c r="D62" s="99">
        <f t="shared" si="0"/>
        <v>-2.8825277397020455E-2</v>
      </c>
      <c r="E62" s="99">
        <f t="shared" si="1"/>
        <v>9.8562052320719795E-3</v>
      </c>
      <c r="F62" s="95"/>
      <c r="G62" s="761">
        <v>22124.7</v>
      </c>
      <c r="H62" s="99">
        <f t="shared" si="2"/>
        <v>-1.8969072164948475E-2</v>
      </c>
      <c r="M62" s="809"/>
      <c r="O62" s="532"/>
    </row>
    <row r="63" spans="2:15" ht="15" hidden="1" outlineLevel="1">
      <c r="B63" s="762" t="s">
        <v>182</v>
      </c>
      <c r="C63" s="761">
        <v>5045.8500000000004</v>
      </c>
      <c r="D63" s="99">
        <f t="shared" si="0"/>
        <v>3.9674036222776321E-2</v>
      </c>
      <c r="E63" s="99">
        <f t="shared" si="1"/>
        <v>-9.3369017079580896E-3</v>
      </c>
      <c r="F63" s="95"/>
      <c r="G63" s="761">
        <v>22795.9</v>
      </c>
      <c r="H63" s="99">
        <f t="shared" si="2"/>
        <v>3.0337134514818231E-2</v>
      </c>
      <c r="M63" s="809"/>
      <c r="O63" s="532"/>
    </row>
    <row r="64" spans="2:15" ht="15" hidden="1" outlineLevel="1">
      <c r="B64" s="762" t="s">
        <v>183</v>
      </c>
      <c r="C64" s="761">
        <v>5116.75</v>
      </c>
      <c r="D64" s="99">
        <f t="shared" si="0"/>
        <v>1.4051150945826762E-2</v>
      </c>
      <c r="E64" s="99">
        <f t="shared" si="1"/>
        <v>-8.2014148090654437E-3</v>
      </c>
      <c r="F64" s="95"/>
      <c r="G64" s="761">
        <v>22929.25</v>
      </c>
      <c r="H64" s="99">
        <f t="shared" si="2"/>
        <v>5.8497361367613188E-3</v>
      </c>
      <c r="M64" s="809"/>
      <c r="O64" s="532"/>
    </row>
    <row r="65" spans="2:15" ht="15" hidden="1" outlineLevel="1">
      <c r="B65" s="762">
        <v>45840</v>
      </c>
      <c r="C65" s="761">
        <v>5455.5</v>
      </c>
      <c r="D65" s="99">
        <f t="shared" si="0"/>
        <v>6.6204133483168004E-2</v>
      </c>
      <c r="E65" s="99">
        <f t="shared" si="1"/>
        <v>-3.8697782425021643E-2</v>
      </c>
      <c r="F65" s="95"/>
      <c r="G65" s="761">
        <v>23559.95</v>
      </c>
      <c r="H65" s="99">
        <f t="shared" si="2"/>
        <v>2.7506351058146361E-2</v>
      </c>
      <c r="M65" s="809"/>
      <c r="O65" s="532"/>
    </row>
    <row r="66" spans="2:15" ht="15" hidden="1" outlineLevel="1">
      <c r="B66" s="762" t="s">
        <v>184</v>
      </c>
      <c r="C66" s="761">
        <v>5753.8</v>
      </c>
      <c r="D66" s="99">
        <f t="shared" si="0"/>
        <v>5.467876454953724E-2</v>
      </c>
      <c r="E66" s="99">
        <f t="shared" si="1"/>
        <v>-5.6866799753347075E-2</v>
      </c>
      <c r="F66" s="95"/>
      <c r="G66" s="761">
        <v>23508.400000000001</v>
      </c>
      <c r="H66" s="99">
        <f t="shared" si="2"/>
        <v>-2.188035203809835E-3</v>
      </c>
      <c r="M66" s="809"/>
      <c r="O66" s="532"/>
    </row>
    <row r="67" spans="2:15" ht="15" hidden="1" outlineLevel="1">
      <c r="B67" s="762" t="s">
        <v>185</v>
      </c>
      <c r="C67" s="761">
        <v>5489.7</v>
      </c>
      <c r="D67" s="99">
        <f t="shared" si="0"/>
        <v>-4.5900100802947708E-2</v>
      </c>
      <c r="E67" s="99">
        <f t="shared" si="1"/>
        <v>2.8195790854163461E-2</v>
      </c>
      <c r="F67" s="95"/>
      <c r="G67" s="761">
        <v>23092.2</v>
      </c>
      <c r="H67" s="99">
        <f t="shared" si="2"/>
        <v>-1.7704309948784247E-2</v>
      </c>
      <c r="M67" s="809"/>
      <c r="O67" s="532"/>
    </row>
    <row r="68" spans="2:15" ht="15" hidden="1" outlineLevel="1">
      <c r="B68" s="762" t="s">
        <v>186</v>
      </c>
      <c r="C68" s="761">
        <v>6214.2</v>
      </c>
      <c r="D68" s="99">
        <f t="shared" si="0"/>
        <v>0.13197442483195809</v>
      </c>
      <c r="E68" s="99">
        <f t="shared" si="1"/>
        <v>-0.12716760694539908</v>
      </c>
      <c r="F68" s="95"/>
      <c r="G68" s="761">
        <v>23203.200000000001</v>
      </c>
      <c r="H68" s="99">
        <f t="shared" si="2"/>
        <v>4.8068178865590117E-3</v>
      </c>
      <c r="M68" s="809"/>
      <c r="O68" s="532"/>
    </row>
    <row r="69" spans="2:15" ht="15" hidden="1" outlineLevel="1">
      <c r="B69" s="762">
        <v>45931</v>
      </c>
      <c r="C69" s="761">
        <v>6581.95</v>
      </c>
      <c r="D69" s="99">
        <f t="shared" si="0"/>
        <v>5.9178977181294501E-2</v>
      </c>
      <c r="E69" s="99">
        <f t="shared" si="1"/>
        <v>-4.9339817065448432E-2</v>
      </c>
      <c r="F69" s="95"/>
      <c r="G69" s="761">
        <v>23431.5</v>
      </c>
      <c r="H69" s="99">
        <f t="shared" si="2"/>
        <v>9.8391601158460684E-3</v>
      </c>
      <c r="M69" s="809"/>
      <c r="O69" s="532"/>
    </row>
    <row r="70" spans="2:15" ht="15" hidden="1" outlineLevel="1">
      <c r="B70" s="762">
        <v>45717</v>
      </c>
      <c r="C70" s="761">
        <v>7306.6</v>
      </c>
      <c r="D70" s="99">
        <f t="shared" si="0"/>
        <v>0.11009655193369761</v>
      </c>
      <c r="E70" s="99">
        <f t="shared" si="1"/>
        <v>-8.5631622245030625E-2</v>
      </c>
      <c r="F70" s="95"/>
      <c r="G70" s="761">
        <v>24004.75</v>
      </c>
      <c r="H70" s="99">
        <f t="shared" si="2"/>
        <v>2.4464929688666981E-2</v>
      </c>
      <c r="M70" s="809"/>
      <c r="O70" s="532"/>
    </row>
    <row r="71" spans="2:15" ht="15" hidden="1" outlineLevel="1">
      <c r="B71" s="762" t="s">
        <v>187</v>
      </c>
      <c r="C71" s="761">
        <v>7118.8</v>
      </c>
      <c r="D71" s="99">
        <f t="shared" si="0"/>
        <v>-2.5702789259026138E-2</v>
      </c>
      <c r="E71" s="99">
        <f t="shared" si="1"/>
        <v>1.7731450253204439E-2</v>
      </c>
      <c r="F71" s="95"/>
      <c r="G71" s="761">
        <v>23813.4</v>
      </c>
      <c r="H71" s="99">
        <f t="shared" si="2"/>
        <v>-7.9713390058216982E-3</v>
      </c>
      <c r="M71" s="809"/>
      <c r="O71" s="532"/>
    </row>
    <row r="72" spans="2:15" ht="15" hidden="1" outlineLevel="1">
      <c r="B72" s="762" t="s">
        <v>188</v>
      </c>
      <c r="C72" s="761">
        <v>6829</v>
      </c>
      <c r="D72" s="99">
        <f t="shared" si="0"/>
        <v>-4.0709108276675843E-2</v>
      </c>
      <c r="E72" s="99">
        <f t="shared" si="1"/>
        <v>3.1222852639093635E-2</v>
      </c>
      <c r="F72" s="95"/>
      <c r="G72" s="761">
        <v>23587.5</v>
      </c>
      <c r="H72" s="99">
        <f t="shared" si="2"/>
        <v>-9.4862556375822082E-3</v>
      </c>
      <c r="M72" s="809"/>
      <c r="O72" s="532"/>
    </row>
    <row r="73" spans="2:15" ht="15" hidden="1" outlineLevel="1">
      <c r="B73" s="762" t="s">
        <v>189</v>
      </c>
      <c r="C73" s="761">
        <v>6998.2</v>
      </c>
      <c r="D73" s="99">
        <f t="shared" si="0"/>
        <v>2.4776687655586382E-2</v>
      </c>
      <c r="E73" s="99">
        <f t="shared" si="1"/>
        <v>2.5283725698944659E-2</v>
      </c>
      <c r="F73" s="95"/>
      <c r="G73" s="761">
        <v>24768.3</v>
      </c>
      <c r="H73" s="99">
        <f t="shared" si="2"/>
        <v>5.0060413354531041E-2</v>
      </c>
      <c r="M73" s="809"/>
      <c r="O73" s="532"/>
    </row>
    <row r="74" spans="2:15" ht="15" hidden="1" outlineLevel="1">
      <c r="B74" s="762">
        <v>45455</v>
      </c>
      <c r="C74" s="761">
        <v>7000.4</v>
      </c>
      <c r="D74" s="99">
        <f t="shared" si="0"/>
        <v>3.1436655139893688E-4</v>
      </c>
      <c r="E74" s="99">
        <f t="shared" si="1"/>
        <v>-3.9682305630589498E-3</v>
      </c>
      <c r="F74" s="95"/>
      <c r="G74" s="761">
        <v>24677.8</v>
      </c>
      <c r="H74" s="99">
        <f t="shared" si="2"/>
        <v>-3.653864011660013E-3</v>
      </c>
      <c r="M74" s="809"/>
      <c r="O74" s="532"/>
    </row>
    <row r="75" spans="2:15" ht="15" hidden="1" outlineLevel="1">
      <c r="B75" s="762" t="s">
        <v>190</v>
      </c>
      <c r="C75" s="761">
        <v>6794.75</v>
      </c>
      <c r="D75" s="99">
        <f t="shared" si="0"/>
        <v>-2.9376892748985695E-2</v>
      </c>
      <c r="E75" s="99">
        <f t="shared" si="1"/>
        <v>7.2233782541765157E-3</v>
      </c>
      <c r="F75" s="95"/>
      <c r="G75" s="761">
        <v>24131.1</v>
      </c>
      <c r="H75" s="99">
        <f t="shared" si="2"/>
        <v>-2.2153514494809179E-2</v>
      </c>
      <c r="M75" s="809"/>
      <c r="O75" s="532"/>
    </row>
    <row r="76" spans="2:15" ht="15" hidden="1" outlineLevel="1">
      <c r="B76" s="762" t="s">
        <v>191</v>
      </c>
      <c r="C76" s="761">
        <v>6652.45</v>
      </c>
      <c r="D76" s="99">
        <f t="shared" si="0"/>
        <v>-2.094263953787856E-2</v>
      </c>
      <c r="E76" s="99">
        <f t="shared" si="1"/>
        <v>1.1666228599297335E-2</v>
      </c>
      <c r="F76" s="95"/>
      <c r="G76" s="761">
        <v>23907.25</v>
      </c>
      <c r="H76" s="99">
        <f t="shared" si="2"/>
        <v>-9.2764109385812255E-3</v>
      </c>
      <c r="M76" s="809"/>
      <c r="O76" s="532"/>
    </row>
    <row r="77" spans="2:15" ht="15" hidden="1" outlineLevel="1">
      <c r="B77" s="762" t="s">
        <v>192</v>
      </c>
      <c r="C77" s="761">
        <v>6460.75</v>
      </c>
      <c r="D77" s="99">
        <f t="shared" si="0"/>
        <v>-2.8816451081932204E-2</v>
      </c>
      <c r="E77" s="99">
        <f t="shared" si="1"/>
        <v>1.3149655444625541E-2</v>
      </c>
      <c r="F77" s="95"/>
      <c r="G77" s="761">
        <v>23532.7</v>
      </c>
      <c r="H77" s="99">
        <f t="shared" si="2"/>
        <v>-1.5666795637306663E-2</v>
      </c>
      <c r="M77" s="809"/>
      <c r="O77" s="532"/>
    </row>
    <row r="78" spans="2:15" ht="15" hidden="1" outlineLevel="1">
      <c r="B78" s="762">
        <v>45515</v>
      </c>
      <c r="C78" s="761">
        <v>6299.6</v>
      </c>
      <c r="D78" s="99">
        <f t="shared" ref="D78:D116" si="3">C78/C77-1</f>
        <v>-2.4942924583059134E-2</v>
      </c>
      <c r="E78" s="99">
        <f t="shared" ref="E78:E116" si="4">H78-D78</f>
        <v>5.1098019408557183E-2</v>
      </c>
      <c r="F78" s="95"/>
      <c r="G78" s="761">
        <v>24148.2</v>
      </c>
      <c r="H78" s="99">
        <f t="shared" ref="H78:H116" si="5">G78/G77-1</f>
        <v>2.6155094825498049E-2</v>
      </c>
      <c r="M78" s="809"/>
      <c r="O78" s="532"/>
    </row>
    <row r="79" spans="2:15" ht="15" hidden="1" outlineLevel="1">
      <c r="B79" s="762">
        <v>45302</v>
      </c>
      <c r="C79" s="761">
        <v>7136.75</v>
      </c>
      <c r="D79" s="99">
        <f t="shared" si="3"/>
        <v>0.13288938980252718</v>
      </c>
      <c r="E79" s="99">
        <f t="shared" si="4"/>
        <v>-0.12642306933143632</v>
      </c>
      <c r="F79" s="95"/>
      <c r="G79" s="761">
        <v>24304.35</v>
      </c>
      <c r="H79" s="99">
        <f t="shared" si="5"/>
        <v>6.4663204710908584E-3</v>
      </c>
      <c r="M79" s="809"/>
      <c r="O79" s="532"/>
    </row>
    <row r="80" spans="2:15" ht="15" hidden="1" outlineLevel="1">
      <c r="B80" s="762" t="s">
        <v>193</v>
      </c>
      <c r="C80" s="761">
        <v>7358.9</v>
      </c>
      <c r="D80" s="99">
        <f t="shared" si="3"/>
        <v>3.1127614110064039E-2</v>
      </c>
      <c r="E80" s="99">
        <f t="shared" si="4"/>
        <v>-3.6211066249290158E-2</v>
      </c>
      <c r="F80" s="95"/>
      <c r="G80" s="761">
        <v>24180.799999999999</v>
      </c>
      <c r="H80" s="99">
        <f t="shared" si="5"/>
        <v>-5.0834521392261189E-3</v>
      </c>
      <c r="M80" s="809"/>
      <c r="O80" s="532"/>
    </row>
    <row r="81" spans="2:15" ht="15" hidden="1" outlineLevel="1">
      <c r="B81" s="762" t="s">
        <v>194</v>
      </c>
      <c r="C81" s="761">
        <v>7770.3</v>
      </c>
      <c r="D81" s="99">
        <f t="shared" si="3"/>
        <v>5.5905094511408127E-2</v>
      </c>
      <c r="E81" s="99">
        <f t="shared" si="4"/>
        <v>-2.8062756788917564E-2</v>
      </c>
      <c r="F81" s="95"/>
      <c r="G81" s="761">
        <v>24854.05</v>
      </c>
      <c r="H81" s="99">
        <f t="shared" si="5"/>
        <v>2.7842337722490562E-2</v>
      </c>
      <c r="M81" s="809"/>
      <c r="O81" s="532"/>
    </row>
    <row r="82" spans="2:15" ht="15" hidden="1" outlineLevel="1">
      <c r="B82" s="762">
        <v>45606</v>
      </c>
      <c r="C82" s="761">
        <v>8238.9</v>
      </c>
      <c r="D82" s="99">
        <f t="shared" si="3"/>
        <v>6.0306551870584091E-2</v>
      </c>
      <c r="E82" s="99">
        <f t="shared" si="4"/>
        <v>-5.587266684983283E-2</v>
      </c>
      <c r="F82" s="95"/>
      <c r="G82" s="761">
        <v>24964.25</v>
      </c>
      <c r="H82" s="99">
        <f t="shared" si="5"/>
        <v>4.4338850207512603E-3</v>
      </c>
      <c r="M82" s="809"/>
      <c r="O82" s="532"/>
    </row>
    <row r="83" spans="2:15" ht="15" hidden="1" outlineLevel="1">
      <c r="B83" s="762">
        <v>45392</v>
      </c>
      <c r="C83" s="761">
        <v>7361.15</v>
      </c>
      <c r="D83" s="99">
        <f t="shared" si="3"/>
        <v>-0.10653728046219768</v>
      </c>
      <c r="E83" s="99">
        <f t="shared" si="4"/>
        <v>0.10855416460652412</v>
      </c>
      <c r="F83" s="95"/>
      <c r="G83" s="761">
        <v>25014.6</v>
      </c>
      <c r="H83" s="99">
        <f t="shared" si="5"/>
        <v>2.0168841443264363E-3</v>
      </c>
      <c r="M83" s="809"/>
      <c r="O83" s="532"/>
    </row>
    <row r="84" spans="2:15" ht="15" hidden="1" outlineLevel="1">
      <c r="B84" s="762" t="s">
        <v>195</v>
      </c>
      <c r="C84" s="761">
        <v>7823</v>
      </c>
      <c r="D84" s="99">
        <f t="shared" si="3"/>
        <v>6.2741555327632259E-2</v>
      </c>
      <c r="E84" s="99">
        <f t="shared" si="4"/>
        <v>-1.6194738668561026E-2</v>
      </c>
      <c r="F84" s="95"/>
      <c r="G84" s="761">
        <v>26178.95</v>
      </c>
      <c r="H84" s="99">
        <f t="shared" si="5"/>
        <v>4.6546816659071233E-2</v>
      </c>
      <c r="M84" s="809"/>
      <c r="O84" s="532"/>
    </row>
    <row r="85" spans="2:15" ht="15" hidden="1" outlineLevel="1">
      <c r="B85" s="762" t="s">
        <v>196</v>
      </c>
      <c r="C85" s="761">
        <v>7479.35</v>
      </c>
      <c r="D85" s="99">
        <f t="shared" si="3"/>
        <v>-4.3928160552217821E-2</v>
      </c>
      <c r="E85" s="99">
        <f t="shared" si="4"/>
        <v>2.9107092480350927E-2</v>
      </c>
      <c r="F85" s="95"/>
      <c r="G85" s="761">
        <v>25790.95</v>
      </c>
      <c r="H85" s="99">
        <f t="shared" si="5"/>
        <v>-1.4821068071866894E-2</v>
      </c>
      <c r="M85" s="809"/>
      <c r="O85" s="532"/>
    </row>
    <row r="86" spans="2:15" ht="15" hidden="1" outlineLevel="1">
      <c r="B86" s="762" t="s">
        <v>197</v>
      </c>
      <c r="C86" s="761">
        <v>7228.15</v>
      </c>
      <c r="D86" s="99">
        <f t="shared" si="3"/>
        <v>-3.3585806253217276E-2</v>
      </c>
      <c r="E86" s="99">
        <f t="shared" si="4"/>
        <v>1.6740750138572347E-2</v>
      </c>
      <c r="F86" s="95"/>
      <c r="G86" s="761">
        <v>25356.5</v>
      </c>
      <c r="H86" s="99">
        <f t="shared" si="5"/>
        <v>-1.684505611464493E-2</v>
      </c>
      <c r="M86" s="809"/>
      <c r="O86" s="532"/>
    </row>
    <row r="87" spans="2:15" ht="15" hidden="1" outlineLevel="1">
      <c r="B87" s="762">
        <v>45452</v>
      </c>
      <c r="C87" s="761">
        <v>7092.6</v>
      </c>
      <c r="D87" s="99">
        <f t="shared" si="3"/>
        <v>-1.8753069595954575E-2</v>
      </c>
      <c r="E87" s="99">
        <f t="shared" si="4"/>
        <v>-1.1372938217094619E-3</v>
      </c>
      <c r="F87" s="95"/>
      <c r="G87" s="761">
        <v>24852.15</v>
      </c>
      <c r="H87" s="99">
        <f t="shared" si="5"/>
        <v>-1.9890363417664036E-2</v>
      </c>
      <c r="M87" s="809"/>
      <c r="O87" s="532"/>
    </row>
    <row r="88" spans="2:15" ht="15" hidden="1" outlineLevel="1">
      <c r="B88" s="762" t="s">
        <v>198</v>
      </c>
      <c r="C88" s="761">
        <v>7167.15</v>
      </c>
      <c r="D88" s="99">
        <f t="shared" si="3"/>
        <v>1.0510955079942264E-2</v>
      </c>
      <c r="E88" s="99">
        <f t="shared" si="4"/>
        <v>4.9303648863383565E-3</v>
      </c>
      <c r="F88" s="95"/>
      <c r="G88" s="761">
        <v>25235.9</v>
      </c>
      <c r="H88" s="99">
        <f t="shared" si="5"/>
        <v>1.544131996628062E-2</v>
      </c>
      <c r="M88" s="809"/>
      <c r="O88" s="532"/>
    </row>
    <row r="89" spans="2:15" ht="15" hidden="1" outlineLevel="1">
      <c r="B89" s="762" t="s">
        <v>199</v>
      </c>
      <c r="C89" s="761">
        <v>6950.05</v>
      </c>
      <c r="D89" s="99">
        <f t="shared" si="3"/>
        <v>-3.0290980375742071E-2</v>
      </c>
      <c r="E89" s="99">
        <f t="shared" si="4"/>
        <v>1.393531245821189E-2</v>
      </c>
      <c r="F89" s="95"/>
      <c r="G89" s="761">
        <v>24823.15</v>
      </c>
      <c r="H89" s="99">
        <f t="shared" si="5"/>
        <v>-1.6355667917530181E-2</v>
      </c>
      <c r="M89" s="809"/>
      <c r="O89" s="532"/>
    </row>
    <row r="90" spans="2:15" ht="15" hidden="1" outlineLevel="1">
      <c r="B90" s="762" t="s">
        <v>200</v>
      </c>
      <c r="C90" s="761">
        <v>6512.95</v>
      </c>
      <c r="D90" s="99">
        <f t="shared" si="3"/>
        <v>-6.2891633873137676E-2</v>
      </c>
      <c r="E90" s="99">
        <f t="shared" si="4"/>
        <v>5.1531270663794815E-2</v>
      </c>
      <c r="F90" s="95"/>
      <c r="G90" s="761">
        <v>24541.15</v>
      </c>
      <c r="H90" s="99">
        <f t="shared" si="5"/>
        <v>-1.1360363209342861E-2</v>
      </c>
      <c r="M90" s="809"/>
      <c r="O90" s="532"/>
    </row>
    <row r="91" spans="2:15" ht="15" hidden="1" outlineLevel="1">
      <c r="B91" s="762">
        <v>45543</v>
      </c>
      <c r="C91" s="761">
        <v>6276.9</v>
      </c>
      <c r="D91" s="99">
        <f t="shared" si="3"/>
        <v>-3.6243177054944398E-2</v>
      </c>
      <c r="E91" s="99">
        <f t="shared" si="4"/>
        <v>2.9167306527279613E-2</v>
      </c>
      <c r="F91" s="95"/>
      <c r="G91" s="761">
        <v>24367.5</v>
      </c>
      <c r="H91" s="99">
        <f t="shared" si="5"/>
        <v>-7.0758705276647849E-3</v>
      </c>
      <c r="M91" s="809"/>
      <c r="O91" s="532"/>
    </row>
    <row r="92" spans="2:15" ht="15" hidden="1" outlineLevel="1">
      <c r="B92" s="762">
        <v>45330</v>
      </c>
      <c r="C92" s="761">
        <v>5536.55</v>
      </c>
      <c r="D92" s="99">
        <f t="shared" si="3"/>
        <v>-0.11794835030030737</v>
      </c>
      <c r="E92" s="99">
        <f t="shared" si="4"/>
        <v>0.13231995181872325</v>
      </c>
      <c r="F92" s="95"/>
      <c r="G92" s="761">
        <v>24717.7</v>
      </c>
      <c r="H92" s="99">
        <f t="shared" si="5"/>
        <v>1.4371601518415877E-2</v>
      </c>
      <c r="M92" s="809"/>
      <c r="O92" s="532"/>
    </row>
    <row r="93" spans="2:15" ht="15" hidden="1" outlineLevel="1">
      <c r="B93" s="762" t="s">
        <v>201</v>
      </c>
      <c r="C93" s="761">
        <v>5394.9</v>
      </c>
      <c r="D93" s="99">
        <f t="shared" si="3"/>
        <v>-2.5584524658858077E-2</v>
      </c>
      <c r="E93" s="99">
        <f t="shared" si="4"/>
        <v>3.0324043303392112E-2</v>
      </c>
      <c r="F93" s="95"/>
      <c r="G93" s="761">
        <v>24834.85</v>
      </c>
      <c r="H93" s="99">
        <f t="shared" si="5"/>
        <v>4.7395186445340354E-3</v>
      </c>
      <c r="M93" s="809"/>
      <c r="O93" s="532"/>
    </row>
    <row r="94" spans="2:15" ht="15" hidden="1" outlineLevel="1">
      <c r="B94" s="762" t="s">
        <v>202</v>
      </c>
      <c r="C94" s="761">
        <v>5166</v>
      </c>
      <c r="D94" s="99">
        <f t="shared" si="3"/>
        <v>-4.2428960685091388E-2</v>
      </c>
      <c r="E94" s="99">
        <f t="shared" si="4"/>
        <v>3.0190110843034912E-2</v>
      </c>
      <c r="F94" s="95"/>
      <c r="G94" s="761">
        <v>24530.9</v>
      </c>
      <c r="H94" s="99">
        <f t="shared" si="5"/>
        <v>-1.2238849842056476E-2</v>
      </c>
      <c r="M94" s="809"/>
      <c r="O94" s="532"/>
    </row>
    <row r="95" spans="2:15" ht="15" hidden="1" outlineLevel="1">
      <c r="B95" s="762">
        <v>45633</v>
      </c>
      <c r="C95" s="761">
        <v>5647.95</v>
      </c>
      <c r="D95" s="99">
        <f t="shared" si="3"/>
        <v>9.329268292682924E-2</v>
      </c>
      <c r="E95" s="99">
        <f t="shared" si="4"/>
        <v>-9.4464674170525953E-2</v>
      </c>
      <c r="F95" s="95"/>
      <c r="G95" s="761">
        <v>24502.15</v>
      </c>
      <c r="H95" s="99">
        <f t="shared" si="5"/>
        <v>-1.1719912436967128E-3</v>
      </c>
      <c r="M95" s="809"/>
      <c r="O95" s="532"/>
    </row>
    <row r="96" spans="2:15" ht="15" hidden="1" outlineLevel="1">
      <c r="B96" s="762">
        <v>45419</v>
      </c>
      <c r="C96" s="761">
        <v>5618.55</v>
      </c>
      <c r="D96" s="99">
        <f t="shared" si="3"/>
        <v>-5.2054285183118498E-3</v>
      </c>
      <c r="E96" s="99">
        <f t="shared" si="4"/>
        <v>-2.0714839159031717E-3</v>
      </c>
      <c r="F96" s="95"/>
      <c r="G96" s="761">
        <v>24323.85</v>
      </c>
      <c r="H96" s="99">
        <f t="shared" si="5"/>
        <v>-7.2769124342150215E-3</v>
      </c>
      <c r="M96" s="809"/>
      <c r="O96" s="532"/>
    </row>
    <row r="97" spans="2:15" ht="15" hidden="1" outlineLevel="1">
      <c r="B97" s="762" t="s">
        <v>203</v>
      </c>
      <c r="C97" s="761">
        <v>5478.45</v>
      </c>
      <c r="D97" s="99">
        <f t="shared" si="3"/>
        <v>-2.4935259097098039E-2</v>
      </c>
      <c r="E97" s="99">
        <f t="shared" si="4"/>
        <v>1.2056952414562172E-2</v>
      </c>
      <c r="F97" s="95"/>
      <c r="G97" s="761">
        <v>24010.6</v>
      </c>
      <c r="H97" s="99">
        <f t="shared" si="5"/>
        <v>-1.2878306682535867E-2</v>
      </c>
      <c r="M97" s="809"/>
      <c r="O97" s="532"/>
    </row>
    <row r="98" spans="2:15" ht="15" hidden="1" outlineLevel="1">
      <c r="B98" s="762" t="s">
        <v>204</v>
      </c>
      <c r="C98" s="761">
        <v>5266.95</v>
      </c>
      <c r="D98" s="99">
        <f t="shared" si="3"/>
        <v>-3.8605810037510624E-2</v>
      </c>
      <c r="E98" s="99">
        <f t="shared" si="4"/>
        <v>1.7386015446788194E-2</v>
      </c>
      <c r="F98" s="95"/>
      <c r="G98" s="761">
        <v>23501.1</v>
      </c>
      <c r="H98" s="99">
        <f t="shared" si="5"/>
        <v>-2.1219794590722429E-2</v>
      </c>
      <c r="M98" s="809"/>
      <c r="O98" s="532"/>
    </row>
    <row r="99" spans="2:15" ht="15" hidden="1" outlineLevel="1">
      <c r="B99" s="762" t="s">
        <v>205</v>
      </c>
      <c r="C99" s="761">
        <v>5253.05</v>
      </c>
      <c r="D99" s="99">
        <f t="shared" si="3"/>
        <v>-2.6390985295093872E-3</v>
      </c>
      <c r="E99" s="99">
        <f t="shared" si="4"/>
        <v>1.1285309390561826E-3</v>
      </c>
      <c r="F99" s="95"/>
      <c r="G99" s="761">
        <v>23465.599999999999</v>
      </c>
      <c r="H99" s="99">
        <f t="shared" si="5"/>
        <v>-1.5105675904532045E-3</v>
      </c>
      <c r="M99" s="809"/>
      <c r="O99" s="532"/>
    </row>
    <row r="100" spans="2:15" ht="15" hidden="1" outlineLevel="1">
      <c r="B100" s="762">
        <v>45479</v>
      </c>
      <c r="C100" s="761">
        <v>4971.05</v>
      </c>
      <c r="D100" s="99">
        <f t="shared" si="3"/>
        <v>-5.3683098390458928E-2</v>
      </c>
      <c r="E100" s="99">
        <f t="shared" si="4"/>
        <v>4.620619603126086E-2</v>
      </c>
      <c r="F100" s="95"/>
      <c r="G100" s="761">
        <v>23290.15</v>
      </c>
      <c r="H100" s="99">
        <f t="shared" si="5"/>
        <v>-7.4769023591980677E-3</v>
      </c>
      <c r="M100" s="809"/>
      <c r="O100" s="532"/>
    </row>
    <row r="101" spans="2:15" ht="15" collapsed="1">
      <c r="B101" s="762" t="s">
        <v>206</v>
      </c>
      <c r="C101" s="761">
        <v>4551.55</v>
      </c>
      <c r="D101" s="99">
        <f t="shared" si="3"/>
        <v>-8.4388610052202218E-2</v>
      </c>
      <c r="E101" s="99">
        <f t="shared" si="4"/>
        <v>5.1780404437382188E-2</v>
      </c>
      <c r="F101" s="95"/>
      <c r="G101" s="761">
        <v>22530.7</v>
      </c>
      <c r="H101" s="99">
        <f t="shared" si="5"/>
        <v>-3.2608205614820029E-2</v>
      </c>
      <c r="M101" s="809"/>
      <c r="O101" s="532"/>
    </row>
    <row r="102" spans="2:15" ht="15">
      <c r="B102" s="762" t="s">
        <v>207</v>
      </c>
      <c r="C102" s="761">
        <v>4723.6499999999996</v>
      </c>
      <c r="D102" s="99">
        <f t="shared" si="3"/>
        <v>3.781129505333336E-2</v>
      </c>
      <c r="E102" s="99">
        <f t="shared" si="4"/>
        <v>-1.8886006447120574E-2</v>
      </c>
      <c r="F102" s="95"/>
      <c r="G102" s="761">
        <v>22957.1</v>
      </c>
      <c r="H102" s="99">
        <f t="shared" si="5"/>
        <v>1.8925288606212787E-2</v>
      </c>
      <c r="M102" s="809"/>
      <c r="O102" s="532"/>
    </row>
    <row r="103" spans="2:15" ht="15">
      <c r="B103" s="762" t="s">
        <v>208</v>
      </c>
      <c r="C103" s="761">
        <v>4634.45</v>
      </c>
      <c r="D103" s="99">
        <f t="shared" si="3"/>
        <v>-1.8883702221798804E-2</v>
      </c>
      <c r="E103" s="99">
        <f t="shared" si="4"/>
        <v>-2.5040166102836547E-3</v>
      </c>
      <c r="F103" s="95"/>
      <c r="G103" s="761">
        <v>22466.1</v>
      </c>
      <c r="H103" s="99">
        <f t="shared" si="5"/>
        <v>-2.1387718832082458E-2</v>
      </c>
      <c r="M103" s="809"/>
      <c r="O103" s="532"/>
    </row>
    <row r="104" spans="2:15" ht="15">
      <c r="B104" s="762">
        <v>45570</v>
      </c>
      <c r="C104" s="761">
        <v>4471.05</v>
      </c>
      <c r="D104" s="99">
        <f t="shared" si="3"/>
        <v>-3.5257689693491079E-2</v>
      </c>
      <c r="E104" s="99">
        <f t="shared" si="4"/>
        <v>1.6967910871176661E-2</v>
      </c>
      <c r="F104" s="95"/>
      <c r="G104" s="761">
        <v>22055.200000000001</v>
      </c>
      <c r="H104" s="99">
        <f t="shared" si="5"/>
        <v>-1.8289778822314418E-2</v>
      </c>
      <c r="M104" s="809"/>
      <c r="O104" s="532"/>
    </row>
    <row r="105" spans="2:15" ht="15">
      <c r="B105" s="762">
        <v>45356</v>
      </c>
      <c r="C105" s="761">
        <v>4523.05</v>
      </c>
      <c r="D105" s="99">
        <f t="shared" si="3"/>
        <v>1.1630377651782098E-2</v>
      </c>
      <c r="E105" s="99">
        <f t="shared" si="4"/>
        <v>7.4422220072551948E-3</v>
      </c>
      <c r="F105" s="95"/>
      <c r="G105" s="761">
        <v>22475.85</v>
      </c>
      <c r="H105" s="99">
        <f t="shared" si="5"/>
        <v>1.9072599659037293E-2</v>
      </c>
      <c r="M105" s="809"/>
      <c r="O105" s="532"/>
    </row>
    <row r="106" spans="2:15" ht="15">
      <c r="B106" s="762" t="s">
        <v>209</v>
      </c>
      <c r="C106" s="761">
        <v>4304.75</v>
      </c>
      <c r="D106" s="99">
        <f t="shared" si="3"/>
        <v>-4.8263892727252622E-2</v>
      </c>
      <c r="E106" s="99">
        <f t="shared" si="4"/>
        <v>4.5776778780505456E-2</v>
      </c>
      <c r="F106" s="95"/>
      <c r="G106" s="761">
        <v>22419.95</v>
      </c>
      <c r="H106" s="99">
        <f t="shared" si="5"/>
        <v>-2.4871139467471659E-3</v>
      </c>
      <c r="M106" s="809"/>
      <c r="O106" s="532"/>
    </row>
    <row r="107" spans="2:15" ht="15">
      <c r="B107" s="762" t="s">
        <v>210</v>
      </c>
      <c r="C107" s="761">
        <v>4152.55</v>
      </c>
      <c r="D107" s="99">
        <f t="shared" si="3"/>
        <v>-3.5356292467622952E-2</v>
      </c>
      <c r="E107" s="99">
        <f t="shared" si="4"/>
        <v>2.3181867457754524E-2</v>
      </c>
      <c r="F107" s="95"/>
      <c r="G107" s="761">
        <v>22147</v>
      </c>
      <c r="H107" s="99">
        <f t="shared" si="5"/>
        <v>-1.2174425009868428E-2</v>
      </c>
      <c r="M107" s="809"/>
      <c r="O107" s="532"/>
    </row>
    <row r="108" spans="2:15" ht="15">
      <c r="B108" s="762">
        <v>45630</v>
      </c>
      <c r="C108" s="761">
        <v>4054.75</v>
      </c>
      <c r="D108" s="99">
        <f t="shared" si="3"/>
        <v>-2.3551793476297767E-2</v>
      </c>
      <c r="E108" s="99">
        <f t="shared" si="4"/>
        <v>4.0366711975417302E-2</v>
      </c>
      <c r="F108" s="95"/>
      <c r="G108" s="761">
        <v>22519.4</v>
      </c>
      <c r="H108" s="99">
        <f t="shared" si="5"/>
        <v>1.6814918499119536E-2</v>
      </c>
      <c r="M108" s="809"/>
      <c r="O108" s="532"/>
    </row>
    <row r="109" spans="2:15" ht="15">
      <c r="B109" s="762">
        <v>45416</v>
      </c>
      <c r="C109" s="761">
        <v>3938.15</v>
      </c>
      <c r="D109" s="99">
        <f t="shared" si="3"/>
        <v>-2.8756396818546137E-2</v>
      </c>
      <c r="E109" s="99">
        <f t="shared" si="4"/>
        <v>2.8503281726669716E-2</v>
      </c>
      <c r="F109" s="95"/>
      <c r="G109" s="761">
        <v>22513.7</v>
      </c>
      <c r="H109" s="99">
        <f t="shared" si="5"/>
        <v>-2.5311509187642134E-4</v>
      </c>
      <c r="M109" s="809"/>
      <c r="O109" s="532"/>
    </row>
    <row r="110" spans="2:15" ht="15">
      <c r="B110" s="762" t="s">
        <v>211</v>
      </c>
      <c r="C110" s="761">
        <v>3948.45</v>
      </c>
      <c r="D110" s="99">
        <f t="shared" si="3"/>
        <v>2.6154412604901811E-3</v>
      </c>
      <c r="E110" s="99">
        <f t="shared" si="4"/>
        <v>-1.0912611427988161E-2</v>
      </c>
      <c r="F110" s="95"/>
      <c r="G110" s="761">
        <v>22326.9</v>
      </c>
      <c r="H110" s="99">
        <f t="shared" si="5"/>
        <v>-8.2971701674979803E-3</v>
      </c>
      <c r="M110" s="809"/>
      <c r="O110" s="532"/>
    </row>
    <row r="111" spans="2:15" ht="15">
      <c r="B111" s="762" t="s">
        <v>212</v>
      </c>
      <c r="C111" s="761">
        <v>3948.45</v>
      </c>
      <c r="D111" s="99">
        <f t="shared" si="3"/>
        <v>0</v>
      </c>
      <c r="E111" s="99">
        <f t="shared" si="4"/>
        <v>-1.0308193255669229E-2</v>
      </c>
      <c r="F111" s="95"/>
      <c r="G111" s="761">
        <v>22096.75</v>
      </c>
      <c r="H111" s="99">
        <f t="shared" si="5"/>
        <v>-1.0308193255669229E-2</v>
      </c>
      <c r="M111" s="809"/>
      <c r="O111" s="532"/>
    </row>
    <row r="112" spans="2:15" ht="15">
      <c r="B112" s="762" t="s">
        <v>213</v>
      </c>
      <c r="C112" s="761">
        <v>4060.25</v>
      </c>
      <c r="D112" s="99">
        <f t="shared" si="3"/>
        <v>2.8314908381770199E-2</v>
      </c>
      <c r="E112" s="99">
        <f t="shared" si="4"/>
        <v>-3.1636663843546353E-2</v>
      </c>
      <c r="F112" s="95"/>
      <c r="G112" s="761">
        <v>22023.35</v>
      </c>
      <c r="H112" s="99">
        <f t="shared" si="5"/>
        <v>-3.3217554617761547E-3</v>
      </c>
      <c r="M112" s="809"/>
      <c r="O112" s="532"/>
    </row>
    <row r="113" spans="2:15" ht="15">
      <c r="B113" s="762">
        <v>45476</v>
      </c>
      <c r="C113" s="761">
        <v>3951.3</v>
      </c>
      <c r="D113" s="99">
        <f t="shared" si="3"/>
        <v>-2.6833323071239423E-2</v>
      </c>
      <c r="E113" s="99">
        <f t="shared" si="4"/>
        <v>4.8183390159125761E-2</v>
      </c>
      <c r="F113" s="95"/>
      <c r="G113" s="761">
        <v>22493.55</v>
      </c>
      <c r="H113" s="99">
        <f t="shared" si="5"/>
        <v>2.1350067087886337E-2</v>
      </c>
      <c r="M113" s="809"/>
      <c r="O113" s="532"/>
    </row>
    <row r="114" spans="2:15" ht="15">
      <c r="B114" s="762">
        <v>45294</v>
      </c>
      <c r="C114" s="761">
        <v>3900.95</v>
      </c>
      <c r="D114" s="99">
        <f t="shared" si="3"/>
        <v>-1.2742641662237819E-2</v>
      </c>
      <c r="E114" s="99">
        <f t="shared" si="4"/>
        <v>5.8606688300260057E-3</v>
      </c>
      <c r="F114" s="95"/>
      <c r="G114" s="761">
        <v>22338.75</v>
      </c>
      <c r="H114" s="99">
        <f t="shared" si="5"/>
        <v>-6.8819728322118134E-3</v>
      </c>
      <c r="M114" s="809"/>
      <c r="O114" s="532"/>
    </row>
    <row r="115" spans="2:15" ht="15">
      <c r="B115" s="762" t="s">
        <v>214</v>
      </c>
      <c r="C115" s="761">
        <v>3886.25</v>
      </c>
      <c r="D115" s="99">
        <f t="shared" si="3"/>
        <v>-3.7683128468706251E-3</v>
      </c>
      <c r="E115" s="99">
        <f t="shared" si="4"/>
        <v>-1.8743484479645245E-3</v>
      </c>
      <c r="F115" s="95"/>
      <c r="G115" s="761">
        <v>22212.7</v>
      </c>
      <c r="H115" s="99">
        <f t="shared" si="5"/>
        <v>-5.6426612948351496E-3</v>
      </c>
      <c r="M115" s="809"/>
      <c r="O115" s="532"/>
    </row>
    <row r="116" spans="2:15" ht="15">
      <c r="B116" s="762" t="s">
        <v>215</v>
      </c>
      <c r="C116" s="761">
        <v>4021.8</v>
      </c>
      <c r="D116" s="99">
        <f t="shared" si="3"/>
        <v>3.4879382438083084E-2</v>
      </c>
      <c r="E116" s="99">
        <f t="shared" si="4"/>
        <v>-4.262270044985117E-2</v>
      </c>
      <c r="F116" s="95"/>
      <c r="G116" s="761">
        <v>22040.7</v>
      </c>
      <c r="H116" s="99">
        <f t="shared" si="5"/>
        <v>-7.7433180117680855E-3</v>
      </c>
      <c r="M116" s="809"/>
      <c r="O116" s="532"/>
    </row>
    <row r="117" spans="2:15">
      <c r="B117" s="75"/>
      <c r="C117" s="75"/>
      <c r="D117" s="532"/>
      <c r="E117" s="532"/>
      <c r="F117" s="75"/>
      <c r="G117" s="75"/>
      <c r="H117" s="75"/>
      <c r="I117" s="75"/>
      <c r="J117" s="75"/>
      <c r="K117" s="75"/>
    </row>
    <row r="118" spans="2:15">
      <c r="B118" s="75"/>
      <c r="C118" s="75"/>
      <c r="D118" s="75"/>
      <c r="E118" s="75"/>
      <c r="F118" s="75"/>
      <c r="G118" s="75"/>
      <c r="H118" s="75"/>
      <c r="I118" s="75"/>
      <c r="J118" s="75"/>
      <c r="K118" s="75"/>
    </row>
    <row r="119" spans="2:15">
      <c r="B119" s="533"/>
      <c r="C119" s="533"/>
      <c r="D119" s="533"/>
      <c r="E119" s="533"/>
      <c r="F119" s="533"/>
      <c r="G119" s="533"/>
      <c r="H119" s="533"/>
      <c r="I119" s="533"/>
      <c r="J119" s="533"/>
      <c r="K119" s="533"/>
    </row>
  </sheetData>
  <mergeCells count="4">
    <mergeCell ref="G8:H8"/>
    <mergeCell ref="J8:K8"/>
    <mergeCell ref="B5:K5"/>
    <mergeCell ref="B8:E8"/>
  </mergeCells>
  <printOptions horizontalCentered="1" verticalCentered="1"/>
  <pageMargins left="0.31496062992125984" right="0.31496062992125984" top="0.15748031496062992" bottom="0.27559055118110237" header="7.874015748031496E-2" footer="0.11811023622047245"/>
  <pageSetup scale="80" orientation="landscape"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FAC6F"/>
  </sheetPr>
  <dimension ref="A4:P66"/>
  <sheetViews>
    <sheetView showGridLines="0" topLeftCell="B1" zoomScale="70" zoomScaleNormal="70" workbookViewId="0">
      <pane ySplit="8" topLeftCell="A44" activePane="bottomLeft" state="frozen"/>
      <selection pane="bottomLeft" activeCell="P61" sqref="P61"/>
    </sheetView>
  </sheetViews>
  <sheetFormatPr defaultRowHeight="14.25"/>
  <cols>
    <col min="1" max="1" width="4.7109375" style="71" customWidth="1"/>
    <col min="2" max="2" width="41.42578125" style="71" bestFit="1" customWidth="1"/>
    <col min="3" max="6" width="9.140625" style="71"/>
    <col min="7" max="7" width="15" style="71" bestFit="1" customWidth="1"/>
    <col min="8" max="8" width="14.5703125" style="71" bestFit="1" customWidth="1"/>
    <col min="9" max="9" width="15" style="71" bestFit="1" customWidth="1"/>
    <col min="10" max="10" width="19.5703125" style="71" customWidth="1"/>
    <col min="11" max="11" width="15" style="71" bestFit="1" customWidth="1"/>
    <col min="12" max="12" width="9.140625" style="71"/>
    <col min="13" max="13" width="62.85546875" style="71" bestFit="1" customWidth="1"/>
    <col min="14" max="14" width="9.140625" style="71"/>
    <col min="15" max="15" width="5.28515625" style="71" bestFit="1" customWidth="1"/>
    <col min="16" max="16" width="22.85546875" style="71" bestFit="1" customWidth="1"/>
    <col min="17" max="16384" width="9.140625" style="71"/>
  </cols>
  <sheetData>
    <row r="4" spans="2:16" ht="27.75">
      <c r="B4" s="285" t="str">
        <f>'Beta-Regression'!$B$2</f>
        <v>TRENT LTD</v>
      </c>
    </row>
    <row r="5" spans="2:16">
      <c r="B5" s="71" t="str">
        <f>'Beta-Regression'!$B$3</f>
        <v>( TRENT | BSE Code: 500251)</v>
      </c>
    </row>
    <row r="7" spans="2:16" ht="15">
      <c r="B7" s="316" t="s">
        <v>8932</v>
      </c>
      <c r="K7" s="545"/>
    </row>
    <row r="8" spans="2:16" ht="23.25" customHeight="1">
      <c r="B8" s="396" t="s">
        <v>277</v>
      </c>
      <c r="C8" s="520"/>
      <c r="D8" s="520"/>
      <c r="E8" s="520"/>
      <c r="F8" s="520"/>
      <c r="G8" s="521">
        <f>'Raw FS'!J3</f>
        <v>44256</v>
      </c>
      <c r="H8" s="521">
        <f>'Raw FS'!K3</f>
        <v>44621</v>
      </c>
      <c r="I8" s="521">
        <f>'Raw FS'!L3</f>
        <v>44986</v>
      </c>
      <c r="J8" s="521">
        <f>'Raw FS'!M3</f>
        <v>45352</v>
      </c>
      <c r="K8" s="521">
        <f>'Raw FS'!N3</f>
        <v>45717</v>
      </c>
    </row>
    <row r="9" spans="2:16" ht="17.25" customHeight="1">
      <c r="F9" s="286"/>
    </row>
    <row r="10" spans="2:16" ht="21.75" customHeight="1">
      <c r="B10" s="472" t="s">
        <v>278</v>
      </c>
      <c r="C10" s="92"/>
      <c r="D10" s="92"/>
      <c r="E10" s="92"/>
      <c r="F10" s="106"/>
      <c r="G10" s="106"/>
      <c r="H10" s="122"/>
      <c r="I10" s="92"/>
      <c r="J10" s="92"/>
      <c r="K10" s="92"/>
    </row>
    <row r="11" spans="2:16" ht="16.5" customHeight="1">
      <c r="B11" s="95" t="str">
        <f>'Raw FS'!B35</f>
        <v>Inventories</v>
      </c>
      <c r="C11" s="95"/>
      <c r="D11" s="95"/>
      <c r="E11" s="95"/>
      <c r="F11" s="106"/>
      <c r="G11" s="454">
        <f>'Raw FS'!J35</f>
        <v>428</v>
      </c>
      <c r="H11" s="454">
        <f>'Raw FS'!K35</f>
        <v>868</v>
      </c>
      <c r="I11" s="454">
        <f>'Raw FS'!L35</f>
        <v>1361</v>
      </c>
      <c r="J11" s="400">
        <f>'Raw FS'!M35</f>
        <v>1583</v>
      </c>
      <c r="K11" s="400">
        <f>'Raw FS'!N35</f>
        <v>2045</v>
      </c>
      <c r="M11" s="71" t="s">
        <v>287</v>
      </c>
    </row>
    <row r="12" spans="2:16" ht="18.75" customHeight="1">
      <c r="B12" s="95" t="str">
        <f>'Raw FS'!B36</f>
        <v>Trade receivables</v>
      </c>
      <c r="C12" s="95"/>
      <c r="D12" s="95"/>
      <c r="E12" s="95"/>
      <c r="F12" s="106"/>
      <c r="G12" s="446">
        <f>'Raw FS'!J36</f>
        <v>21</v>
      </c>
      <c r="H12" s="454">
        <f>'Raw FS'!K36</f>
        <v>18</v>
      </c>
      <c r="I12" s="454">
        <f>'Raw FS'!L36</f>
        <v>34</v>
      </c>
      <c r="J12" s="454">
        <f>'Raw FS'!M36</f>
        <v>82</v>
      </c>
      <c r="K12" s="400">
        <f>'Raw FS'!N36</f>
        <v>63</v>
      </c>
      <c r="M12" s="71" t="s">
        <v>271</v>
      </c>
    </row>
    <row r="13" spans="2:16" ht="16.5" customHeight="1">
      <c r="B13" s="95" t="str">
        <f>'Raw FS'!B38</f>
        <v>Loans n Advances</v>
      </c>
      <c r="C13" s="95"/>
      <c r="D13" s="95"/>
      <c r="E13" s="95"/>
      <c r="F13" s="106"/>
      <c r="G13" s="446">
        <f>'Raw FS'!J38</f>
        <v>25</v>
      </c>
      <c r="H13" s="454">
        <f>'Raw FS'!K38</f>
        <v>29</v>
      </c>
      <c r="I13" s="454">
        <f>'Raw FS'!L38</f>
        <v>29</v>
      </c>
      <c r="J13" s="454">
        <f>'Raw FS'!M38</f>
        <v>35</v>
      </c>
      <c r="K13" s="400">
        <f>'Raw FS'!N38</f>
        <v>17</v>
      </c>
      <c r="M13" s="71" t="s">
        <v>272</v>
      </c>
    </row>
    <row r="14" spans="2:16" ht="15.75" customHeight="1">
      <c r="B14" s="95" t="str">
        <f>'Raw FS'!B39</f>
        <v>Other asset items</v>
      </c>
      <c r="C14" s="92"/>
      <c r="D14" s="92"/>
      <c r="E14" s="92"/>
      <c r="F14" s="106"/>
      <c r="G14" s="446">
        <f>'Raw FS'!J39</f>
        <v>519</v>
      </c>
      <c r="H14" s="454">
        <f>'Raw FS'!K39</f>
        <v>650</v>
      </c>
      <c r="I14" s="454">
        <f>'Raw FS'!L39</f>
        <v>832</v>
      </c>
      <c r="J14" s="454">
        <f>'Raw FS'!M39</f>
        <v>1075</v>
      </c>
      <c r="K14" s="400">
        <f>'Raw FS'!N39</f>
        <v>1400</v>
      </c>
      <c r="M14" s="71" t="s">
        <v>273</v>
      </c>
      <c r="O14" s="71" t="s">
        <v>275</v>
      </c>
      <c r="P14" s="71" t="s">
        <v>276</v>
      </c>
    </row>
    <row r="15" spans="2:16" ht="18.75" customHeight="1">
      <c r="B15" s="401" t="s">
        <v>82</v>
      </c>
      <c r="C15" s="401"/>
      <c r="D15" s="401"/>
      <c r="E15" s="401"/>
      <c r="F15" s="439"/>
      <c r="G15" s="476">
        <f>SUM(G11:G14)</f>
        <v>993</v>
      </c>
      <c r="H15" s="477">
        <f>SUM(H11:H14)</f>
        <v>1565</v>
      </c>
      <c r="I15" s="477">
        <f>SUM(I11:I14)</f>
        <v>2256</v>
      </c>
      <c r="J15" s="477">
        <f>SUM(J11:J14)</f>
        <v>2775</v>
      </c>
      <c r="K15" s="478">
        <f>SUM(K11:K14)</f>
        <v>3525</v>
      </c>
      <c r="M15" s="71" t="s">
        <v>274</v>
      </c>
    </row>
    <row r="16" spans="2:16" ht="18.75" customHeight="1">
      <c r="B16" s="92"/>
      <c r="C16" s="92"/>
      <c r="D16" s="92"/>
      <c r="E16" s="92"/>
      <c r="F16" s="106"/>
      <c r="G16" s="106"/>
      <c r="H16" s="122"/>
      <c r="I16" s="122"/>
      <c r="J16" s="122"/>
      <c r="K16" s="92"/>
    </row>
    <row r="17" spans="1:11" ht="22.5" customHeight="1">
      <c r="B17" s="472" t="s">
        <v>279</v>
      </c>
      <c r="C17" s="92"/>
      <c r="D17" s="92"/>
      <c r="E17" s="92"/>
      <c r="F17" s="106"/>
      <c r="G17" s="106"/>
      <c r="H17" s="122"/>
      <c r="I17" s="122"/>
      <c r="J17" s="122"/>
      <c r="K17" s="92"/>
    </row>
    <row r="18" spans="1:11" ht="17.25" customHeight="1">
      <c r="B18" s="95" t="str">
        <f>'Raw FS'!B14</f>
        <v>Trade Payables</v>
      </c>
      <c r="C18" s="95"/>
      <c r="D18" s="95"/>
      <c r="E18" s="95"/>
      <c r="F18" s="106"/>
      <c r="G18" s="446">
        <f>'Raw FS'!J14</f>
        <v>275</v>
      </c>
      <c r="H18" s="454">
        <f>'Raw FS'!K14</f>
        <v>378</v>
      </c>
      <c r="I18" s="454">
        <f>'Raw FS'!L14</f>
        <v>665</v>
      </c>
      <c r="J18" s="454">
        <f>'Raw FS'!M14</f>
        <v>774</v>
      </c>
      <c r="K18" s="400">
        <f>'Raw FS'!N14</f>
        <v>928</v>
      </c>
    </row>
    <row r="19" spans="1:11" ht="15">
      <c r="B19" s="95" t="str">
        <f>'Raw FS'!B15</f>
        <v>Other liability items</v>
      </c>
      <c r="C19" s="95"/>
      <c r="D19" s="95"/>
      <c r="E19" s="95"/>
      <c r="F19" s="106"/>
      <c r="G19" s="446">
        <f>'Raw FS'!J15</f>
        <v>2792</v>
      </c>
      <c r="H19" s="454">
        <f>'Raw FS'!K15</f>
        <v>213</v>
      </c>
      <c r="I19" s="454">
        <f>'Raw FS'!L15</f>
        <v>289</v>
      </c>
      <c r="J19" s="446">
        <f>'Raw FS'!M15</f>
        <v>532</v>
      </c>
      <c r="K19" s="400">
        <f>'Raw FS'!N15</f>
        <v>671</v>
      </c>
    </row>
    <row r="20" spans="1:11" ht="21" customHeight="1">
      <c r="B20" s="401" t="s">
        <v>281</v>
      </c>
      <c r="C20" s="401"/>
      <c r="D20" s="401"/>
      <c r="E20" s="401"/>
      <c r="F20" s="439"/>
      <c r="G20" s="476">
        <f>SUM(G18:G19)</f>
        <v>3067</v>
      </c>
      <c r="H20" s="477">
        <f>SUM(H18:H19)</f>
        <v>591</v>
      </c>
      <c r="I20" s="477">
        <f>SUM(I18:I19)</f>
        <v>954</v>
      </c>
      <c r="J20" s="476">
        <f>SUM(J18:J19)</f>
        <v>1306</v>
      </c>
      <c r="K20" s="478">
        <f>SUM(K18:K19)</f>
        <v>1599</v>
      </c>
    </row>
    <row r="21" spans="1:11" ht="18" customHeight="1">
      <c r="F21" s="103"/>
      <c r="G21" s="288"/>
      <c r="H21" s="287"/>
      <c r="I21" s="287"/>
      <c r="J21" s="288"/>
      <c r="K21" s="279"/>
    </row>
    <row r="22" spans="1:11" ht="20.25" customHeight="1" thickBot="1">
      <c r="A22" s="71" t="s">
        <v>57</v>
      </c>
      <c r="B22" s="479" t="s">
        <v>280</v>
      </c>
      <c r="C22" s="480"/>
      <c r="D22" s="480"/>
      <c r="E22" s="480"/>
      <c r="F22" s="481"/>
      <c r="G22" s="482">
        <f>G15-G20</f>
        <v>-2074</v>
      </c>
      <c r="H22" s="483">
        <f>H15-H20</f>
        <v>974</v>
      </c>
      <c r="I22" s="483">
        <f>I15-I20</f>
        <v>1302</v>
      </c>
      <c r="J22" s="482">
        <f>J15-J20</f>
        <v>1469</v>
      </c>
      <c r="K22" s="484">
        <f>K15-K20</f>
        <v>1926</v>
      </c>
    </row>
    <row r="23" spans="1:11">
      <c r="G23" s="103"/>
      <c r="H23" s="129"/>
      <c r="J23" s="103"/>
    </row>
    <row r="24" spans="1:11" ht="17.25" customHeight="1">
      <c r="B24" s="472" t="s">
        <v>282</v>
      </c>
      <c r="C24" s="92"/>
      <c r="D24" s="92"/>
      <c r="E24" s="92"/>
      <c r="F24" s="92"/>
      <c r="G24" s="92"/>
      <c r="H24" s="92"/>
      <c r="I24" s="92"/>
      <c r="J24" s="92"/>
      <c r="K24" s="92"/>
    </row>
    <row r="25" spans="1:11" ht="19.5" customHeight="1">
      <c r="B25" s="95" t="str">
        <f>'Raw FS'!B19</f>
        <v>Land</v>
      </c>
      <c r="C25" s="95"/>
      <c r="D25" s="95"/>
      <c r="E25" s="95"/>
      <c r="F25" s="95"/>
      <c r="G25" s="400">
        <f>'Raw FS'!J19</f>
        <v>63</v>
      </c>
      <c r="H25" s="400">
        <f>'Raw FS'!K19</f>
        <v>62</v>
      </c>
      <c r="I25" s="400">
        <f>'Raw FS'!L19</f>
        <v>77</v>
      </c>
      <c r="J25" s="400">
        <f>'Raw FS'!M19</f>
        <v>86</v>
      </c>
      <c r="K25" s="400">
        <f>'Raw FS'!N19</f>
        <v>86</v>
      </c>
    </row>
    <row r="26" spans="1:11" ht="19.5" customHeight="1">
      <c r="B26" s="95" t="str">
        <f>'Raw FS'!B20</f>
        <v>Building</v>
      </c>
      <c r="C26" s="95"/>
      <c r="D26" s="95"/>
      <c r="E26" s="95"/>
      <c r="F26" s="95"/>
      <c r="G26" s="400">
        <f>'Raw FS'!J20</f>
        <v>3117</v>
      </c>
      <c r="H26" s="400">
        <f>'Raw FS'!K20</f>
        <v>4893</v>
      </c>
      <c r="I26" s="400">
        <f>'Raw FS'!L20</f>
        <v>4855</v>
      </c>
      <c r="J26" s="400">
        <f>'Raw FS'!M20</f>
        <v>2162</v>
      </c>
      <c r="K26" s="400">
        <f>'Raw FS'!N20</f>
        <v>3664</v>
      </c>
    </row>
    <row r="27" spans="1:11" ht="18.75" customHeight="1">
      <c r="B27" s="95" t="str">
        <f>'Raw FS'!B21</f>
        <v>Plant Machinery</v>
      </c>
      <c r="C27" s="95"/>
      <c r="D27" s="95"/>
      <c r="E27" s="95"/>
      <c r="F27" s="95"/>
      <c r="G27" s="400">
        <f>'Raw FS'!J21</f>
        <v>168</v>
      </c>
      <c r="H27" s="400">
        <f>'Raw FS'!K21</f>
        <v>221</v>
      </c>
      <c r="I27" s="400">
        <f>'Raw FS'!L21</f>
        <v>287</v>
      </c>
      <c r="J27" s="400">
        <f>'Raw FS'!M21</f>
        <v>437</v>
      </c>
      <c r="K27" s="400">
        <f>'Raw FS'!N21</f>
        <v>825</v>
      </c>
    </row>
    <row r="28" spans="1:11" ht="17.25" customHeight="1">
      <c r="B28" s="95" t="str">
        <f>'Raw FS'!B22</f>
        <v>Equipments</v>
      </c>
      <c r="C28" s="402"/>
      <c r="D28" s="402"/>
      <c r="E28" s="402"/>
      <c r="F28" s="402"/>
      <c r="G28" s="400">
        <f>'Raw FS'!J22</f>
        <v>30</v>
      </c>
      <c r="H28" s="400">
        <f>'Raw FS'!K22</f>
        <v>33</v>
      </c>
      <c r="I28" s="400">
        <f>'Raw FS'!L22</f>
        <v>39</v>
      </c>
      <c r="J28" s="400">
        <f>'Raw FS'!M22</f>
        <v>44</v>
      </c>
      <c r="K28" s="400">
        <f>'Raw FS'!N22</f>
        <v>56</v>
      </c>
    </row>
    <row r="29" spans="1:11" ht="16.5" customHeight="1">
      <c r="B29" s="95" t="str">
        <f>'Raw FS'!B23</f>
        <v>Computers</v>
      </c>
      <c r="C29" s="95"/>
      <c r="D29" s="95"/>
      <c r="E29" s="95"/>
      <c r="F29" s="95"/>
      <c r="G29" s="400">
        <f>'Raw FS'!J23</f>
        <v>59</v>
      </c>
      <c r="H29" s="400">
        <f>'Raw FS'!K23</f>
        <v>70</v>
      </c>
      <c r="I29" s="400">
        <f>'Raw FS'!L23</f>
        <v>98</v>
      </c>
      <c r="J29" s="400">
        <f>'Raw FS'!M23</f>
        <v>112</v>
      </c>
      <c r="K29" s="400">
        <f>'Raw FS'!N23</f>
        <v>175</v>
      </c>
    </row>
    <row r="30" spans="1:11" ht="18.75" customHeight="1">
      <c r="B30" s="95" t="str">
        <f>'Raw FS'!B24</f>
        <v>Furniture n fittings</v>
      </c>
      <c r="C30" s="95"/>
      <c r="D30" s="95"/>
      <c r="E30" s="95"/>
      <c r="F30" s="95"/>
      <c r="G30" s="400">
        <f>'Raw FS'!J24</f>
        <v>192</v>
      </c>
      <c r="H30" s="400">
        <f>'Raw FS'!K24</f>
        <v>225</v>
      </c>
      <c r="I30" s="400">
        <f>'Raw FS'!L24</f>
        <v>328</v>
      </c>
      <c r="J30" s="400">
        <f>'Raw FS'!M24</f>
        <v>486</v>
      </c>
      <c r="K30" s="400">
        <f>'Raw FS'!N24</f>
        <v>758</v>
      </c>
    </row>
    <row r="31" spans="1:11" ht="21" customHeight="1">
      <c r="B31" s="95" t="str">
        <f>'Raw FS'!B25</f>
        <v>Vehicles</v>
      </c>
      <c r="C31" s="95"/>
      <c r="D31" s="95"/>
      <c r="E31" s="95"/>
      <c r="F31" s="95"/>
      <c r="G31" s="400">
        <f>'Raw FS'!J25</f>
        <v>3</v>
      </c>
      <c r="H31" s="400">
        <f>'Raw FS'!K25</f>
        <v>3</v>
      </c>
      <c r="I31" s="400">
        <f>'Raw FS'!L25</f>
        <v>3</v>
      </c>
      <c r="J31" s="400">
        <f>'Raw FS'!M25</f>
        <v>3</v>
      </c>
      <c r="K31" s="400">
        <f>'Raw FS'!N25</f>
        <v>4</v>
      </c>
    </row>
    <row r="32" spans="1:11" ht="18" customHeight="1">
      <c r="B32" s="95" t="str">
        <f>'Raw FS'!B26</f>
        <v>Intangible Assets</v>
      </c>
      <c r="C32" s="95"/>
      <c r="D32" s="95"/>
      <c r="E32" s="95"/>
      <c r="F32" s="95"/>
      <c r="G32" s="400">
        <f>'Raw FS'!J26</f>
        <v>62</v>
      </c>
      <c r="H32" s="400">
        <f>'Raw FS'!K26</f>
        <v>62</v>
      </c>
      <c r="I32" s="446">
        <f>'Raw FS'!L26</f>
        <v>62</v>
      </c>
      <c r="J32" s="400">
        <f>'Raw FS'!M26</f>
        <v>62</v>
      </c>
      <c r="K32" s="400">
        <f>'Raw FS'!N26</f>
        <v>62</v>
      </c>
    </row>
    <row r="33" spans="1:11" ht="18.75" customHeight="1">
      <c r="B33" s="95" t="str">
        <f>'Raw FS'!B27</f>
        <v>Other fixed assets</v>
      </c>
      <c r="C33" s="95"/>
      <c r="D33" s="95"/>
      <c r="E33" s="95"/>
      <c r="F33" s="95"/>
      <c r="G33" s="400">
        <f>'Raw FS'!J27</f>
        <v>70</v>
      </c>
      <c r="H33" s="446">
        <f>'Raw FS'!K27</f>
        <v>78</v>
      </c>
      <c r="I33" s="446">
        <f>'Raw FS'!L27</f>
        <v>92</v>
      </c>
      <c r="J33" s="454">
        <f>'Raw FS'!M27</f>
        <v>92</v>
      </c>
      <c r="K33" s="400">
        <f>'Raw FS'!N27</f>
        <v>98</v>
      </c>
    </row>
    <row r="34" spans="1:11" ht="18" customHeight="1">
      <c r="B34" s="92" t="str">
        <f>'Raw FS'!B28</f>
        <v>Gross Block</v>
      </c>
      <c r="C34" s="92"/>
      <c r="D34" s="95"/>
      <c r="E34" s="95"/>
      <c r="F34" s="106"/>
      <c r="G34" s="473">
        <f>SUM(G25:G33)</f>
        <v>3764</v>
      </c>
      <c r="H34" s="473">
        <f>SUM(H25:H33)</f>
        <v>5647</v>
      </c>
      <c r="I34" s="473">
        <f>SUM(I25:I33)</f>
        <v>5841</v>
      </c>
      <c r="J34" s="474">
        <f>SUM(J25:J33)</f>
        <v>3484</v>
      </c>
      <c r="K34" s="475">
        <f>SUM(K25:K33)</f>
        <v>5728</v>
      </c>
    </row>
    <row r="35" spans="1:11" ht="18" customHeight="1">
      <c r="B35" s="92" t="str">
        <f>'Raw FS'!B29</f>
        <v>Accumulated Depreciation</v>
      </c>
      <c r="C35" s="92"/>
      <c r="D35" s="95"/>
      <c r="E35" s="95"/>
      <c r="F35" s="106"/>
      <c r="G35" s="446">
        <f>-'Raw FS'!J29</f>
        <v>-711</v>
      </c>
      <c r="H35" s="446">
        <f>-'Raw FS'!K29</f>
        <v>-961</v>
      </c>
      <c r="I35" s="446">
        <f>-'Raw FS'!L29</f>
        <v>-1314</v>
      </c>
      <c r="J35" s="454">
        <f>-'Raw FS'!M29</f>
        <v>-1035</v>
      </c>
      <c r="K35" s="400">
        <f>-'Raw FS'!N29</f>
        <v>-1835</v>
      </c>
    </row>
    <row r="36" spans="1:11" ht="18" customHeight="1" thickBot="1">
      <c r="A36" s="251" t="s">
        <v>57</v>
      </c>
      <c r="B36" s="485" t="s">
        <v>283</v>
      </c>
      <c r="C36" s="486"/>
      <c r="D36" s="486"/>
      <c r="E36" s="487"/>
      <c r="F36" s="486"/>
      <c r="G36" s="488">
        <f t="shared" ref="G36:K36" si="0">SUM(G34:G35)</f>
        <v>3053</v>
      </c>
      <c r="H36" s="488">
        <f t="shared" si="0"/>
        <v>4686</v>
      </c>
      <c r="I36" s="488">
        <f t="shared" si="0"/>
        <v>4527</v>
      </c>
      <c r="J36" s="488">
        <f t="shared" si="0"/>
        <v>2449</v>
      </c>
      <c r="K36" s="488">
        <f t="shared" si="0"/>
        <v>3893</v>
      </c>
    </row>
    <row r="37" spans="1:11" ht="15">
      <c r="B37" s="92"/>
      <c r="C37" s="92"/>
      <c r="D37" s="95"/>
      <c r="E37" s="95"/>
      <c r="F37" s="489"/>
      <c r="G37" s="490"/>
      <c r="H37" s="106"/>
      <c r="I37" s="106"/>
      <c r="J37" s="122"/>
      <c r="K37" s="92"/>
    </row>
    <row r="38" spans="1:11" ht="15.75">
      <c r="B38" s="472" t="s">
        <v>285</v>
      </c>
      <c r="C38" s="472"/>
      <c r="D38" s="402"/>
      <c r="E38" s="402"/>
      <c r="F38" s="104"/>
      <c r="G38" s="491">
        <f>G22+G36</f>
        <v>979</v>
      </c>
      <c r="H38" s="491">
        <f>H22+H36</f>
        <v>5660</v>
      </c>
      <c r="I38" s="491">
        <f>I22+I36</f>
        <v>5829</v>
      </c>
      <c r="J38" s="492">
        <f>J22+J36</f>
        <v>3918</v>
      </c>
      <c r="K38" s="493">
        <f>K22+K36</f>
        <v>5819</v>
      </c>
    </row>
    <row r="39" spans="1:11" ht="18.75" customHeight="1">
      <c r="B39" s="472" t="s">
        <v>284</v>
      </c>
      <c r="C39" s="472"/>
      <c r="D39" s="402"/>
      <c r="E39" s="402"/>
      <c r="F39" s="104"/>
      <c r="G39" s="494">
        <f>HistoricalFS!H28</f>
        <v>-143.43</v>
      </c>
      <c r="H39" s="494">
        <f>HistoricalFS!I34+HistoricalFS!I25</f>
        <v>269.88000000000073</v>
      </c>
      <c r="I39" s="494">
        <f>HistoricalFS!J34+HistoricalFS!J25</f>
        <v>705.16000000000145</v>
      </c>
      <c r="J39" s="495">
        <f>HistoricalFS!K34+HistoricalFS!K25</f>
        <v>1603.0300000000002</v>
      </c>
      <c r="K39" s="496">
        <f>HistoricalFS!L34+HistoricalFS!L25</f>
        <v>2619.8599999999997</v>
      </c>
    </row>
    <row r="40" spans="1:11" ht="15">
      <c r="B40" s="92"/>
      <c r="C40" s="92"/>
      <c r="D40" s="95"/>
      <c r="E40" s="95"/>
      <c r="F40" s="106"/>
      <c r="G40" s="106"/>
      <c r="H40" s="106"/>
      <c r="I40" s="106"/>
      <c r="J40" s="122"/>
      <c r="K40" s="92"/>
    </row>
    <row r="41" spans="1:11" ht="17.25" customHeight="1" thickBot="1">
      <c r="B41" s="479" t="s">
        <v>286</v>
      </c>
      <c r="C41" s="480"/>
      <c r="D41" s="480"/>
      <c r="E41" s="484"/>
      <c r="F41" s="481"/>
      <c r="G41" s="497">
        <f>G39/G38</f>
        <v>-0.14650663942798775</v>
      </c>
      <c r="H41" s="498">
        <f>H39/H38</f>
        <v>4.7681978798586704E-2</v>
      </c>
      <c r="I41" s="498">
        <f>I39/I38</f>
        <v>0.12097443815405755</v>
      </c>
      <c r="J41" s="497">
        <f>J39/J38</f>
        <v>0.40914497192445132</v>
      </c>
      <c r="K41" s="497">
        <f>K39/K38</f>
        <v>0.45022512459185421</v>
      </c>
    </row>
    <row r="42" spans="1:11">
      <c r="D42" s="290"/>
      <c r="E42" s="277"/>
      <c r="G42" s="290"/>
      <c r="H42" s="289"/>
      <c r="I42" s="289"/>
      <c r="J42" s="291"/>
    </row>
    <row r="43" spans="1:11" ht="18">
      <c r="B43" s="517" t="s">
        <v>353</v>
      </c>
      <c r="C43" s="518"/>
      <c r="D43" s="518"/>
      <c r="E43" s="518"/>
      <c r="F43" s="518"/>
      <c r="G43" s="519">
        <f>G8</f>
        <v>44256</v>
      </c>
      <c r="H43" s="519">
        <f t="shared" ref="H43:K43" si="1">H8</f>
        <v>44621</v>
      </c>
      <c r="I43" s="519">
        <f t="shared" si="1"/>
        <v>44986</v>
      </c>
      <c r="J43" s="519">
        <f t="shared" si="1"/>
        <v>45352</v>
      </c>
      <c r="K43" s="519">
        <f t="shared" si="1"/>
        <v>45717</v>
      </c>
    </row>
    <row r="44" spans="1:11">
      <c r="J44" s="286"/>
    </row>
    <row r="45" spans="1:11" ht="21" customHeight="1">
      <c r="B45" s="92" t="s">
        <v>288</v>
      </c>
      <c r="C45" s="92"/>
      <c r="D45" s="92"/>
      <c r="E45" s="92"/>
      <c r="F45" s="106"/>
      <c r="G45" s="446">
        <f>-SUM('Raw FS'!J55:J56)</f>
        <v>91</v>
      </c>
      <c r="H45" s="454">
        <f>-SUM('Raw FS'!K55:K56)</f>
        <v>210</v>
      </c>
      <c r="I45" s="454">
        <f>-SUM('Raw FS'!L55:L56)</f>
        <v>223</v>
      </c>
      <c r="J45" s="446">
        <f>-SUM('Raw FS'!M55:M56)</f>
        <v>394</v>
      </c>
      <c r="K45" s="454">
        <f>-SUM('Raw FS'!N55:N56)</f>
        <v>861</v>
      </c>
    </row>
    <row r="46" spans="1:11" ht="19.5" customHeight="1">
      <c r="B46" s="92" t="s">
        <v>292</v>
      </c>
      <c r="C46" s="92"/>
      <c r="D46" s="92"/>
      <c r="E46" s="92"/>
      <c r="F46" s="106"/>
      <c r="G46" s="499"/>
      <c r="H46" s="454">
        <f>H22-G22</f>
        <v>3048</v>
      </c>
      <c r="I46" s="454">
        <f t="shared" ref="I46:K46" si="2">I45-H45</f>
        <v>13</v>
      </c>
      <c r="J46" s="454">
        <f t="shared" si="2"/>
        <v>171</v>
      </c>
      <c r="K46" s="454">
        <f t="shared" si="2"/>
        <v>467</v>
      </c>
    </row>
    <row r="47" spans="1:11" ht="18.75" customHeight="1">
      <c r="B47" s="92" t="s">
        <v>284</v>
      </c>
      <c r="C47" s="92"/>
      <c r="D47" s="92"/>
      <c r="E47" s="92"/>
      <c r="F47" s="106"/>
      <c r="G47" s="446"/>
      <c r="H47" s="454">
        <f>H39</f>
        <v>269.88000000000073</v>
      </c>
      <c r="I47" s="454">
        <f>I39</f>
        <v>705.16000000000145</v>
      </c>
      <c r="J47" s="446">
        <f>J39</f>
        <v>1603.0300000000002</v>
      </c>
      <c r="K47" s="454">
        <f>K39</f>
        <v>2619.8599999999997</v>
      </c>
    </row>
    <row r="48" spans="1:11" ht="22.5" customHeight="1">
      <c r="B48" s="92" t="s">
        <v>293</v>
      </c>
      <c r="C48" s="92"/>
      <c r="D48" s="92"/>
      <c r="E48" s="92"/>
      <c r="F48" s="106"/>
      <c r="G48" s="500"/>
      <c r="H48" s="347">
        <f>Tax_rate</f>
        <v>0.25</v>
      </c>
      <c r="I48" s="347">
        <f>Tax_rate</f>
        <v>0.25</v>
      </c>
      <c r="J48" s="500">
        <f>Tax_rate</f>
        <v>0.25</v>
      </c>
      <c r="K48" s="347">
        <f>Tax_rate</f>
        <v>0.25</v>
      </c>
    </row>
    <row r="49" spans="1:15" ht="19.5" customHeight="1">
      <c r="B49" s="92" t="s">
        <v>294</v>
      </c>
      <c r="C49" s="92"/>
      <c r="D49" s="92"/>
      <c r="E49" s="92"/>
      <c r="F49" s="95"/>
      <c r="G49" s="446"/>
      <c r="H49" s="454">
        <f>H47*(1-H48)</f>
        <v>202.41000000000054</v>
      </c>
      <c r="I49" s="454">
        <f>I47*(1-I48)</f>
        <v>528.87000000000103</v>
      </c>
      <c r="J49" s="446">
        <f>J47*(1-J48)</f>
        <v>1202.2725</v>
      </c>
      <c r="K49" s="454">
        <f>K47*(1-K48)</f>
        <v>1964.8949999999998</v>
      </c>
    </row>
    <row r="50" spans="1:15" ht="24.75" customHeight="1">
      <c r="B50" s="92" t="s">
        <v>295</v>
      </c>
      <c r="C50" s="92"/>
      <c r="D50" s="92"/>
      <c r="E50" s="92"/>
      <c r="F50" s="95"/>
      <c r="G50" s="106"/>
      <c r="H50" s="454">
        <f>SUM(H45:H46)</f>
        <v>3258</v>
      </c>
      <c r="I50" s="454">
        <f>SUM(I45:I46)</f>
        <v>236</v>
      </c>
      <c r="J50" s="446">
        <f>SUM(J45:J46)</f>
        <v>565</v>
      </c>
      <c r="K50" s="454">
        <f>SUM(K45:K46)</f>
        <v>1328</v>
      </c>
    </row>
    <row r="51" spans="1:15" ht="21.75" customHeight="1" thickBot="1">
      <c r="B51" s="501" t="s">
        <v>296</v>
      </c>
      <c r="C51" s="501"/>
      <c r="D51" s="501"/>
      <c r="E51" s="501"/>
      <c r="F51" s="501"/>
      <c r="G51" s="502"/>
      <c r="H51" s="503">
        <f>H50/H49</f>
        <v>16.096042685638018</v>
      </c>
      <c r="I51" s="503">
        <f>I50/I49</f>
        <v>0.44623442433868349</v>
      </c>
      <c r="J51" s="504">
        <f>J50/J49</f>
        <v>0.46994337806113007</v>
      </c>
      <c r="K51" s="503">
        <f>K50/K49</f>
        <v>0.675863086831612</v>
      </c>
    </row>
    <row r="52" spans="1:15" ht="21" customHeight="1">
      <c r="B52" s="292"/>
      <c r="C52" s="292"/>
      <c r="D52" s="292"/>
      <c r="E52" s="292"/>
      <c r="F52" s="293"/>
      <c r="G52" s="294"/>
      <c r="H52" s="295"/>
      <c r="I52" s="295"/>
      <c r="J52" s="514"/>
      <c r="K52" s="515"/>
    </row>
    <row r="53" spans="1:15" ht="22.5" customHeight="1">
      <c r="F53" s="79"/>
      <c r="G53" s="103"/>
      <c r="H53" s="129"/>
      <c r="J53" s="512" t="s">
        <v>8833</v>
      </c>
      <c r="K53" s="516">
        <f>AVERAGE(H51:K51)</f>
        <v>4.4220208937173613</v>
      </c>
    </row>
    <row r="54" spans="1:15" ht="22.5" customHeight="1">
      <c r="G54" s="103"/>
      <c r="J54" s="512" t="s">
        <v>8834</v>
      </c>
      <c r="K54" s="516">
        <f>MEDIAN(H51:K51)</f>
        <v>0.57290323244637098</v>
      </c>
      <c r="O54" s="296"/>
    </row>
    <row r="55" spans="1:15" s="292" customFormat="1" ht="19.5" customHeight="1">
      <c r="B55" s="71"/>
      <c r="C55" s="71"/>
      <c r="D55" s="71"/>
      <c r="E55" s="71"/>
      <c r="F55" s="71"/>
      <c r="G55" s="277"/>
      <c r="H55" s="71"/>
      <c r="I55" s="71"/>
      <c r="J55" s="71"/>
      <c r="K55" s="71"/>
    </row>
    <row r="56" spans="1:15" ht="22.5" customHeight="1">
      <c r="B56" s="517" t="s">
        <v>299</v>
      </c>
      <c r="C56" s="518"/>
      <c r="D56" s="518"/>
      <c r="E56" s="518"/>
      <c r="F56" s="518"/>
      <c r="G56" s="519">
        <f>G43</f>
        <v>44256</v>
      </c>
      <c r="H56" s="519">
        <f t="shared" ref="H56:K56" si="3">H43</f>
        <v>44621</v>
      </c>
      <c r="I56" s="519">
        <f t="shared" si="3"/>
        <v>44986</v>
      </c>
      <c r="J56" s="519">
        <f t="shared" si="3"/>
        <v>45352</v>
      </c>
      <c r="K56" s="519">
        <f t="shared" si="3"/>
        <v>45717</v>
      </c>
    </row>
    <row r="57" spans="1:15" ht="18" customHeight="1">
      <c r="G57" s="297"/>
      <c r="I57" s="286"/>
    </row>
    <row r="58" spans="1:15" ht="17.25" customHeight="1">
      <c r="B58" s="505" t="str">
        <f>B51</f>
        <v>Reinvestmet  Rate</v>
      </c>
      <c r="C58" s="505"/>
      <c r="D58" s="505"/>
      <c r="E58" s="505"/>
      <c r="F58" s="505"/>
      <c r="G58" s="506"/>
      <c r="H58" s="507">
        <f>H51</f>
        <v>16.096042685638018</v>
      </c>
      <c r="I58" s="508">
        <f>I51</f>
        <v>0.44623442433868349</v>
      </c>
      <c r="J58" s="507">
        <f>J51</f>
        <v>0.46994337806113007</v>
      </c>
      <c r="K58" s="507">
        <f>K51</f>
        <v>0.675863086831612</v>
      </c>
    </row>
    <row r="59" spans="1:15" ht="23.25" customHeight="1">
      <c r="A59" s="298"/>
      <c r="B59" s="505" t="str">
        <f>B41</f>
        <v>ROIC</v>
      </c>
      <c r="C59" s="505"/>
      <c r="D59" s="505"/>
      <c r="E59" s="505"/>
      <c r="F59" s="505"/>
      <c r="G59" s="506"/>
      <c r="H59" s="507">
        <f>H41</f>
        <v>4.7681978798586704E-2</v>
      </c>
      <c r="I59" s="508">
        <f>I41</f>
        <v>0.12097443815405755</v>
      </c>
      <c r="J59" s="507">
        <f>J41</f>
        <v>0.40914497192445132</v>
      </c>
      <c r="K59" s="507">
        <f>K41</f>
        <v>0.45022512459185421</v>
      </c>
    </row>
    <row r="60" spans="1:15" ht="6.75" customHeight="1">
      <c r="B60" s="92"/>
      <c r="C60" s="92"/>
      <c r="D60" s="92"/>
      <c r="E60" s="92"/>
      <c r="F60" s="92"/>
      <c r="G60" s="106"/>
      <c r="H60" s="122"/>
      <c r="I60" s="106"/>
      <c r="J60" s="122"/>
      <c r="K60" s="122"/>
    </row>
    <row r="61" spans="1:15" ht="21.75" customHeight="1" thickBot="1">
      <c r="B61" s="479" t="s">
        <v>300</v>
      </c>
      <c r="C61" s="479"/>
      <c r="D61" s="479"/>
      <c r="E61" s="479"/>
      <c r="F61" s="479"/>
      <c r="G61" s="509"/>
      <c r="H61" s="510">
        <f>H58*H59</f>
        <v>0.7674911660777386</v>
      </c>
      <c r="I61" s="511">
        <f>I58*I59</f>
        <v>5.3982958769371536E-2</v>
      </c>
      <c r="J61" s="510">
        <f>J58*J59</f>
        <v>0.19227497022290288</v>
      </c>
      <c r="K61" s="510">
        <f>K58*K59</f>
        <v>0.30429054247579768</v>
      </c>
    </row>
    <row r="62" spans="1:15">
      <c r="G62" s="103"/>
      <c r="H62" s="129"/>
      <c r="I62" s="103"/>
      <c r="J62" s="129"/>
    </row>
    <row r="63" spans="1:15" ht="15.75">
      <c r="G63" s="103"/>
      <c r="J63" s="512" t="s">
        <v>297</v>
      </c>
      <c r="K63" s="513">
        <f>AVERAGE(H61:K61)</f>
        <v>0.32950990938645264</v>
      </c>
    </row>
    <row r="64" spans="1:15" ht="15.75">
      <c r="J64" s="512" t="s">
        <v>298</v>
      </c>
      <c r="K64" s="513">
        <f>MEDIAN(H61:K61)</f>
        <v>0.24828275634935026</v>
      </c>
    </row>
    <row r="66" spans="2:11">
      <c r="B66" s="280"/>
      <c r="C66" s="280"/>
      <c r="D66" s="280"/>
      <c r="E66" s="280"/>
      <c r="F66" s="280"/>
      <c r="G66" s="280"/>
      <c r="H66" s="280"/>
      <c r="I66" s="280"/>
      <c r="J66" s="280"/>
      <c r="K66" s="280"/>
    </row>
  </sheetData>
  <printOptions horizontalCentered="1" verticalCentered="1"/>
  <pageMargins left="0.19685039370078741" right="0.19685039370078741" top="0.23622047244094491" bottom="0.23622047244094491" header="0.11811023622047245" footer="0.11811023622047245"/>
  <pageSetup scale="60" orientation="portrait" horizontalDpi="360" verticalDpi="360" r:id="rId1"/>
  <ignoredErrors>
    <ignoredError sqref="H45 I45:K45"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FAC6F"/>
  </sheetPr>
  <dimension ref="A3:O74"/>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RowHeight="15"/>
  <cols>
    <col min="1" max="1" width="1.85546875" customWidth="1"/>
    <col min="2" max="2" width="28" bestFit="1" customWidth="1"/>
  </cols>
  <sheetData>
    <row r="3" spans="1:15">
      <c r="B3" s="261" t="s">
        <v>8909</v>
      </c>
      <c r="C3" s="269">
        <v>41699</v>
      </c>
      <c r="D3" s="269">
        <v>42064</v>
      </c>
      <c r="E3" s="269">
        <v>42430</v>
      </c>
      <c r="F3" s="269">
        <v>42795</v>
      </c>
      <c r="G3" s="269">
        <v>43160</v>
      </c>
      <c r="H3" s="269">
        <v>43525</v>
      </c>
      <c r="I3" s="269">
        <v>43891</v>
      </c>
      <c r="J3" s="269">
        <v>44256</v>
      </c>
      <c r="K3" s="269">
        <v>44621</v>
      </c>
      <c r="L3" s="269">
        <v>44986</v>
      </c>
      <c r="M3" s="269">
        <v>45352</v>
      </c>
      <c r="N3" s="269">
        <v>45717</v>
      </c>
      <c r="O3" s="269">
        <v>45901</v>
      </c>
    </row>
    <row r="4" spans="1:15" s="12" customFormat="1">
      <c r="B4" s="55" t="s">
        <v>105</v>
      </c>
      <c r="C4" s="270" t="s">
        <v>105</v>
      </c>
      <c r="D4" s="270" t="s">
        <v>105</v>
      </c>
      <c r="E4" s="270" t="s">
        <v>105</v>
      </c>
      <c r="F4" s="270" t="s">
        <v>105</v>
      </c>
      <c r="G4" s="270" t="s">
        <v>105</v>
      </c>
      <c r="H4" s="270" t="s">
        <v>105</v>
      </c>
      <c r="I4" s="270" t="s">
        <v>105</v>
      </c>
      <c r="J4" s="270" t="s">
        <v>105</v>
      </c>
      <c r="K4" s="270" t="s">
        <v>105</v>
      </c>
      <c r="L4" s="270" t="s">
        <v>105</v>
      </c>
      <c r="M4" s="270" t="s">
        <v>105</v>
      </c>
      <c r="N4" s="270" t="s">
        <v>105</v>
      </c>
      <c r="O4" s="270" t="s">
        <v>105</v>
      </c>
    </row>
    <row r="5" spans="1:15">
      <c r="A5" s="12"/>
      <c r="B5" s="9" t="s">
        <v>232</v>
      </c>
      <c r="C5" s="41">
        <v>33</v>
      </c>
      <c r="D5" s="41">
        <v>33</v>
      </c>
      <c r="E5" s="41">
        <v>33</v>
      </c>
      <c r="F5" s="41">
        <v>33</v>
      </c>
      <c r="G5" s="41">
        <v>33</v>
      </c>
      <c r="H5" s="41">
        <v>33</v>
      </c>
      <c r="I5" s="41">
        <v>36</v>
      </c>
      <c r="J5" s="41">
        <v>36</v>
      </c>
      <c r="K5" s="41">
        <v>36</v>
      </c>
      <c r="L5" s="41">
        <v>36</v>
      </c>
      <c r="M5" s="41">
        <v>36</v>
      </c>
      <c r="N5" s="41">
        <v>36</v>
      </c>
      <c r="O5" s="41">
        <v>36</v>
      </c>
    </row>
    <row r="6" spans="1:15">
      <c r="B6" s="9" t="s">
        <v>12</v>
      </c>
      <c r="C6" s="41">
        <v>958</v>
      </c>
      <c r="D6" s="41">
        <v>1389</v>
      </c>
      <c r="E6" s="41">
        <v>1431</v>
      </c>
      <c r="F6" s="41">
        <v>1514</v>
      </c>
      <c r="G6" s="41">
        <v>1562</v>
      </c>
      <c r="H6" s="41">
        <v>1613</v>
      </c>
      <c r="I6" s="41">
        <v>2352</v>
      </c>
      <c r="J6" s="41">
        <v>2277</v>
      </c>
      <c r="K6" s="41">
        <v>2328</v>
      </c>
      <c r="L6" s="41">
        <v>2560</v>
      </c>
      <c r="M6" s="41">
        <v>4032</v>
      </c>
      <c r="N6" s="41">
        <v>5426</v>
      </c>
      <c r="O6" s="41">
        <v>6066</v>
      </c>
    </row>
    <row r="7" spans="1:15">
      <c r="B7" s="9" t="s">
        <v>247</v>
      </c>
      <c r="C7" s="41"/>
      <c r="D7" s="41"/>
      <c r="E7" s="41"/>
      <c r="F7" s="41"/>
      <c r="G7" s="41"/>
      <c r="H7" s="41"/>
      <c r="I7" s="41"/>
      <c r="J7" s="41"/>
      <c r="K7" s="41"/>
      <c r="L7" s="41"/>
      <c r="M7" s="41"/>
      <c r="N7" s="41"/>
      <c r="O7" s="41"/>
    </row>
    <row r="8" spans="1:15">
      <c r="B8" t="s">
        <v>248</v>
      </c>
      <c r="C8" s="41">
        <v>325</v>
      </c>
      <c r="D8" s="41">
        <v>112</v>
      </c>
      <c r="E8" s="41">
        <v>96</v>
      </c>
      <c r="F8" s="41"/>
      <c r="G8" s="41"/>
      <c r="H8" s="41">
        <v>300</v>
      </c>
      <c r="I8" s="41">
        <v>300</v>
      </c>
      <c r="J8" s="41">
        <v>0</v>
      </c>
      <c r="K8" s="41">
        <v>497</v>
      </c>
      <c r="L8" s="41">
        <v>498</v>
      </c>
      <c r="M8" s="41">
        <v>499</v>
      </c>
      <c r="N8" s="41">
        <v>499</v>
      </c>
      <c r="O8" s="41">
        <v>0</v>
      </c>
    </row>
    <row r="9" spans="1:15">
      <c r="B9" t="s">
        <v>249</v>
      </c>
      <c r="C9" s="41">
        <v>7</v>
      </c>
      <c r="D9" s="41">
        <v>4</v>
      </c>
      <c r="E9" s="41">
        <v>4</v>
      </c>
      <c r="F9" s="41"/>
      <c r="G9" s="41"/>
      <c r="H9" s="41">
        <v>95</v>
      </c>
      <c r="I9" s="41">
        <v>0</v>
      </c>
      <c r="J9" s="41">
        <v>300</v>
      </c>
      <c r="K9" s="41">
        <v>0</v>
      </c>
      <c r="L9" s="41">
        <v>0</v>
      </c>
      <c r="M9" s="41">
        <v>0</v>
      </c>
      <c r="N9" s="41">
        <v>0</v>
      </c>
      <c r="O9" s="41">
        <v>500</v>
      </c>
    </row>
    <row r="10" spans="1:15">
      <c r="B10" t="s">
        <v>250</v>
      </c>
      <c r="C10" s="41">
        <v>0</v>
      </c>
      <c r="D10" s="41">
        <v>0</v>
      </c>
      <c r="E10" s="41">
        <v>0</v>
      </c>
      <c r="F10" s="41">
        <v>0</v>
      </c>
      <c r="G10" s="41">
        <v>0</v>
      </c>
      <c r="H10" s="41">
        <v>0</v>
      </c>
      <c r="I10" s="41">
        <v>0</v>
      </c>
      <c r="J10" s="41">
        <v>2664</v>
      </c>
      <c r="K10" s="41">
        <v>4228</v>
      </c>
      <c r="L10" s="41">
        <v>3966</v>
      </c>
      <c r="M10" s="41">
        <v>1254</v>
      </c>
      <c r="N10" s="41">
        <v>1738</v>
      </c>
      <c r="O10" s="41">
        <v>1849</v>
      </c>
    </row>
    <row r="11" spans="1:15">
      <c r="B11" t="s">
        <v>8906</v>
      </c>
      <c r="C11" s="41">
        <v>0</v>
      </c>
      <c r="D11" s="41">
        <v>150</v>
      </c>
      <c r="E11" s="41">
        <v>300</v>
      </c>
      <c r="F11" s="41">
        <v>392</v>
      </c>
      <c r="G11" s="41">
        <v>391</v>
      </c>
      <c r="H11" s="41">
        <v>100</v>
      </c>
      <c r="I11" s="41">
        <v>0</v>
      </c>
      <c r="J11" s="41">
        <v>-2664</v>
      </c>
      <c r="K11" s="41">
        <v>0</v>
      </c>
      <c r="L11" s="41">
        <v>0</v>
      </c>
      <c r="M11" s="41">
        <v>0</v>
      </c>
      <c r="N11" s="41">
        <v>0</v>
      </c>
      <c r="O11" s="41"/>
    </row>
    <row r="12" spans="1:15">
      <c r="B12" s="9" t="s">
        <v>251</v>
      </c>
      <c r="C12" s="41"/>
      <c r="D12" s="41"/>
      <c r="E12" s="41"/>
      <c r="F12" s="41"/>
      <c r="G12" s="41"/>
      <c r="H12" s="41"/>
      <c r="I12" s="41"/>
      <c r="J12" s="41"/>
      <c r="K12" s="41"/>
      <c r="L12" s="41"/>
      <c r="M12" s="41"/>
      <c r="N12" s="41"/>
      <c r="O12" s="41"/>
    </row>
    <row r="13" spans="1:15">
      <c r="B13" t="s">
        <v>252</v>
      </c>
      <c r="C13" s="41">
        <v>3</v>
      </c>
      <c r="D13" s="41">
        <v>3</v>
      </c>
      <c r="E13" s="41">
        <v>10</v>
      </c>
      <c r="F13" s="41">
        <v>1</v>
      </c>
      <c r="G13" s="41">
        <v>1</v>
      </c>
      <c r="H13" s="41">
        <v>-3</v>
      </c>
      <c r="I13" s="41">
        <v>80</v>
      </c>
      <c r="J13" s="41">
        <v>44</v>
      </c>
      <c r="K13" s="41">
        <v>46</v>
      </c>
      <c r="L13" s="41">
        <v>67</v>
      </c>
      <c r="M13" s="41">
        <v>35</v>
      </c>
      <c r="N13" s="41">
        <v>122</v>
      </c>
      <c r="O13" s="41">
        <v>113</v>
      </c>
    </row>
    <row r="14" spans="1:15">
      <c r="B14" t="s">
        <v>253</v>
      </c>
      <c r="C14" s="41">
        <v>331</v>
      </c>
      <c r="D14" s="41">
        <v>221</v>
      </c>
      <c r="E14" s="41">
        <v>166</v>
      </c>
      <c r="F14" s="41">
        <v>169</v>
      </c>
      <c r="G14" s="41">
        <v>208</v>
      </c>
      <c r="H14" s="41">
        <v>245</v>
      </c>
      <c r="I14" s="41">
        <v>298</v>
      </c>
      <c r="J14" s="41">
        <v>275</v>
      </c>
      <c r="K14" s="41">
        <v>378</v>
      </c>
      <c r="L14" s="41">
        <v>665</v>
      </c>
      <c r="M14" s="41">
        <v>774</v>
      </c>
      <c r="N14" s="41">
        <v>928</v>
      </c>
      <c r="O14" s="41">
        <v>1486</v>
      </c>
    </row>
    <row r="15" spans="1:15">
      <c r="B15" t="s">
        <v>254</v>
      </c>
      <c r="C15" s="41">
        <v>280</v>
      </c>
      <c r="D15" s="41">
        <v>294</v>
      </c>
      <c r="E15" s="41">
        <v>116</v>
      </c>
      <c r="F15" s="41">
        <v>113</v>
      </c>
      <c r="G15" s="41">
        <v>140</v>
      </c>
      <c r="H15" s="41">
        <v>176</v>
      </c>
      <c r="I15" s="41">
        <v>2442</v>
      </c>
      <c r="J15" s="41">
        <v>2792</v>
      </c>
      <c r="K15" s="41">
        <v>213</v>
      </c>
      <c r="L15" s="41">
        <v>289</v>
      </c>
      <c r="M15" s="41">
        <v>532</v>
      </c>
      <c r="N15" s="41">
        <v>671</v>
      </c>
      <c r="O15" s="41">
        <v>686</v>
      </c>
    </row>
    <row r="16" spans="1:15">
      <c r="B16" s="272" t="s">
        <v>78</v>
      </c>
      <c r="C16" s="273">
        <v>1936</v>
      </c>
      <c r="D16" s="273">
        <v>2207</v>
      </c>
      <c r="E16" s="273">
        <v>2157</v>
      </c>
      <c r="F16" s="273">
        <v>2222</v>
      </c>
      <c r="G16" s="273">
        <v>2336</v>
      </c>
      <c r="H16" s="273">
        <v>2559</v>
      </c>
      <c r="I16" s="273">
        <v>5507</v>
      </c>
      <c r="J16" s="273">
        <v>5724</v>
      </c>
      <c r="K16" s="273">
        <v>7726</v>
      </c>
      <c r="L16" s="273">
        <v>8082</v>
      </c>
      <c r="M16" s="273">
        <v>7162</v>
      </c>
      <c r="N16" s="273">
        <v>9420</v>
      </c>
      <c r="O16" s="273">
        <v>10735</v>
      </c>
    </row>
    <row r="17" spans="2:15">
      <c r="B17" s="19"/>
      <c r="C17" s="274"/>
      <c r="D17" s="274"/>
      <c r="E17" s="274"/>
      <c r="F17" s="274"/>
      <c r="G17" s="274"/>
      <c r="H17" s="274"/>
      <c r="I17" s="274"/>
      <c r="J17" s="274"/>
      <c r="K17" s="274"/>
      <c r="L17" s="274"/>
      <c r="M17" s="274"/>
      <c r="N17" s="274"/>
      <c r="O17" s="274"/>
    </row>
    <row r="18" spans="2:15">
      <c r="B18" s="9" t="s">
        <v>255</v>
      </c>
      <c r="I18" s="31"/>
      <c r="J18" s="31"/>
      <c r="K18" s="31"/>
      <c r="L18" s="31"/>
      <c r="M18" s="31"/>
      <c r="N18" s="31"/>
      <c r="O18" s="31"/>
    </row>
    <row r="19" spans="2:15">
      <c r="B19" t="s">
        <v>256</v>
      </c>
      <c r="C19">
        <v>63</v>
      </c>
      <c r="D19">
        <v>101</v>
      </c>
      <c r="E19">
        <v>58</v>
      </c>
      <c r="F19">
        <v>58</v>
      </c>
      <c r="G19">
        <v>61</v>
      </c>
      <c r="H19">
        <v>63</v>
      </c>
      <c r="I19">
        <v>63</v>
      </c>
      <c r="J19">
        <v>63</v>
      </c>
      <c r="K19">
        <v>62</v>
      </c>
      <c r="L19">
        <v>77</v>
      </c>
      <c r="M19">
        <v>86</v>
      </c>
      <c r="N19">
        <v>86</v>
      </c>
    </row>
    <row r="20" spans="2:15">
      <c r="B20" t="s">
        <v>257</v>
      </c>
      <c r="C20">
        <v>272</v>
      </c>
      <c r="D20">
        <v>232</v>
      </c>
      <c r="E20">
        <v>291</v>
      </c>
      <c r="F20">
        <v>326</v>
      </c>
      <c r="G20">
        <v>360</v>
      </c>
      <c r="H20">
        <v>382</v>
      </c>
      <c r="I20" s="31">
        <v>2622</v>
      </c>
      <c r="J20" s="31">
        <v>3117</v>
      </c>
      <c r="K20" s="31">
        <v>4893</v>
      </c>
      <c r="L20" s="31">
        <v>4855</v>
      </c>
      <c r="M20" s="31">
        <v>2162</v>
      </c>
      <c r="N20" s="31">
        <v>3664</v>
      </c>
    </row>
    <row r="21" spans="2:15">
      <c r="B21" t="s">
        <v>258</v>
      </c>
      <c r="C21">
        <v>158</v>
      </c>
      <c r="D21">
        <v>99</v>
      </c>
      <c r="E21">
        <v>105</v>
      </c>
      <c r="F21">
        <v>116</v>
      </c>
      <c r="G21">
        <v>119</v>
      </c>
      <c r="H21">
        <v>134</v>
      </c>
      <c r="I21">
        <v>158</v>
      </c>
      <c r="J21">
        <v>168</v>
      </c>
      <c r="K21">
        <v>221</v>
      </c>
      <c r="L21">
        <v>287</v>
      </c>
      <c r="M21">
        <v>437</v>
      </c>
      <c r="N21">
        <v>825</v>
      </c>
      <c r="O21" t="s">
        <v>105</v>
      </c>
    </row>
    <row r="22" spans="2:15">
      <c r="B22" t="s">
        <v>259</v>
      </c>
      <c r="C22">
        <v>10</v>
      </c>
      <c r="D22">
        <v>9</v>
      </c>
      <c r="E22">
        <v>11</v>
      </c>
      <c r="F22">
        <v>14</v>
      </c>
      <c r="G22">
        <v>16</v>
      </c>
      <c r="H22">
        <v>23</v>
      </c>
      <c r="I22">
        <v>29</v>
      </c>
      <c r="J22">
        <v>30</v>
      </c>
      <c r="K22">
        <v>33</v>
      </c>
      <c r="L22">
        <v>39</v>
      </c>
      <c r="M22">
        <v>44</v>
      </c>
      <c r="N22">
        <v>56</v>
      </c>
      <c r="O22" t="s">
        <v>105</v>
      </c>
    </row>
    <row r="23" spans="2:15">
      <c r="B23" t="s">
        <v>8907</v>
      </c>
      <c r="C23">
        <v>50</v>
      </c>
      <c r="D23">
        <v>38</v>
      </c>
      <c r="E23">
        <v>38</v>
      </c>
      <c r="F23">
        <v>40</v>
      </c>
      <c r="G23">
        <v>42</v>
      </c>
      <c r="H23">
        <v>49</v>
      </c>
      <c r="I23">
        <v>58</v>
      </c>
      <c r="J23">
        <v>59</v>
      </c>
      <c r="K23">
        <v>70</v>
      </c>
      <c r="L23">
        <v>98</v>
      </c>
      <c r="M23">
        <v>112</v>
      </c>
      <c r="N23">
        <v>175</v>
      </c>
      <c r="O23" t="s">
        <v>105</v>
      </c>
    </row>
    <row r="24" spans="2:15">
      <c r="B24" t="s">
        <v>260</v>
      </c>
      <c r="C24">
        <v>160</v>
      </c>
      <c r="D24">
        <v>122</v>
      </c>
      <c r="E24">
        <v>132</v>
      </c>
      <c r="F24">
        <v>138</v>
      </c>
      <c r="G24">
        <v>145</v>
      </c>
      <c r="H24">
        <v>164</v>
      </c>
      <c r="I24">
        <v>183</v>
      </c>
      <c r="J24">
        <v>192</v>
      </c>
      <c r="K24">
        <v>225</v>
      </c>
      <c r="L24">
        <v>328</v>
      </c>
      <c r="M24">
        <v>486</v>
      </c>
      <c r="N24">
        <v>758</v>
      </c>
      <c r="O24" t="s">
        <v>105</v>
      </c>
    </row>
    <row r="25" spans="2:15">
      <c r="B25" t="s">
        <v>261</v>
      </c>
      <c r="C25">
        <v>1</v>
      </c>
      <c r="D25">
        <v>1</v>
      </c>
      <c r="E25">
        <v>1</v>
      </c>
      <c r="F25">
        <v>1</v>
      </c>
      <c r="G25">
        <v>1</v>
      </c>
      <c r="H25">
        <v>1</v>
      </c>
      <c r="I25">
        <v>3</v>
      </c>
      <c r="J25">
        <v>3</v>
      </c>
      <c r="K25">
        <v>3</v>
      </c>
      <c r="L25">
        <v>3</v>
      </c>
      <c r="M25">
        <v>3</v>
      </c>
      <c r="N25">
        <v>4</v>
      </c>
      <c r="O25" t="s">
        <v>105</v>
      </c>
    </row>
    <row r="26" spans="2:15">
      <c r="B26" t="s">
        <v>262</v>
      </c>
      <c r="C26">
        <v>81</v>
      </c>
      <c r="D26">
        <v>26</v>
      </c>
      <c r="E26">
        <v>26</v>
      </c>
      <c r="F26">
        <v>26</v>
      </c>
      <c r="G26">
        <v>55</v>
      </c>
      <c r="H26">
        <v>55</v>
      </c>
      <c r="I26">
        <v>62</v>
      </c>
      <c r="J26">
        <v>62</v>
      </c>
      <c r="K26">
        <v>62</v>
      </c>
      <c r="L26">
        <v>62</v>
      </c>
      <c r="M26">
        <v>62</v>
      </c>
      <c r="N26">
        <v>62</v>
      </c>
      <c r="O26">
        <v>72</v>
      </c>
    </row>
    <row r="27" spans="2:15">
      <c r="B27" t="s">
        <v>263</v>
      </c>
      <c r="C27">
        <v>150</v>
      </c>
      <c r="D27">
        <v>322</v>
      </c>
      <c r="E27">
        <v>18</v>
      </c>
      <c r="F27">
        <v>56</v>
      </c>
      <c r="G27">
        <v>63</v>
      </c>
      <c r="H27">
        <v>66</v>
      </c>
      <c r="I27">
        <v>69</v>
      </c>
      <c r="J27">
        <v>70</v>
      </c>
      <c r="K27">
        <v>78</v>
      </c>
      <c r="L27">
        <v>92</v>
      </c>
      <c r="M27">
        <v>92</v>
      </c>
      <c r="N27">
        <v>98</v>
      </c>
      <c r="O27" t="s">
        <v>105</v>
      </c>
    </row>
    <row r="28" spans="2:15">
      <c r="B28" s="9" t="s">
        <v>264</v>
      </c>
      <c r="C28" s="9">
        <v>946</v>
      </c>
      <c r="D28" s="9">
        <v>951</v>
      </c>
      <c r="E28" s="9">
        <v>680</v>
      </c>
      <c r="F28" s="9">
        <v>775</v>
      </c>
      <c r="G28" s="9">
        <v>860</v>
      </c>
      <c r="H28" s="9">
        <v>938</v>
      </c>
      <c r="I28" s="271">
        <v>3246</v>
      </c>
      <c r="J28" s="271">
        <v>3764</v>
      </c>
      <c r="K28" s="271">
        <v>5647</v>
      </c>
      <c r="L28" s="271">
        <v>5840</v>
      </c>
      <c r="M28" s="271">
        <v>3485</v>
      </c>
      <c r="N28" s="271">
        <v>5730</v>
      </c>
      <c r="O28" t="s">
        <v>105</v>
      </c>
    </row>
    <row r="29" spans="2:15">
      <c r="B29" s="9" t="s">
        <v>265</v>
      </c>
      <c r="C29">
        <v>226</v>
      </c>
      <c r="D29">
        <v>282</v>
      </c>
      <c r="E29">
        <v>203</v>
      </c>
      <c r="F29">
        <v>227</v>
      </c>
      <c r="G29">
        <v>248</v>
      </c>
      <c r="H29">
        <v>276</v>
      </c>
      <c r="I29">
        <v>508</v>
      </c>
      <c r="J29">
        <v>711</v>
      </c>
      <c r="K29">
        <v>961</v>
      </c>
      <c r="L29" s="31">
        <v>1314</v>
      </c>
      <c r="M29" s="31">
        <v>1035</v>
      </c>
      <c r="N29" s="31">
        <v>1835</v>
      </c>
      <c r="O29" t="s">
        <v>105</v>
      </c>
    </row>
    <row r="30" spans="2:15">
      <c r="B30" s="272" t="s">
        <v>14</v>
      </c>
      <c r="C30" s="275">
        <f t="shared" ref="C30:N30" si="0">C28-C29</f>
        <v>720</v>
      </c>
      <c r="D30" s="275">
        <f t="shared" si="0"/>
        <v>669</v>
      </c>
      <c r="E30" s="275">
        <f t="shared" si="0"/>
        <v>477</v>
      </c>
      <c r="F30" s="275">
        <f t="shared" si="0"/>
        <v>548</v>
      </c>
      <c r="G30" s="275">
        <f t="shared" si="0"/>
        <v>612</v>
      </c>
      <c r="H30" s="275">
        <f t="shared" si="0"/>
        <v>662</v>
      </c>
      <c r="I30" s="275">
        <f t="shared" si="0"/>
        <v>2738</v>
      </c>
      <c r="J30" s="275">
        <f t="shared" si="0"/>
        <v>3053</v>
      </c>
      <c r="K30" s="275">
        <f t="shared" si="0"/>
        <v>4686</v>
      </c>
      <c r="L30" s="276">
        <f t="shared" si="0"/>
        <v>4526</v>
      </c>
      <c r="M30" s="276">
        <f t="shared" si="0"/>
        <v>2450</v>
      </c>
      <c r="N30" s="276">
        <f t="shared" si="0"/>
        <v>3895</v>
      </c>
      <c r="O30" t="s">
        <v>105</v>
      </c>
    </row>
    <row r="31" spans="2:15">
      <c r="B31" s="9" t="s">
        <v>105</v>
      </c>
      <c r="C31" t="s">
        <v>105</v>
      </c>
      <c r="D31" t="s">
        <v>105</v>
      </c>
      <c r="E31" t="s">
        <v>105</v>
      </c>
      <c r="F31" t="s">
        <v>105</v>
      </c>
      <c r="G31" t="s">
        <v>105</v>
      </c>
      <c r="H31" t="s">
        <v>105</v>
      </c>
      <c r="I31" t="s">
        <v>105</v>
      </c>
      <c r="J31" t="s">
        <v>105</v>
      </c>
      <c r="K31" t="s">
        <v>105</v>
      </c>
      <c r="L31" s="31" t="s">
        <v>105</v>
      </c>
      <c r="M31" s="31" t="s">
        <v>105</v>
      </c>
      <c r="N31" s="31" t="s">
        <v>105</v>
      </c>
      <c r="O31" s="31" t="s">
        <v>105</v>
      </c>
    </row>
    <row r="32" spans="2:15">
      <c r="B32" s="9" t="s">
        <v>266</v>
      </c>
      <c r="C32" s="8">
        <v>138</v>
      </c>
      <c r="D32" s="8">
        <v>92</v>
      </c>
      <c r="E32" s="8">
        <v>55</v>
      </c>
      <c r="F32" s="8">
        <v>5</v>
      </c>
      <c r="G32" s="8">
        <v>10</v>
      </c>
      <c r="H32" s="8">
        <v>87</v>
      </c>
      <c r="I32" s="8">
        <v>23</v>
      </c>
      <c r="J32" s="8">
        <v>108</v>
      </c>
      <c r="K32" s="8">
        <v>105</v>
      </c>
      <c r="L32" s="8">
        <v>102</v>
      </c>
      <c r="M32" s="8">
        <v>224</v>
      </c>
      <c r="N32" s="8">
        <v>180</v>
      </c>
      <c r="O32" s="8">
        <v>196</v>
      </c>
    </row>
    <row r="33" spans="2:15">
      <c r="B33" t="s">
        <v>16</v>
      </c>
      <c r="C33">
        <v>300</v>
      </c>
      <c r="D33">
        <v>740</v>
      </c>
      <c r="E33" s="31">
        <v>1067</v>
      </c>
      <c r="F33" s="31">
        <v>1080</v>
      </c>
      <c r="G33" s="31">
        <v>1023</v>
      </c>
      <c r="H33">
        <v>883</v>
      </c>
      <c r="I33" s="31">
        <v>1515</v>
      </c>
      <c r="J33" s="31">
        <v>1487</v>
      </c>
      <c r="K33" s="31">
        <v>1284</v>
      </c>
      <c r="L33" s="31">
        <v>1110</v>
      </c>
      <c r="M33" s="31">
        <v>1416</v>
      </c>
      <c r="N33" s="31">
        <v>1480</v>
      </c>
      <c r="O33" s="31">
        <v>1559</v>
      </c>
    </row>
    <row r="34" spans="2:15">
      <c r="B34" s="9" t="s">
        <v>267</v>
      </c>
      <c r="C34" t="s">
        <v>105</v>
      </c>
      <c r="D34" t="s">
        <v>105</v>
      </c>
      <c r="E34" t="s">
        <v>105</v>
      </c>
      <c r="F34" t="s">
        <v>105</v>
      </c>
      <c r="G34" t="s">
        <v>105</v>
      </c>
      <c r="H34" t="s">
        <v>105</v>
      </c>
      <c r="I34" s="31" t="s">
        <v>105</v>
      </c>
      <c r="J34" s="31" t="s">
        <v>105</v>
      </c>
      <c r="K34" s="31" t="s">
        <v>105</v>
      </c>
      <c r="L34" s="31" t="s">
        <v>105</v>
      </c>
      <c r="M34" s="31" t="s">
        <v>105</v>
      </c>
      <c r="N34" s="31" t="s">
        <v>105</v>
      </c>
      <c r="O34" s="31" t="s">
        <v>105</v>
      </c>
    </row>
    <row r="35" spans="2:15">
      <c r="B35" t="s">
        <v>268</v>
      </c>
      <c r="C35">
        <v>356</v>
      </c>
      <c r="D35">
        <v>330</v>
      </c>
      <c r="E35">
        <v>279</v>
      </c>
      <c r="F35">
        <v>305</v>
      </c>
      <c r="G35">
        <v>345</v>
      </c>
      <c r="H35">
        <v>497</v>
      </c>
      <c r="I35">
        <v>608</v>
      </c>
      <c r="J35">
        <v>428</v>
      </c>
      <c r="K35">
        <v>868</v>
      </c>
      <c r="L35" s="31">
        <v>1361</v>
      </c>
      <c r="M35" s="31">
        <v>1583</v>
      </c>
      <c r="N35" s="31">
        <v>2045</v>
      </c>
      <c r="O35" s="31">
        <v>2242</v>
      </c>
    </row>
    <row r="36" spans="2:15">
      <c r="B36" t="s">
        <v>8908</v>
      </c>
      <c r="C36">
        <v>18</v>
      </c>
      <c r="D36">
        <v>18</v>
      </c>
      <c r="E36">
        <v>13</v>
      </c>
      <c r="F36">
        <v>6</v>
      </c>
      <c r="G36">
        <v>15</v>
      </c>
      <c r="H36">
        <v>17</v>
      </c>
      <c r="I36">
        <v>17</v>
      </c>
      <c r="J36">
        <v>21</v>
      </c>
      <c r="K36">
        <v>18</v>
      </c>
      <c r="L36">
        <v>34</v>
      </c>
      <c r="M36">
        <v>82</v>
      </c>
      <c r="N36">
        <v>63</v>
      </c>
      <c r="O36">
        <v>59</v>
      </c>
    </row>
    <row r="37" spans="2:15">
      <c r="B37" t="s">
        <v>269</v>
      </c>
      <c r="C37">
        <v>62</v>
      </c>
      <c r="D37">
        <v>56</v>
      </c>
      <c r="E37">
        <v>27</v>
      </c>
      <c r="F37">
        <v>34</v>
      </c>
      <c r="G37">
        <v>33</v>
      </c>
      <c r="H37">
        <v>54</v>
      </c>
      <c r="I37">
        <v>61</v>
      </c>
      <c r="J37">
        <v>81</v>
      </c>
      <c r="K37">
        <v>86</v>
      </c>
      <c r="L37">
        <v>86</v>
      </c>
      <c r="M37">
        <v>298</v>
      </c>
      <c r="N37">
        <v>340</v>
      </c>
      <c r="O37">
        <v>195</v>
      </c>
    </row>
    <row r="38" spans="2:15">
      <c r="B38" t="s">
        <v>270</v>
      </c>
      <c r="C38">
        <v>59</v>
      </c>
      <c r="D38">
        <v>31</v>
      </c>
      <c r="E38">
        <v>16</v>
      </c>
      <c r="F38">
        <v>9</v>
      </c>
      <c r="G38">
        <v>12</v>
      </c>
      <c r="H38">
        <v>26</v>
      </c>
      <c r="I38">
        <v>102</v>
      </c>
      <c r="J38">
        <v>25</v>
      </c>
      <c r="K38">
        <v>29</v>
      </c>
      <c r="L38">
        <v>29</v>
      </c>
      <c r="M38">
        <v>35</v>
      </c>
      <c r="N38">
        <v>17</v>
      </c>
      <c r="O38">
        <v>687</v>
      </c>
    </row>
    <row r="39" spans="2:15">
      <c r="B39" t="s">
        <v>317</v>
      </c>
      <c r="C39">
        <v>283</v>
      </c>
      <c r="D39">
        <v>272</v>
      </c>
      <c r="E39">
        <v>223</v>
      </c>
      <c r="F39">
        <v>233</v>
      </c>
      <c r="G39">
        <v>286</v>
      </c>
      <c r="H39">
        <v>332</v>
      </c>
      <c r="I39">
        <v>442</v>
      </c>
      <c r="J39">
        <v>519</v>
      </c>
      <c r="K39">
        <v>650</v>
      </c>
      <c r="L39">
        <v>832</v>
      </c>
      <c r="M39" s="31">
        <v>1075</v>
      </c>
      <c r="N39" s="31">
        <v>1400</v>
      </c>
      <c r="O39" s="31">
        <v>1211</v>
      </c>
    </row>
    <row r="40" spans="2:15">
      <c r="B40" s="272" t="s">
        <v>83</v>
      </c>
      <c r="C40" s="273">
        <v>1936</v>
      </c>
      <c r="D40" s="273">
        <v>2207</v>
      </c>
      <c r="E40" s="273">
        <v>2157</v>
      </c>
      <c r="F40" s="273">
        <v>2222</v>
      </c>
      <c r="G40" s="273">
        <v>2336</v>
      </c>
      <c r="H40" s="273">
        <v>2559</v>
      </c>
      <c r="I40" s="273">
        <v>5507</v>
      </c>
      <c r="J40" s="273">
        <v>5724</v>
      </c>
      <c r="K40" s="273">
        <v>7726</v>
      </c>
      <c r="L40" s="273">
        <v>8082</v>
      </c>
      <c r="M40" s="273">
        <v>7162</v>
      </c>
      <c r="N40" s="273">
        <v>9420</v>
      </c>
      <c r="O40" s="273">
        <v>10735</v>
      </c>
    </row>
    <row r="44" spans="2:15">
      <c r="C44" s="64">
        <v>41699</v>
      </c>
      <c r="D44" s="64">
        <v>42064</v>
      </c>
      <c r="E44" s="64">
        <v>42430</v>
      </c>
      <c r="F44" s="64">
        <v>42795</v>
      </c>
      <c r="G44" s="64">
        <v>43160</v>
      </c>
      <c r="H44" s="64">
        <v>43525</v>
      </c>
      <c r="I44" s="64">
        <v>43891</v>
      </c>
      <c r="J44" s="64">
        <v>44256</v>
      </c>
      <c r="K44" s="64">
        <v>44621</v>
      </c>
      <c r="L44" s="64">
        <v>44986</v>
      </c>
      <c r="M44" s="64">
        <v>45352</v>
      </c>
      <c r="N44" s="64">
        <v>45717</v>
      </c>
    </row>
    <row r="45" spans="2:15">
      <c r="B45" t="s">
        <v>289</v>
      </c>
      <c r="C45">
        <v>-46</v>
      </c>
      <c r="D45">
        <v>-10</v>
      </c>
      <c r="E45">
        <v>109</v>
      </c>
      <c r="F45">
        <v>102</v>
      </c>
      <c r="G45">
        <v>77</v>
      </c>
      <c r="H45">
        <v>21</v>
      </c>
      <c r="I45">
        <v>361</v>
      </c>
      <c r="J45">
        <v>285</v>
      </c>
      <c r="K45">
        <v>58</v>
      </c>
      <c r="L45">
        <v>595</v>
      </c>
      <c r="M45" s="31">
        <v>1349</v>
      </c>
      <c r="N45" s="31">
        <v>1661</v>
      </c>
    </row>
    <row r="46" spans="2:15">
      <c r="B46" t="s">
        <v>85</v>
      </c>
      <c r="C46">
        <v>32</v>
      </c>
      <c r="D46">
        <v>65</v>
      </c>
      <c r="E46">
        <v>98</v>
      </c>
      <c r="F46">
        <v>165</v>
      </c>
      <c r="G46">
        <v>191</v>
      </c>
      <c r="H46">
        <v>233</v>
      </c>
      <c r="I46">
        <v>542</v>
      </c>
      <c r="J46">
        <v>180</v>
      </c>
      <c r="K46">
        <v>569</v>
      </c>
      <c r="L46" s="31">
        <v>1079</v>
      </c>
      <c r="M46" s="31">
        <v>1919</v>
      </c>
      <c r="N46" s="31">
        <v>2723</v>
      </c>
    </row>
    <row r="47" spans="2:15">
      <c r="B47" t="s">
        <v>43</v>
      </c>
      <c r="C47">
        <v>-8</v>
      </c>
      <c r="D47">
        <v>-19</v>
      </c>
      <c r="E47">
        <v>-1</v>
      </c>
      <c r="F47">
        <v>24</v>
      </c>
      <c r="G47">
        <v>-54</v>
      </c>
      <c r="H47">
        <v>-11</v>
      </c>
      <c r="I47">
        <v>-20</v>
      </c>
      <c r="J47">
        <v>-39</v>
      </c>
      <c r="K47">
        <v>-103</v>
      </c>
      <c r="L47">
        <v>-101</v>
      </c>
      <c r="M47">
        <v>-208</v>
      </c>
      <c r="N47">
        <v>-203</v>
      </c>
    </row>
    <row r="48" spans="2:15">
      <c r="B48" t="s">
        <v>30</v>
      </c>
      <c r="C48">
        <v>-25</v>
      </c>
      <c r="D48">
        <v>-3</v>
      </c>
      <c r="E48">
        <v>-19</v>
      </c>
      <c r="F48">
        <v>-26</v>
      </c>
      <c r="G48">
        <v>-39</v>
      </c>
      <c r="H48">
        <v>-152</v>
      </c>
      <c r="I48">
        <v>-89</v>
      </c>
      <c r="J48">
        <v>179</v>
      </c>
      <c r="K48">
        <v>-439</v>
      </c>
      <c r="L48">
        <v>-494</v>
      </c>
      <c r="M48">
        <v>-222</v>
      </c>
      <c r="N48">
        <v>-462</v>
      </c>
    </row>
    <row r="49" spans="2:14">
      <c r="B49" t="s">
        <v>86</v>
      </c>
      <c r="C49">
        <v>-14</v>
      </c>
      <c r="D49">
        <v>-6</v>
      </c>
      <c r="E49">
        <v>27</v>
      </c>
      <c r="F49">
        <v>-9</v>
      </c>
      <c r="G49">
        <v>43</v>
      </c>
      <c r="H49">
        <v>49</v>
      </c>
      <c r="I49">
        <v>26</v>
      </c>
      <c r="J49">
        <v>-11</v>
      </c>
      <c r="K49">
        <v>134</v>
      </c>
      <c r="L49">
        <v>332</v>
      </c>
      <c r="M49">
        <v>178</v>
      </c>
      <c r="N49">
        <v>212</v>
      </c>
    </row>
    <row r="50" spans="2:14">
      <c r="B50" t="s">
        <v>87</v>
      </c>
      <c r="C50">
        <v>-7</v>
      </c>
      <c r="D50">
        <v>-34</v>
      </c>
      <c r="E50">
        <v>24</v>
      </c>
      <c r="F50">
        <v>-12</v>
      </c>
      <c r="G50">
        <v>-13</v>
      </c>
      <c r="H50">
        <v>-21</v>
      </c>
      <c r="I50">
        <v>-15</v>
      </c>
      <c r="J50">
        <v>-23</v>
      </c>
      <c r="K50">
        <v>-22</v>
      </c>
      <c r="L50">
        <v>-30</v>
      </c>
      <c r="M50">
        <v>-20</v>
      </c>
      <c r="N50">
        <v>-115</v>
      </c>
    </row>
    <row r="51" spans="2:14">
      <c r="B51" t="s">
        <v>88</v>
      </c>
      <c r="C51">
        <v>-54</v>
      </c>
      <c r="D51">
        <v>-61</v>
      </c>
      <c r="E51">
        <v>31</v>
      </c>
      <c r="F51">
        <v>-24</v>
      </c>
      <c r="G51">
        <v>-64</v>
      </c>
      <c r="H51">
        <v>-135</v>
      </c>
      <c r="I51">
        <v>-97</v>
      </c>
      <c r="J51">
        <v>106</v>
      </c>
      <c r="K51">
        <v>-430</v>
      </c>
      <c r="L51">
        <v>-293</v>
      </c>
      <c r="M51">
        <v>-272</v>
      </c>
      <c r="N51">
        <v>-568</v>
      </c>
    </row>
    <row r="52" spans="2:14">
      <c r="B52" t="s">
        <v>8910</v>
      </c>
      <c r="C52">
        <v>0</v>
      </c>
      <c r="D52">
        <v>0</v>
      </c>
      <c r="E52">
        <v>0</v>
      </c>
      <c r="F52">
        <v>0</v>
      </c>
      <c r="G52">
        <v>0</v>
      </c>
      <c r="H52">
        <v>0</v>
      </c>
      <c r="I52">
        <v>0</v>
      </c>
      <c r="J52">
        <v>0</v>
      </c>
      <c r="K52">
        <v>0</v>
      </c>
      <c r="L52">
        <v>0</v>
      </c>
      <c r="M52">
        <v>0</v>
      </c>
      <c r="N52">
        <v>0</v>
      </c>
    </row>
    <row r="53" spans="2:14">
      <c r="B53" t="s">
        <v>89</v>
      </c>
      <c r="C53">
        <v>-23</v>
      </c>
      <c r="D53">
        <v>-13</v>
      </c>
      <c r="E53">
        <v>-20</v>
      </c>
      <c r="F53">
        <v>-38</v>
      </c>
      <c r="G53">
        <v>-50</v>
      </c>
      <c r="H53">
        <v>-77</v>
      </c>
      <c r="I53">
        <v>-83</v>
      </c>
      <c r="J53">
        <v>-1</v>
      </c>
      <c r="K53">
        <v>-82</v>
      </c>
      <c r="L53">
        <v>-191</v>
      </c>
      <c r="M53">
        <v>-299</v>
      </c>
      <c r="N53">
        <v>-494</v>
      </c>
    </row>
    <row r="54" spans="2:14">
      <c r="B54" t="s">
        <v>290</v>
      </c>
      <c r="C54">
        <v>-48</v>
      </c>
      <c r="D54">
        <v>-306</v>
      </c>
      <c r="E54">
        <v>-98</v>
      </c>
      <c r="F54">
        <v>-44</v>
      </c>
      <c r="G54">
        <v>-4</v>
      </c>
      <c r="H54">
        <v>-37</v>
      </c>
      <c r="I54">
        <v>-809</v>
      </c>
      <c r="J54">
        <v>18</v>
      </c>
      <c r="K54">
        <v>56</v>
      </c>
      <c r="L54">
        <v>-103</v>
      </c>
      <c r="M54">
        <v>-508</v>
      </c>
      <c r="N54">
        <v>-923</v>
      </c>
    </row>
    <row r="55" spans="2:14">
      <c r="B55" t="s">
        <v>90</v>
      </c>
      <c r="C55">
        <v>-136</v>
      </c>
      <c r="D55">
        <v>-158</v>
      </c>
      <c r="E55">
        <v>-139</v>
      </c>
      <c r="F55">
        <v>-71</v>
      </c>
      <c r="G55">
        <v>-107</v>
      </c>
      <c r="H55">
        <v>-203</v>
      </c>
      <c r="I55">
        <v>-156</v>
      </c>
      <c r="J55">
        <v>-113</v>
      </c>
      <c r="K55">
        <v>-271</v>
      </c>
      <c r="L55">
        <v>-503</v>
      </c>
      <c r="M55">
        <v>-737</v>
      </c>
      <c r="N55" s="31">
        <v>-1268</v>
      </c>
    </row>
    <row r="56" spans="2:14">
      <c r="B56" t="s">
        <v>91</v>
      </c>
      <c r="C56">
        <v>0</v>
      </c>
      <c r="D56">
        <v>2</v>
      </c>
      <c r="E56">
        <v>8</v>
      </c>
      <c r="F56">
        <v>2</v>
      </c>
      <c r="G56">
        <v>1</v>
      </c>
      <c r="H56">
        <v>7</v>
      </c>
      <c r="I56">
        <v>42</v>
      </c>
      <c r="J56">
        <v>22</v>
      </c>
      <c r="K56">
        <v>61</v>
      </c>
      <c r="L56">
        <v>280</v>
      </c>
      <c r="M56">
        <v>343</v>
      </c>
      <c r="N56">
        <v>407</v>
      </c>
    </row>
    <row r="57" spans="2:14">
      <c r="B57" t="s">
        <v>92</v>
      </c>
      <c r="C57">
        <v>-856</v>
      </c>
      <c r="D57" s="31">
        <v>-2739</v>
      </c>
      <c r="E57" s="31">
        <v>-1007</v>
      </c>
      <c r="F57">
        <v>-937</v>
      </c>
      <c r="G57">
        <v>-972</v>
      </c>
      <c r="H57" s="31">
        <v>-1285</v>
      </c>
      <c r="I57" s="31">
        <v>-2895</v>
      </c>
      <c r="J57">
        <v>-591</v>
      </c>
      <c r="K57" s="31">
        <v>-1322</v>
      </c>
      <c r="L57" s="31">
        <v>-1610</v>
      </c>
      <c r="M57" s="31">
        <v>-1938</v>
      </c>
      <c r="N57" s="31">
        <v>-3885</v>
      </c>
    </row>
    <row r="58" spans="2:14">
      <c r="B58" t="s">
        <v>93</v>
      </c>
      <c r="C58">
        <v>877</v>
      </c>
      <c r="D58" s="31">
        <v>2521</v>
      </c>
      <c r="E58">
        <v>989</v>
      </c>
      <c r="F58">
        <v>951</v>
      </c>
      <c r="G58" s="31">
        <v>1065</v>
      </c>
      <c r="H58" s="31">
        <v>1510</v>
      </c>
      <c r="I58" s="31">
        <v>2237</v>
      </c>
      <c r="J58">
        <v>731</v>
      </c>
      <c r="K58" s="31">
        <v>1530</v>
      </c>
      <c r="L58" s="31">
        <v>1616</v>
      </c>
      <c r="M58" s="31">
        <v>1808</v>
      </c>
      <c r="N58" s="31">
        <v>3852</v>
      </c>
    </row>
    <row r="59" spans="2:14">
      <c r="B59" t="s">
        <v>94</v>
      </c>
      <c r="C59">
        <v>18</v>
      </c>
      <c r="D59">
        <v>22</v>
      </c>
      <c r="E59">
        <v>14</v>
      </c>
      <c r="F59">
        <v>17</v>
      </c>
      <c r="G59">
        <v>16</v>
      </c>
      <c r="H59">
        <v>16</v>
      </c>
      <c r="I59">
        <v>19</v>
      </c>
      <c r="J59">
        <v>21</v>
      </c>
      <c r="K59">
        <v>15</v>
      </c>
      <c r="L59">
        <v>8</v>
      </c>
      <c r="M59">
        <v>2</v>
      </c>
      <c r="N59">
        <v>6</v>
      </c>
    </row>
    <row r="60" spans="2:14">
      <c r="B60" t="s">
        <v>95</v>
      </c>
      <c r="C60">
        <v>0</v>
      </c>
      <c r="D60">
        <v>0</v>
      </c>
      <c r="E60">
        <v>35</v>
      </c>
      <c r="F60">
        <v>2</v>
      </c>
      <c r="G60">
        <v>1</v>
      </c>
      <c r="H60">
        <v>2</v>
      </c>
      <c r="I60">
        <v>15</v>
      </c>
      <c r="J60">
        <v>5</v>
      </c>
      <c r="K60">
        <v>109</v>
      </c>
      <c r="L60">
        <v>148</v>
      </c>
      <c r="M60">
        <v>75</v>
      </c>
      <c r="N60">
        <v>1</v>
      </c>
    </row>
    <row r="61" spans="2:14">
      <c r="B61" t="s">
        <v>96</v>
      </c>
      <c r="C61">
        <v>0</v>
      </c>
      <c r="D61">
        <v>0</v>
      </c>
      <c r="E61">
        <v>13</v>
      </c>
      <c r="F61">
        <v>0</v>
      </c>
      <c r="G61">
        <v>0</v>
      </c>
      <c r="H61">
        <v>0</v>
      </c>
      <c r="I61">
        <v>0</v>
      </c>
      <c r="J61">
        <v>0</v>
      </c>
      <c r="K61">
        <v>0</v>
      </c>
      <c r="L61">
        <v>0</v>
      </c>
      <c r="M61">
        <v>0</v>
      </c>
      <c r="N61">
        <v>0</v>
      </c>
    </row>
    <row r="62" spans="2:14">
      <c r="B62" t="s">
        <v>123</v>
      </c>
      <c r="C62">
        <v>0</v>
      </c>
      <c r="D62">
        <v>0</v>
      </c>
      <c r="E62">
        <v>-11</v>
      </c>
      <c r="F62">
        <v>-8</v>
      </c>
      <c r="G62">
        <v>-7</v>
      </c>
      <c r="H62">
        <v>-85</v>
      </c>
      <c r="I62">
        <v>-22</v>
      </c>
      <c r="J62">
        <v>-45</v>
      </c>
      <c r="K62">
        <v>-66</v>
      </c>
      <c r="L62">
        <v>-52</v>
      </c>
      <c r="M62">
        <v>-62</v>
      </c>
      <c r="N62">
        <v>-37</v>
      </c>
    </row>
    <row r="63" spans="2:14">
      <c r="B63" t="s">
        <v>97</v>
      </c>
      <c r="C63">
        <v>48</v>
      </c>
      <c r="D63">
        <v>45</v>
      </c>
      <c r="E63">
        <v>0</v>
      </c>
      <c r="F63">
        <v>0</v>
      </c>
      <c r="G63">
        <v>0</v>
      </c>
      <c r="H63">
        <v>0</v>
      </c>
      <c r="I63">
        <v>-49</v>
      </c>
      <c r="J63">
        <v>-12</v>
      </c>
      <c r="K63">
        <v>0</v>
      </c>
      <c r="L63">
        <v>10</v>
      </c>
      <c r="M63">
        <v>0</v>
      </c>
      <c r="N63">
        <v>0</v>
      </c>
    </row>
    <row r="64" spans="2:14">
      <c r="B64" t="s">
        <v>291</v>
      </c>
      <c r="C64">
        <v>-50</v>
      </c>
      <c r="D64">
        <v>310</v>
      </c>
      <c r="E64">
        <v>-13</v>
      </c>
      <c r="F64">
        <v>-51</v>
      </c>
      <c r="G64">
        <v>-74</v>
      </c>
      <c r="H64">
        <v>37</v>
      </c>
      <c r="I64">
        <v>452</v>
      </c>
      <c r="J64">
        <v>-283</v>
      </c>
      <c r="K64">
        <v>-108</v>
      </c>
      <c r="L64">
        <v>-491</v>
      </c>
      <c r="M64">
        <v>-629</v>
      </c>
      <c r="N64">
        <v>-694</v>
      </c>
    </row>
    <row r="65" spans="2:14">
      <c r="B65" t="s">
        <v>98</v>
      </c>
      <c r="C65">
        <v>0</v>
      </c>
      <c r="D65">
        <v>0</v>
      </c>
      <c r="E65">
        <v>310</v>
      </c>
      <c r="F65">
        <v>100</v>
      </c>
      <c r="G65">
        <v>0</v>
      </c>
      <c r="H65">
        <v>0</v>
      </c>
      <c r="I65" s="31">
        <v>1032</v>
      </c>
      <c r="J65">
        <v>0</v>
      </c>
      <c r="K65">
        <v>551</v>
      </c>
      <c r="L65">
        <v>46</v>
      </c>
      <c r="M65">
        <v>36</v>
      </c>
      <c r="N65">
        <v>93</v>
      </c>
    </row>
    <row r="66" spans="2:14">
      <c r="B66" t="s">
        <v>99</v>
      </c>
      <c r="C66">
        <v>0</v>
      </c>
      <c r="D66">
        <v>0</v>
      </c>
      <c r="E66">
        <v>4</v>
      </c>
      <c r="F66">
        <v>238</v>
      </c>
      <c r="G66">
        <v>382</v>
      </c>
      <c r="H66">
        <v>392</v>
      </c>
      <c r="I66">
        <v>93</v>
      </c>
      <c r="J66">
        <v>0</v>
      </c>
      <c r="K66">
        <v>0</v>
      </c>
      <c r="L66">
        <v>173</v>
      </c>
      <c r="M66">
        <v>0</v>
      </c>
      <c r="N66">
        <v>0</v>
      </c>
    </row>
    <row r="67" spans="2:14">
      <c r="B67" t="s">
        <v>100</v>
      </c>
      <c r="C67">
        <v>-4</v>
      </c>
      <c r="D67">
        <v>-1</v>
      </c>
      <c r="E67">
        <v>0</v>
      </c>
      <c r="F67">
        <v>-48</v>
      </c>
      <c r="G67">
        <v>-282</v>
      </c>
      <c r="H67">
        <v>-286</v>
      </c>
      <c r="I67">
        <v>-186</v>
      </c>
      <c r="J67">
        <v>0</v>
      </c>
      <c r="K67">
        <v>-301</v>
      </c>
      <c r="L67">
        <v>-173</v>
      </c>
      <c r="M67">
        <v>0</v>
      </c>
      <c r="N67">
        <v>0</v>
      </c>
    </row>
    <row r="68" spans="2:14">
      <c r="B68" t="s">
        <v>101</v>
      </c>
      <c r="C68">
        <v>-12</v>
      </c>
      <c r="D68">
        <v>-11</v>
      </c>
      <c r="E68">
        <v>-21</v>
      </c>
      <c r="F68">
        <v>-36</v>
      </c>
      <c r="G68">
        <v>-32</v>
      </c>
      <c r="H68">
        <v>-23</v>
      </c>
      <c r="I68">
        <v>-251</v>
      </c>
      <c r="J68">
        <v>-184</v>
      </c>
      <c r="K68">
        <v>-246</v>
      </c>
      <c r="L68">
        <v>-359</v>
      </c>
      <c r="M68">
        <v>-309</v>
      </c>
      <c r="N68">
        <v>-134</v>
      </c>
    </row>
    <row r="69" spans="2:14">
      <c r="B69" t="s">
        <v>124</v>
      </c>
      <c r="C69">
        <v>-27</v>
      </c>
      <c r="D69">
        <v>-27</v>
      </c>
      <c r="E69">
        <v>-76</v>
      </c>
      <c r="F69">
        <v>-1</v>
      </c>
      <c r="G69">
        <v>-40</v>
      </c>
      <c r="H69">
        <v>-46</v>
      </c>
      <c r="I69">
        <v>-52</v>
      </c>
      <c r="J69">
        <v>-36</v>
      </c>
      <c r="K69">
        <v>-43</v>
      </c>
      <c r="L69">
        <v>-39</v>
      </c>
      <c r="M69">
        <v>-78</v>
      </c>
      <c r="N69">
        <v>-114</v>
      </c>
    </row>
    <row r="70" spans="2:14">
      <c r="B70" t="s">
        <v>102</v>
      </c>
      <c r="C70">
        <v>0</v>
      </c>
      <c r="D70">
        <v>0</v>
      </c>
      <c r="E70">
        <v>0</v>
      </c>
      <c r="F70">
        <v>0</v>
      </c>
      <c r="G70">
        <v>0</v>
      </c>
      <c r="H70">
        <v>0</v>
      </c>
      <c r="I70">
        <v>-84</v>
      </c>
      <c r="J70">
        <v>-63</v>
      </c>
      <c r="K70">
        <v>-69</v>
      </c>
      <c r="L70">
        <v>-140</v>
      </c>
      <c r="M70">
        <v>-277</v>
      </c>
      <c r="N70">
        <v>-540</v>
      </c>
    </row>
    <row r="71" spans="2:14">
      <c r="B71" t="s">
        <v>8911</v>
      </c>
      <c r="C71">
        <v>0</v>
      </c>
      <c r="D71">
        <v>0</v>
      </c>
      <c r="E71">
        <v>0</v>
      </c>
      <c r="F71">
        <v>0</v>
      </c>
      <c r="G71">
        <v>0</v>
      </c>
      <c r="H71">
        <v>0</v>
      </c>
      <c r="I71">
        <v>0</v>
      </c>
      <c r="J71">
        <v>0</v>
      </c>
      <c r="K71">
        <v>0</v>
      </c>
      <c r="L71">
        <v>0</v>
      </c>
      <c r="M71">
        <v>0</v>
      </c>
      <c r="N71">
        <v>0</v>
      </c>
    </row>
    <row r="72" spans="2:14">
      <c r="B72" t="s">
        <v>8912</v>
      </c>
      <c r="C72">
        <v>0</v>
      </c>
      <c r="D72">
        <v>0</v>
      </c>
      <c r="E72">
        <v>0</v>
      </c>
      <c r="F72">
        <v>0</v>
      </c>
      <c r="G72">
        <v>0</v>
      </c>
      <c r="H72">
        <v>0</v>
      </c>
      <c r="I72">
        <v>0</v>
      </c>
      <c r="J72">
        <v>0</v>
      </c>
      <c r="K72">
        <v>0</v>
      </c>
      <c r="L72">
        <v>0</v>
      </c>
      <c r="M72">
        <v>0</v>
      </c>
      <c r="N72">
        <v>0</v>
      </c>
    </row>
    <row r="73" spans="2:14">
      <c r="B73" t="s">
        <v>103</v>
      </c>
      <c r="C73">
        <v>-7</v>
      </c>
      <c r="D73">
        <v>349</v>
      </c>
      <c r="E73">
        <v>-230</v>
      </c>
      <c r="F73">
        <v>-303</v>
      </c>
      <c r="G73">
        <v>-102</v>
      </c>
      <c r="H73">
        <v>0</v>
      </c>
      <c r="I73">
        <v>-100</v>
      </c>
      <c r="J73">
        <v>0</v>
      </c>
      <c r="K73">
        <v>0</v>
      </c>
      <c r="L73">
        <v>0</v>
      </c>
      <c r="M73">
        <v>0</v>
      </c>
      <c r="N73">
        <v>0</v>
      </c>
    </row>
    <row r="74" spans="2:14">
      <c r="B74" t="s">
        <v>21</v>
      </c>
      <c r="C74">
        <v>-145</v>
      </c>
      <c r="D74">
        <v>-6</v>
      </c>
      <c r="E74">
        <v>-2</v>
      </c>
      <c r="F74">
        <v>7</v>
      </c>
      <c r="G74">
        <v>-1</v>
      </c>
      <c r="H74">
        <v>21</v>
      </c>
      <c r="I74">
        <v>5</v>
      </c>
      <c r="J74">
        <v>20</v>
      </c>
      <c r="K74">
        <v>6</v>
      </c>
      <c r="L74">
        <v>1</v>
      </c>
      <c r="M74">
        <v>211</v>
      </c>
      <c r="N74">
        <v>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6:S41"/>
  <sheetViews>
    <sheetView showGridLines="0" zoomScale="70" zoomScaleNormal="70" workbookViewId="0">
      <selection activeCell="C16" sqref="C16"/>
    </sheetView>
  </sheetViews>
  <sheetFormatPr defaultRowHeight="14.25"/>
  <cols>
    <col min="1" max="1" width="1.85546875" style="71" customWidth="1"/>
    <col min="2" max="2" width="18.42578125" style="71" customWidth="1"/>
    <col min="3" max="3" width="17.85546875" style="71" customWidth="1"/>
    <col min="4" max="4" width="16.140625" style="71" customWidth="1"/>
    <col min="5" max="5" width="20.42578125" style="71" customWidth="1"/>
    <col min="6" max="6" width="13.7109375" style="71" customWidth="1"/>
    <col min="7" max="7" width="11.42578125" style="71" customWidth="1"/>
    <col min="8" max="8" width="18.28515625" style="71" customWidth="1"/>
    <col min="9" max="9" width="1.28515625" style="71" customWidth="1"/>
    <col min="10" max="10" width="15.28515625" style="71" customWidth="1"/>
    <col min="11" max="11" width="13.7109375" style="71" customWidth="1"/>
    <col min="12" max="12" width="19.42578125" style="71" customWidth="1"/>
    <col min="13" max="13" width="1.7109375" style="71" customWidth="1"/>
    <col min="14" max="14" width="19.42578125" style="71" customWidth="1"/>
    <col min="15" max="15" width="18.7109375" style="71" customWidth="1"/>
    <col min="16" max="16" width="14.140625" style="71" customWidth="1"/>
    <col min="17" max="16384" width="9.140625" style="71"/>
  </cols>
  <sheetData>
    <row r="6" spans="2:16" ht="27.75">
      <c r="B6" s="522" t="str">
        <f>'Historical Apporoach'!B4</f>
        <v>TRENT LTD</v>
      </c>
      <c r="D6" s="524"/>
      <c r="E6" s="524"/>
      <c r="F6" s="524"/>
      <c r="G6" s="524"/>
      <c r="H6" s="524"/>
      <c r="I6" s="524"/>
      <c r="J6" s="524"/>
      <c r="K6" s="524"/>
      <c r="L6" s="524"/>
      <c r="M6" s="524"/>
      <c r="N6" s="524"/>
      <c r="O6" s="524"/>
      <c r="P6" s="524"/>
    </row>
    <row r="7" spans="2:16" ht="15">
      <c r="B7" s="71" t="str">
        <f>'Historical Apporoach'!B5</f>
        <v>( TRENT | BSE Code: 500251)</v>
      </c>
      <c r="D7" s="74"/>
      <c r="E7" s="74"/>
      <c r="F7" s="74"/>
      <c r="G7" s="74"/>
      <c r="H7" s="74"/>
      <c r="I7" s="74"/>
      <c r="J7" s="74"/>
      <c r="K7" s="74"/>
      <c r="L7" s="74"/>
      <c r="M7" s="74"/>
      <c r="N7" s="74"/>
      <c r="O7" s="74"/>
      <c r="P7" s="74"/>
    </row>
    <row r="8" spans="2:16">
      <c r="B8" s="546"/>
    </row>
    <row r="9" spans="2:16" ht="38.25" customHeight="1">
      <c r="B9" s="837" t="s">
        <v>318</v>
      </c>
      <c r="C9" s="837"/>
      <c r="D9" s="837"/>
      <c r="E9" s="837"/>
      <c r="F9" s="837"/>
      <c r="G9" s="837"/>
      <c r="H9" s="837"/>
      <c r="I9" s="837"/>
      <c r="J9" s="837"/>
      <c r="K9" s="837"/>
      <c r="L9" s="837"/>
      <c r="M9" s="837"/>
      <c r="N9" s="837"/>
      <c r="O9" s="837"/>
      <c r="P9" s="837"/>
    </row>
    <row r="10" spans="2:16" ht="26.25">
      <c r="B10" s="581"/>
      <c r="C10" s="79"/>
      <c r="D10" s="649"/>
      <c r="E10" s="79"/>
      <c r="F10" s="79"/>
      <c r="G10" s="79"/>
      <c r="H10" s="79"/>
      <c r="I10" s="79"/>
      <c r="J10" s="79"/>
      <c r="K10" s="79"/>
      <c r="L10" s="79"/>
      <c r="M10" s="79"/>
      <c r="N10" s="79"/>
      <c r="O10" s="79"/>
      <c r="P10" s="79"/>
    </row>
    <row r="11" spans="2:16" ht="31.5" customHeight="1">
      <c r="B11" s="624"/>
      <c r="C11" s="624"/>
      <c r="D11" s="649"/>
      <c r="E11" s="645"/>
      <c r="F11" s="646" t="s">
        <v>324</v>
      </c>
      <c r="G11" s="645"/>
      <c r="H11" s="645"/>
      <c r="I11" s="624"/>
      <c r="J11" s="649"/>
      <c r="K11" s="645" t="s">
        <v>327</v>
      </c>
      <c r="L11" s="645"/>
      <c r="M11" s="624"/>
      <c r="N11" s="649"/>
      <c r="O11" s="645" t="s">
        <v>331</v>
      </c>
      <c r="P11" s="645"/>
    </row>
    <row r="12" spans="2:16" ht="45" customHeight="1">
      <c r="B12" s="642" t="s">
        <v>319</v>
      </c>
      <c r="C12" s="639" t="s">
        <v>320</v>
      </c>
      <c r="D12" s="597" t="s">
        <v>315</v>
      </c>
      <c r="E12" s="643" t="s">
        <v>321</v>
      </c>
      <c r="F12" s="641" t="s">
        <v>322</v>
      </c>
      <c r="G12" s="597" t="s">
        <v>323</v>
      </c>
      <c r="H12" s="595" t="s">
        <v>343</v>
      </c>
      <c r="I12" s="623"/>
      <c r="J12" s="639" t="s">
        <v>325</v>
      </c>
      <c r="K12" s="647" t="s">
        <v>65</v>
      </c>
      <c r="L12" s="647" t="s">
        <v>326</v>
      </c>
      <c r="M12" s="623"/>
      <c r="N12" s="639" t="s">
        <v>328</v>
      </c>
      <c r="O12" s="647" t="s">
        <v>329</v>
      </c>
      <c r="P12" s="623" t="s">
        <v>330</v>
      </c>
    </row>
    <row r="13" spans="2:16" ht="12" customHeight="1">
      <c r="B13" s="596"/>
      <c r="C13" s="640"/>
      <c r="D13" s="621"/>
      <c r="E13" s="644"/>
      <c r="F13" s="644"/>
      <c r="G13" s="644"/>
      <c r="H13" s="247"/>
      <c r="I13" s="247"/>
      <c r="J13" s="598"/>
      <c r="K13" s="598"/>
      <c r="L13" s="598"/>
      <c r="M13" s="622"/>
      <c r="N13" s="644"/>
      <c r="O13" s="648"/>
      <c r="P13" s="247"/>
    </row>
    <row r="14" spans="2:16" ht="17.25" customHeight="1">
      <c r="B14" s="625" t="str">
        <f>'Realtive Data'!C3</f>
        <v>Trent</v>
      </c>
      <c r="C14" s="626" t="s">
        <v>6956</v>
      </c>
      <c r="D14" s="627">
        <f>IFERROR('Realtive Data'!D3,0)</f>
        <v>4252</v>
      </c>
      <c r="E14" s="627">
        <f>IFERROR('Realtive Data'!E3,0)</f>
        <v>35.549999999999997</v>
      </c>
      <c r="F14" s="628">
        <f>E14*D14</f>
        <v>151158.59999999998</v>
      </c>
      <c r="G14" s="628">
        <f>'Realtive Data'!I3</f>
        <v>2008.7300000000002</v>
      </c>
      <c r="H14" s="629">
        <f>F14+G14</f>
        <v>153167.32999999999</v>
      </c>
      <c r="I14" s="630"/>
      <c r="J14" s="650">
        <f>'Realtive Data'!K3</f>
        <v>19263.16</v>
      </c>
      <c r="K14" s="628">
        <f>'Realtive Data'!M3</f>
        <v>4100</v>
      </c>
      <c r="L14" s="628">
        <f>'Realtive Data'!N3</f>
        <v>1619.83</v>
      </c>
      <c r="M14" s="590"/>
      <c r="N14" s="631">
        <f>$H14/J14</f>
        <v>7.9513086118788392</v>
      </c>
      <c r="O14" s="632">
        <f t="shared" ref="O14:O18" si="0">$H14/K14</f>
        <v>37.357885365853654</v>
      </c>
      <c r="P14" s="631">
        <f>F14/L14</f>
        <v>93.317570362321959</v>
      </c>
    </row>
    <row r="15" spans="2:16" ht="18.75" customHeight="1">
      <c r="B15" s="601" t="str">
        <f>'Realtive Data'!C4</f>
        <v>Avenue Super.</v>
      </c>
      <c r="C15" s="602" t="s">
        <v>8942</v>
      </c>
      <c r="D15" s="603">
        <f>IFERROR('Realtive Data'!D4,0)</f>
        <v>3909.2</v>
      </c>
      <c r="E15" s="603">
        <f>IFERROR('Realtive Data'!E4,0)</f>
        <v>65.069999999999993</v>
      </c>
      <c r="F15" s="606">
        <f t="shared" ref="F15:F18" si="1">E15*D15</f>
        <v>254371.64399999997</v>
      </c>
      <c r="G15" s="606">
        <f>'Realtive Data'!I4</f>
        <v>255783.91</v>
      </c>
      <c r="H15" s="599">
        <f t="shared" ref="H15:H18" si="2">F15+G15</f>
        <v>510155.554</v>
      </c>
      <c r="I15" s="607"/>
      <c r="J15" s="599">
        <f>'Realtive Data'!K4</f>
        <v>66008.740000000005</v>
      </c>
      <c r="K15" s="606">
        <f>'Realtive Data'!M4</f>
        <v>9600</v>
      </c>
      <c r="L15" s="606">
        <f>'Realtive Data'!N4</f>
        <v>2864.23</v>
      </c>
      <c r="M15" s="590"/>
      <c r="N15" s="600">
        <f t="shared" ref="N15:N18" si="3">$H15/J15</f>
        <v>7.7286061512460318</v>
      </c>
      <c r="O15" s="610">
        <f t="shared" si="0"/>
        <v>53.14120354166667</v>
      </c>
      <c r="P15" s="600">
        <f>F15/L15</f>
        <v>88.809782733928486</v>
      </c>
    </row>
    <row r="16" spans="2:16" ht="18" customHeight="1">
      <c r="B16" s="601" t="str">
        <f>'Realtive Data'!C5</f>
        <v>Page Industries</v>
      </c>
      <c r="C16" s="602" t="s">
        <v>4963</v>
      </c>
      <c r="D16" s="603">
        <f>IFERROR('Realtive Data'!D5,0)</f>
        <v>33530</v>
      </c>
      <c r="E16" s="603">
        <f>IFERROR('Realtive Data'!E5,0)</f>
        <v>1.1200000000000001</v>
      </c>
      <c r="F16" s="606">
        <f t="shared" si="1"/>
        <v>37553.600000000006</v>
      </c>
      <c r="G16" s="606">
        <f>'Realtive Data'!I5</f>
        <v>-203.25</v>
      </c>
      <c r="H16" s="599">
        <f t="shared" si="2"/>
        <v>37350.350000000006</v>
      </c>
      <c r="I16" s="607"/>
      <c r="J16" s="599">
        <f>'Realtive Data'!K5</f>
        <v>5092.25</v>
      </c>
      <c r="K16" s="606">
        <f>'Realtive Data'!M5</f>
        <v>1250</v>
      </c>
      <c r="L16" s="606">
        <f>'Realtive Data'!N5</f>
        <v>749.11</v>
      </c>
      <c r="M16" s="590"/>
      <c r="N16" s="600">
        <f t="shared" si="3"/>
        <v>7.3347439736855033</v>
      </c>
      <c r="O16" s="610">
        <f t="shared" si="0"/>
        <v>29.880280000000006</v>
      </c>
      <c r="P16" s="600">
        <f>F16/L16</f>
        <v>50.130955400408489</v>
      </c>
    </row>
    <row r="17" spans="2:19" ht="18" customHeight="1">
      <c r="B17" s="601" t="str">
        <f>'Realtive Data'!C6</f>
        <v>Vedant Fashions</v>
      </c>
      <c r="C17" s="602" t="s">
        <v>8692</v>
      </c>
      <c r="D17" s="603">
        <f>IFERROR('Realtive Data'!D6,0)</f>
        <v>455.3</v>
      </c>
      <c r="E17" s="603">
        <f>IFERROR('Realtive Data'!E6,0)</f>
        <v>24.3</v>
      </c>
      <c r="F17" s="606">
        <f t="shared" si="1"/>
        <v>11063.79</v>
      </c>
      <c r="G17" s="606">
        <f>'Realtive Data'!I6</f>
        <v>446.53</v>
      </c>
      <c r="H17" s="599">
        <f t="shared" si="2"/>
        <v>11510.320000000002</v>
      </c>
      <c r="I17" s="607"/>
      <c r="J17" s="599">
        <f>'Realtive Data'!K6</f>
        <v>1403.49</v>
      </c>
      <c r="K17" s="606">
        <f>'Realtive Data'!M6</f>
        <v>730</v>
      </c>
      <c r="L17" s="606">
        <f>'Realtive Data'!N6</f>
        <v>362.35</v>
      </c>
      <c r="M17" s="590"/>
      <c r="N17" s="600">
        <f t="shared" si="3"/>
        <v>8.2012126912197463</v>
      </c>
      <c r="O17" s="610">
        <f t="shared" si="0"/>
        <v>15.767561643835618</v>
      </c>
      <c r="P17" s="600">
        <f>F17/L17</f>
        <v>30.533434524630881</v>
      </c>
    </row>
    <row r="18" spans="2:19" ht="18" customHeight="1">
      <c r="B18" s="601" t="str">
        <f>'Realtive Data'!C7</f>
        <v>V2 Retail</v>
      </c>
      <c r="C18" s="602" t="s">
        <v>7146</v>
      </c>
      <c r="D18" s="603">
        <f>IFERROR('Realtive Data'!D7,0)</f>
        <v>2031.2</v>
      </c>
      <c r="E18" s="603">
        <f>IFERROR('Realtive Data'!E7,0)</f>
        <v>3.65</v>
      </c>
      <c r="F18" s="606">
        <f t="shared" si="1"/>
        <v>7413.88</v>
      </c>
      <c r="G18" s="606">
        <f>'Realtive Data'!I7</f>
        <v>1303.0999999999999</v>
      </c>
      <c r="H18" s="599">
        <f t="shared" si="2"/>
        <v>8716.98</v>
      </c>
      <c r="I18" s="607"/>
      <c r="J18" s="599">
        <f>'Realtive Data'!K7</f>
        <v>2768.55</v>
      </c>
      <c r="K18" s="606">
        <f>'Realtive Data'!M7</f>
        <v>320</v>
      </c>
      <c r="L18" s="651">
        <f>'Realtive Data'!N7</f>
        <v>150.4</v>
      </c>
      <c r="M18" s="590"/>
      <c r="N18" s="600">
        <f t="shared" si="3"/>
        <v>3.1485723573711866</v>
      </c>
      <c r="O18" s="610">
        <f t="shared" si="0"/>
        <v>27.240562499999999</v>
      </c>
      <c r="P18" s="600">
        <f t="shared" ref="P18" si="4">F18/L18</f>
        <v>49.294414893617024</v>
      </c>
    </row>
    <row r="19" spans="2:19" ht="15" thickBot="1">
      <c r="B19" s="103"/>
      <c r="C19" s="129"/>
      <c r="D19" s="604"/>
      <c r="E19" s="605"/>
      <c r="F19" s="604"/>
      <c r="G19" s="604"/>
      <c r="H19" s="547"/>
      <c r="I19" s="608"/>
      <c r="J19" s="547"/>
      <c r="K19" s="609"/>
      <c r="L19" s="609"/>
      <c r="M19" s="79"/>
      <c r="N19" s="548"/>
      <c r="O19" s="611"/>
      <c r="P19" s="548"/>
    </row>
    <row r="20" spans="2:19" ht="15" thickTop="1">
      <c r="O20" s="612"/>
    </row>
    <row r="21" spans="2:19" ht="23.25" customHeight="1">
      <c r="B21" s="633" t="s">
        <v>344</v>
      </c>
      <c r="C21" s="633"/>
      <c r="D21" s="633"/>
      <c r="E21" s="633"/>
      <c r="F21" s="633"/>
      <c r="G21" s="633"/>
      <c r="H21" s="633"/>
      <c r="I21" s="633"/>
      <c r="J21" s="633"/>
      <c r="K21" s="633"/>
      <c r="L21" s="633"/>
      <c r="M21" s="633"/>
      <c r="N21" s="634">
        <f>MAX(N14:N19)</f>
        <v>8.2012126912197463</v>
      </c>
      <c r="O21" s="634">
        <f>MAX(O14:O19)</f>
        <v>53.14120354166667</v>
      </c>
      <c r="P21" s="635">
        <f>MAX(P14:P19)</f>
        <v>93.317570362321959</v>
      </c>
    </row>
    <row r="22" spans="2:19" ht="18.75" customHeight="1">
      <c r="B22" s="633" t="s">
        <v>345</v>
      </c>
      <c r="C22" s="633"/>
      <c r="D22" s="633"/>
      <c r="E22" s="633"/>
      <c r="F22" s="633"/>
      <c r="G22" s="633"/>
      <c r="H22" s="633"/>
      <c r="I22" s="633"/>
      <c r="J22" s="633"/>
      <c r="K22" s="633"/>
      <c r="L22" s="633"/>
      <c r="M22" s="633"/>
      <c r="N22" s="634">
        <f>QUARTILE(N14:N19,3)</f>
        <v>7.9513086118788392</v>
      </c>
      <c r="O22" s="634">
        <f>QUARTILE(O14:O19,3)</f>
        <v>37.357885365853654</v>
      </c>
      <c r="P22" s="635">
        <f>QUARTILE(P14:P19,3)</f>
        <v>88.809782733928486</v>
      </c>
    </row>
    <row r="23" spans="2:19" ht="19.5" customHeight="1">
      <c r="B23" s="636" t="s">
        <v>145</v>
      </c>
      <c r="C23" s="636"/>
      <c r="D23" s="636"/>
      <c r="E23" s="636"/>
      <c r="F23" s="636"/>
      <c r="G23" s="636"/>
      <c r="H23" s="636"/>
      <c r="I23" s="636"/>
      <c r="J23" s="636"/>
      <c r="K23" s="636"/>
      <c r="L23" s="636"/>
      <c r="M23" s="636"/>
      <c r="N23" s="637">
        <f>AVERAGE(N14:N18)</f>
        <v>6.8728887570802613</v>
      </c>
      <c r="O23" s="637">
        <f>AVERAGE(O14:O18)</f>
        <v>32.677498610271194</v>
      </c>
      <c r="P23" s="638">
        <f>AVERAGE(P14:P18)</f>
        <v>62.417231582981366</v>
      </c>
    </row>
    <row r="24" spans="2:19" ht="20.25" customHeight="1">
      <c r="B24" s="636" t="s">
        <v>127</v>
      </c>
      <c r="C24" s="636"/>
      <c r="D24" s="636"/>
      <c r="E24" s="636"/>
      <c r="F24" s="636"/>
      <c r="G24" s="636"/>
      <c r="H24" s="636"/>
      <c r="I24" s="636"/>
      <c r="J24" s="636"/>
      <c r="K24" s="636"/>
      <c r="L24" s="636"/>
      <c r="M24" s="636"/>
      <c r="N24" s="637">
        <f>MEDIAN(N14:N18)</f>
        <v>7.7286061512460318</v>
      </c>
      <c r="O24" s="637">
        <f>MEDIAN(O14:O18)</f>
        <v>29.880280000000006</v>
      </c>
      <c r="P24" s="638">
        <f>MEDIAN(P14:P18)</f>
        <v>50.130955400408489</v>
      </c>
    </row>
    <row r="25" spans="2:19" ht="22.5" customHeight="1">
      <c r="B25" s="633" t="s">
        <v>346</v>
      </c>
      <c r="C25" s="633"/>
      <c r="D25" s="633"/>
      <c r="E25" s="633"/>
      <c r="F25" s="633"/>
      <c r="G25" s="633"/>
      <c r="H25" s="633"/>
      <c r="I25" s="633"/>
      <c r="J25" s="633"/>
      <c r="K25" s="633"/>
      <c r="L25" s="633"/>
      <c r="M25" s="633"/>
      <c r="N25" s="634">
        <f>QUARTILE(N14:N19,1)</f>
        <v>7.3347439736855033</v>
      </c>
      <c r="O25" s="634">
        <f>QUARTILE(O14:O19,1)</f>
        <v>27.240562499999999</v>
      </c>
      <c r="P25" s="635">
        <f>QUARTILE(P14:P19,1)</f>
        <v>49.294414893617024</v>
      </c>
    </row>
    <row r="26" spans="2:19" ht="19.5" customHeight="1">
      <c r="B26" s="633" t="s">
        <v>347</v>
      </c>
      <c r="C26" s="633"/>
      <c r="D26" s="633"/>
      <c r="E26" s="633"/>
      <c r="F26" s="633"/>
      <c r="G26" s="633"/>
      <c r="H26" s="633"/>
      <c r="I26" s="633"/>
      <c r="J26" s="633"/>
      <c r="K26" s="633"/>
      <c r="L26" s="633"/>
      <c r="M26" s="633"/>
      <c r="N26" s="634">
        <f>MIN(N14:N19)</f>
        <v>3.1485723573711866</v>
      </c>
      <c r="O26" s="634">
        <f>MIN(O14:O19)</f>
        <v>15.767561643835618</v>
      </c>
      <c r="P26" s="635">
        <f>MIN(P14:P19)</f>
        <v>30.533434524630881</v>
      </c>
    </row>
    <row r="27" spans="2:19" ht="15">
      <c r="B27" s="172"/>
      <c r="C27" s="172"/>
      <c r="D27" s="172"/>
      <c r="E27" s="172"/>
      <c r="F27" s="172"/>
      <c r="G27" s="172"/>
      <c r="H27" s="172"/>
      <c r="I27" s="172"/>
      <c r="J27" s="172"/>
      <c r="K27" s="172"/>
      <c r="L27" s="172"/>
      <c r="M27" s="172"/>
      <c r="N27" s="652"/>
      <c r="O27" s="652"/>
      <c r="P27" s="594"/>
    </row>
    <row r="28" spans="2:19">
      <c r="N28" s="129"/>
      <c r="O28" s="129"/>
    </row>
    <row r="29" spans="2:19" ht="22.5" customHeight="1">
      <c r="B29" s="657" t="s">
        <v>8943</v>
      </c>
      <c r="C29" s="658"/>
      <c r="D29" s="658"/>
      <c r="E29" s="658"/>
      <c r="F29" s="658"/>
      <c r="G29" s="658"/>
      <c r="H29" s="658"/>
      <c r="I29" s="658"/>
      <c r="J29" s="658"/>
      <c r="K29" s="658"/>
      <c r="L29" s="658"/>
      <c r="M29" s="658"/>
      <c r="N29" s="659" t="s">
        <v>349</v>
      </c>
      <c r="O29" s="659" t="s">
        <v>329</v>
      </c>
      <c r="P29" s="659" t="s">
        <v>330</v>
      </c>
      <c r="S29" s="255"/>
    </row>
    <row r="30" spans="2:19">
      <c r="M30" s="103"/>
      <c r="O30" s="129"/>
    </row>
    <row r="31" spans="2:19" ht="20.25" customHeight="1">
      <c r="B31" s="653" t="s">
        <v>350</v>
      </c>
      <c r="C31" s="653"/>
      <c r="D31" s="653"/>
      <c r="E31" s="653"/>
      <c r="F31" s="653"/>
      <c r="G31" s="653"/>
      <c r="H31" s="653"/>
      <c r="I31" s="653"/>
      <c r="J31" s="653"/>
      <c r="K31" s="653"/>
      <c r="L31" s="653"/>
      <c r="M31" s="654"/>
      <c r="N31" s="655">
        <f>J14*N24</f>
        <v>148877.37686843652</v>
      </c>
      <c r="O31" s="656">
        <f>K14*O24</f>
        <v>122509.14800000003</v>
      </c>
      <c r="P31" s="655">
        <f>P33+P32</f>
        <v>83212.355486243672</v>
      </c>
    </row>
    <row r="32" spans="2:19" ht="18" customHeight="1">
      <c r="B32" s="653" t="s">
        <v>323</v>
      </c>
      <c r="C32" s="653"/>
      <c r="D32" s="653"/>
      <c r="E32" s="653"/>
      <c r="F32" s="653"/>
      <c r="G32" s="653"/>
      <c r="H32" s="653"/>
      <c r="I32" s="653"/>
      <c r="J32" s="653"/>
      <c r="K32" s="653"/>
      <c r="L32" s="653"/>
      <c r="M32" s="654"/>
      <c r="N32" s="655">
        <f>$G$14</f>
        <v>2008.7300000000002</v>
      </c>
      <c r="O32" s="656">
        <f t="shared" ref="O32" si="5">$G$14</f>
        <v>2008.7300000000002</v>
      </c>
      <c r="P32" s="655">
        <f>$G$14</f>
        <v>2008.7300000000002</v>
      </c>
    </row>
    <row r="33" spans="2:16" ht="20.25" customHeight="1">
      <c r="B33" s="653" t="s">
        <v>8944</v>
      </c>
      <c r="C33" s="653"/>
      <c r="D33" s="653"/>
      <c r="E33" s="653"/>
      <c r="F33" s="653"/>
      <c r="G33" s="653"/>
      <c r="H33" s="653"/>
      <c r="I33" s="653"/>
      <c r="J33" s="653"/>
      <c r="K33" s="653"/>
      <c r="L33" s="653"/>
      <c r="M33" s="654"/>
      <c r="N33" s="655">
        <f>N31-N32</f>
        <v>146868.64686843651</v>
      </c>
      <c r="O33" s="656">
        <f t="shared" ref="O33" si="6">O31-O32</f>
        <v>120500.41800000003</v>
      </c>
      <c r="P33" s="655">
        <f>P24*L14</f>
        <v>81203.625486243676</v>
      </c>
    </row>
    <row r="34" spans="2:16" ht="18.75" customHeight="1">
      <c r="B34" s="653" t="s">
        <v>321</v>
      </c>
      <c r="C34" s="653"/>
      <c r="D34" s="653"/>
      <c r="E34" s="653"/>
      <c r="F34" s="653"/>
      <c r="G34" s="653"/>
      <c r="H34" s="653"/>
      <c r="I34" s="653"/>
      <c r="J34" s="653"/>
      <c r="K34" s="653"/>
      <c r="L34" s="653"/>
      <c r="M34" s="654"/>
      <c r="N34" s="655">
        <f>$E$14</f>
        <v>35.549999999999997</v>
      </c>
      <c r="O34" s="656">
        <f t="shared" ref="O34:P34" si="7">$E$14</f>
        <v>35.549999999999997</v>
      </c>
      <c r="P34" s="655">
        <f t="shared" si="7"/>
        <v>35.549999999999997</v>
      </c>
    </row>
    <row r="35" spans="2:16" ht="7.5" customHeight="1">
      <c r="B35" s="172"/>
      <c r="C35" s="169"/>
      <c r="D35" s="169"/>
      <c r="E35" s="169"/>
      <c r="F35" s="169"/>
      <c r="G35" s="169"/>
      <c r="H35" s="169"/>
      <c r="I35" s="169"/>
      <c r="J35" s="169"/>
      <c r="K35" s="169"/>
      <c r="L35" s="169"/>
      <c r="M35" s="438"/>
      <c r="N35" s="169"/>
      <c r="O35" s="613"/>
      <c r="P35" s="169"/>
    </row>
    <row r="36" spans="2:16" ht="21" customHeight="1" thickBot="1">
      <c r="B36" s="614" t="s">
        <v>351</v>
      </c>
      <c r="C36" s="614"/>
      <c r="D36" s="614"/>
      <c r="E36" s="614"/>
      <c r="F36" s="614"/>
      <c r="G36" s="614"/>
      <c r="H36" s="614"/>
      <c r="I36" s="614"/>
      <c r="J36" s="614"/>
      <c r="K36" s="614"/>
      <c r="L36" s="614"/>
      <c r="M36" s="615"/>
      <c r="N36" s="616">
        <f>N33/N34</f>
        <v>4131.3262128955421</v>
      </c>
      <c r="O36" s="617">
        <f>O33/O34</f>
        <v>3389.6038818565412</v>
      </c>
      <c r="P36" s="616">
        <f>P33/P34</f>
        <v>2284.2088744372345</v>
      </c>
    </row>
    <row r="37" spans="2:16" ht="15">
      <c r="B37" s="169"/>
      <c r="C37" s="169"/>
      <c r="D37" s="169"/>
      <c r="E37" s="169"/>
      <c r="F37" s="169"/>
      <c r="G37" s="169"/>
      <c r="H37" s="169"/>
      <c r="I37" s="169"/>
      <c r="J37" s="169"/>
      <c r="K37" s="169"/>
      <c r="L37" s="169"/>
      <c r="M37" s="169"/>
      <c r="N37" s="169"/>
      <c r="O37" s="619"/>
      <c r="P37" s="169"/>
    </row>
    <row r="38" spans="2:16" ht="15">
      <c r="B38" s="618" t="s">
        <v>352</v>
      </c>
      <c r="C38" s="92"/>
      <c r="D38" s="92"/>
      <c r="E38" s="92"/>
      <c r="F38" s="92"/>
      <c r="G38" s="92"/>
      <c r="H38" s="92"/>
      <c r="I38" s="92"/>
      <c r="J38" s="92"/>
      <c r="K38" s="92"/>
      <c r="L38" s="92"/>
      <c r="M38" s="92"/>
      <c r="N38" s="620" t="str">
        <f>IF(N36&gt;$D14,"Undervalued","Overvalued")</f>
        <v>Overvalued</v>
      </c>
      <c r="O38" s="620" t="str">
        <f>IF(O36&gt;$D14,"Undervalued","Overvalued")</f>
        <v>Overvalued</v>
      </c>
      <c r="P38" s="620" t="str">
        <f>IF(P36&gt;$D14,"Undervalued","Overvalued")</f>
        <v>Overvalued</v>
      </c>
    </row>
    <row r="39" spans="2:16" ht="17.25" customHeight="1">
      <c r="B39" s="92"/>
      <c r="C39" s="92"/>
      <c r="D39" s="92"/>
      <c r="E39" s="92"/>
      <c r="F39" s="92"/>
      <c r="G39" s="92"/>
      <c r="H39" s="92"/>
      <c r="I39" s="92"/>
      <c r="J39" s="92"/>
      <c r="K39" s="92"/>
      <c r="L39" s="92"/>
      <c r="M39" s="92"/>
      <c r="N39" s="92"/>
      <c r="O39" s="92"/>
      <c r="P39" s="92"/>
    </row>
    <row r="40" spans="2:16" ht="15">
      <c r="B40" s="92"/>
      <c r="C40" s="92"/>
      <c r="D40" s="92"/>
      <c r="E40" s="92"/>
      <c r="F40" s="92"/>
      <c r="G40" s="92"/>
      <c r="H40" s="92"/>
      <c r="I40" s="92"/>
      <c r="J40" s="92"/>
      <c r="K40" s="92"/>
      <c r="L40" s="92"/>
      <c r="M40" s="92"/>
      <c r="N40" s="92"/>
      <c r="O40" s="92"/>
      <c r="P40" s="92"/>
    </row>
    <row r="41" spans="2:16" ht="4.5" customHeight="1">
      <c r="B41" s="92"/>
      <c r="C41" s="92"/>
      <c r="D41" s="92"/>
      <c r="E41" s="92"/>
      <c r="F41" s="92"/>
      <c r="G41" s="92"/>
      <c r="H41" s="92"/>
      <c r="I41" s="92"/>
      <c r="J41" s="92"/>
      <c r="K41" s="92"/>
      <c r="L41" s="92"/>
      <c r="M41" s="92"/>
      <c r="N41" s="92"/>
      <c r="O41" s="92"/>
      <c r="P41" s="92"/>
    </row>
  </sheetData>
  <mergeCells count="1">
    <mergeCell ref="B9:P9"/>
  </mergeCells>
  <printOptions horizontalCentered="1" verticalCentered="1"/>
  <pageMargins left="0.19685039370078741" right="0.19685039370078741" top="0.15748031496062992" bottom="0.15748031496062992" header="0.11811023622047245" footer="0.11811023622047245"/>
  <pageSetup paperSize="9" scale="65" orientation="landscape" horizontalDpi="360" verticalDpi="360" r:id="rId1"/>
  <colBreaks count="1" manualBreakCount="1">
    <brk id="16"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L4:Q11"/>
  <sheetViews>
    <sheetView showGridLines="0" topLeftCell="C1" zoomScaleNormal="100" zoomScaleSheetLayoutView="115" workbookViewId="0">
      <selection activeCell="G22" sqref="G22"/>
    </sheetView>
  </sheetViews>
  <sheetFormatPr defaultRowHeight="14.25"/>
  <cols>
    <col min="1" max="1" width="1.85546875" style="71" customWidth="1"/>
    <col min="2" max="11" width="9.140625" style="71"/>
    <col min="12" max="12" width="18.85546875" style="71" customWidth="1"/>
    <col min="13" max="13" width="13.28515625" style="71" customWidth="1"/>
    <col min="14" max="14" width="14.42578125" style="71" bestFit="1" customWidth="1"/>
    <col min="15" max="17" width="12.5703125" style="71" bestFit="1" customWidth="1"/>
    <col min="18" max="16384" width="9.140625" style="71"/>
  </cols>
  <sheetData>
    <row r="4" spans="12:17" ht="18">
      <c r="L4" s="660" t="s">
        <v>362</v>
      </c>
      <c r="M4" s="661"/>
      <c r="N4" s="661"/>
      <c r="O4" s="661"/>
      <c r="P4" s="661"/>
      <c r="Q4" s="662"/>
    </row>
    <row r="5" spans="12:17" ht="17.25" customHeight="1">
      <c r="L5" s="95"/>
      <c r="M5" s="667" t="s">
        <v>370</v>
      </c>
      <c r="N5" s="665" t="s">
        <v>368</v>
      </c>
      <c r="O5" s="665" t="s">
        <v>369</v>
      </c>
      <c r="P5" s="663" t="s">
        <v>344</v>
      </c>
      <c r="Q5" s="662"/>
    </row>
    <row r="6" spans="12:17" ht="15">
      <c r="L6" s="669" t="s">
        <v>363</v>
      </c>
      <c r="M6" s="668">
        <f>'Comps Analysis'!P36</f>
        <v>2284.2088744372345</v>
      </c>
      <c r="N6" s="367">
        <f>M6</f>
        <v>2284.2088744372345</v>
      </c>
      <c r="O6" s="367">
        <f>P6</f>
        <v>4131.3262128955421</v>
      </c>
      <c r="P6" s="664">
        <f>'Comps Analysis'!N36</f>
        <v>4131.3262128955421</v>
      </c>
    </row>
    <row r="7" spans="12:17" ht="15">
      <c r="L7" s="670" t="s">
        <v>364</v>
      </c>
      <c r="M7" s="668">
        <f>N7</f>
        <v>547.6845961472867</v>
      </c>
      <c r="N7" s="367">
        <f>DCF!I51</f>
        <v>547.6845961472867</v>
      </c>
      <c r="O7" s="367">
        <f>P7</f>
        <v>678.66703855322703</v>
      </c>
      <c r="P7" s="664">
        <f>DCF!I55</f>
        <v>678.66703855322703</v>
      </c>
    </row>
    <row r="8" spans="12:17" ht="15">
      <c r="L8" s="670" t="s">
        <v>365</v>
      </c>
      <c r="M8" s="668">
        <f>N8</f>
        <v>1099.435818660231</v>
      </c>
      <c r="N8" s="367">
        <f>DCF!G51</f>
        <v>1099.435818660231</v>
      </c>
      <c r="O8" s="367">
        <f>P8</f>
        <v>2071.1694950261826</v>
      </c>
      <c r="P8" s="664">
        <f>DCF!G55</f>
        <v>2071.1694950261826</v>
      </c>
    </row>
    <row r="9" spans="12:17" ht="15">
      <c r="L9" s="670" t="s">
        <v>366</v>
      </c>
      <c r="M9" s="668">
        <f>N9</f>
        <v>690.34047253968208</v>
      </c>
      <c r="N9" s="367">
        <f>DCF!F51</f>
        <v>690.34047253968208</v>
      </c>
      <c r="O9" s="367">
        <f>P9</f>
        <v>936.51164728070898</v>
      </c>
      <c r="P9" s="664">
        <f>DCF!F55</f>
        <v>936.51164728070898</v>
      </c>
    </row>
    <row r="10" spans="12:17" ht="15">
      <c r="L10" s="671" t="s">
        <v>367</v>
      </c>
      <c r="M10" s="668">
        <f>N10</f>
        <v>3645</v>
      </c>
      <c r="N10" s="367">
        <v>3645</v>
      </c>
      <c r="O10" s="367">
        <f>P10</f>
        <v>6261</v>
      </c>
      <c r="P10" s="664">
        <v>6261</v>
      </c>
    </row>
    <row r="11" spans="12:17">
      <c r="L11" s="79"/>
      <c r="M11" s="103"/>
      <c r="N11" s="129"/>
      <c r="O11" s="666"/>
    </row>
  </sheetData>
  <printOptions horizontalCentered="1" verticalCentered="1"/>
  <pageMargins left="0.11811023622047245" right="0.51181102362204722" top="0.15748031496062992" bottom="0.15748031496062992" header="0.31496062992125984" footer="0.31496062992125984"/>
  <pageSetup paperSize="9" scale="59" orientation="portrait" horizontalDpi="360" verticalDpi="360" r:id="rId1"/>
  <colBreaks count="1" manualBreakCount="1">
    <brk id="16" max="1048575" man="1"/>
  </colBreaks>
  <ignoredErrors>
    <ignoredError sqref="N7:N9" 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O119"/>
  <sheetViews>
    <sheetView showGridLines="0" zoomScale="85" zoomScaleNormal="85" zoomScaleSheetLayoutView="55" workbookViewId="0">
      <selection activeCell="B4" sqref="B4"/>
    </sheetView>
  </sheetViews>
  <sheetFormatPr defaultRowHeight="14.25"/>
  <cols>
    <col min="1" max="1" width="1.85546875" style="71" customWidth="1"/>
    <col min="2" max="2" width="33.7109375" style="71" customWidth="1"/>
    <col min="3" max="3" width="9.42578125" style="71" bestFit="1" customWidth="1"/>
    <col min="4" max="6" width="11.140625" style="71" customWidth="1"/>
    <col min="7" max="7" width="11.140625" style="71" bestFit="1" customWidth="1"/>
    <col min="8" max="8" width="12.28515625" style="71" bestFit="1" customWidth="1"/>
    <col min="9" max="9" width="10.5703125" style="71" bestFit="1" customWidth="1"/>
    <col min="10" max="16384" width="9.140625" style="71"/>
  </cols>
  <sheetData>
    <row r="1" spans="2:11" ht="13.5" customHeight="1">
      <c r="B1" s="710"/>
      <c r="C1" s="710"/>
      <c r="D1" s="710"/>
      <c r="E1" s="710"/>
      <c r="F1" s="710"/>
      <c r="G1" s="710"/>
      <c r="H1" s="710"/>
      <c r="I1" s="710"/>
      <c r="J1" s="699"/>
    </row>
    <row r="3" spans="2:11" ht="26.25" customHeight="1">
      <c r="B3" s="522" t="str">
        <f>'List of Stock'!A388</f>
        <v>TRENT LTD</v>
      </c>
    </row>
    <row r="4" spans="2:11">
      <c r="B4" s="71" t="str">
        <f>CONCATENATE("( ",VLOOKUP(B3,'List of Stock'!A2:C5442,3,1)," | ","BSE Code: ",VLOOKUP(B3,'List of Stock'!A2:B5442,2,1),")")</f>
        <v>( TRENT | BSE Code: 500251)</v>
      </c>
      <c r="K4" s="71" t="s">
        <v>9007</v>
      </c>
    </row>
    <row r="5" spans="2:11" ht="21.75" customHeight="1">
      <c r="B5" s="700" t="str">
        <f>CONCATENATE("  ","INR "&amp;'Data Sheet'!B8)</f>
        <v xml:space="preserve">  INR 4285.6</v>
      </c>
    </row>
    <row r="6" spans="2:11">
      <c r="B6" s="71" t="s">
        <v>9003</v>
      </c>
    </row>
    <row r="7" spans="2:11" ht="6.75" customHeight="1">
      <c r="B7" s="79"/>
      <c r="C7" s="79"/>
      <c r="D7" s="79"/>
      <c r="E7" s="79"/>
      <c r="F7" s="79"/>
      <c r="G7" s="79"/>
      <c r="H7" s="79"/>
      <c r="I7" s="79"/>
      <c r="J7" s="79"/>
    </row>
    <row r="8" spans="2:11" ht="15.75" customHeight="1">
      <c r="B8" s="707" t="s">
        <v>8783</v>
      </c>
      <c r="C8" s="708"/>
      <c r="D8" s="708"/>
      <c r="E8" s="708"/>
      <c r="F8" s="708"/>
      <c r="G8" s="708"/>
      <c r="H8" s="708"/>
      <c r="I8" s="708"/>
    </row>
    <row r="9" spans="2:11" ht="37.5" customHeight="1">
      <c r="B9" s="847" t="s">
        <v>9001</v>
      </c>
      <c r="C9" s="847"/>
      <c r="D9" s="847"/>
      <c r="E9" s="847"/>
      <c r="F9" s="847"/>
      <c r="G9" s="847"/>
      <c r="H9" s="847"/>
      <c r="I9" s="847"/>
    </row>
    <row r="10" spans="2:11" ht="9" customHeight="1">
      <c r="B10" s="701"/>
      <c r="C10" s="701"/>
      <c r="D10" s="701"/>
      <c r="E10" s="701"/>
      <c r="F10" s="701"/>
      <c r="G10" s="701"/>
      <c r="H10" s="701"/>
      <c r="I10" s="701"/>
    </row>
    <row r="11" spans="2:11" ht="18">
      <c r="B11" s="702" t="s">
        <v>8804</v>
      </c>
      <c r="C11" s="703"/>
      <c r="D11" s="703"/>
      <c r="E11" s="703"/>
      <c r="F11" s="703"/>
      <c r="G11" s="703"/>
      <c r="H11" s="703"/>
      <c r="I11" s="703"/>
    </row>
    <row r="12" spans="2:11" ht="4.5" customHeight="1">
      <c r="B12" s="704"/>
      <c r="C12" s="703"/>
      <c r="D12" s="703"/>
      <c r="E12" s="703"/>
      <c r="F12" s="703"/>
      <c r="G12" s="703"/>
      <c r="H12" s="703"/>
      <c r="I12" s="703"/>
    </row>
    <row r="13" spans="2:11" ht="15">
      <c r="B13" s="704"/>
      <c r="C13" s="703"/>
      <c r="D13" s="703"/>
      <c r="E13" s="703"/>
      <c r="F13" s="703"/>
      <c r="G13" s="703"/>
      <c r="H13" s="703"/>
      <c r="I13" s="703"/>
    </row>
    <row r="14" spans="2:11" s="79" customFormat="1" ht="15">
      <c r="B14" s="739"/>
      <c r="C14" s="738"/>
      <c r="D14" s="738"/>
      <c r="E14" s="738"/>
      <c r="F14" s="738"/>
      <c r="G14" s="738"/>
      <c r="H14" s="738"/>
      <c r="I14" s="738"/>
      <c r="J14" s="738"/>
    </row>
    <row r="15" spans="2:11" ht="15">
      <c r="B15" s="704"/>
      <c r="C15" s="703"/>
      <c r="D15" s="703"/>
      <c r="E15" s="703"/>
      <c r="F15" s="703"/>
      <c r="G15" s="703"/>
      <c r="H15" s="703"/>
      <c r="I15" s="703"/>
    </row>
    <row r="16" spans="2:11" ht="15">
      <c r="B16" s="704"/>
      <c r="C16" s="703"/>
      <c r="D16" s="703"/>
      <c r="E16" s="703"/>
      <c r="F16" s="703"/>
      <c r="G16" s="703"/>
      <c r="H16" s="703"/>
      <c r="I16" s="703"/>
    </row>
    <row r="17" spans="2:9" ht="15">
      <c r="B17" s="704"/>
      <c r="C17" s="703"/>
      <c r="D17" s="703"/>
      <c r="E17" s="703"/>
      <c r="F17" s="703"/>
      <c r="G17" s="703"/>
      <c r="H17" s="703"/>
      <c r="I17" s="703"/>
    </row>
    <row r="18" spans="2:9" ht="15">
      <c r="B18" s="704"/>
      <c r="C18" s="703"/>
      <c r="D18" s="703"/>
      <c r="E18" s="703"/>
      <c r="F18" s="703"/>
      <c r="G18" s="703"/>
      <c r="H18" s="703"/>
      <c r="I18" s="703"/>
    </row>
    <row r="19" spans="2:9" ht="15">
      <c r="B19" s="704"/>
      <c r="C19" s="703"/>
      <c r="D19" s="703"/>
      <c r="E19" s="703"/>
      <c r="F19" s="703"/>
      <c r="G19" s="703"/>
      <c r="H19" s="703"/>
      <c r="I19" s="703"/>
    </row>
    <row r="20" spans="2:9" ht="15">
      <c r="B20" s="704"/>
      <c r="C20" s="703"/>
      <c r="D20" s="703"/>
      <c r="E20" s="703"/>
      <c r="F20" s="703"/>
      <c r="G20" s="703"/>
      <c r="H20" s="703"/>
      <c r="I20" s="703"/>
    </row>
    <row r="21" spans="2:9" ht="15">
      <c r="B21" s="704"/>
      <c r="C21" s="703"/>
      <c r="D21" s="703"/>
      <c r="E21" s="703"/>
      <c r="F21" s="703"/>
      <c r="G21" s="703"/>
      <c r="H21" s="703"/>
      <c r="I21" s="703"/>
    </row>
    <row r="22" spans="2:9">
      <c r="B22" s="703"/>
      <c r="C22" s="703"/>
      <c r="D22" s="703"/>
      <c r="E22" s="703"/>
      <c r="F22" s="703"/>
      <c r="G22" s="703"/>
      <c r="H22" s="703"/>
      <c r="I22" s="703"/>
    </row>
    <row r="23" spans="2:9">
      <c r="B23" s="701"/>
      <c r="C23" s="701"/>
      <c r="D23" s="701"/>
      <c r="E23" s="701"/>
      <c r="F23" s="701"/>
      <c r="G23" s="701"/>
      <c r="H23" s="701"/>
      <c r="I23" s="701"/>
    </row>
    <row r="26" spans="2:9" ht="15">
      <c r="B26" s="739"/>
      <c r="C26" s="79"/>
      <c r="D26" s="738"/>
      <c r="E26" s="738"/>
      <c r="F26" s="79"/>
      <c r="G26" s="738"/>
      <c r="H26" s="738"/>
      <c r="I26" s="738"/>
    </row>
    <row r="28" spans="2:9" ht="15">
      <c r="D28" s="80"/>
      <c r="F28" s="80"/>
      <c r="G28" s="80"/>
      <c r="H28" s="80"/>
      <c r="I28" s="80"/>
    </row>
    <row r="49" spans="2:15">
      <c r="O49" s="71">
        <v>1</v>
      </c>
    </row>
    <row r="54" spans="2:15">
      <c r="B54" s="280"/>
      <c r="C54" s="280"/>
      <c r="D54" s="280"/>
      <c r="E54" s="280"/>
      <c r="F54" s="280"/>
      <c r="G54" s="280"/>
      <c r="H54" s="280"/>
      <c r="I54" s="280"/>
      <c r="O54" s="71" t="s">
        <v>8790</v>
      </c>
    </row>
    <row r="55" spans="2:15">
      <c r="O55" s="71" t="s">
        <v>8787</v>
      </c>
    </row>
    <row r="56" spans="2:15">
      <c r="O56" s="71">
        <v>2</v>
      </c>
    </row>
    <row r="57" spans="2:15" ht="11.25" customHeight="1">
      <c r="B57" s="280"/>
      <c r="C57" s="280"/>
      <c r="D57" s="280"/>
      <c r="E57" s="280"/>
      <c r="F57" s="280"/>
      <c r="G57" s="280"/>
      <c r="H57" s="280"/>
      <c r="I57" s="280"/>
      <c r="O57" s="71" t="s">
        <v>8789</v>
      </c>
    </row>
    <row r="58" spans="2:15">
      <c r="O58" s="71">
        <v>3</v>
      </c>
    </row>
    <row r="59" spans="2:15">
      <c r="O59" s="71" t="s">
        <v>8793</v>
      </c>
    </row>
    <row r="60" spans="2:15" ht="15" thickBot="1">
      <c r="O60" s="71">
        <v>4</v>
      </c>
    </row>
    <row r="61" spans="2:15" ht="15.75" thickBot="1">
      <c r="B61" s="846" t="s">
        <v>8785</v>
      </c>
      <c r="C61" s="846"/>
      <c r="D61" s="846"/>
      <c r="E61" s="846"/>
      <c r="F61" s="846"/>
      <c r="G61" s="846"/>
      <c r="H61" s="846"/>
      <c r="I61" s="846"/>
      <c r="O61" s="71" t="s">
        <v>8795</v>
      </c>
    </row>
    <row r="62" spans="2:15" ht="15">
      <c r="B62" s="730"/>
      <c r="C62" s="709">
        <f>HistoricalFS!F7</f>
        <v>43555</v>
      </c>
      <c r="D62" s="709">
        <f>HistoricalFS!G7</f>
        <v>43921</v>
      </c>
      <c r="E62" s="709">
        <f>HistoricalFS!H7</f>
        <v>44286</v>
      </c>
      <c r="F62" s="709">
        <f>HistoricalFS!I7</f>
        <v>44651</v>
      </c>
      <c r="G62" s="709">
        <f>HistoricalFS!J7</f>
        <v>45016</v>
      </c>
      <c r="H62" s="709">
        <f>HistoricalFS!K7</f>
        <v>45382</v>
      </c>
      <c r="I62" s="709">
        <f>HistoricalFS!L7</f>
        <v>45747</v>
      </c>
      <c r="O62" s="71" t="s">
        <v>9002</v>
      </c>
    </row>
    <row r="63" spans="2:15">
      <c r="B63" s="103" t="s">
        <v>70</v>
      </c>
      <c r="C63" s="714">
        <f>'Data Sheet'!E30</f>
        <v>96.96</v>
      </c>
      <c r="D63" s="717">
        <f>'Data Sheet'!F30</f>
        <v>122.85</v>
      </c>
      <c r="E63" s="714">
        <f>'Data Sheet'!G30</f>
        <v>-146.16999999999999</v>
      </c>
      <c r="F63" s="717">
        <f>'Data Sheet'!H30</f>
        <v>105.83</v>
      </c>
      <c r="G63" s="717">
        <f>'Data Sheet'!I30</f>
        <v>444.63</v>
      </c>
      <c r="H63" s="717">
        <f>'Data Sheet'!J30</f>
        <v>1486.8</v>
      </c>
      <c r="I63" s="705">
        <f>'Data Sheet'!K30</f>
        <v>1546.72</v>
      </c>
      <c r="O63" s="71" t="s">
        <v>8797</v>
      </c>
    </row>
    <row r="64" spans="2:15">
      <c r="B64" s="103" t="s">
        <v>8786</v>
      </c>
      <c r="C64" s="705">
        <f>(('Data Sheet'!E57+'Data Sheet'!E58)+('Data Sheet'!D57+'Data Sheet'!D58))/2</f>
        <v>1620.94</v>
      </c>
      <c r="D64" s="705">
        <f>(('Data Sheet'!F57+'Data Sheet'!F58)+('Data Sheet'!E57+'Data Sheet'!E58))/2</f>
        <v>2017.1399999999999</v>
      </c>
      <c r="E64" s="705">
        <f>(('Data Sheet'!G57+'Data Sheet'!G58)+('Data Sheet'!F57+'Data Sheet'!F58))/2</f>
        <v>2350.4</v>
      </c>
      <c r="F64" s="705">
        <f>(('Data Sheet'!H57+'Data Sheet'!H58)+('Data Sheet'!G57+'Data Sheet'!G58))/2</f>
        <v>2338.5150000000003</v>
      </c>
      <c r="G64" s="705">
        <f>(('Data Sheet'!I57+'Data Sheet'!I58)+('Data Sheet'!H57+'Data Sheet'!H58))/2</f>
        <v>2479.7449999999999</v>
      </c>
      <c r="H64" s="705">
        <f>(('Data Sheet'!J57+'Data Sheet'!J58)+('Data Sheet'!I57+'Data Sheet'!I58))/2</f>
        <v>3331.6150000000002</v>
      </c>
      <c r="I64" s="705">
        <f>(('Data Sheet'!K57+'Data Sheet'!K58)+('Data Sheet'!J57+'Data Sheet'!J58))/2</f>
        <v>4764.74</v>
      </c>
    </row>
    <row r="65" spans="2:9" ht="15">
      <c r="B65" s="725" t="s">
        <v>8788</v>
      </c>
      <c r="C65" s="716">
        <f>C63/C64</f>
        <v>5.9817143139166154E-2</v>
      </c>
      <c r="D65" s="719">
        <f>D63/D64</f>
        <v>6.0903060769207887E-2</v>
      </c>
      <c r="E65" s="716">
        <f t="shared" ref="E65:I65" si="0">E63/E64</f>
        <v>-6.2189414567733144E-2</v>
      </c>
      <c r="F65" s="719">
        <f t="shared" si="0"/>
        <v>4.5255215382411479E-2</v>
      </c>
      <c r="G65" s="719">
        <f t="shared" si="0"/>
        <v>0.1793047268973221</v>
      </c>
      <c r="H65" s="719">
        <f t="shared" si="0"/>
        <v>0.44627005221191518</v>
      </c>
      <c r="I65" s="711">
        <f t="shared" si="0"/>
        <v>0.32461792248895011</v>
      </c>
    </row>
    <row r="66" spans="2:9" ht="15" thickBot="1">
      <c r="B66" s="729"/>
      <c r="C66" s="728"/>
      <c r="D66" s="728"/>
      <c r="E66" s="729"/>
      <c r="F66" s="728"/>
      <c r="G66" s="728"/>
      <c r="H66" s="728"/>
      <c r="I66" s="728"/>
    </row>
    <row r="67" spans="2:9" ht="15.75" thickBot="1">
      <c r="B67" s="846" t="s">
        <v>8791</v>
      </c>
      <c r="C67" s="846"/>
      <c r="D67" s="846"/>
      <c r="E67" s="846"/>
      <c r="F67" s="846"/>
      <c r="G67" s="846"/>
      <c r="H67" s="846"/>
      <c r="I67" s="846"/>
    </row>
    <row r="68" spans="2:9" ht="15">
      <c r="C68" s="709">
        <f>C62</f>
        <v>43555</v>
      </c>
      <c r="D68" s="709">
        <f t="shared" ref="D68:I68" si="1">D62</f>
        <v>43921</v>
      </c>
      <c r="E68" s="709">
        <f t="shared" si="1"/>
        <v>44286</v>
      </c>
      <c r="F68" s="709">
        <f t="shared" si="1"/>
        <v>44651</v>
      </c>
      <c r="G68" s="709">
        <f t="shared" si="1"/>
        <v>45016</v>
      </c>
      <c r="H68" s="709">
        <f t="shared" si="1"/>
        <v>45382</v>
      </c>
      <c r="I68" s="709">
        <f t="shared" si="1"/>
        <v>45747</v>
      </c>
    </row>
    <row r="69" spans="2:9">
      <c r="B69" s="71" t="str">
        <f>B63</f>
        <v xml:space="preserve">Net Profit </v>
      </c>
      <c r="C69" s="714">
        <f t="shared" ref="C69:I69" si="2">C63</f>
        <v>96.96</v>
      </c>
      <c r="D69" s="717">
        <f t="shared" si="2"/>
        <v>122.85</v>
      </c>
      <c r="E69" s="705">
        <f t="shared" si="2"/>
        <v>-146.16999999999999</v>
      </c>
      <c r="F69" s="714">
        <f t="shared" si="2"/>
        <v>105.83</v>
      </c>
      <c r="G69" s="717">
        <f t="shared" si="2"/>
        <v>444.63</v>
      </c>
      <c r="H69" s="714">
        <f t="shared" si="2"/>
        <v>1486.8</v>
      </c>
      <c r="I69" s="705">
        <f t="shared" si="2"/>
        <v>1546.72</v>
      </c>
    </row>
    <row r="70" spans="2:9">
      <c r="B70" s="103" t="s">
        <v>8792</v>
      </c>
      <c r="C70" s="608">
        <f>'Data Sheet'!E17</f>
        <v>2630.24</v>
      </c>
      <c r="D70" s="718">
        <f>'Data Sheet'!F17</f>
        <v>3485.98</v>
      </c>
      <c r="E70" s="705">
        <f>'Data Sheet'!G17</f>
        <v>2592.96</v>
      </c>
      <c r="F70" s="715">
        <f>'Data Sheet'!H17</f>
        <v>4498.0200000000004</v>
      </c>
      <c r="G70" s="718">
        <f>'Data Sheet'!I17</f>
        <v>8242.02</v>
      </c>
      <c r="H70" s="715">
        <f>'Data Sheet'!J17</f>
        <v>12375.11</v>
      </c>
      <c r="I70" s="705">
        <f>'Data Sheet'!K17</f>
        <v>17134.61</v>
      </c>
    </row>
    <row r="71" spans="2:9" ht="15">
      <c r="B71" s="726" t="s">
        <v>8798</v>
      </c>
      <c r="C71" s="720">
        <f>C69/C70</f>
        <v>3.6863556177383051E-2</v>
      </c>
      <c r="D71" s="722">
        <f t="shared" ref="D71:H71" si="3">D69/D70</f>
        <v>3.5241166042260713E-2</v>
      </c>
      <c r="E71" s="713">
        <f t="shared" si="3"/>
        <v>-5.6371868443786249E-2</v>
      </c>
      <c r="F71" s="720">
        <f t="shared" si="3"/>
        <v>2.3528130155045995E-2</v>
      </c>
      <c r="G71" s="722">
        <f t="shared" si="3"/>
        <v>5.3946726651961527E-2</v>
      </c>
      <c r="H71" s="720">
        <f t="shared" si="3"/>
        <v>0.12014438659535147</v>
      </c>
      <c r="I71" s="713">
        <f>I69/I70</f>
        <v>9.0268760129352227E-2</v>
      </c>
    </row>
    <row r="72" spans="2:9">
      <c r="B72" s="103"/>
      <c r="C72" s="103"/>
      <c r="D72" s="129"/>
      <c r="F72" s="103"/>
      <c r="G72" s="129"/>
      <c r="H72" s="103"/>
    </row>
    <row r="73" spans="2:9">
      <c r="B73" s="103" t="s">
        <v>8792</v>
      </c>
      <c r="C73" s="715">
        <f>C70</f>
        <v>2630.24</v>
      </c>
      <c r="D73" s="718">
        <f t="shared" ref="D73:I73" si="4">D70</f>
        <v>3485.98</v>
      </c>
      <c r="E73" s="705">
        <f t="shared" si="4"/>
        <v>2592.96</v>
      </c>
      <c r="F73" s="715">
        <f t="shared" si="4"/>
        <v>4498.0200000000004</v>
      </c>
      <c r="G73" s="718">
        <f t="shared" si="4"/>
        <v>8242.02</v>
      </c>
      <c r="H73" s="715">
        <f t="shared" si="4"/>
        <v>12375.11</v>
      </c>
      <c r="I73" s="705">
        <f t="shared" si="4"/>
        <v>17134.61</v>
      </c>
    </row>
    <row r="74" spans="2:9">
      <c r="B74" s="103" t="s">
        <v>8794</v>
      </c>
      <c r="C74" s="715">
        <f>('Data Sheet'!E66+'Data Sheet'!D66)/2</f>
        <v>2447.3100000000004</v>
      </c>
      <c r="D74" s="718">
        <f>('Data Sheet'!F66+'Data Sheet'!E66)/2</f>
        <v>4032.7200000000003</v>
      </c>
      <c r="E74" s="705">
        <f>('Data Sheet'!G66+'Data Sheet'!F66)/2</f>
        <v>5615.2049999999999</v>
      </c>
      <c r="F74" s="715">
        <f>('Data Sheet'!H66+'Data Sheet'!G66)/2</f>
        <v>6724.875</v>
      </c>
      <c r="G74" s="718">
        <f>('Data Sheet'!I66+'Data Sheet'!H66)/2</f>
        <v>7903.7749999999996</v>
      </c>
      <c r="H74" s="715">
        <f>('Data Sheet'!J66+'Data Sheet'!I66)/2</f>
        <v>7621.6399999999994</v>
      </c>
      <c r="I74" s="705">
        <f>('Data Sheet'!K66+'Data Sheet'!J66)/2</f>
        <v>8290.6949999999997</v>
      </c>
    </row>
    <row r="75" spans="2:9" ht="15">
      <c r="B75" s="726" t="s">
        <v>8796</v>
      </c>
      <c r="C75" s="735">
        <f>C73/C74</f>
        <v>1.0747473756900432</v>
      </c>
      <c r="D75" s="736">
        <f t="shared" ref="D75" si="5">D73/D74</f>
        <v>0.86442401158523274</v>
      </c>
      <c r="E75" s="737">
        <f t="shared" ref="E75" si="6">E73/E74</f>
        <v>0.46177477046697318</v>
      </c>
      <c r="F75" s="735">
        <f t="shared" ref="F75" si="7">F73/F74</f>
        <v>0.66886299001840188</v>
      </c>
      <c r="G75" s="736">
        <f t="shared" ref="G75" si="8">G73/G74</f>
        <v>1.0427953730970327</v>
      </c>
      <c r="H75" s="735">
        <f t="shared" ref="H75" si="9">H73/H74</f>
        <v>1.623680730131573</v>
      </c>
      <c r="I75" s="737">
        <f>I73/I74</f>
        <v>2.066727819561569</v>
      </c>
    </row>
    <row r="76" spans="2:9">
      <c r="B76" s="103"/>
      <c r="C76" s="103"/>
      <c r="D76" s="129"/>
      <c r="F76" s="103"/>
      <c r="G76" s="129"/>
      <c r="H76" s="103"/>
    </row>
    <row r="77" spans="2:9">
      <c r="B77" s="103" t="str">
        <f>B74</f>
        <v>Average Totoal Asset</v>
      </c>
      <c r="C77" s="715">
        <f>C74</f>
        <v>2447.3100000000004</v>
      </c>
      <c r="D77" s="718">
        <f t="shared" ref="D77:I77" si="10">D74</f>
        <v>4032.7200000000003</v>
      </c>
      <c r="E77" s="705">
        <f t="shared" si="10"/>
        <v>5615.2049999999999</v>
      </c>
      <c r="F77" s="715">
        <f t="shared" si="10"/>
        <v>6724.875</v>
      </c>
      <c r="G77" s="718">
        <f t="shared" si="10"/>
        <v>7903.7749999999996</v>
      </c>
      <c r="H77" s="715">
        <f t="shared" si="10"/>
        <v>7621.6399999999994</v>
      </c>
      <c r="I77" s="705">
        <f t="shared" si="10"/>
        <v>8290.6949999999997</v>
      </c>
    </row>
    <row r="78" spans="2:9">
      <c r="B78" s="103" t="str">
        <f>B64</f>
        <v>Average Shareholder Equity</v>
      </c>
      <c r="C78" s="103">
        <f t="shared" ref="C78:H78" si="11">C64</f>
        <v>1620.94</v>
      </c>
      <c r="D78" s="129">
        <f t="shared" si="11"/>
        <v>2017.1399999999999</v>
      </c>
      <c r="E78" s="71">
        <f t="shared" si="11"/>
        <v>2350.4</v>
      </c>
      <c r="F78" s="103">
        <f t="shared" si="11"/>
        <v>2338.5150000000003</v>
      </c>
      <c r="G78" s="129">
        <f t="shared" si="11"/>
        <v>2479.7449999999999</v>
      </c>
      <c r="H78" s="103">
        <f t="shared" si="11"/>
        <v>3331.6150000000002</v>
      </c>
      <c r="I78" s="705">
        <f>I64</f>
        <v>4764.74</v>
      </c>
    </row>
    <row r="79" spans="2:9" ht="15">
      <c r="B79" s="726" t="s">
        <v>8799</v>
      </c>
      <c r="C79" s="735">
        <f t="shared" ref="C79" si="12">C77/C78</f>
        <v>1.5098091231014106</v>
      </c>
      <c r="D79" s="735">
        <f t="shared" ref="D79" si="13">D77/D78</f>
        <v>1.9992266277997564</v>
      </c>
      <c r="E79" s="735">
        <f t="shared" ref="E79" si="14">E77/E78</f>
        <v>2.3890422906739279</v>
      </c>
      <c r="F79" s="735">
        <f t="shared" ref="F79" si="15">F77/F78</f>
        <v>2.8757031706018559</v>
      </c>
      <c r="G79" s="735">
        <f t="shared" ref="G79" si="16">G77/G78</f>
        <v>3.1873337782715563</v>
      </c>
      <c r="H79" s="735">
        <f t="shared" ref="H79" si="17">H77/H78</f>
        <v>2.2876712945523412</v>
      </c>
      <c r="I79" s="735">
        <f>I77/I78</f>
        <v>1.7400099480769151</v>
      </c>
    </row>
    <row r="80" spans="2:9">
      <c r="B80" s="103"/>
      <c r="C80" s="721"/>
      <c r="D80" s="723"/>
      <c r="F80" s="721"/>
      <c r="H80" s="721"/>
    </row>
    <row r="81" spans="2:11" ht="15">
      <c r="B81" s="725" t="s">
        <v>8803</v>
      </c>
      <c r="C81" s="719">
        <f>C71*C75*C79</f>
        <v>5.9817143139166161E-2</v>
      </c>
      <c r="D81" s="719">
        <f t="shared" ref="D81:I81" si="18">D71*D75*D79</f>
        <v>6.0903060769207894E-2</v>
      </c>
      <c r="E81" s="716">
        <f t="shared" si="18"/>
        <v>-6.2189414567733158E-2</v>
      </c>
      <c r="F81" s="719">
        <f t="shared" si="18"/>
        <v>4.5255215382411479E-2</v>
      </c>
      <c r="G81" s="719">
        <f t="shared" si="18"/>
        <v>0.1793047268973221</v>
      </c>
      <c r="H81" s="719">
        <f t="shared" si="18"/>
        <v>0.44627005221191518</v>
      </c>
      <c r="I81" s="711">
        <f t="shared" si="18"/>
        <v>0.32461792248895016</v>
      </c>
    </row>
    <row r="82" spans="2:11" ht="15" thickBot="1">
      <c r="B82" s="729"/>
      <c r="C82" s="728"/>
    </row>
    <row r="83" spans="2:11" ht="15.75" thickBot="1">
      <c r="B83" s="846" t="s">
        <v>8800</v>
      </c>
      <c r="C83" s="846"/>
      <c r="D83" s="846"/>
      <c r="E83" s="846"/>
      <c r="F83" s="846"/>
      <c r="G83" s="846"/>
      <c r="H83" s="846"/>
      <c r="I83" s="846"/>
    </row>
    <row r="84" spans="2:11" ht="15">
      <c r="C84" s="727">
        <f>C62</f>
        <v>43555</v>
      </c>
      <c r="D84" s="727">
        <f t="shared" ref="D84:I84" si="19">D62</f>
        <v>43921</v>
      </c>
      <c r="E84" s="727">
        <f t="shared" si="19"/>
        <v>44286</v>
      </c>
      <c r="F84" s="727">
        <f t="shared" si="19"/>
        <v>44651</v>
      </c>
      <c r="G84" s="727">
        <f t="shared" si="19"/>
        <v>45016</v>
      </c>
      <c r="H84" s="727">
        <f t="shared" si="19"/>
        <v>45382</v>
      </c>
      <c r="I84" s="727">
        <f t="shared" si="19"/>
        <v>45747</v>
      </c>
    </row>
    <row r="85" spans="2:11">
      <c r="B85" s="103" t="str">
        <f>B69</f>
        <v xml:space="preserve">Net Profit </v>
      </c>
      <c r="C85" s="731">
        <f>C69</f>
        <v>96.96</v>
      </c>
      <c r="D85" s="732">
        <f t="shared" ref="D85:H85" si="20">D69</f>
        <v>122.85</v>
      </c>
      <c r="E85" s="732">
        <f t="shared" si="20"/>
        <v>-146.16999999999999</v>
      </c>
      <c r="F85" s="732">
        <f t="shared" si="20"/>
        <v>105.83</v>
      </c>
      <c r="G85" s="733">
        <f t="shared" si="20"/>
        <v>444.63</v>
      </c>
      <c r="H85" s="732">
        <f t="shared" si="20"/>
        <v>1486.8</v>
      </c>
      <c r="I85" s="734">
        <f>I69</f>
        <v>1546.72</v>
      </c>
    </row>
    <row r="86" spans="2:11">
      <c r="B86" s="103" t="str">
        <f>B77</f>
        <v>Average Totoal Asset</v>
      </c>
      <c r="C86" s="705">
        <f t="shared" ref="C86:G86" si="21">C74</f>
        <v>2447.3100000000004</v>
      </c>
      <c r="D86" s="715">
        <f t="shared" si="21"/>
        <v>4032.7200000000003</v>
      </c>
      <c r="E86" s="718">
        <f t="shared" si="21"/>
        <v>5615.2049999999999</v>
      </c>
      <c r="F86" s="724">
        <f t="shared" si="21"/>
        <v>6724.875</v>
      </c>
      <c r="G86" s="718">
        <f t="shared" si="21"/>
        <v>7903.7749999999996</v>
      </c>
      <c r="H86" s="715">
        <f>H74</f>
        <v>7621.6399999999994</v>
      </c>
      <c r="I86" s="705">
        <f>I74</f>
        <v>8290.6949999999997</v>
      </c>
    </row>
    <row r="87" spans="2:11" ht="15">
      <c r="B87" s="725" t="s">
        <v>8805</v>
      </c>
      <c r="C87" s="716">
        <f>C85/C86</f>
        <v>3.9619010260244912E-2</v>
      </c>
      <c r="D87" s="719">
        <f t="shared" ref="D87" si="22">D85/D86</f>
        <v>3.0463310123192283E-2</v>
      </c>
      <c r="E87" s="719">
        <f t="shared" ref="E87" si="23">E85/E86</f>
        <v>-2.6031106611423802E-2</v>
      </c>
      <c r="F87" s="716">
        <f t="shared" ref="F87" si="24">F85/F86</f>
        <v>1.573709548504619E-2</v>
      </c>
      <c r="G87" s="719">
        <f t="shared" ref="G87" si="25">G85/G86</f>
        <v>5.6255396946395871E-2</v>
      </c>
      <c r="H87" s="716">
        <f>H85/H86</f>
        <v>0.19507612534835023</v>
      </c>
      <c r="I87" s="711">
        <f>I85/I86</f>
        <v>0.1865609577966624</v>
      </c>
    </row>
    <row r="88" spans="2:11" ht="15" thickBot="1">
      <c r="B88" s="729"/>
      <c r="C88" s="728"/>
      <c r="K88" s="71" t="s">
        <v>225</v>
      </c>
    </row>
    <row r="89" spans="2:11" ht="15.75" thickBot="1">
      <c r="B89" s="846" t="s">
        <v>8801</v>
      </c>
      <c r="C89" s="846"/>
      <c r="D89" s="846"/>
      <c r="E89" s="846"/>
      <c r="F89" s="846"/>
      <c r="G89" s="846"/>
      <c r="H89" s="846"/>
      <c r="I89" s="846"/>
    </row>
    <row r="90" spans="2:11" ht="15">
      <c r="C90" s="709">
        <f>C84</f>
        <v>43555</v>
      </c>
      <c r="D90" s="709">
        <f t="shared" ref="D90:I90" si="26">D84</f>
        <v>43921</v>
      </c>
      <c r="E90" s="709">
        <f t="shared" si="26"/>
        <v>44286</v>
      </c>
      <c r="F90" s="709">
        <f t="shared" si="26"/>
        <v>44651</v>
      </c>
      <c r="G90" s="709">
        <f t="shared" si="26"/>
        <v>45016</v>
      </c>
      <c r="H90" s="709">
        <f t="shared" si="26"/>
        <v>45382</v>
      </c>
      <c r="I90" s="709">
        <f t="shared" si="26"/>
        <v>45747</v>
      </c>
    </row>
    <row r="91" spans="2:11">
      <c r="B91" s="103" t="str">
        <f>B85</f>
        <v xml:space="preserve">Net Profit </v>
      </c>
      <c r="C91" s="731">
        <f t="shared" ref="C91:H91" si="27">C69</f>
        <v>96.96</v>
      </c>
      <c r="D91" s="732">
        <f t="shared" si="27"/>
        <v>122.85</v>
      </c>
      <c r="E91" s="732">
        <f t="shared" si="27"/>
        <v>-146.16999999999999</v>
      </c>
      <c r="F91" s="732">
        <f t="shared" si="27"/>
        <v>105.83</v>
      </c>
      <c r="G91" s="733">
        <f t="shared" si="27"/>
        <v>444.63</v>
      </c>
      <c r="H91" s="732">
        <f t="shared" si="27"/>
        <v>1486.8</v>
      </c>
      <c r="I91" s="734">
        <f>I69</f>
        <v>1546.72</v>
      </c>
    </row>
    <row r="92" spans="2:11">
      <c r="B92" s="103" t="s">
        <v>8792</v>
      </c>
      <c r="C92" s="718">
        <f>C70</f>
        <v>2630.24</v>
      </c>
      <c r="D92" s="724">
        <f t="shared" ref="D92:H92" si="28">D70</f>
        <v>3485.98</v>
      </c>
      <c r="E92" s="718">
        <f t="shared" si="28"/>
        <v>2592.96</v>
      </c>
      <c r="F92" s="718">
        <f t="shared" si="28"/>
        <v>4498.0200000000004</v>
      </c>
      <c r="G92" s="715">
        <f t="shared" si="28"/>
        <v>8242.02</v>
      </c>
      <c r="H92" s="718">
        <f t="shared" si="28"/>
        <v>12375.11</v>
      </c>
      <c r="I92" s="705">
        <f>I70</f>
        <v>17134.61</v>
      </c>
    </row>
    <row r="93" spans="2:11" ht="15">
      <c r="B93" s="726" t="s">
        <v>8798</v>
      </c>
      <c r="C93" s="722">
        <f t="shared" ref="C93" si="29">C91/C92</f>
        <v>3.6863556177383051E-2</v>
      </c>
      <c r="D93" s="722">
        <f t="shared" ref="D93" si="30">D91/D92</f>
        <v>3.5241166042260713E-2</v>
      </c>
      <c r="E93" s="722">
        <f t="shared" ref="E93" si="31">E91/E92</f>
        <v>-5.6371868443786249E-2</v>
      </c>
      <c r="F93" s="722">
        <f t="shared" ref="F93" si="32">F91/F92</f>
        <v>2.3528130155045995E-2</v>
      </c>
      <c r="G93" s="720">
        <f t="shared" ref="G93" si="33">G91/G92</f>
        <v>5.3946726651961527E-2</v>
      </c>
      <c r="H93" s="722">
        <f t="shared" ref="H93" si="34">H91/H92</f>
        <v>0.12014438659535147</v>
      </c>
      <c r="I93" s="713">
        <f>I91/I92</f>
        <v>9.0268760129352227E-2</v>
      </c>
    </row>
    <row r="94" spans="2:11">
      <c r="B94" s="103"/>
      <c r="C94" s="129"/>
      <c r="D94" s="129"/>
      <c r="E94" s="129"/>
      <c r="F94" s="129"/>
      <c r="G94" s="103"/>
      <c r="H94" s="129"/>
    </row>
    <row r="95" spans="2:11">
      <c r="B95" s="103" t="s">
        <v>8792</v>
      </c>
      <c r="C95" s="718">
        <f>C92</f>
        <v>2630.24</v>
      </c>
      <c r="D95" s="718">
        <f t="shared" ref="D95:I95" si="35">D92</f>
        <v>3485.98</v>
      </c>
      <c r="E95" s="718">
        <f t="shared" si="35"/>
        <v>2592.96</v>
      </c>
      <c r="F95" s="718">
        <f t="shared" si="35"/>
        <v>4498.0200000000004</v>
      </c>
      <c r="G95" s="715">
        <f t="shared" si="35"/>
        <v>8242.02</v>
      </c>
      <c r="H95" s="718">
        <f t="shared" si="35"/>
        <v>12375.11</v>
      </c>
      <c r="I95" s="705">
        <f t="shared" si="35"/>
        <v>17134.61</v>
      </c>
    </row>
    <row r="96" spans="2:11">
      <c r="B96" s="103" t="s">
        <v>8794</v>
      </c>
      <c r="C96" s="718">
        <f>C86</f>
        <v>2447.3100000000004</v>
      </c>
      <c r="D96" s="718">
        <f t="shared" ref="D96:G96" si="36">D86</f>
        <v>4032.7200000000003</v>
      </c>
      <c r="E96" s="718">
        <f t="shared" si="36"/>
        <v>5615.2049999999999</v>
      </c>
      <c r="F96" s="718">
        <f t="shared" si="36"/>
        <v>6724.875</v>
      </c>
      <c r="G96" s="715">
        <f t="shared" si="36"/>
        <v>7903.7749999999996</v>
      </c>
      <c r="H96" s="718">
        <f>H86</f>
        <v>7621.6399999999994</v>
      </c>
      <c r="I96" s="705">
        <f>I86</f>
        <v>8290.6949999999997</v>
      </c>
    </row>
    <row r="97" spans="2:9" ht="15">
      <c r="B97" s="726" t="s">
        <v>8796</v>
      </c>
      <c r="C97" s="722">
        <f t="shared" ref="C97" si="37">C95/C96</f>
        <v>1.0747473756900432</v>
      </c>
      <c r="D97" s="722">
        <f t="shared" ref="D97" si="38">D95/D96</f>
        <v>0.86442401158523274</v>
      </c>
      <c r="E97" s="722">
        <f t="shared" ref="E97" si="39">E95/E96</f>
        <v>0.46177477046697318</v>
      </c>
      <c r="F97" s="722">
        <f t="shared" ref="F97" si="40">F95/F96</f>
        <v>0.66886299001840188</v>
      </c>
      <c r="G97" s="720">
        <f t="shared" ref="G97" si="41">G95/G96</f>
        <v>1.0427953730970327</v>
      </c>
      <c r="H97" s="722">
        <f t="shared" ref="H97" si="42">H95/H96</f>
        <v>1.623680730131573</v>
      </c>
      <c r="I97" s="713">
        <f>I95/I96</f>
        <v>2.066727819561569</v>
      </c>
    </row>
    <row r="98" spans="2:9">
      <c r="B98" s="103"/>
      <c r="C98" s="129"/>
      <c r="D98" s="723"/>
      <c r="E98" s="129"/>
      <c r="F98" s="723"/>
      <c r="G98" s="721"/>
      <c r="H98" s="723"/>
    </row>
    <row r="99" spans="2:9" ht="15">
      <c r="B99" s="725" t="s">
        <v>8802</v>
      </c>
      <c r="C99" s="719">
        <f t="shared" ref="C99:I99" si="43">C93*C97</f>
        <v>3.9619010260244912E-2</v>
      </c>
      <c r="D99" s="716">
        <f t="shared" si="43"/>
        <v>3.0463310123192287E-2</v>
      </c>
      <c r="E99" s="719">
        <f t="shared" si="43"/>
        <v>-2.6031106611423806E-2</v>
      </c>
      <c r="F99" s="716">
        <f t="shared" si="43"/>
        <v>1.573709548504619E-2</v>
      </c>
      <c r="G99" s="719">
        <f t="shared" si="43"/>
        <v>5.6255396946395864E-2</v>
      </c>
      <c r="H99" s="719">
        <f t="shared" si="43"/>
        <v>0.19507612534835025</v>
      </c>
      <c r="I99" s="711">
        <f t="shared" si="43"/>
        <v>0.18656095779666243</v>
      </c>
    </row>
    <row r="100" spans="2:9">
      <c r="B100" s="103"/>
    </row>
    <row r="101" spans="2:9">
      <c r="B101" s="103"/>
    </row>
    <row r="111" spans="2:9" ht="10.5" customHeight="1"/>
    <row r="117" spans="2:9">
      <c r="B117" s="280"/>
      <c r="C117" s="280"/>
      <c r="D117" s="280"/>
      <c r="E117" s="280"/>
      <c r="F117" s="280"/>
      <c r="G117" s="280"/>
      <c r="H117" s="280"/>
      <c r="I117" s="280"/>
    </row>
    <row r="119" spans="2:9">
      <c r="B119" s="75"/>
      <c r="C119" s="75"/>
      <c r="D119" s="75"/>
      <c r="E119" s="75"/>
      <c r="F119" s="75"/>
      <c r="G119" s="75"/>
      <c r="H119" s="75"/>
      <c r="I119" s="75"/>
    </row>
  </sheetData>
  <mergeCells count="5">
    <mergeCell ref="B61:I61"/>
    <mergeCell ref="B67:I67"/>
    <mergeCell ref="B83:I83"/>
    <mergeCell ref="B89:I89"/>
    <mergeCell ref="B9:I9"/>
  </mergeCells>
  <printOptions horizontalCentered="1" verticalCentered="1"/>
  <pageMargins left="0.23622047244094491" right="0.23622047244094491" top="0.39370078740157483" bottom="0.15748031496062992" header="0" footer="0"/>
  <pageSetup scale="86" orientation="portrait" horizontalDpi="360" verticalDpi="360" r:id="rId1"/>
  <headerFooter>
    <oddFooter>&amp;RPage &amp;P</oddFooter>
  </headerFooter>
  <rowBreaks count="1" manualBreakCount="1">
    <brk id="55" max="8" man="1"/>
  </rowBreaks>
  <ignoredErrors>
    <ignoredError sqref="D70:H70" 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O113"/>
  <sheetViews>
    <sheetView showGridLines="0" zoomScale="85" zoomScaleNormal="85" zoomScaleSheetLayoutView="85" workbookViewId="0">
      <selection activeCell="L9" sqref="L9"/>
    </sheetView>
  </sheetViews>
  <sheetFormatPr defaultRowHeight="15"/>
  <cols>
    <col min="1" max="1" width="1.85546875" customWidth="1"/>
    <col min="2" max="2" width="38.85546875" bestFit="1" customWidth="1"/>
    <col min="3" max="3" width="18.7109375" customWidth="1"/>
    <col min="4" max="6" width="11.140625" customWidth="1"/>
    <col min="7" max="7" width="11.140625" bestFit="1" customWidth="1"/>
    <col min="8" max="8" width="12.28515625" bestFit="1" customWidth="1"/>
    <col min="9" max="9" width="10.5703125" bestFit="1" customWidth="1"/>
  </cols>
  <sheetData>
    <row r="1" spans="2:10" ht="13.5" customHeight="1">
      <c r="B1" s="759"/>
      <c r="C1" s="759"/>
      <c r="D1" s="759"/>
      <c r="E1" s="759"/>
      <c r="F1" s="759"/>
      <c r="G1" s="759"/>
      <c r="H1" s="759"/>
      <c r="I1" s="759"/>
      <c r="J1" s="66"/>
    </row>
    <row r="3" spans="2:10" ht="26.25" customHeight="1">
      <c r="B3" s="698" t="str">
        <f>'Data Sheet'!B1</f>
        <v>TRENT LTD</v>
      </c>
    </row>
    <row r="4" spans="2:10" ht="15.75" thickBot="1">
      <c r="B4" s="67" t="str">
        <f>'Dupont Analysis'!$B$4</f>
        <v>( TRENT | BSE Code: 500251)</v>
      </c>
    </row>
    <row r="5" spans="2:10" ht="21.75" customHeight="1">
      <c r="B5" s="59" t="str">
        <f>CONCATENATE("  ","INR "&amp;'Data Sheet'!B8)</f>
        <v xml:space="preserve">  INR 4285.6</v>
      </c>
    </row>
    <row r="6" spans="2:10">
      <c r="B6" t="s">
        <v>9003</v>
      </c>
    </row>
    <row r="7" spans="2:10" ht="20.25" customHeight="1" thickBot="1">
      <c r="B7" s="15"/>
      <c r="C7" s="15"/>
      <c r="D7" s="15"/>
      <c r="E7" s="15"/>
      <c r="F7" s="15"/>
      <c r="G7" s="15"/>
      <c r="H7" s="15"/>
      <c r="I7" s="15"/>
      <c r="J7" s="15"/>
    </row>
    <row r="8" spans="2:10" ht="29.25" customHeight="1" thickBot="1">
      <c r="B8" s="848" t="s">
        <v>8806</v>
      </c>
      <c r="C8" s="848"/>
      <c r="D8" s="848"/>
      <c r="E8" s="848"/>
      <c r="F8" s="848"/>
      <c r="G8" s="848"/>
      <c r="H8" s="848"/>
      <c r="I8" s="848"/>
    </row>
    <row r="9" spans="2:10" ht="100.5" customHeight="1">
      <c r="B9" s="849" t="s">
        <v>8784</v>
      </c>
      <c r="C9" s="849"/>
      <c r="D9" s="849"/>
      <c r="E9" s="849"/>
      <c r="F9" s="849"/>
      <c r="G9" s="849"/>
      <c r="H9" s="849"/>
      <c r="I9" s="849"/>
    </row>
    <row r="10" spans="2:10" ht="5.25" customHeight="1">
      <c r="B10" s="61"/>
      <c r="C10" s="61"/>
      <c r="D10" s="61"/>
      <c r="E10" s="61"/>
      <c r="F10" s="61"/>
      <c r="G10" s="61"/>
      <c r="H10" s="61"/>
      <c r="I10" s="61"/>
    </row>
    <row r="11" spans="2:10" ht="21">
      <c r="B11" s="758" t="s">
        <v>8804</v>
      </c>
      <c r="C11" s="62"/>
      <c r="D11" s="62"/>
      <c r="E11" s="62"/>
      <c r="F11" s="62"/>
      <c r="G11" s="62"/>
      <c r="H11" s="62"/>
      <c r="I11" s="62"/>
    </row>
    <row r="12" spans="2:10" ht="4.5" customHeight="1">
      <c r="B12" s="63"/>
      <c r="C12" s="62"/>
      <c r="D12" s="62"/>
      <c r="E12" s="62"/>
      <c r="F12" s="62"/>
      <c r="G12" s="62"/>
      <c r="H12" s="62"/>
      <c r="I12" s="62"/>
    </row>
    <row r="13" spans="2:10">
      <c r="B13" s="63"/>
      <c r="C13" s="62"/>
      <c r="D13" s="62"/>
      <c r="E13" s="62"/>
      <c r="F13" s="62"/>
      <c r="G13" s="62"/>
      <c r="H13" s="62"/>
      <c r="I13" s="62"/>
    </row>
    <row r="14" spans="2:10">
      <c r="B14" s="63"/>
      <c r="C14" s="62"/>
      <c r="D14" s="62"/>
      <c r="E14" s="62"/>
      <c r="F14" s="62"/>
      <c r="G14" s="62"/>
      <c r="H14" s="62"/>
      <c r="I14" s="62"/>
    </row>
    <row r="15" spans="2:10">
      <c r="B15" s="63"/>
      <c r="C15" s="62"/>
      <c r="D15" s="62"/>
      <c r="E15" s="62"/>
      <c r="F15" s="62"/>
      <c r="G15" s="62"/>
      <c r="H15" s="62"/>
      <c r="I15" s="62"/>
    </row>
    <row r="16" spans="2:10">
      <c r="B16" s="63"/>
      <c r="C16" s="62"/>
      <c r="D16" s="62"/>
      <c r="E16" s="62"/>
      <c r="F16" s="62"/>
      <c r="G16" s="62"/>
      <c r="H16" s="62"/>
      <c r="I16" s="62"/>
    </row>
    <row r="17" spans="2:9">
      <c r="B17" s="63"/>
      <c r="C17" s="62"/>
      <c r="D17" s="62"/>
      <c r="E17" s="62"/>
      <c r="F17" s="62"/>
      <c r="G17" s="62"/>
      <c r="H17" s="62"/>
      <c r="I17" s="62"/>
    </row>
    <row r="18" spans="2:9">
      <c r="B18" s="63"/>
      <c r="C18" s="62"/>
      <c r="D18" s="62"/>
      <c r="E18" s="62"/>
      <c r="F18" s="62"/>
      <c r="G18" s="62"/>
      <c r="H18" s="62"/>
      <c r="I18" s="62"/>
    </row>
    <row r="19" spans="2:9">
      <c r="B19" s="63"/>
      <c r="C19" s="62"/>
      <c r="D19" s="62"/>
      <c r="E19" s="62"/>
      <c r="F19" s="62"/>
      <c r="G19" s="62"/>
      <c r="H19" s="62"/>
      <c r="I19" s="62"/>
    </row>
    <row r="20" spans="2:9">
      <c r="B20" s="63"/>
      <c r="C20" s="62"/>
      <c r="D20" s="62"/>
      <c r="E20" s="62"/>
      <c r="F20" s="62"/>
      <c r="G20" s="62"/>
      <c r="H20" s="62"/>
      <c r="I20" s="62"/>
    </row>
    <row r="21" spans="2:9">
      <c r="B21" s="63"/>
      <c r="C21" s="62"/>
      <c r="D21" s="62"/>
      <c r="E21" s="62"/>
      <c r="F21" s="62"/>
      <c r="G21" s="62"/>
      <c r="H21" s="62"/>
      <c r="I21" s="62"/>
    </row>
    <row r="22" spans="2:9">
      <c r="B22" s="62"/>
      <c r="C22" s="62"/>
      <c r="D22" s="62"/>
      <c r="E22" s="62"/>
      <c r="F22" s="62"/>
      <c r="G22" s="62"/>
      <c r="H22" s="62"/>
      <c r="I22" s="62"/>
    </row>
    <row r="23" spans="2:9">
      <c r="B23" s="61"/>
      <c r="C23" s="61"/>
      <c r="D23" s="61"/>
      <c r="E23" s="61"/>
      <c r="F23" s="61"/>
      <c r="G23" s="61"/>
      <c r="H23" s="61"/>
      <c r="I23" s="61"/>
    </row>
    <row r="28" spans="2:9">
      <c r="D28" s="9"/>
      <c r="F28" s="9"/>
      <c r="G28" s="9"/>
      <c r="H28" s="9"/>
      <c r="I28" s="9"/>
    </row>
    <row r="49" spans="2:15">
      <c r="O49">
        <v>1</v>
      </c>
    </row>
    <row r="54" spans="2:15">
      <c r="B54" s="672"/>
      <c r="C54" s="672"/>
      <c r="D54" s="672"/>
      <c r="E54" s="672"/>
      <c r="F54" s="672"/>
      <c r="G54" s="672"/>
      <c r="H54" s="672"/>
      <c r="I54" s="672"/>
    </row>
    <row r="57" spans="2:15" ht="11.25" customHeight="1">
      <c r="B57" s="672"/>
      <c r="C57" s="672"/>
      <c r="D57" s="672"/>
      <c r="E57" s="672"/>
      <c r="F57" s="672"/>
      <c r="G57" s="672"/>
      <c r="H57" s="672"/>
      <c r="I57" s="672"/>
    </row>
    <row r="58" spans="2:15" s="12" customFormat="1" ht="11.25" customHeight="1"/>
    <row r="61" spans="2:15" ht="15.75" thickBot="1"/>
    <row r="62" spans="2:15" ht="15.75" thickBot="1">
      <c r="B62" s="846" t="s">
        <v>8807</v>
      </c>
      <c r="C62" s="846"/>
      <c r="D62" s="846"/>
      <c r="E62" s="846"/>
      <c r="F62" s="846"/>
      <c r="G62" s="846"/>
      <c r="H62" s="846"/>
      <c r="I62" s="846"/>
    </row>
    <row r="63" spans="2:15">
      <c r="C63" s="709">
        <f>HistoricalFS!F7</f>
        <v>43555</v>
      </c>
      <c r="D63" s="709">
        <f>HistoricalFS!G7</f>
        <v>43921</v>
      </c>
      <c r="E63" s="709">
        <f>HistoricalFS!H7</f>
        <v>44286</v>
      </c>
      <c r="F63" s="709">
        <f>HistoricalFS!I7</f>
        <v>44651</v>
      </c>
      <c r="G63" s="709">
        <f>HistoricalFS!J7</f>
        <v>45016</v>
      </c>
      <c r="H63" s="709">
        <f>HistoricalFS!K7</f>
        <v>45382</v>
      </c>
      <c r="I63" s="709">
        <f>HistoricalFS!L7</f>
        <v>45747</v>
      </c>
    </row>
    <row r="64" spans="2:15">
      <c r="B64" t="s">
        <v>8808</v>
      </c>
      <c r="C64" s="32">
        <f>'Data Sheet'!E65-'Data Sheet'!E60</f>
        <v>508.46000000000004</v>
      </c>
      <c r="D64" s="32">
        <f>'Data Sheet'!F65-'Data Sheet'!F60</f>
        <v>-1589.02</v>
      </c>
      <c r="E64" s="32">
        <f>'Data Sheet'!G65-'Data Sheet'!G60</f>
        <v>-2036.1299999999999</v>
      </c>
      <c r="F64" s="32">
        <f>'Data Sheet'!H65-'Data Sheet'!H60</f>
        <v>1014.2099999999999</v>
      </c>
      <c r="G64" s="32">
        <f>'Data Sheet'!I65-'Data Sheet'!I60</f>
        <v>1321.0899999999997</v>
      </c>
      <c r="H64" s="32">
        <f>'Data Sheet'!J65-'Data Sheet'!J60</f>
        <v>1731</v>
      </c>
      <c r="I64" s="32">
        <f>'Data Sheet'!K65-'Data Sheet'!K60</f>
        <v>2144.0500000000002</v>
      </c>
      <c r="L64">
        <v>1</v>
      </c>
    </row>
    <row r="65" spans="2:12">
      <c r="B65" t="s">
        <v>83</v>
      </c>
      <c r="C65" s="32">
        <f>'Data Sheet'!E66</f>
        <v>2558.7600000000002</v>
      </c>
      <c r="D65" s="32">
        <f>'Data Sheet'!F66</f>
        <v>5506.68</v>
      </c>
      <c r="E65" s="32">
        <f>'Data Sheet'!G66</f>
        <v>5723.73</v>
      </c>
      <c r="F65" s="32">
        <f>'Data Sheet'!H66</f>
        <v>7726.02</v>
      </c>
      <c r="G65" s="32">
        <f>'Data Sheet'!I66</f>
        <v>8081.53</v>
      </c>
      <c r="H65" s="32">
        <f>'Data Sheet'!J66</f>
        <v>7161.75</v>
      </c>
      <c r="I65" s="32">
        <f>'Data Sheet'!K66</f>
        <v>9419.64</v>
      </c>
      <c r="L65" t="s">
        <v>8809</v>
      </c>
    </row>
    <row r="66" spans="2:12">
      <c r="B66" s="740" t="s">
        <v>9004</v>
      </c>
      <c r="C66" s="741">
        <f>C64/C65</f>
        <v>0.19871343932217167</v>
      </c>
      <c r="D66" s="742">
        <f t="shared" ref="D66:I66" si="0">D64/D65</f>
        <v>-0.28856225529720264</v>
      </c>
      <c r="E66" s="712">
        <f t="shared" si="0"/>
        <v>-0.35573480929393947</v>
      </c>
      <c r="F66" s="741">
        <f t="shared" si="0"/>
        <v>0.13127198738807302</v>
      </c>
      <c r="G66" s="742">
        <f t="shared" si="0"/>
        <v>0.16347028347355014</v>
      </c>
      <c r="H66" s="741">
        <f t="shared" si="0"/>
        <v>0.24170070164415122</v>
      </c>
      <c r="I66" s="712">
        <f t="shared" si="0"/>
        <v>0.22761485576943497</v>
      </c>
      <c r="L66" t="s">
        <v>8810</v>
      </c>
    </row>
    <row r="67" spans="2:12" ht="15.75" thickBot="1">
      <c r="L67">
        <v>2</v>
      </c>
    </row>
    <row r="68" spans="2:12" ht="15.75" thickBot="1">
      <c r="B68" s="846" t="s">
        <v>8811</v>
      </c>
      <c r="C68" s="846"/>
      <c r="D68" s="846"/>
      <c r="E68" s="846"/>
      <c r="F68" s="846"/>
      <c r="G68" s="846"/>
      <c r="H68" s="846"/>
      <c r="I68" s="846"/>
      <c r="L68" t="s">
        <v>8813</v>
      </c>
    </row>
    <row r="69" spans="2:12">
      <c r="C69" s="743">
        <f t="shared" ref="C69:I69" si="1">C63</f>
        <v>43555</v>
      </c>
      <c r="D69" s="743">
        <f t="shared" si="1"/>
        <v>43921</v>
      </c>
      <c r="E69" s="743">
        <f t="shared" si="1"/>
        <v>44286</v>
      </c>
      <c r="F69" s="743">
        <f t="shared" si="1"/>
        <v>44651</v>
      </c>
      <c r="G69" s="743">
        <f t="shared" si="1"/>
        <v>45016</v>
      </c>
      <c r="H69" s="743">
        <f t="shared" si="1"/>
        <v>45382</v>
      </c>
      <c r="I69" s="743">
        <f t="shared" si="1"/>
        <v>45747</v>
      </c>
      <c r="L69">
        <v>3</v>
      </c>
    </row>
    <row r="70" spans="2:12">
      <c r="B70" t="s">
        <v>8812</v>
      </c>
      <c r="C70" s="744">
        <f>HistoricalFS!F43*HistoricalFS!F45*HistoricalFS!F51</f>
        <v>21.519999999999758</v>
      </c>
      <c r="D70" s="744">
        <f>HistoricalFS!G43*HistoricalFS!G45*HistoricalFS!G51</f>
        <v>0</v>
      </c>
      <c r="E70" s="744">
        <f>HistoricalFS!H43*HistoricalFS!H45*HistoricalFS!H51</f>
        <v>0</v>
      </c>
      <c r="F70" s="744">
        <f>HistoricalFS!I43*HistoricalFS!I45*HistoricalFS!I51</f>
        <v>0</v>
      </c>
      <c r="G70" s="744">
        <f>HistoricalFS!J43*HistoricalFS!J45*HistoricalFS!J51</f>
        <v>0</v>
      </c>
      <c r="H70" s="744">
        <f>HistoricalFS!K43*HistoricalFS!K45*HistoricalFS!K51</f>
        <v>410.34000000000032</v>
      </c>
      <c r="I70" s="744">
        <f>HistoricalFS!L43*HistoricalFS!L45*HistoricalFS!L51</f>
        <v>1151.1399999999999</v>
      </c>
      <c r="L70" t="s">
        <v>8817</v>
      </c>
    </row>
    <row r="71" spans="2:12">
      <c r="B71" t="s">
        <v>83</v>
      </c>
      <c r="C71" s="745">
        <f>C65</f>
        <v>2558.7600000000002</v>
      </c>
      <c r="D71" s="747">
        <f t="shared" ref="D71:I71" si="2">D65</f>
        <v>5506.68</v>
      </c>
      <c r="E71" s="748">
        <f t="shared" si="2"/>
        <v>5723.73</v>
      </c>
      <c r="F71" s="747">
        <f t="shared" si="2"/>
        <v>7726.02</v>
      </c>
      <c r="G71" s="747">
        <f t="shared" si="2"/>
        <v>8081.53</v>
      </c>
      <c r="H71" s="749">
        <f t="shared" si="2"/>
        <v>7161.75</v>
      </c>
      <c r="I71" s="32">
        <f t="shared" si="2"/>
        <v>9419.64</v>
      </c>
    </row>
    <row r="72" spans="2:12">
      <c r="B72" s="740" t="s">
        <v>9005</v>
      </c>
      <c r="C72" s="741">
        <f>C70/C71</f>
        <v>8.4103237505665854E-3</v>
      </c>
      <c r="D72" s="742">
        <f t="shared" ref="D72:I72" si="3">D70/D71</f>
        <v>0</v>
      </c>
      <c r="E72" s="741">
        <f t="shared" si="3"/>
        <v>0</v>
      </c>
      <c r="F72" s="741">
        <f t="shared" si="3"/>
        <v>0</v>
      </c>
      <c r="G72" s="742">
        <f t="shared" si="3"/>
        <v>0</v>
      </c>
      <c r="H72" s="742">
        <f t="shared" si="3"/>
        <v>5.7296051942611836E-2</v>
      </c>
      <c r="I72" s="712">
        <f t="shared" si="3"/>
        <v>0.12220636882088912</v>
      </c>
    </row>
    <row r="73" spans="2:12" ht="15.75" thickBot="1">
      <c r="B73" s="13"/>
      <c r="C73" s="65"/>
      <c r="D73" s="65"/>
      <c r="E73" s="750"/>
      <c r="F73" s="751"/>
      <c r="G73" s="65"/>
      <c r="H73" s="65"/>
      <c r="I73" s="65"/>
    </row>
    <row r="74" spans="2:12" ht="15.75" thickBot="1">
      <c r="B74" s="846" t="s">
        <v>8814</v>
      </c>
      <c r="C74" s="846"/>
      <c r="D74" s="846"/>
      <c r="E74" s="846"/>
      <c r="F74" s="846"/>
      <c r="G74" s="846"/>
      <c r="H74" s="846"/>
      <c r="I74" s="846"/>
    </row>
    <row r="75" spans="2:12">
      <c r="B75" t="s">
        <v>284</v>
      </c>
      <c r="C75" s="32">
        <f>HistoricalFS!F28</f>
        <v>188.96999999999974</v>
      </c>
      <c r="D75" s="32">
        <f>HistoricalFS!G28</f>
        <v>281.73</v>
      </c>
      <c r="E75" s="32">
        <f>HistoricalFS!H28</f>
        <v>-143.43</v>
      </c>
      <c r="F75" s="32">
        <f>HistoricalFS!I28</f>
        <v>283.90000000000072</v>
      </c>
      <c r="G75" s="32">
        <f>HistoricalFS!J28</f>
        <v>620.4600000000014</v>
      </c>
      <c r="H75" s="32">
        <f>HistoricalFS!K28</f>
        <v>1299.5800000000004</v>
      </c>
      <c r="I75" s="32">
        <f>HistoricalFS!L28</f>
        <v>1924.7799999999997</v>
      </c>
    </row>
    <row r="76" spans="2:12">
      <c r="B76" t="s">
        <v>83</v>
      </c>
      <c r="C76" s="32">
        <f>C71</f>
        <v>2558.7600000000002</v>
      </c>
      <c r="D76" s="32">
        <f t="shared" ref="D76:I76" si="4">D71</f>
        <v>5506.68</v>
      </c>
      <c r="E76" s="748">
        <f t="shared" si="4"/>
        <v>5723.73</v>
      </c>
      <c r="F76" s="32">
        <f t="shared" si="4"/>
        <v>7726.02</v>
      </c>
      <c r="G76" s="32">
        <f t="shared" si="4"/>
        <v>8081.53</v>
      </c>
      <c r="H76" s="32">
        <f t="shared" si="4"/>
        <v>7161.75</v>
      </c>
      <c r="I76" s="32">
        <f t="shared" si="4"/>
        <v>9419.64</v>
      </c>
    </row>
    <row r="77" spans="2:12">
      <c r="B77" s="740" t="s">
        <v>9006</v>
      </c>
      <c r="C77" s="741">
        <f t="shared" ref="C77:D77" si="5">C75/C76</f>
        <v>7.3852178398911866E-2</v>
      </c>
      <c r="D77" s="742">
        <f t="shared" si="5"/>
        <v>5.1161498398308962E-2</v>
      </c>
      <c r="E77" s="741">
        <f t="shared" ref="E77" si="6">E75/E76</f>
        <v>-2.5058834012086528E-2</v>
      </c>
      <c r="F77" s="741">
        <f t="shared" ref="F77" si="7">F75/F76</f>
        <v>3.6745957168115108E-2</v>
      </c>
      <c r="G77" s="742">
        <f t="shared" ref="G77" si="8">G75/G76</f>
        <v>7.6775066107531792E-2</v>
      </c>
      <c r="H77" s="741">
        <f t="shared" ref="H77" si="9">H75/H76</f>
        <v>0.18146123503333689</v>
      </c>
      <c r="I77" s="712">
        <f t="shared" ref="I77" si="10">I75/I76</f>
        <v>0.20433689610218647</v>
      </c>
    </row>
    <row r="78" spans="2:12" ht="15.75" thickBot="1">
      <c r="B78" s="13"/>
      <c r="C78" s="65"/>
      <c r="D78" s="65"/>
      <c r="E78" s="750"/>
      <c r="F78" s="751"/>
      <c r="G78" s="65"/>
      <c r="H78" s="65"/>
      <c r="I78" s="65"/>
    </row>
    <row r="79" spans="2:12" ht="15.75" thickBot="1">
      <c r="B79" s="846" t="s">
        <v>8815</v>
      </c>
      <c r="C79" s="846"/>
      <c r="D79" s="846"/>
      <c r="E79" s="846"/>
      <c r="F79" s="846"/>
      <c r="G79" s="846"/>
      <c r="H79" s="846"/>
      <c r="I79" s="846"/>
    </row>
    <row r="80" spans="2:12">
      <c r="B80" t="s">
        <v>8816</v>
      </c>
      <c r="C80" s="32">
        <f>('Data Sheet'!E70*'Data Sheet'!E97)/10000000</f>
        <v>12026.5424587</v>
      </c>
      <c r="D80" s="32">
        <f>('Data Sheet'!F70*'Data Sheet'!F97)/10000000</f>
        <v>17218.035173535001</v>
      </c>
      <c r="E80" s="32">
        <f>('Data Sheet'!G70*'Data Sheet'!G97)/10000000</f>
        <v>26698.885758404998</v>
      </c>
      <c r="F80" s="32">
        <f>('Data Sheet'!H70*'Data Sheet'!H97)/10000000</f>
        <v>45342.425650550002</v>
      </c>
      <c r="G80" s="32">
        <f>('Data Sheet'!I70*'Data Sheet'!I97)/10000000</f>
        <v>48877.748450195002</v>
      </c>
      <c r="H80" s="32">
        <f>('Data Sheet'!J70*'Data Sheet'!J97)/10000000</f>
        <v>140346.44960280001</v>
      </c>
      <c r="I80" s="32">
        <f>('Data Sheet'!K70*'Data Sheet'!K97)/10000000</f>
        <v>189302.40529441499</v>
      </c>
    </row>
    <row r="81" spans="2:9">
      <c r="B81" t="s">
        <v>8818</v>
      </c>
      <c r="C81">
        <f>'Data Sheet'!E59</f>
        <v>494.14</v>
      </c>
      <c r="D81">
        <f>'Data Sheet'!F59</f>
        <v>299.74</v>
      </c>
      <c r="E81" s="210">
        <f>'Data Sheet'!G59</f>
        <v>299.93</v>
      </c>
      <c r="F81">
        <f>'Data Sheet'!H59</f>
        <v>4725.3599999999997</v>
      </c>
      <c r="G81">
        <f>'Data Sheet'!I59</f>
        <v>4464.1400000000003</v>
      </c>
      <c r="H81">
        <f>'Data Sheet'!J59</f>
        <v>1752.99</v>
      </c>
      <c r="I81">
        <f>'Data Sheet'!K59</f>
        <v>2237.19</v>
      </c>
    </row>
    <row r="82" spans="2:9">
      <c r="B82" s="740" t="s">
        <v>8821</v>
      </c>
      <c r="C82" s="741">
        <f>C80/C81</f>
        <v>24.338330146719553</v>
      </c>
      <c r="D82" s="742">
        <f t="shared" ref="D82:I82" si="11">D80/D81</f>
        <v>57.443234715203182</v>
      </c>
      <c r="E82" s="741">
        <f t="shared" si="11"/>
        <v>89.017056507868489</v>
      </c>
      <c r="F82" s="741">
        <f t="shared" si="11"/>
        <v>9.5955494714794227</v>
      </c>
      <c r="G82" s="742">
        <f t="shared" si="11"/>
        <v>10.948973027323291</v>
      </c>
      <c r="H82" s="741">
        <f t="shared" si="11"/>
        <v>80.061180955282126</v>
      </c>
      <c r="I82" s="712">
        <f t="shared" si="11"/>
        <v>84.616150302126769</v>
      </c>
    </row>
    <row r="83" spans="2:9" ht="15.75" thickBot="1">
      <c r="E83" s="753"/>
      <c r="F83" s="752"/>
    </row>
    <row r="84" spans="2:9" ht="15.75" thickBot="1">
      <c r="B84" s="846" t="s">
        <v>8820</v>
      </c>
      <c r="C84" s="846"/>
      <c r="D84" s="846"/>
      <c r="E84" s="846"/>
      <c r="F84" s="846"/>
      <c r="G84" s="846"/>
      <c r="H84" s="846"/>
      <c r="I84" s="846"/>
    </row>
    <row r="85" spans="2:9">
      <c r="C85" s="743">
        <f t="shared" ref="C85:I85" si="12">C63</f>
        <v>43555</v>
      </c>
      <c r="D85" s="743">
        <f t="shared" si="12"/>
        <v>43921</v>
      </c>
      <c r="E85" s="743">
        <f t="shared" si="12"/>
        <v>44286</v>
      </c>
      <c r="F85" s="743">
        <f t="shared" si="12"/>
        <v>44651</v>
      </c>
      <c r="G85" s="743">
        <f t="shared" si="12"/>
        <v>45016</v>
      </c>
      <c r="H85" s="743">
        <f t="shared" si="12"/>
        <v>45382</v>
      </c>
      <c r="I85" s="743">
        <f t="shared" si="12"/>
        <v>45747</v>
      </c>
    </row>
    <row r="86" spans="2:9">
      <c r="B86" t="s">
        <v>8819</v>
      </c>
      <c r="C86" s="744">
        <f>'Data Sheet'!E17</f>
        <v>2630.24</v>
      </c>
      <c r="D86" s="746">
        <f>'Data Sheet'!F17</f>
        <v>3485.98</v>
      </c>
      <c r="E86" s="748">
        <f>'Data Sheet'!G17</f>
        <v>2592.96</v>
      </c>
      <c r="F86" s="746">
        <f>'Data Sheet'!H17</f>
        <v>4498.0200000000004</v>
      </c>
      <c r="G86" s="746">
        <f>'Data Sheet'!I17</f>
        <v>8242.02</v>
      </c>
      <c r="H86" s="746">
        <f>'Data Sheet'!J17</f>
        <v>12375.11</v>
      </c>
      <c r="I86" s="32">
        <f>'Data Sheet'!K17</f>
        <v>17134.61</v>
      </c>
    </row>
    <row r="87" spans="2:9">
      <c r="B87" t="s">
        <v>83</v>
      </c>
      <c r="C87" s="32">
        <f>C71</f>
        <v>2558.7600000000002</v>
      </c>
      <c r="D87" s="32">
        <f t="shared" ref="D87:I87" si="13">D71</f>
        <v>5506.68</v>
      </c>
      <c r="E87" s="748">
        <f t="shared" si="13"/>
        <v>5723.73</v>
      </c>
      <c r="F87" s="749">
        <f t="shared" si="13"/>
        <v>7726.02</v>
      </c>
      <c r="G87" s="747">
        <f t="shared" si="13"/>
        <v>8081.53</v>
      </c>
      <c r="H87" s="747">
        <f t="shared" si="13"/>
        <v>7161.75</v>
      </c>
      <c r="I87" s="32">
        <f t="shared" si="13"/>
        <v>9419.64</v>
      </c>
    </row>
    <row r="88" spans="2:9">
      <c r="B88" s="740" t="s">
        <v>8822</v>
      </c>
      <c r="C88" s="741">
        <f>C86/C87</f>
        <v>1.027935406212384</v>
      </c>
      <c r="D88" s="742">
        <f t="shared" ref="D88:G88" si="14">D86/D87</f>
        <v>0.63304568269810479</v>
      </c>
      <c r="E88" s="741">
        <f t="shared" si="14"/>
        <v>0.45301927239754503</v>
      </c>
      <c r="F88" s="742">
        <f t="shared" si="14"/>
        <v>0.58219108933189412</v>
      </c>
      <c r="G88" s="741">
        <f t="shared" si="14"/>
        <v>1.0198588633587948</v>
      </c>
      <c r="H88" s="741">
        <f>H86/H87</f>
        <v>1.7279449855133173</v>
      </c>
      <c r="I88" s="712">
        <f>I86/I87</f>
        <v>1.8190302389475608</v>
      </c>
    </row>
    <row r="89" spans="2:9" ht="15.75" thickBot="1">
      <c r="E89" s="752"/>
    </row>
    <row r="90" spans="2:9" ht="15.75" thickBot="1">
      <c r="B90" s="846" t="s">
        <v>8823</v>
      </c>
      <c r="C90" s="846"/>
      <c r="D90" s="846"/>
      <c r="E90" s="846"/>
      <c r="F90" s="846"/>
      <c r="G90" s="846"/>
      <c r="H90" s="846"/>
      <c r="I90" s="846"/>
    </row>
    <row r="91" spans="2:9">
      <c r="C91" s="64">
        <f>C85</f>
        <v>43555</v>
      </c>
      <c r="D91" s="64">
        <f t="shared" ref="D91:I91" si="15">D85</f>
        <v>43921</v>
      </c>
      <c r="E91" s="64">
        <f t="shared" si="15"/>
        <v>44286</v>
      </c>
      <c r="F91" s="64">
        <f t="shared" si="15"/>
        <v>44651</v>
      </c>
      <c r="G91" s="64">
        <f t="shared" si="15"/>
        <v>45016</v>
      </c>
      <c r="H91" s="64">
        <f t="shared" si="15"/>
        <v>45382</v>
      </c>
      <c r="I91" s="64">
        <f t="shared" si="15"/>
        <v>45747</v>
      </c>
    </row>
    <row r="92" spans="2:9">
      <c r="C92" s="64"/>
      <c r="D92" s="64"/>
      <c r="E92" s="64"/>
      <c r="F92" s="64"/>
      <c r="G92" s="64"/>
      <c r="H92" s="64"/>
      <c r="I92" s="64"/>
    </row>
    <row r="93" spans="2:9">
      <c r="B93" s="725" t="s">
        <v>8824</v>
      </c>
      <c r="C93" s="754">
        <f t="shared" ref="C93:I93" si="16">(C66*1.2)+(C72*1.4)+(C77*3.3)+(C82*0.6)+(C88*1)</f>
        <v>16.124876263397923</v>
      </c>
      <c r="D93" s="755">
        <f t="shared" si="16"/>
        <v>34.921544750177787</v>
      </c>
      <c r="E93" s="754">
        <f t="shared" si="16"/>
        <v>53.353677253726026</v>
      </c>
      <c r="F93" s="755">
        <f t="shared" si="16"/>
        <v>6.6183088157400149</v>
      </c>
      <c r="G93" s="755">
        <f t="shared" si="16"/>
        <v>8.0387647380758835</v>
      </c>
      <c r="H93" s="755">
        <f t="shared" si="16"/>
        <v>50.73373094898524</v>
      </c>
      <c r="I93" s="756">
        <f t="shared" si="16"/>
        <v>53.707258920633407</v>
      </c>
    </row>
    <row r="94" spans="2:9">
      <c r="B94" s="12" t="s">
        <v>8825</v>
      </c>
      <c r="C94" s="757" t="str">
        <f>IF(C93&lt;1.81,"Distressed",IF(C93&gt;3,"Strong","Grey Zone"))</f>
        <v>Strong</v>
      </c>
      <c r="D94" s="757" t="str">
        <f t="shared" ref="D94:I94" si="17">IF(D93&lt;1.81,"Distressed",IF(D93&gt;3,"Strong","Grey Zone"))</f>
        <v>Strong</v>
      </c>
      <c r="E94" s="757" t="str">
        <f t="shared" si="17"/>
        <v>Strong</v>
      </c>
      <c r="F94" s="757" t="str">
        <f t="shared" si="17"/>
        <v>Strong</v>
      </c>
      <c r="G94" s="757" t="str">
        <f t="shared" si="17"/>
        <v>Strong</v>
      </c>
      <c r="H94" s="757" t="str">
        <f t="shared" si="17"/>
        <v>Strong</v>
      </c>
      <c r="I94" s="757" t="str">
        <f t="shared" si="17"/>
        <v>Strong</v>
      </c>
    </row>
    <row r="99" spans="2:9">
      <c r="B99" s="672"/>
      <c r="C99" s="672"/>
      <c r="D99" s="672"/>
      <c r="E99" s="672"/>
      <c r="F99" s="672"/>
      <c r="G99" s="672"/>
      <c r="H99" s="672"/>
      <c r="I99" s="672"/>
    </row>
    <row r="101" spans="2:9">
      <c r="B101" s="12"/>
      <c r="C101" s="12"/>
      <c r="D101" s="12"/>
      <c r="E101" s="12"/>
      <c r="F101" s="12"/>
      <c r="G101" s="12"/>
      <c r="H101" s="12"/>
      <c r="I101" s="12"/>
    </row>
    <row r="113" ht="10.5" customHeight="1"/>
  </sheetData>
  <mergeCells count="8">
    <mergeCell ref="B84:I84"/>
    <mergeCell ref="B90:I90"/>
    <mergeCell ref="B8:I8"/>
    <mergeCell ref="B74:I74"/>
    <mergeCell ref="B79:I79"/>
    <mergeCell ref="B9:I9"/>
    <mergeCell ref="B62:I62"/>
    <mergeCell ref="B68:I68"/>
  </mergeCells>
  <printOptions verticalCentered="1"/>
  <pageMargins left="0.23622047244094491" right="0.23622047244094491" top="0.39370078740157483" bottom="0.15748031496062992" header="0" footer="0"/>
  <pageSetup scale="82" orientation="portrait" horizontalDpi="360" verticalDpi="360" r:id="rId1"/>
  <headerFooter>
    <oddFooter>&amp;RPage &amp;P</oddFooter>
  </headerFooter>
  <rowBreaks count="1" manualBreakCount="1">
    <brk id="55" min="1" max="8" man="1"/>
  </rowBreaks>
  <colBreaks count="2" manualBreakCount="2">
    <brk id="9" max="1048575" man="1"/>
    <brk id="10" max="1048575" man="1"/>
  </colBreaks>
  <ignoredErrors>
    <ignoredError sqref="C70:I70" formula="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B1:O505"/>
  <sheetViews>
    <sheetView showGridLines="0" zoomScale="40" zoomScaleNormal="40" zoomScaleSheetLayoutView="55" workbookViewId="0">
      <pane xSplit="1" ySplit="7" topLeftCell="B11" activePane="bottomRight" state="frozen"/>
      <selection pane="topRight" activeCell="B1" sqref="B1"/>
      <selection pane="bottomLeft" activeCell="A3" sqref="A3"/>
      <selection pane="bottomRight" activeCell="B4" sqref="B4"/>
    </sheetView>
  </sheetViews>
  <sheetFormatPr defaultRowHeight="15.75" outlineLevelRow="1"/>
  <cols>
    <col min="1" max="1" width="1.85546875" customWidth="1"/>
    <col min="2" max="2" width="17.5703125" style="92" customWidth="1"/>
    <col min="3" max="3" width="12.28515625" style="92" customWidth="1"/>
    <col min="4" max="4" width="14.85546875" style="92" customWidth="1"/>
    <col min="5" max="5" width="19.5703125" style="92" customWidth="1"/>
    <col min="6" max="6" width="9.140625" style="92"/>
    <col min="7" max="7" width="24.85546875" style="92" customWidth="1"/>
    <col min="8" max="8" width="17.28515625" style="92" bestFit="1" customWidth="1"/>
    <col min="9" max="9" width="10.28515625" style="92" bestFit="1" customWidth="1"/>
    <col min="10" max="10" width="18" style="92" bestFit="1" customWidth="1"/>
    <col min="11" max="11" width="15.140625" style="92" bestFit="1" customWidth="1"/>
  </cols>
  <sheetData>
    <row r="1" spans="2:14" ht="15">
      <c r="B1"/>
      <c r="C1"/>
      <c r="D1"/>
      <c r="E1"/>
      <c r="F1"/>
      <c r="G1"/>
      <c r="H1"/>
      <c r="I1"/>
      <c r="J1"/>
      <c r="K1"/>
    </row>
    <row r="2" spans="2:14" ht="15">
      <c r="B2"/>
      <c r="C2"/>
      <c r="D2"/>
      <c r="E2"/>
      <c r="F2"/>
      <c r="G2"/>
      <c r="H2"/>
      <c r="I2"/>
      <c r="J2"/>
      <c r="K2"/>
    </row>
    <row r="3" spans="2:14" ht="15">
      <c r="B3"/>
      <c r="C3"/>
      <c r="D3"/>
      <c r="E3"/>
      <c r="F3"/>
      <c r="G3"/>
      <c r="H3"/>
      <c r="I3"/>
      <c r="J3"/>
      <c r="K3"/>
    </row>
    <row r="4" spans="2:14" ht="28.5">
      <c r="B4" s="68" t="str">
        <f>'Intrisic Growth'!$B$4</f>
        <v>TRENT LTD</v>
      </c>
      <c r="C4"/>
      <c r="D4"/>
      <c r="E4"/>
      <c r="F4"/>
      <c r="G4"/>
      <c r="H4"/>
      <c r="I4"/>
      <c r="J4"/>
      <c r="K4"/>
    </row>
    <row r="5" spans="2:14" ht="15">
      <c r="B5" s="71" t="str">
        <f>DCF!B3</f>
        <v>( TRENT | BSE Code: 500251)</v>
      </c>
      <c r="C5" s="71"/>
      <c r="D5" s="71"/>
      <c r="E5" s="71"/>
      <c r="F5" s="71"/>
      <c r="G5" s="71"/>
      <c r="H5" s="71"/>
      <c r="I5" s="71"/>
      <c r="J5" s="71"/>
      <c r="K5" s="71"/>
    </row>
    <row r="6" spans="2:14" ht="15">
      <c r="B6" s="71"/>
      <c r="C6" s="71"/>
      <c r="D6" s="71"/>
      <c r="E6" s="71"/>
      <c r="F6" s="71"/>
      <c r="G6" s="71"/>
      <c r="H6" s="71"/>
      <c r="I6" s="71"/>
      <c r="J6" s="71"/>
      <c r="K6" s="71"/>
    </row>
    <row r="7" spans="2:14" ht="21" customHeight="1">
      <c r="B7" s="695" t="s">
        <v>165</v>
      </c>
      <c r="C7" s="696" t="s">
        <v>548</v>
      </c>
      <c r="D7" s="696" t="s">
        <v>217</v>
      </c>
      <c r="E7" s="695" t="s">
        <v>549</v>
      </c>
      <c r="F7" s="697"/>
      <c r="G7" s="695" t="s">
        <v>8999</v>
      </c>
      <c r="H7" s="697"/>
      <c r="I7" s="697"/>
      <c r="J7" s="697"/>
      <c r="K7" s="697"/>
    </row>
    <row r="8" spans="2:14" ht="15">
      <c r="B8" s="51"/>
      <c r="C8" s="52"/>
      <c r="D8" s="53"/>
      <c r="E8" s="54"/>
      <c r="F8" s="55"/>
      <c r="G8" s="54"/>
      <c r="H8" s="55"/>
      <c r="I8" s="55"/>
      <c r="J8" s="55"/>
      <c r="K8" s="55"/>
    </row>
    <row r="9" spans="2:14">
      <c r="B9" s="92" t="s">
        <v>8859</v>
      </c>
      <c r="C9" s="544">
        <v>4251.3500000000004</v>
      </c>
      <c r="D9" s="673">
        <f>(C9-C10)/C10</f>
        <v>-7.7835087637406252E-3</v>
      </c>
      <c r="E9" s="673">
        <v>-7.7835087637406252E-3</v>
      </c>
    </row>
    <row r="10" spans="2:14">
      <c r="B10" s="674">
        <v>46083</v>
      </c>
      <c r="C10" s="544">
        <v>4284.7</v>
      </c>
      <c r="D10" s="673">
        <f t="shared" ref="D10:D73" si="0">(C10-C11)/C11</f>
        <v>1.5187414111737537E-2</v>
      </c>
      <c r="E10" s="673">
        <v>1.5187414111737537E-2</v>
      </c>
      <c r="G10" s="675" t="s">
        <v>126</v>
      </c>
      <c r="H10" s="539"/>
      <c r="I10" s="539"/>
      <c r="J10" s="536"/>
      <c r="K10" s="676">
        <f>AVERAGE(E9:E499)</f>
        <v>3.6517980221936492E-4</v>
      </c>
      <c r="N10">
        <v>1</v>
      </c>
    </row>
    <row r="11" spans="2:14">
      <c r="B11" s="674">
        <v>46144</v>
      </c>
      <c r="C11" s="544">
        <v>4220.6000000000004</v>
      </c>
      <c r="D11" s="673">
        <f t="shared" si="0"/>
        <v>8.5668200011949011E-3</v>
      </c>
      <c r="E11" s="673">
        <v>8.5668200011949011E-3</v>
      </c>
      <c r="G11" s="675" t="s">
        <v>550</v>
      </c>
      <c r="H11" s="539"/>
      <c r="I11" s="539"/>
      <c r="J11" s="536"/>
      <c r="K11" s="676">
        <f>_xlfn.STDEV.S(E9:E502)</f>
        <v>2.2835115357015094E-2</v>
      </c>
    </row>
    <row r="12" spans="2:14">
      <c r="B12" s="674" t="s">
        <v>8945</v>
      </c>
      <c r="C12" s="544">
        <v>4184.75</v>
      </c>
      <c r="D12" s="673">
        <f t="shared" si="0"/>
        <v>2.9358897543439186E-3</v>
      </c>
      <c r="E12" s="673">
        <v>2.9358897543439186E-3</v>
      </c>
      <c r="G12" s="675" t="s">
        <v>551</v>
      </c>
      <c r="H12" s="539"/>
      <c r="I12" s="539"/>
      <c r="J12" s="536"/>
      <c r="K12" s="676">
        <f>MIN(E9:E502)</f>
        <v>-0.14757473589570685</v>
      </c>
    </row>
    <row r="13" spans="2:14">
      <c r="B13" s="674" t="s">
        <v>8946</v>
      </c>
      <c r="C13" s="544">
        <v>4172.5</v>
      </c>
      <c r="D13" s="673">
        <f t="shared" si="0"/>
        <v>1.3013183131418672E-2</v>
      </c>
      <c r="E13" s="673">
        <v>1.3013183131418672E-2</v>
      </c>
      <c r="G13" s="675" t="s">
        <v>348</v>
      </c>
      <c r="H13" s="539"/>
      <c r="I13" s="539"/>
      <c r="J13" s="536"/>
      <c r="K13" s="676">
        <f>MAX(E9:E502)</f>
        <v>0.11237328985609971</v>
      </c>
    </row>
    <row r="14" spans="2:14">
      <c r="B14" s="674" t="s">
        <v>8861</v>
      </c>
      <c r="C14" s="544">
        <v>4118.8999999999996</v>
      </c>
      <c r="D14" s="673">
        <f t="shared" si="0"/>
        <v>-3.0738696872883936E-3</v>
      </c>
      <c r="E14" s="673">
        <v>-3.0738696872883936E-3</v>
      </c>
      <c r="G14" s="675" t="s">
        <v>554</v>
      </c>
      <c r="H14" s="539"/>
      <c r="I14" s="539"/>
      <c r="J14" s="536"/>
      <c r="K14" s="677">
        <f>'Data Sheet'!B8</f>
        <v>4285.6000000000004</v>
      </c>
    </row>
    <row r="15" spans="2:14">
      <c r="B15" s="674" t="s">
        <v>379</v>
      </c>
      <c r="C15" s="544">
        <v>4131.6000000000004</v>
      </c>
      <c r="D15" s="673">
        <f t="shared" si="0"/>
        <v>2.9502641283763717E-2</v>
      </c>
      <c r="E15" s="673">
        <v>2.9502641283763717E-2</v>
      </c>
      <c r="J15" s="678"/>
      <c r="N15" s="9"/>
    </row>
    <row r="16" spans="2:14" ht="16.5" thickBot="1">
      <c r="B16" s="674" t="s">
        <v>372</v>
      </c>
      <c r="C16" s="544">
        <v>4013.2</v>
      </c>
      <c r="D16" s="673">
        <f t="shared" si="0"/>
        <v>4.9847618798477426E-2</v>
      </c>
      <c r="E16" s="673">
        <v>4.9847618798477426E-2</v>
      </c>
      <c r="G16" s="679" t="s">
        <v>552</v>
      </c>
      <c r="H16" s="680" t="s">
        <v>557</v>
      </c>
      <c r="I16" s="680" t="s">
        <v>553</v>
      </c>
      <c r="J16" s="680" t="s">
        <v>555</v>
      </c>
      <c r="K16" s="681" t="s">
        <v>556</v>
      </c>
    </row>
    <row r="17" spans="2:14">
      <c r="B17" s="674">
        <v>45569</v>
      </c>
      <c r="C17" s="544">
        <v>3822.65</v>
      </c>
      <c r="D17" s="673">
        <f t="shared" si="0"/>
        <v>2.7842757656422301E-2</v>
      </c>
      <c r="E17" s="673">
        <v>2.7842757656422301E-2</v>
      </c>
      <c r="G17" s="682">
        <v>0.05</v>
      </c>
      <c r="H17" s="683">
        <f>100%-G17</f>
        <v>0.95</v>
      </c>
      <c r="I17" s="684">
        <f>_xlfn.PERCENTILE.INC($E$9:$E$499,G17)</f>
        <v>-3.1639774458594741E-2</v>
      </c>
      <c r="J17" s="685">
        <f>$K$14*(1-I17)</f>
        <v>4421.1954174197544</v>
      </c>
      <c r="K17" s="686">
        <f>$K$14-J17</f>
        <v>-135.59541741975409</v>
      </c>
    </row>
    <row r="18" spans="2:14">
      <c r="B18" s="674">
        <v>45476</v>
      </c>
      <c r="C18" s="544">
        <v>3719.1</v>
      </c>
      <c r="D18" s="673">
        <f t="shared" si="0"/>
        <v>-1.7566568047337278E-2</v>
      </c>
      <c r="E18" s="673">
        <v>-1.7566568047337278E-2</v>
      </c>
      <c r="G18" s="687">
        <v>0.01</v>
      </c>
      <c r="H18" s="688">
        <f>100%-G18</f>
        <v>0.99</v>
      </c>
      <c r="I18" s="689">
        <f>_xlfn.PERCENTILE.INC($E$9:$E$499,G18)</f>
        <v>-6.6248887043694346E-2</v>
      </c>
      <c r="J18" s="690">
        <f>$K$14*(1-I18)</f>
        <v>4569.5162303144571</v>
      </c>
      <c r="K18" s="691">
        <f>$K$14-J18</f>
        <v>-283.9162303144567</v>
      </c>
    </row>
    <row r="19" spans="2:14">
      <c r="B19" s="674" t="s">
        <v>211</v>
      </c>
      <c r="C19" s="544">
        <v>3785.6</v>
      </c>
      <c r="D19" s="673">
        <f t="shared" si="0"/>
        <v>-9.795843632701709E-3</v>
      </c>
      <c r="E19" s="673">
        <v>-9.795843632701709E-3</v>
      </c>
      <c r="G19" s="687">
        <v>5.0000000000000001E-3</v>
      </c>
      <c r="H19" s="688">
        <f>100%-G19</f>
        <v>0.995</v>
      </c>
      <c r="I19" s="689">
        <f>_xlfn.PERCENTILE.INC($E$9:$E$499,G19)</f>
        <v>-8.4672297932421564E-2</v>
      </c>
      <c r="J19" s="690">
        <f>$K$14*(1-I19)</f>
        <v>4648.4716000191856</v>
      </c>
      <c r="K19" s="691">
        <f>$K$14-J19</f>
        <v>-362.87160001918528</v>
      </c>
    </row>
    <row r="20" spans="2:14">
      <c r="B20" s="674" t="s">
        <v>8950</v>
      </c>
      <c r="C20" s="544">
        <v>3823.05</v>
      </c>
      <c r="D20" s="673">
        <f t="shared" si="0"/>
        <v>-1.0418554085885124E-2</v>
      </c>
      <c r="E20" s="673">
        <v>-1.0418554085885124E-2</v>
      </c>
      <c r="G20" s="692">
        <v>0.1</v>
      </c>
      <c r="H20" s="688">
        <f>100%-G20</f>
        <v>0.9</v>
      </c>
      <c r="I20" s="689">
        <f>_xlfn.PERCENTILE.INC($E$9:$E$499,G20)</f>
        <v>-2.182374599531399E-2</v>
      </c>
      <c r="J20" s="690">
        <f>$K$14*(1-I20)</f>
        <v>4379.1278458375173</v>
      </c>
      <c r="K20" s="691">
        <f>$K$14-J20</f>
        <v>-93.527845837516907</v>
      </c>
      <c r="N20" s="9"/>
    </row>
    <row r="21" spans="2:14">
      <c r="B21" s="674" t="s">
        <v>383</v>
      </c>
      <c r="C21" s="544">
        <v>3863.3</v>
      </c>
      <c r="D21" s="673">
        <f t="shared" si="0"/>
        <v>1.9071485096280712E-2</v>
      </c>
      <c r="E21" s="673">
        <v>1.9071485096280712E-2</v>
      </c>
      <c r="G21" s="106"/>
      <c r="H21" s="106"/>
      <c r="I21" s="106"/>
      <c r="J21" s="106"/>
      <c r="K21" s="472"/>
    </row>
    <row r="22" spans="2:14">
      <c r="B22" s="674">
        <v>45446</v>
      </c>
      <c r="C22" s="544">
        <v>3791</v>
      </c>
      <c r="D22" s="673">
        <f t="shared" si="0"/>
        <v>9.6141042371301246E-3</v>
      </c>
      <c r="E22" s="673">
        <v>9.6141042371301246E-3</v>
      </c>
    </row>
    <row r="23" spans="2:14">
      <c r="B23" s="674" t="s">
        <v>377</v>
      </c>
      <c r="C23" s="544">
        <v>3754.9</v>
      </c>
      <c r="D23" s="673">
        <f t="shared" si="0"/>
        <v>-1.2595981908067762E-2</v>
      </c>
      <c r="E23" s="673">
        <v>-1.2595981908067762E-2</v>
      </c>
      <c r="N23" s="9"/>
    </row>
    <row r="24" spans="2:14">
      <c r="B24" s="674">
        <v>45355</v>
      </c>
      <c r="C24" s="544">
        <v>3802.8</v>
      </c>
      <c r="D24" s="673">
        <f t="shared" si="0"/>
        <v>1.0106912809615561E-2</v>
      </c>
      <c r="E24" s="673">
        <v>1.0106912809615561E-2</v>
      </c>
    </row>
    <row r="25" spans="2:14">
      <c r="B25" s="674">
        <v>45386</v>
      </c>
      <c r="C25" s="544">
        <v>3764.75</v>
      </c>
      <c r="D25" s="673">
        <f t="shared" si="0"/>
        <v>-1.7805896164883903E-2</v>
      </c>
      <c r="E25" s="673">
        <v>-1.7805896164883903E-2</v>
      </c>
    </row>
    <row r="26" spans="2:14">
      <c r="B26" s="674">
        <v>45294</v>
      </c>
      <c r="C26" s="544">
        <v>3833</v>
      </c>
      <c r="D26" s="673">
        <f t="shared" si="0"/>
        <v>-2.8858091160151027E-2</v>
      </c>
      <c r="E26" s="673">
        <v>-2.8858091160151027E-2</v>
      </c>
    </row>
    <row r="27" spans="2:14">
      <c r="B27" s="674">
        <v>46175</v>
      </c>
      <c r="C27" s="544">
        <v>3946.9</v>
      </c>
      <c r="D27" s="673">
        <f t="shared" si="0"/>
        <v>1.1571730633690035E-2</v>
      </c>
      <c r="E27" s="673">
        <v>1.1571730633690035E-2</v>
      </c>
    </row>
    <row r="28" spans="2:14">
      <c r="B28" s="674" t="s">
        <v>8947</v>
      </c>
      <c r="C28" s="544">
        <v>3901.75</v>
      </c>
      <c r="D28" s="673">
        <f t="shared" si="0"/>
        <v>-7.3019628795684514E-3</v>
      </c>
      <c r="E28" s="673">
        <v>-7.3019628795684514E-3</v>
      </c>
    </row>
    <row r="29" spans="2:14">
      <c r="B29" s="674" t="s">
        <v>8948</v>
      </c>
      <c r="C29" s="544">
        <v>3930.45</v>
      </c>
      <c r="D29" s="673">
        <f t="shared" si="0"/>
        <v>2.793723689246031E-3</v>
      </c>
      <c r="E29" s="673">
        <v>2.793723689246031E-3</v>
      </c>
    </row>
    <row r="30" spans="2:14">
      <c r="B30" s="674">
        <v>46114</v>
      </c>
      <c r="C30" s="544">
        <v>3919.5</v>
      </c>
      <c r="D30" s="673">
        <f t="shared" si="0"/>
        <v>-3.3927757169441623E-2</v>
      </c>
      <c r="E30" s="673">
        <v>-3.3927757169441623E-2</v>
      </c>
    </row>
    <row r="31" spans="2:14">
      <c r="B31" s="674">
        <v>45326</v>
      </c>
      <c r="C31" s="544">
        <v>4057.15</v>
      </c>
      <c r="D31" s="673">
        <f t="shared" si="0"/>
        <v>2.0461290809396827E-2</v>
      </c>
      <c r="E31" s="673">
        <v>2.0461290809396827E-2</v>
      </c>
    </row>
    <row r="32" spans="2:14">
      <c r="B32" s="674">
        <v>45385</v>
      </c>
      <c r="C32" s="544">
        <v>3975.8</v>
      </c>
      <c r="D32" s="673">
        <f t="shared" si="0"/>
        <v>-3.2466311501096381E-3</v>
      </c>
      <c r="E32" s="673">
        <v>-3.2466311501096381E-3</v>
      </c>
    </row>
    <row r="33" spans="2:15">
      <c r="B33" s="674" t="s">
        <v>215</v>
      </c>
      <c r="C33" s="544">
        <v>3988.75</v>
      </c>
      <c r="D33" s="673">
        <f t="shared" si="0"/>
        <v>-1.7500862111434104E-2</v>
      </c>
      <c r="E33" s="673">
        <v>-1.7500862111434104E-2</v>
      </c>
    </row>
    <row r="34" spans="2:15">
      <c r="B34" s="674" t="s">
        <v>392</v>
      </c>
      <c r="C34" s="544">
        <v>4059.8</v>
      </c>
      <c r="D34" s="673">
        <f t="shared" si="0"/>
        <v>2.9893519776664191E-3</v>
      </c>
      <c r="E34" s="673">
        <v>2.9893519776664191E-3</v>
      </c>
    </row>
    <row r="35" spans="2:15">
      <c r="B35" s="674" t="s">
        <v>389</v>
      </c>
      <c r="C35" s="544">
        <v>4047.7</v>
      </c>
      <c r="D35" s="673">
        <f t="shared" si="0"/>
        <v>-8.6184515007506582E-2</v>
      </c>
      <c r="E35" s="673">
        <v>-8.6184515007506582E-2</v>
      </c>
    </row>
    <row r="36" spans="2:15">
      <c r="B36" s="674">
        <v>45599</v>
      </c>
      <c r="C36" s="544">
        <v>4429.45</v>
      </c>
      <c r="D36" s="673">
        <f t="shared" si="0"/>
        <v>4.6838141898021312E-3</v>
      </c>
      <c r="E36" s="673">
        <v>4.6838141898021312E-3</v>
      </c>
    </row>
    <row r="37" spans="2:15">
      <c r="B37" s="674">
        <v>46055</v>
      </c>
      <c r="C37" s="544">
        <v>4408.8</v>
      </c>
      <c r="D37" s="673">
        <f t="shared" si="0"/>
        <v>2.5827167387965935E-2</v>
      </c>
      <c r="E37" s="673">
        <v>2.5827167387965935E-2</v>
      </c>
      <c r="G37" s="693" t="s">
        <v>8998</v>
      </c>
      <c r="O37" s="9"/>
    </row>
    <row r="38" spans="2:15">
      <c r="B38" s="674" t="s">
        <v>8860</v>
      </c>
      <c r="C38" s="544">
        <v>4297.8</v>
      </c>
      <c r="D38" s="673">
        <f t="shared" si="0"/>
        <v>4.6165893339255035E-3</v>
      </c>
      <c r="E38" s="673">
        <v>4.6165893339255035E-3</v>
      </c>
    </row>
    <row r="39" spans="2:15">
      <c r="B39" s="674" t="s">
        <v>373</v>
      </c>
      <c r="C39" s="544">
        <v>4278.05</v>
      </c>
      <c r="D39" s="673">
        <f t="shared" si="0"/>
        <v>1.6320809626189273E-2</v>
      </c>
      <c r="E39" s="673">
        <v>1.6320809626189273E-2</v>
      </c>
    </row>
    <row r="40" spans="2:15">
      <c r="B40" s="674" t="s">
        <v>8997</v>
      </c>
      <c r="C40" s="544">
        <v>4209.3500000000004</v>
      </c>
      <c r="D40" s="673">
        <f t="shared" si="0"/>
        <v>-3.8691814373948588E-3</v>
      </c>
      <c r="E40" s="673">
        <v>-3.8691814373948588E-3</v>
      </c>
    </row>
    <row r="41" spans="2:15">
      <c r="B41" s="674" t="s">
        <v>8951</v>
      </c>
      <c r="C41" s="544">
        <v>4225.7</v>
      </c>
      <c r="D41" s="673">
        <f t="shared" si="0"/>
        <v>-1.3562724683692134E-2</v>
      </c>
      <c r="E41" s="673">
        <v>-1.3562724683692134E-2</v>
      </c>
    </row>
    <row r="42" spans="2:15">
      <c r="B42" s="674" t="s">
        <v>378</v>
      </c>
      <c r="C42" s="544">
        <v>4283.8</v>
      </c>
      <c r="D42" s="673">
        <f t="shared" si="0"/>
        <v>-1.1891160903726957E-3</v>
      </c>
      <c r="E42" s="673">
        <v>-1.1891160903726957E-3</v>
      </c>
    </row>
    <row r="43" spans="2:15" outlineLevel="1">
      <c r="B43" s="674" t="s">
        <v>8862</v>
      </c>
      <c r="C43" s="544">
        <v>4288.8999999999996</v>
      </c>
      <c r="D43" s="673">
        <f t="shared" si="0"/>
        <v>2.3616033604219579E-2</v>
      </c>
      <c r="E43" s="673">
        <v>2.3616033604219579E-2</v>
      </c>
    </row>
    <row r="44" spans="2:15" outlineLevel="1">
      <c r="B44" s="674" t="s">
        <v>387</v>
      </c>
      <c r="C44" s="544">
        <v>4189.95</v>
      </c>
      <c r="D44" s="673">
        <f t="shared" si="0"/>
        <v>-3.8988671888931128E-3</v>
      </c>
      <c r="E44" s="673">
        <v>-3.8988671888931128E-3</v>
      </c>
    </row>
    <row r="45" spans="2:15" outlineLevel="1">
      <c r="B45" s="674" t="s">
        <v>391</v>
      </c>
      <c r="C45" s="544">
        <v>4206.3500000000004</v>
      </c>
      <c r="D45" s="673">
        <f t="shared" si="0"/>
        <v>3.5600418538807251E-2</v>
      </c>
      <c r="E45" s="673">
        <v>3.5600418538807251E-2</v>
      </c>
    </row>
    <row r="46" spans="2:15" outlineLevel="1">
      <c r="B46" s="674" t="s">
        <v>8992</v>
      </c>
      <c r="C46" s="544">
        <v>4061.75</v>
      </c>
      <c r="D46" s="673">
        <f t="shared" si="0"/>
        <v>8.0535080535080079E-3</v>
      </c>
      <c r="E46" s="673">
        <v>8.0535080535080079E-3</v>
      </c>
    </row>
    <row r="47" spans="2:15" outlineLevel="1">
      <c r="B47" s="674">
        <v>45508</v>
      </c>
      <c r="C47" s="544">
        <v>4029.3</v>
      </c>
      <c r="D47" s="673">
        <f t="shared" si="0"/>
        <v>-3.5118090762952438E-3</v>
      </c>
      <c r="E47" s="673">
        <v>-3.5118090762952438E-3</v>
      </c>
    </row>
    <row r="48" spans="2:15" outlineLevel="1">
      <c r="B48" s="674" t="s">
        <v>386</v>
      </c>
      <c r="C48" s="544">
        <v>4043.5</v>
      </c>
      <c r="D48" s="673">
        <f t="shared" si="0"/>
        <v>-1.6120201958756616E-2</v>
      </c>
      <c r="E48" s="673">
        <v>-1.6120201958756616E-2</v>
      </c>
    </row>
    <row r="49" spans="2:5" outlineLevel="1">
      <c r="B49" s="674" t="s">
        <v>380</v>
      </c>
      <c r="C49" s="544">
        <v>4109.75</v>
      </c>
      <c r="D49" s="673">
        <f t="shared" si="0"/>
        <v>1.0961573594787163E-3</v>
      </c>
      <c r="E49" s="673">
        <v>1.0961573594787163E-3</v>
      </c>
    </row>
    <row r="50" spans="2:5" outlineLevel="1">
      <c r="B50" s="674" t="s">
        <v>381</v>
      </c>
      <c r="C50" s="544">
        <v>4105.25</v>
      </c>
      <c r="D50" s="673">
        <f t="shared" si="0"/>
        <v>7.9303698793258409E-3</v>
      </c>
      <c r="E50" s="673">
        <v>7.9303698793258409E-3</v>
      </c>
    </row>
    <row r="51" spans="2:5" outlineLevel="1">
      <c r="B51" s="674">
        <v>45539</v>
      </c>
      <c r="C51" s="544">
        <v>4072.95</v>
      </c>
      <c r="D51" s="673">
        <f t="shared" si="0"/>
        <v>6.8475372350286926E-3</v>
      </c>
      <c r="E51" s="673">
        <v>6.8475372350286926E-3</v>
      </c>
    </row>
    <row r="52" spans="2:5" outlineLevel="1">
      <c r="B52" s="674" t="s">
        <v>8988</v>
      </c>
      <c r="C52" s="544">
        <v>4045.25</v>
      </c>
      <c r="D52" s="673">
        <f t="shared" si="0"/>
        <v>6.7819810851169737E-3</v>
      </c>
      <c r="E52" s="673">
        <v>6.7819810851169737E-3</v>
      </c>
    </row>
    <row r="53" spans="2:5" outlineLevel="1">
      <c r="B53" s="674" t="s">
        <v>8991</v>
      </c>
      <c r="C53" s="544">
        <v>4018</v>
      </c>
      <c r="D53" s="673">
        <f t="shared" si="0"/>
        <v>-1.6569988006951031E-2</v>
      </c>
      <c r="E53" s="673">
        <v>-1.6569988006951031E-2</v>
      </c>
    </row>
    <row r="54" spans="2:5" outlineLevel="1">
      <c r="B54" s="674">
        <v>45415</v>
      </c>
      <c r="C54" s="544">
        <v>4085.7</v>
      </c>
      <c r="D54" s="673">
        <f t="shared" si="0"/>
        <v>-1.2833205001283321E-3</v>
      </c>
      <c r="E54" s="673">
        <v>-1.2833205001283321E-3</v>
      </c>
    </row>
    <row r="55" spans="2:5" outlineLevel="1">
      <c r="B55" s="674">
        <v>45630</v>
      </c>
      <c r="C55" s="544">
        <v>4090.95</v>
      </c>
      <c r="D55" s="673">
        <f t="shared" si="0"/>
        <v>-2.3488130616921607E-2</v>
      </c>
      <c r="E55" s="673">
        <v>-2.3488130616921607E-2</v>
      </c>
    </row>
    <row r="56" spans="2:5" outlineLevel="1">
      <c r="B56" s="674">
        <v>46357</v>
      </c>
      <c r="C56" s="544">
        <v>4189.3500000000004</v>
      </c>
      <c r="D56" s="673">
        <f t="shared" si="0"/>
        <v>-6.0854092526689526E-3</v>
      </c>
      <c r="E56" s="673">
        <v>-6.0854092526689526E-3</v>
      </c>
    </row>
    <row r="57" spans="2:5" outlineLevel="1">
      <c r="B57" s="674" t="s">
        <v>374</v>
      </c>
      <c r="C57" s="544">
        <v>4215</v>
      </c>
      <c r="D57" s="673">
        <f t="shared" si="0"/>
        <v>6.2908096880857477E-3</v>
      </c>
      <c r="E57" s="673">
        <v>6.2908096880857477E-3</v>
      </c>
    </row>
    <row r="58" spans="2:5" outlineLevel="1">
      <c r="B58" s="674">
        <v>45629</v>
      </c>
      <c r="C58" s="544">
        <v>4188.6499999999996</v>
      </c>
      <c r="D58" s="673">
        <f t="shared" si="0"/>
        <v>-9.0843496055169788E-3</v>
      </c>
      <c r="E58" s="673">
        <v>-9.0843496055169788E-3</v>
      </c>
    </row>
    <row r="59" spans="2:5" outlineLevel="1">
      <c r="B59" s="674">
        <v>45295</v>
      </c>
      <c r="C59" s="544">
        <v>4227.05</v>
      </c>
      <c r="D59" s="673">
        <f t="shared" si="0"/>
        <v>2.0386634901445708E-3</v>
      </c>
      <c r="E59" s="673">
        <v>2.0386634901445708E-3</v>
      </c>
    </row>
    <row r="60" spans="2:5" outlineLevel="1">
      <c r="B60" s="674">
        <v>46003</v>
      </c>
      <c r="C60" s="544">
        <v>4218.45</v>
      </c>
      <c r="D60" s="673">
        <f t="shared" si="0"/>
        <v>-7.622005010762681E-3</v>
      </c>
      <c r="E60" s="673">
        <v>-7.622005010762681E-3</v>
      </c>
    </row>
    <row r="61" spans="2:5" outlineLevel="1">
      <c r="B61" s="674" t="s">
        <v>388</v>
      </c>
      <c r="C61" s="544">
        <v>4250.8500000000004</v>
      </c>
      <c r="D61" s="673">
        <f t="shared" si="0"/>
        <v>-4.1349420171019413E-3</v>
      </c>
      <c r="E61" s="673">
        <v>-4.1349420171019413E-3</v>
      </c>
    </row>
    <row r="62" spans="2:5" outlineLevel="1">
      <c r="B62" s="674" t="s">
        <v>214</v>
      </c>
      <c r="C62" s="544">
        <v>4268.5</v>
      </c>
      <c r="D62" s="673">
        <f t="shared" si="0"/>
        <v>-5.5332284932145146E-3</v>
      </c>
      <c r="E62" s="673">
        <v>-5.5332284932145146E-3</v>
      </c>
    </row>
    <row r="63" spans="2:5" outlineLevel="1">
      <c r="B63" s="674" t="s">
        <v>210</v>
      </c>
      <c r="C63" s="544">
        <v>4292.25</v>
      </c>
      <c r="D63" s="673">
        <f t="shared" si="0"/>
        <v>1.1297504888909789E-2</v>
      </c>
      <c r="E63" s="673">
        <v>1.1297504888909789E-2</v>
      </c>
    </row>
    <row r="64" spans="2:5" outlineLevel="1">
      <c r="B64" s="674" t="s">
        <v>8864</v>
      </c>
      <c r="C64" s="544">
        <v>4244.3</v>
      </c>
      <c r="D64" s="673">
        <f t="shared" si="0"/>
        <v>-1.5186495736411582E-2</v>
      </c>
      <c r="E64" s="673">
        <v>-1.5186495736411582E-2</v>
      </c>
    </row>
    <row r="65" spans="2:5" outlineLevel="1">
      <c r="B65" s="674">
        <v>45942</v>
      </c>
      <c r="C65" s="544">
        <v>4309.75</v>
      </c>
      <c r="D65" s="673">
        <f t="shared" si="0"/>
        <v>-1.1615906797541427E-2</v>
      </c>
      <c r="E65" s="673">
        <v>-1.1615906797541427E-2</v>
      </c>
    </row>
    <row r="66" spans="2:5" outlineLevel="1">
      <c r="B66" s="674">
        <v>46235</v>
      </c>
      <c r="C66" s="544">
        <v>4360.3999999999996</v>
      </c>
      <c r="D66" s="673">
        <f t="shared" si="0"/>
        <v>-6.4823359194323624E-3</v>
      </c>
      <c r="E66" s="673">
        <v>-6.4823359194323624E-3</v>
      </c>
    </row>
    <row r="67" spans="2:5" outlineLevel="1">
      <c r="B67" s="674" t="s">
        <v>212</v>
      </c>
      <c r="C67" s="544">
        <v>4388.8500000000004</v>
      </c>
      <c r="D67" s="673">
        <f t="shared" si="0"/>
        <v>7.0558270806085214E-3</v>
      </c>
      <c r="E67" s="673">
        <v>7.0558270806085214E-3</v>
      </c>
    </row>
    <row r="68" spans="2:5" outlineLevel="1">
      <c r="B68" s="674" t="s">
        <v>384</v>
      </c>
      <c r="C68" s="544">
        <v>4358.1000000000004</v>
      </c>
      <c r="D68" s="673">
        <f t="shared" si="0"/>
        <v>-3.1109179495389561E-3</v>
      </c>
      <c r="E68" s="673">
        <v>-3.1109179495389561E-3</v>
      </c>
    </row>
    <row r="69" spans="2:5" outlineLevel="1">
      <c r="B69" s="674">
        <v>46297</v>
      </c>
      <c r="C69" s="544">
        <v>4371.7</v>
      </c>
      <c r="D69" s="673">
        <f t="shared" si="0"/>
        <v>-8.5948838896953341E-3</v>
      </c>
      <c r="E69" s="673">
        <v>-8.5948838896953341E-3</v>
      </c>
    </row>
    <row r="70" spans="2:5" outlineLevel="1">
      <c r="B70" s="674">
        <v>45416</v>
      </c>
      <c r="C70" s="544">
        <v>4409.6000000000004</v>
      </c>
      <c r="D70" s="673">
        <f t="shared" si="0"/>
        <v>4.6019957169546478E-3</v>
      </c>
      <c r="E70" s="673">
        <v>4.6019957169546478E-3</v>
      </c>
    </row>
    <row r="71" spans="2:5" outlineLevel="1">
      <c r="B71" s="674">
        <v>45973</v>
      </c>
      <c r="C71" s="544">
        <v>4389.3999999999996</v>
      </c>
      <c r="D71" s="673">
        <f t="shared" si="0"/>
        <v>1.5606381378775742E-2</v>
      </c>
      <c r="E71" s="673">
        <v>1.5606381378775742E-2</v>
      </c>
    </row>
    <row r="72" spans="2:5" outlineLevel="1">
      <c r="B72" s="674" t="s">
        <v>375</v>
      </c>
      <c r="C72" s="544">
        <v>4321.95</v>
      </c>
      <c r="D72" s="673">
        <f t="shared" si="0"/>
        <v>-1.1865976199458268E-2</v>
      </c>
      <c r="E72" s="673">
        <v>-1.1865976199458268E-2</v>
      </c>
    </row>
    <row r="73" spans="2:5" outlineLevel="1">
      <c r="B73" s="674" t="s">
        <v>382</v>
      </c>
      <c r="C73" s="544">
        <v>4373.8500000000004</v>
      </c>
      <c r="D73" s="673">
        <f t="shared" si="0"/>
        <v>1.3356656318057677E-2</v>
      </c>
      <c r="E73" s="673">
        <v>1.3356656318057677E-2</v>
      </c>
    </row>
    <row r="74" spans="2:5" outlineLevel="1">
      <c r="B74" s="674" t="s">
        <v>395</v>
      </c>
      <c r="C74" s="544">
        <v>4316.2</v>
      </c>
      <c r="D74" s="673">
        <f t="shared" ref="D74:D137" si="1">(C74-C75)/C75</f>
        <v>7.9045383959740444E-3</v>
      </c>
      <c r="E74" s="673">
        <v>7.9045383959740444E-3</v>
      </c>
    </row>
    <row r="75" spans="2:5" outlineLevel="1">
      <c r="B75" s="674" t="s">
        <v>8949</v>
      </c>
      <c r="C75" s="544">
        <v>4282.3500000000004</v>
      </c>
      <c r="D75" s="673">
        <f t="shared" si="1"/>
        <v>-7.405645588505573E-2</v>
      </c>
      <c r="E75" s="673">
        <v>-7.405645588505573E-2</v>
      </c>
    </row>
    <row r="76" spans="2:5" outlineLevel="1">
      <c r="B76" s="674" t="s">
        <v>8987</v>
      </c>
      <c r="C76" s="544">
        <v>4624.8500000000004</v>
      </c>
      <c r="D76" s="673">
        <f t="shared" si="1"/>
        <v>-1.1509607369568353E-2</v>
      </c>
      <c r="E76" s="673">
        <v>-1.1509607369568353E-2</v>
      </c>
    </row>
    <row r="77" spans="2:5" outlineLevel="1">
      <c r="B77" s="674" t="s">
        <v>213</v>
      </c>
      <c r="C77" s="544">
        <v>4678.7</v>
      </c>
      <c r="D77" s="673">
        <f t="shared" si="1"/>
        <v>3.9697867044332863E-3</v>
      </c>
      <c r="E77" s="673">
        <v>3.9697867044332863E-3</v>
      </c>
    </row>
    <row r="78" spans="2:5" outlineLevel="1">
      <c r="B78" s="674" t="s">
        <v>8863</v>
      </c>
      <c r="C78" s="544">
        <v>4660.2</v>
      </c>
      <c r="D78" s="673">
        <f t="shared" si="1"/>
        <v>-1.1161093193006358E-2</v>
      </c>
      <c r="E78" s="673">
        <v>-1.1161093193006358E-2</v>
      </c>
    </row>
    <row r="79" spans="2:5" outlineLevel="1">
      <c r="B79" s="674">
        <v>46266</v>
      </c>
      <c r="C79" s="544">
        <v>4712.8</v>
      </c>
      <c r="D79" s="673">
        <f t="shared" si="1"/>
        <v>4.0906766660984781E-3</v>
      </c>
      <c r="E79" s="673">
        <v>4.0906766660984781E-3</v>
      </c>
    </row>
    <row r="80" spans="2:5" outlineLevel="1">
      <c r="B80" s="674" t="s">
        <v>396</v>
      </c>
      <c r="C80" s="544">
        <v>4693.6000000000004</v>
      </c>
      <c r="D80" s="673">
        <f t="shared" si="1"/>
        <v>-1.0613518270639331E-2</v>
      </c>
      <c r="E80" s="673">
        <v>-1.0613518270639331E-2</v>
      </c>
    </row>
    <row r="81" spans="2:5" outlineLevel="1">
      <c r="B81" s="674" t="s">
        <v>393</v>
      </c>
      <c r="C81" s="544">
        <v>4743.95</v>
      </c>
      <c r="D81" s="673">
        <f t="shared" si="1"/>
        <v>-7.6767803541359066E-3</v>
      </c>
      <c r="E81" s="673">
        <v>-7.6767803541359066E-3</v>
      </c>
    </row>
    <row r="82" spans="2:5" outlineLevel="1">
      <c r="B82" s="674">
        <v>46267</v>
      </c>
      <c r="C82" s="544">
        <v>4780.6499999999996</v>
      </c>
      <c r="D82" s="673">
        <f t="shared" si="1"/>
        <v>1.1649314372777905E-2</v>
      </c>
      <c r="E82" s="673">
        <v>1.1649314372777905E-2</v>
      </c>
    </row>
    <row r="83" spans="2:5" outlineLevel="1">
      <c r="B83" s="674" t="s">
        <v>390</v>
      </c>
      <c r="C83" s="544">
        <v>4725.6000000000004</v>
      </c>
      <c r="D83" s="673">
        <f t="shared" si="1"/>
        <v>-1.5366664235781927E-2</v>
      </c>
      <c r="E83" s="673">
        <v>-1.5366664235781927E-2</v>
      </c>
    </row>
    <row r="84" spans="2:5" outlineLevel="1">
      <c r="B84" s="674">
        <v>46023</v>
      </c>
      <c r="C84" s="544">
        <v>4799.3500000000004</v>
      </c>
      <c r="D84" s="673">
        <f t="shared" si="1"/>
        <v>2.2553800210920179E-3</v>
      </c>
      <c r="E84" s="673">
        <v>2.2553800210920179E-3</v>
      </c>
    </row>
    <row r="85" spans="2:5" outlineLevel="1">
      <c r="B85" s="674">
        <v>46328</v>
      </c>
      <c r="C85" s="544">
        <v>4788.55</v>
      </c>
      <c r="D85" s="673">
        <f t="shared" si="1"/>
        <v>8.7786219653658657E-4</v>
      </c>
      <c r="E85" s="673">
        <v>8.7786219653658657E-4</v>
      </c>
    </row>
    <row r="86" spans="2:5" outlineLevel="1">
      <c r="B86" s="674" t="s">
        <v>8989</v>
      </c>
      <c r="C86" s="544">
        <v>4784.3500000000004</v>
      </c>
      <c r="D86" s="673">
        <f t="shared" si="1"/>
        <v>-1.2003924761487233E-3</v>
      </c>
      <c r="E86" s="673">
        <v>-1.2003924761487233E-3</v>
      </c>
    </row>
    <row r="87" spans="2:5" outlineLevel="1">
      <c r="B87" s="674" t="s">
        <v>376</v>
      </c>
      <c r="C87" s="544">
        <v>4790.1000000000004</v>
      </c>
      <c r="D87" s="673">
        <f t="shared" si="1"/>
        <v>-2.3534802349313268E-3</v>
      </c>
      <c r="E87" s="673">
        <v>-2.3534802349313268E-3</v>
      </c>
    </row>
    <row r="88" spans="2:5" outlineLevel="1">
      <c r="B88" s="674" t="s">
        <v>8952</v>
      </c>
      <c r="C88" s="544">
        <v>4801.3999999999996</v>
      </c>
      <c r="D88" s="673">
        <f t="shared" si="1"/>
        <v>-1.8916952499740908E-3</v>
      </c>
      <c r="E88" s="673">
        <v>-1.8916952499740908E-3</v>
      </c>
    </row>
    <row r="89" spans="2:5" outlineLevel="1">
      <c r="B89" s="674" t="s">
        <v>8986</v>
      </c>
      <c r="C89" s="544">
        <v>4810.5</v>
      </c>
      <c r="D89" s="673">
        <f t="shared" si="1"/>
        <v>4.4684805078197649E-3</v>
      </c>
      <c r="E89" s="673">
        <v>4.4684805078197649E-3</v>
      </c>
    </row>
    <row r="90" spans="2:5" outlineLevel="1">
      <c r="B90" s="674" t="s">
        <v>8990</v>
      </c>
      <c r="C90" s="544">
        <v>4789.1000000000004</v>
      </c>
      <c r="D90" s="673">
        <f t="shared" si="1"/>
        <v>1.4844089382396919E-2</v>
      </c>
      <c r="E90" s="673">
        <v>1.4844089382396919E-2</v>
      </c>
    </row>
    <row r="91" spans="2:5" outlineLevel="1">
      <c r="B91" s="674">
        <v>45789</v>
      </c>
      <c r="C91" s="544">
        <v>4719.05</v>
      </c>
      <c r="D91" s="673">
        <f t="shared" si="1"/>
        <v>2.1892831234638827E-2</v>
      </c>
      <c r="E91" s="673">
        <v>2.1892831234638827E-2</v>
      </c>
    </row>
    <row r="92" spans="2:5" outlineLevel="1">
      <c r="B92" s="674" t="s">
        <v>394</v>
      </c>
      <c r="C92" s="544">
        <v>4617.95</v>
      </c>
      <c r="D92" s="673">
        <f t="shared" si="1"/>
        <v>-1.3795901805640167E-2</v>
      </c>
      <c r="E92" s="673">
        <v>-1.3795901805640167E-2</v>
      </c>
    </row>
    <row r="93" spans="2:5" outlineLevel="1">
      <c r="B93" s="674">
        <v>45327</v>
      </c>
      <c r="C93" s="544">
        <v>4682.55</v>
      </c>
      <c r="D93" s="673">
        <f t="shared" si="1"/>
        <v>-1.4926805343796312E-3</v>
      </c>
      <c r="E93" s="673">
        <v>-1.4926805343796312E-3</v>
      </c>
    </row>
    <row r="94" spans="2:5" outlineLevel="1">
      <c r="B94" s="674" t="s">
        <v>385</v>
      </c>
      <c r="C94" s="544">
        <v>4689.55</v>
      </c>
      <c r="D94" s="673">
        <f t="shared" si="1"/>
        <v>5.2194975563749392E-3</v>
      </c>
      <c r="E94" s="673">
        <v>5.2194975563749392E-3</v>
      </c>
    </row>
    <row r="95" spans="2:5" outlineLevel="1">
      <c r="B95" s="674">
        <v>46358</v>
      </c>
      <c r="C95" s="544">
        <v>4665.2</v>
      </c>
      <c r="D95" s="673">
        <f t="shared" si="1"/>
        <v>1.0264628177920142E-2</v>
      </c>
      <c r="E95" s="673">
        <v>1.0264628177920142E-2</v>
      </c>
    </row>
    <row r="96" spans="2:5" outlineLevel="1">
      <c r="B96" s="674">
        <v>46143</v>
      </c>
      <c r="C96" s="544">
        <v>4617.8</v>
      </c>
      <c r="D96" s="673">
        <f t="shared" si="1"/>
        <v>-1.4638101741208488E-2</v>
      </c>
      <c r="E96" s="673">
        <v>-1.4638101741208488E-2</v>
      </c>
    </row>
    <row r="97" spans="2:5" outlineLevel="1">
      <c r="B97" s="674">
        <v>45418</v>
      </c>
      <c r="C97" s="544">
        <v>4686.3999999999996</v>
      </c>
      <c r="D97" s="673">
        <f t="shared" si="1"/>
        <v>-1.7763013110046844E-2</v>
      </c>
      <c r="E97" s="673">
        <v>-1.7763013110046844E-2</v>
      </c>
    </row>
    <row r="98" spans="2:5" outlineLevel="1">
      <c r="B98" s="674" t="s">
        <v>8996</v>
      </c>
      <c r="C98" s="544">
        <v>4771.1499999999996</v>
      </c>
      <c r="D98" s="673">
        <f t="shared" si="1"/>
        <v>-9.0863777025483403E-3</v>
      </c>
      <c r="E98" s="673">
        <v>-9.0863777025483403E-3</v>
      </c>
    </row>
    <row r="99" spans="2:5" outlineLevel="1">
      <c r="B99" s="674">
        <v>45881</v>
      </c>
      <c r="C99" s="544">
        <v>4814.8999999999996</v>
      </c>
      <c r="D99" s="673">
        <f t="shared" si="1"/>
        <v>-3.8481431674770587E-3</v>
      </c>
      <c r="E99" s="673">
        <v>-3.8481431674770587E-3</v>
      </c>
    </row>
    <row r="100" spans="2:5" outlineLevel="1">
      <c r="B100" s="674" t="s">
        <v>8993</v>
      </c>
      <c r="C100" s="544">
        <v>4833.5</v>
      </c>
      <c r="D100" s="673">
        <f t="shared" si="1"/>
        <v>3.3108194759115896E-2</v>
      </c>
      <c r="E100" s="673">
        <v>3.3108194759115896E-2</v>
      </c>
    </row>
    <row r="101" spans="2:5" outlineLevel="1">
      <c r="B101" s="674">
        <v>45728</v>
      </c>
      <c r="C101" s="544">
        <v>4678.6000000000004</v>
      </c>
      <c r="D101" s="673">
        <f t="shared" si="1"/>
        <v>-1.1305762769172249E-2</v>
      </c>
      <c r="E101" s="673">
        <v>-1.1305762769172249E-2</v>
      </c>
    </row>
    <row r="102" spans="2:5" outlineLevel="1">
      <c r="B102" s="674" t="s">
        <v>8978</v>
      </c>
      <c r="C102" s="544">
        <v>4732.1000000000004</v>
      </c>
      <c r="D102" s="673">
        <f t="shared" si="1"/>
        <v>1.0840889914234141E-2</v>
      </c>
      <c r="E102" s="673">
        <v>1.0840889914234141E-2</v>
      </c>
    </row>
    <row r="103" spans="2:5" outlineLevel="1">
      <c r="B103" s="674">
        <v>46054</v>
      </c>
      <c r="C103" s="544">
        <v>4681.3500000000004</v>
      </c>
      <c r="D103" s="673">
        <f t="shared" si="1"/>
        <v>-1.2685858905409604E-2</v>
      </c>
      <c r="E103" s="673">
        <v>-1.2685858905409604E-2</v>
      </c>
    </row>
    <row r="104" spans="2:5" outlineLevel="1">
      <c r="B104" s="674">
        <v>45759</v>
      </c>
      <c r="C104" s="544">
        <v>4741.5</v>
      </c>
      <c r="D104" s="673">
        <f t="shared" si="1"/>
        <v>-3.1852986217457885E-2</v>
      </c>
      <c r="E104" s="673">
        <v>-3.1852986217457885E-2</v>
      </c>
    </row>
    <row r="105" spans="2:5" outlineLevel="1">
      <c r="B105" s="674" t="s">
        <v>397</v>
      </c>
      <c r="C105" s="544">
        <v>4897.5</v>
      </c>
      <c r="D105" s="673">
        <f t="shared" si="1"/>
        <v>1.1242845461978742E-3</v>
      </c>
      <c r="E105" s="673">
        <v>1.1242845461978742E-3</v>
      </c>
    </row>
    <row r="106" spans="2:5" outlineLevel="1">
      <c r="B106" s="674">
        <v>45700</v>
      </c>
      <c r="C106" s="544">
        <v>4892</v>
      </c>
      <c r="D106" s="673">
        <f t="shared" si="1"/>
        <v>-2.3445687650340819E-2</v>
      </c>
      <c r="E106" s="673">
        <v>-2.3445687650340819E-2</v>
      </c>
    </row>
    <row r="107" spans="2:5" outlineLevel="1">
      <c r="B107" s="674">
        <v>46002</v>
      </c>
      <c r="C107" s="544">
        <v>5009.45</v>
      </c>
      <c r="D107" s="673">
        <f t="shared" si="1"/>
        <v>-1.3781019598578586E-2</v>
      </c>
      <c r="E107" s="673">
        <v>-1.3781019598578586E-2</v>
      </c>
    </row>
    <row r="108" spans="2:5" outlineLevel="1">
      <c r="B108" s="674">
        <v>45669</v>
      </c>
      <c r="C108" s="544">
        <v>5079.45</v>
      </c>
      <c r="D108" s="673">
        <f t="shared" si="1"/>
        <v>-1.2644571872873978E-2</v>
      </c>
      <c r="E108" s="673">
        <v>-1.2644571872873978E-2</v>
      </c>
    </row>
    <row r="109" spans="2:5" outlineLevel="1">
      <c r="B109" s="674" t="s">
        <v>8979</v>
      </c>
      <c r="C109" s="544">
        <v>5144.5</v>
      </c>
      <c r="D109" s="673">
        <f t="shared" si="1"/>
        <v>-1.0359056238998982E-2</v>
      </c>
      <c r="E109" s="673">
        <v>-1.0359056238998982E-2</v>
      </c>
    </row>
    <row r="110" spans="2:5" outlineLevel="1">
      <c r="B110" s="674" t="s">
        <v>398</v>
      </c>
      <c r="C110" s="544">
        <v>5198.3500000000004</v>
      </c>
      <c r="D110" s="673">
        <f t="shared" si="1"/>
        <v>1.0045369317905964E-2</v>
      </c>
      <c r="E110" s="673">
        <v>1.0045369317905964E-2</v>
      </c>
    </row>
    <row r="111" spans="2:5" outlineLevel="1">
      <c r="B111" s="674">
        <v>45912</v>
      </c>
      <c r="C111" s="544">
        <v>5146.6499999999996</v>
      </c>
      <c r="D111" s="673">
        <f t="shared" si="1"/>
        <v>2.6983322942642327E-3</v>
      </c>
      <c r="E111" s="673">
        <v>2.6983322942642327E-3</v>
      </c>
    </row>
    <row r="112" spans="2:5" outlineLevel="1">
      <c r="B112" s="674" t="s">
        <v>8994</v>
      </c>
      <c r="C112" s="544">
        <v>5132.8</v>
      </c>
      <c r="D112" s="673">
        <f t="shared" si="1"/>
        <v>7.8966609797712539E-4</v>
      </c>
      <c r="E112" s="673">
        <v>7.8966609797712539E-4</v>
      </c>
    </row>
    <row r="113" spans="2:5" outlineLevel="1">
      <c r="B113" s="674" t="s">
        <v>209</v>
      </c>
      <c r="C113" s="544">
        <v>5128.75</v>
      </c>
      <c r="D113" s="673">
        <f t="shared" si="1"/>
        <v>-7.7196173081945261E-3</v>
      </c>
      <c r="E113" s="673">
        <v>-7.7196173081945261E-3</v>
      </c>
    </row>
    <row r="114" spans="2:5" outlineLevel="1">
      <c r="B114" s="674">
        <v>45570</v>
      </c>
      <c r="C114" s="544">
        <v>5168.6499999999996</v>
      </c>
      <c r="D114" s="673">
        <f t="shared" si="1"/>
        <v>-5.5507455507456211E-3</v>
      </c>
      <c r="E114" s="673">
        <v>-5.5507455507456211E-3</v>
      </c>
    </row>
    <row r="115" spans="2:5" outlineLevel="1">
      <c r="B115" s="674" t="s">
        <v>8995</v>
      </c>
      <c r="C115" s="544">
        <v>5197.5</v>
      </c>
      <c r="D115" s="673">
        <f t="shared" si="1"/>
        <v>-3.9668851328043802E-3</v>
      </c>
      <c r="E115" s="673">
        <v>-3.9668851328043802E-3</v>
      </c>
    </row>
    <row r="116" spans="2:5" outlineLevel="1">
      <c r="B116" s="674" t="s">
        <v>8865</v>
      </c>
      <c r="C116" s="544">
        <v>5218.2</v>
      </c>
      <c r="D116" s="673">
        <f t="shared" si="1"/>
        <v>-1.7898481169894485E-2</v>
      </c>
      <c r="E116" s="673">
        <v>-1.7898481169894485E-2</v>
      </c>
    </row>
    <row r="117" spans="2:5" outlineLevel="1">
      <c r="B117" s="674" t="s">
        <v>8982</v>
      </c>
      <c r="C117" s="544">
        <v>5313.3</v>
      </c>
      <c r="D117" s="673">
        <f t="shared" si="1"/>
        <v>-3.8107824323835041E-2</v>
      </c>
      <c r="E117" s="673">
        <v>-3.8107824323835041E-2</v>
      </c>
    </row>
    <row r="118" spans="2:5" outlineLevel="1">
      <c r="B118" s="674" t="s">
        <v>8985</v>
      </c>
      <c r="C118" s="544">
        <v>5523.8</v>
      </c>
      <c r="D118" s="673">
        <f t="shared" si="1"/>
        <v>-1.9005040860841141E-4</v>
      </c>
      <c r="E118" s="673">
        <v>-1.9005040860841141E-4</v>
      </c>
    </row>
    <row r="119" spans="2:5" outlineLevel="1">
      <c r="B119" s="674" t="s">
        <v>8866</v>
      </c>
      <c r="C119" s="544">
        <v>5524.85</v>
      </c>
      <c r="D119" s="673">
        <f t="shared" si="1"/>
        <v>9.8704954440352044E-3</v>
      </c>
      <c r="E119" s="673">
        <v>9.8704954440352044E-3</v>
      </c>
    </row>
    <row r="120" spans="2:5" outlineLevel="1">
      <c r="B120" s="674" t="s">
        <v>8983</v>
      </c>
      <c r="C120" s="544">
        <v>5470.85</v>
      </c>
      <c r="D120" s="673">
        <f t="shared" si="1"/>
        <v>1.1350506983149959E-2</v>
      </c>
      <c r="E120" s="673">
        <v>1.1350506983149959E-2</v>
      </c>
    </row>
    <row r="121" spans="2:5" outlineLevel="1">
      <c r="B121" s="674">
        <v>46204</v>
      </c>
      <c r="C121" s="544">
        <v>5409.45</v>
      </c>
      <c r="D121" s="673">
        <f t="shared" si="1"/>
        <v>-7.2582125160580253E-3</v>
      </c>
      <c r="E121" s="673">
        <v>-7.2582125160580253E-3</v>
      </c>
    </row>
    <row r="122" spans="2:5" outlineLevel="1">
      <c r="B122" s="674" t="s">
        <v>8980</v>
      </c>
      <c r="C122" s="544">
        <v>5449</v>
      </c>
      <c r="D122" s="673">
        <f t="shared" si="1"/>
        <v>2.714420358152686E-2</v>
      </c>
      <c r="E122" s="673">
        <v>2.714420358152686E-2</v>
      </c>
    </row>
    <row r="123" spans="2:5" outlineLevel="1">
      <c r="B123" s="674" t="s">
        <v>400</v>
      </c>
      <c r="C123" s="544">
        <v>5305</v>
      </c>
      <c r="D123" s="673">
        <f t="shared" si="1"/>
        <v>1.429185985373548E-2</v>
      </c>
      <c r="E123" s="673">
        <v>1.429185985373548E-2</v>
      </c>
    </row>
    <row r="124" spans="2:5" outlineLevel="1">
      <c r="B124" s="674" t="s">
        <v>8984</v>
      </c>
      <c r="C124" s="544">
        <v>5230.25</v>
      </c>
      <c r="D124" s="673">
        <f t="shared" si="1"/>
        <v>-1.1780599327362801E-2</v>
      </c>
      <c r="E124" s="673">
        <v>-1.1780599327362801E-2</v>
      </c>
    </row>
    <row r="125" spans="2:5" outlineLevel="1">
      <c r="B125" s="674" t="s">
        <v>8981</v>
      </c>
      <c r="C125" s="544">
        <v>5292.6</v>
      </c>
      <c r="D125" s="673">
        <f t="shared" si="1"/>
        <v>-2.451341787083456E-2</v>
      </c>
      <c r="E125" s="673">
        <v>-2.451341787083456E-2</v>
      </c>
    </row>
    <row r="126" spans="2:5" outlineLevel="1">
      <c r="B126" s="674">
        <v>45357</v>
      </c>
      <c r="C126" s="544">
        <v>5425.6</v>
      </c>
      <c r="D126" s="673">
        <f t="shared" si="1"/>
        <v>2.0315443430724335E-3</v>
      </c>
      <c r="E126" s="673">
        <v>2.0315443430724335E-3</v>
      </c>
    </row>
    <row r="127" spans="2:5" outlineLevel="1">
      <c r="B127" s="674" t="s">
        <v>8867</v>
      </c>
      <c r="C127" s="544">
        <v>5414.6</v>
      </c>
      <c r="D127" s="673">
        <f t="shared" si="1"/>
        <v>-6.094203164580164E-3</v>
      </c>
      <c r="E127" s="673">
        <v>-6.094203164580164E-3</v>
      </c>
    </row>
    <row r="128" spans="2:5" outlineLevel="1">
      <c r="B128" s="674" t="s">
        <v>402</v>
      </c>
      <c r="C128" s="544">
        <v>5447.8</v>
      </c>
      <c r="D128" s="673">
        <f t="shared" si="1"/>
        <v>-7.9785038929586574E-4</v>
      </c>
      <c r="E128" s="673">
        <v>-7.9785038929586574E-4</v>
      </c>
    </row>
    <row r="129" spans="2:5" outlineLevel="1">
      <c r="B129" s="674" t="s">
        <v>399</v>
      </c>
      <c r="C129" s="544">
        <v>5452.15</v>
      </c>
      <c r="D129" s="673">
        <f t="shared" si="1"/>
        <v>-8.2492041837199381E-3</v>
      </c>
      <c r="E129" s="673">
        <v>-8.2492041837199381E-3</v>
      </c>
    </row>
    <row r="130" spans="2:5" outlineLevel="1">
      <c r="B130" s="674" t="s">
        <v>8970</v>
      </c>
      <c r="C130" s="544">
        <v>5497.5</v>
      </c>
      <c r="D130" s="673">
        <f t="shared" si="1"/>
        <v>-4.1662892853908161E-3</v>
      </c>
      <c r="E130" s="673">
        <v>-4.1662892853908161E-3</v>
      </c>
    </row>
    <row r="131" spans="2:5" outlineLevel="1">
      <c r="B131" s="674">
        <v>45994</v>
      </c>
      <c r="C131" s="544">
        <v>5520.5</v>
      </c>
      <c r="D131" s="673">
        <f t="shared" si="1"/>
        <v>2.8188819459318584E-2</v>
      </c>
      <c r="E131" s="673">
        <v>2.8188819459318584E-2</v>
      </c>
    </row>
    <row r="132" spans="2:5" outlineLevel="1">
      <c r="B132" s="674">
        <v>45509</v>
      </c>
      <c r="C132" s="544">
        <v>5369.15</v>
      </c>
      <c r="D132" s="673">
        <f t="shared" si="1"/>
        <v>-5.4551179935540184E-3</v>
      </c>
      <c r="E132" s="673">
        <v>-5.4551179935540184E-3</v>
      </c>
    </row>
    <row r="133" spans="2:5" outlineLevel="1">
      <c r="B133" s="674">
        <v>45478</v>
      </c>
      <c r="C133" s="544">
        <v>5398.6</v>
      </c>
      <c r="D133" s="673">
        <f t="shared" si="1"/>
        <v>6.3190858761907557E-3</v>
      </c>
      <c r="E133" s="673">
        <v>6.3190858761907557E-3</v>
      </c>
    </row>
    <row r="134" spans="2:5" outlineLevel="1">
      <c r="B134" s="674">
        <v>45448</v>
      </c>
      <c r="C134" s="544">
        <v>5364.7</v>
      </c>
      <c r="D134" s="673">
        <f t="shared" si="1"/>
        <v>-1.4584596168329116E-2</v>
      </c>
      <c r="E134" s="673">
        <v>-1.4584596168329116E-2</v>
      </c>
    </row>
    <row r="135" spans="2:5" outlineLevel="1">
      <c r="B135" s="674" t="s">
        <v>208</v>
      </c>
      <c r="C135" s="544">
        <v>5444.1</v>
      </c>
      <c r="D135" s="673">
        <f t="shared" si="1"/>
        <v>2.4868222891566334E-2</v>
      </c>
      <c r="E135" s="673">
        <v>2.4868222891566334E-2</v>
      </c>
    </row>
    <row r="136" spans="2:5" outlineLevel="1">
      <c r="B136" s="674" t="s">
        <v>401</v>
      </c>
      <c r="C136" s="544">
        <v>5312</v>
      </c>
      <c r="D136" s="673">
        <f t="shared" si="1"/>
        <v>1.801054229648593E-3</v>
      </c>
      <c r="E136" s="673">
        <v>1.801054229648593E-3</v>
      </c>
    </row>
    <row r="137" spans="2:5" outlineLevel="1">
      <c r="B137" s="674" t="s">
        <v>408</v>
      </c>
      <c r="C137" s="544">
        <v>5302.45</v>
      </c>
      <c r="D137" s="673">
        <f t="shared" si="1"/>
        <v>-1.0598497924149868E-2</v>
      </c>
      <c r="E137" s="673">
        <v>-1.0598497924149868E-2</v>
      </c>
    </row>
    <row r="138" spans="2:5" outlineLevel="1">
      <c r="B138" s="674">
        <v>45726</v>
      </c>
      <c r="C138" s="544">
        <v>5359.25</v>
      </c>
      <c r="D138" s="673">
        <f t="shared" ref="D138:D201" si="2">(C138-C139)/C139</f>
        <v>7.9082976002407632E-3</v>
      </c>
      <c r="E138" s="673">
        <v>7.9082976002407632E-3</v>
      </c>
    </row>
    <row r="139" spans="2:5" outlineLevel="1">
      <c r="B139" s="674">
        <v>45940</v>
      </c>
      <c r="C139" s="544">
        <v>5317.2</v>
      </c>
      <c r="D139" s="673">
        <f t="shared" si="2"/>
        <v>1.3041200285782295E-2</v>
      </c>
      <c r="E139" s="673">
        <v>1.3041200285782295E-2</v>
      </c>
    </row>
    <row r="140" spans="2:5" outlineLevel="1">
      <c r="B140" s="674" t="s">
        <v>405</v>
      </c>
      <c r="C140" s="544">
        <v>5248.75</v>
      </c>
      <c r="D140" s="673">
        <f t="shared" si="2"/>
        <v>1.2871354000829753E-2</v>
      </c>
      <c r="E140" s="673">
        <v>1.2871354000829753E-2</v>
      </c>
    </row>
    <row r="141" spans="2:5" outlineLevel="1">
      <c r="B141" s="674">
        <v>45540</v>
      </c>
      <c r="C141" s="544">
        <v>5182.05</v>
      </c>
      <c r="D141" s="673">
        <f t="shared" si="2"/>
        <v>3.239398738905664E-2</v>
      </c>
      <c r="E141" s="673">
        <v>3.239398738905664E-2</v>
      </c>
    </row>
    <row r="142" spans="2:5" outlineLevel="1">
      <c r="B142" s="674" t="s">
        <v>403</v>
      </c>
      <c r="C142" s="544">
        <v>5019.45</v>
      </c>
      <c r="D142" s="673">
        <f t="shared" si="2"/>
        <v>-4.5908856542261024E-3</v>
      </c>
      <c r="E142" s="673">
        <v>-4.5908856542261024E-3</v>
      </c>
    </row>
    <row r="143" spans="2:5" outlineLevel="1">
      <c r="B143" s="674">
        <v>46174</v>
      </c>
      <c r="C143" s="544">
        <v>5042.6000000000004</v>
      </c>
      <c r="D143" s="673">
        <f t="shared" si="2"/>
        <v>8.4393248540118246E-3</v>
      </c>
      <c r="E143" s="673">
        <v>8.4393248540118246E-3</v>
      </c>
    </row>
    <row r="144" spans="2:5" outlineLevel="1">
      <c r="B144" s="674">
        <v>45719</v>
      </c>
      <c r="C144" s="544">
        <v>5000.3999999999996</v>
      </c>
      <c r="D144" s="673">
        <f t="shared" si="2"/>
        <v>8.0057641501881359E-4</v>
      </c>
      <c r="E144" s="673">
        <v>8.0057641501881359E-4</v>
      </c>
    </row>
    <row r="145" spans="2:5" outlineLevel="1">
      <c r="B145" s="674" t="s">
        <v>8966</v>
      </c>
      <c r="C145" s="544">
        <v>4996.3999999999996</v>
      </c>
      <c r="D145" s="673">
        <f t="shared" si="2"/>
        <v>-8.8769427610763431E-3</v>
      </c>
      <c r="E145" s="673">
        <v>-8.8769427610763431E-3</v>
      </c>
    </row>
    <row r="146" spans="2:5" outlineLevel="1">
      <c r="B146" s="674" t="s">
        <v>8977</v>
      </c>
      <c r="C146" s="544">
        <v>5041.1499999999996</v>
      </c>
      <c r="D146" s="673">
        <f t="shared" si="2"/>
        <v>-2.174377086082438E-2</v>
      </c>
      <c r="E146" s="673">
        <v>-2.174377086082438E-2</v>
      </c>
    </row>
    <row r="147" spans="2:5" outlineLevel="1">
      <c r="B147" s="674" t="s">
        <v>8968</v>
      </c>
      <c r="C147" s="544">
        <v>5153.2</v>
      </c>
      <c r="D147" s="673">
        <f t="shared" si="2"/>
        <v>-3.9236340924556939E-2</v>
      </c>
      <c r="E147" s="673">
        <v>-3.9236340924556939E-2</v>
      </c>
    </row>
    <row r="148" spans="2:5" outlineLevel="1">
      <c r="B148" s="674">
        <v>45849</v>
      </c>
      <c r="C148" s="544">
        <v>5363.65</v>
      </c>
      <c r="D148" s="673">
        <f t="shared" si="2"/>
        <v>8.3968539787093103E-4</v>
      </c>
      <c r="E148" s="673">
        <v>8.3968539787093103E-4</v>
      </c>
    </row>
    <row r="149" spans="2:5" outlineLevel="1">
      <c r="B149" s="674" t="s">
        <v>8870</v>
      </c>
      <c r="C149" s="544">
        <v>5359.15</v>
      </c>
      <c r="D149" s="673">
        <f t="shared" si="2"/>
        <v>-3.041577527671912E-3</v>
      </c>
      <c r="E149" s="673">
        <v>-3.041577527671912E-3</v>
      </c>
    </row>
    <row r="150" spans="2:5" outlineLevel="1">
      <c r="B150" s="674">
        <v>45758</v>
      </c>
      <c r="C150" s="544">
        <v>5375.5</v>
      </c>
      <c r="D150" s="673">
        <f t="shared" si="2"/>
        <v>9.0305642706196908E-4</v>
      </c>
      <c r="E150" s="673">
        <v>9.0305642706196908E-4</v>
      </c>
    </row>
    <row r="151" spans="2:5" outlineLevel="1">
      <c r="B151" s="674" t="s">
        <v>207</v>
      </c>
      <c r="C151" s="544">
        <v>5370.65</v>
      </c>
      <c r="D151" s="673">
        <f t="shared" si="2"/>
        <v>-8.6661990549322075E-3</v>
      </c>
      <c r="E151" s="673">
        <v>-8.6661990549322075E-3</v>
      </c>
    </row>
    <row r="152" spans="2:5" outlineLevel="1">
      <c r="B152" s="674" t="s">
        <v>409</v>
      </c>
      <c r="C152" s="544">
        <v>5417.6</v>
      </c>
      <c r="D152" s="673">
        <f t="shared" si="2"/>
        <v>6.7923546519731617E-3</v>
      </c>
      <c r="E152" s="673">
        <v>6.7923546519731617E-3</v>
      </c>
    </row>
    <row r="153" spans="2:5" outlineLevel="1">
      <c r="B153" s="674" t="s">
        <v>404</v>
      </c>
      <c r="C153" s="544">
        <v>5381.05</v>
      </c>
      <c r="D153" s="673">
        <f t="shared" si="2"/>
        <v>-2.1510760015946624E-3</v>
      </c>
      <c r="E153" s="673">
        <v>-2.1510760015946624E-3</v>
      </c>
    </row>
    <row r="154" spans="2:5" outlineLevel="1">
      <c r="B154" s="674">
        <v>45941</v>
      </c>
      <c r="C154" s="544">
        <v>5392.65</v>
      </c>
      <c r="D154" s="673">
        <f t="shared" si="2"/>
        <v>1.4819624004968104E-2</v>
      </c>
      <c r="E154" s="673">
        <v>1.4819624004968104E-2</v>
      </c>
    </row>
    <row r="155" spans="2:5" outlineLevel="1">
      <c r="B155" s="674" t="s">
        <v>8967</v>
      </c>
      <c r="C155" s="544">
        <v>5313.9</v>
      </c>
      <c r="D155" s="673">
        <f t="shared" si="2"/>
        <v>-7.1930349002316723E-3</v>
      </c>
      <c r="E155" s="673">
        <v>-7.1930349002316723E-3</v>
      </c>
    </row>
    <row r="156" spans="2:5" outlineLevel="1">
      <c r="B156" s="674">
        <v>45879</v>
      </c>
      <c r="C156" s="544">
        <v>5352.4</v>
      </c>
      <c r="D156" s="673">
        <f t="shared" si="2"/>
        <v>-1.3973195781329224E-2</v>
      </c>
      <c r="E156" s="673">
        <v>-1.3973195781329224E-2</v>
      </c>
    </row>
    <row r="157" spans="2:5" outlineLevel="1">
      <c r="B157" s="674" t="s">
        <v>504</v>
      </c>
      <c r="C157" s="544">
        <v>5428.25</v>
      </c>
      <c r="D157" s="673">
        <f t="shared" si="2"/>
        <v>4.0786504383855914E-3</v>
      </c>
      <c r="E157" s="673">
        <v>4.0786504383855914E-3</v>
      </c>
    </row>
    <row r="158" spans="2:5" outlineLevel="1">
      <c r="B158" s="674">
        <v>45996</v>
      </c>
      <c r="C158" s="544">
        <v>5406.2</v>
      </c>
      <c r="D158" s="673">
        <f t="shared" si="2"/>
        <v>-6.1492926934637012E-3</v>
      </c>
      <c r="E158" s="673">
        <v>-6.1492926934637012E-3</v>
      </c>
    </row>
    <row r="159" spans="2:5" outlineLevel="1">
      <c r="B159" s="674" t="s">
        <v>407</v>
      </c>
      <c r="C159" s="544">
        <v>5439.65</v>
      </c>
      <c r="D159" s="673">
        <f t="shared" si="2"/>
        <v>-1.0972727272727339E-2</v>
      </c>
      <c r="E159" s="673">
        <v>-1.0972727272727339E-2</v>
      </c>
    </row>
    <row r="160" spans="2:5" outlineLevel="1">
      <c r="B160" s="674" t="s">
        <v>206</v>
      </c>
      <c r="C160" s="544">
        <v>5500</v>
      </c>
      <c r="D160" s="673">
        <f t="shared" si="2"/>
        <v>9.4243528213411327E-3</v>
      </c>
      <c r="E160" s="673">
        <v>9.4243528213411327E-3</v>
      </c>
    </row>
    <row r="161" spans="2:5" outlineLevel="1">
      <c r="B161" s="674" t="s">
        <v>177</v>
      </c>
      <c r="C161" s="544">
        <v>5448.65</v>
      </c>
      <c r="D161" s="673">
        <f t="shared" si="2"/>
        <v>-0.11925352385878703</v>
      </c>
      <c r="E161" s="673">
        <v>-0.11925352385878703</v>
      </c>
    </row>
    <row r="162" spans="2:5" outlineLevel="1">
      <c r="B162" s="674">
        <v>45965</v>
      </c>
      <c r="C162" s="544">
        <v>6186.4</v>
      </c>
      <c r="D162" s="673">
        <f t="shared" si="2"/>
        <v>-6.8070896480863959E-3</v>
      </c>
      <c r="E162" s="673">
        <v>-6.8070896480863959E-3</v>
      </c>
    </row>
    <row r="163" spans="2:5" outlineLevel="1">
      <c r="B163" s="674">
        <v>45780</v>
      </c>
      <c r="C163" s="544">
        <v>6228.8</v>
      </c>
      <c r="D163" s="673">
        <f t="shared" si="2"/>
        <v>1.4280829167412974E-2</v>
      </c>
      <c r="E163" s="673">
        <v>1.4280829167412974E-2</v>
      </c>
    </row>
    <row r="164" spans="2:5" outlineLevel="1">
      <c r="B164" s="674" t="s">
        <v>8969</v>
      </c>
      <c r="C164" s="544">
        <v>6141.1</v>
      </c>
      <c r="D164" s="673">
        <f t="shared" si="2"/>
        <v>-1.2549946536102084E-2</v>
      </c>
      <c r="E164" s="673">
        <v>-1.2549946536102084E-2</v>
      </c>
    </row>
    <row r="165" spans="2:5" outlineLevel="1">
      <c r="B165" s="674" t="s">
        <v>406</v>
      </c>
      <c r="C165" s="544">
        <v>6219.15</v>
      </c>
      <c r="D165" s="673">
        <f t="shared" si="2"/>
        <v>3.3390382506397233E-2</v>
      </c>
      <c r="E165" s="673">
        <v>3.3390382506397233E-2</v>
      </c>
    </row>
    <row r="166" spans="2:5" outlineLevel="1">
      <c r="B166" s="674">
        <v>45819</v>
      </c>
      <c r="C166" s="544">
        <v>6018.2</v>
      </c>
      <c r="D166" s="673">
        <f t="shared" si="2"/>
        <v>-1.4201706825664601E-2</v>
      </c>
      <c r="E166" s="673">
        <v>-1.4201706825664601E-2</v>
      </c>
    </row>
    <row r="167" spans="2:5" outlineLevel="1">
      <c r="B167" s="674">
        <v>45356</v>
      </c>
      <c r="C167" s="544">
        <v>6104.9</v>
      </c>
      <c r="D167" s="673">
        <f t="shared" si="2"/>
        <v>-3.9808787300345139E-3</v>
      </c>
      <c r="E167" s="673">
        <v>-3.9808787300345139E-3</v>
      </c>
    </row>
    <row r="168" spans="2:5" outlineLevel="1">
      <c r="B168" s="674">
        <v>45910</v>
      </c>
      <c r="C168" s="544">
        <v>6129.3</v>
      </c>
      <c r="D168" s="673">
        <f t="shared" si="2"/>
        <v>1.130213833157339E-2</v>
      </c>
      <c r="E168" s="673">
        <v>1.130213833157339E-2</v>
      </c>
    </row>
    <row r="169" spans="2:5" outlineLevel="1">
      <c r="B169" s="674">
        <v>45667</v>
      </c>
      <c r="C169" s="544">
        <v>6060.8</v>
      </c>
      <c r="D169" s="673">
        <f t="shared" si="2"/>
        <v>-9.7460154073637784E-3</v>
      </c>
      <c r="E169" s="673">
        <v>-9.7460154073637784E-3</v>
      </c>
    </row>
    <row r="170" spans="2:5" outlineLevel="1">
      <c r="B170" s="674">
        <v>45479</v>
      </c>
      <c r="C170" s="544">
        <v>6120.45</v>
      </c>
      <c r="D170" s="673">
        <f t="shared" si="2"/>
        <v>3.6143864430882265E-2</v>
      </c>
      <c r="E170" s="673">
        <v>3.6143864430882265E-2</v>
      </c>
    </row>
    <row r="171" spans="2:5" outlineLevel="1">
      <c r="B171" s="674" t="s">
        <v>8971</v>
      </c>
      <c r="C171" s="544">
        <v>5906.95</v>
      </c>
      <c r="D171" s="673">
        <f t="shared" si="2"/>
        <v>3.2403806660782415E-2</v>
      </c>
      <c r="E171" s="673">
        <v>3.2403806660782415E-2</v>
      </c>
    </row>
    <row r="172" spans="2:5" outlineLevel="1">
      <c r="B172" s="674">
        <v>45632</v>
      </c>
      <c r="C172" s="544">
        <v>5721.55</v>
      </c>
      <c r="D172" s="673">
        <f t="shared" si="2"/>
        <v>-1.9798007988974962E-3</v>
      </c>
      <c r="E172" s="673">
        <v>-1.9798007988974962E-3</v>
      </c>
    </row>
    <row r="173" spans="2:5" outlineLevel="1">
      <c r="B173" s="674" t="s">
        <v>8975</v>
      </c>
      <c r="C173" s="544">
        <v>5732.9</v>
      </c>
      <c r="D173" s="673">
        <f t="shared" si="2"/>
        <v>1.9435948502738328E-2</v>
      </c>
      <c r="E173" s="673">
        <v>1.9435948502738328E-2</v>
      </c>
    </row>
    <row r="174" spans="2:5" outlineLevel="1">
      <c r="B174" s="674">
        <v>45388</v>
      </c>
      <c r="C174" s="544">
        <v>5623.6</v>
      </c>
      <c r="D174" s="673">
        <f t="shared" si="2"/>
        <v>-1.0269361750807286E-2</v>
      </c>
      <c r="E174" s="673">
        <v>-1.0269361750807286E-2</v>
      </c>
    </row>
    <row r="175" spans="2:5" outlineLevel="1">
      <c r="B175" s="674">
        <v>45818</v>
      </c>
      <c r="C175" s="544">
        <v>5681.95</v>
      </c>
      <c r="D175" s="673">
        <f t="shared" si="2"/>
        <v>1.669455056230041E-2</v>
      </c>
      <c r="E175" s="673">
        <v>1.669455056230041E-2</v>
      </c>
    </row>
    <row r="176" spans="2:5" outlineLevel="1">
      <c r="B176" s="674" t="s">
        <v>8869</v>
      </c>
      <c r="C176" s="544">
        <v>5588.65</v>
      </c>
      <c r="D176" s="673">
        <f t="shared" si="2"/>
        <v>-6.5505288418807863E-3</v>
      </c>
      <c r="E176" s="673">
        <v>-6.5505288418807863E-3</v>
      </c>
    </row>
    <row r="177" spans="2:5" outlineLevel="1">
      <c r="B177" s="674" t="s">
        <v>8974</v>
      </c>
      <c r="C177" s="544">
        <v>5625.5</v>
      </c>
      <c r="D177" s="673">
        <f t="shared" si="2"/>
        <v>-2.6283676772222622E-2</v>
      </c>
      <c r="E177" s="673">
        <v>-2.6283676772222622E-2</v>
      </c>
    </row>
    <row r="178" spans="2:5" outlineLevel="1">
      <c r="B178" s="674">
        <v>45727</v>
      </c>
      <c r="C178" s="544">
        <v>5777.35</v>
      </c>
      <c r="D178" s="673">
        <f t="shared" si="2"/>
        <v>-6.2182850262319832E-3</v>
      </c>
      <c r="E178" s="673">
        <v>-6.2182850262319832E-3</v>
      </c>
    </row>
    <row r="179" spans="2:5" outlineLevel="1">
      <c r="B179" s="674" t="s">
        <v>205</v>
      </c>
      <c r="C179" s="544">
        <v>5813.5</v>
      </c>
      <c r="D179" s="673">
        <f t="shared" si="2"/>
        <v>-1.6378187232458621E-2</v>
      </c>
      <c r="E179" s="673">
        <v>-1.6378187232458621E-2</v>
      </c>
    </row>
    <row r="180" spans="2:5" outlineLevel="1">
      <c r="B180" s="674" t="s">
        <v>8965</v>
      </c>
      <c r="C180" s="544">
        <v>5910.3</v>
      </c>
      <c r="D180" s="673">
        <f t="shared" si="2"/>
        <v>2.3313393297724163E-2</v>
      </c>
      <c r="E180" s="673">
        <v>2.3313393297724163E-2</v>
      </c>
    </row>
    <row r="181" spans="2:5" outlineLevel="1">
      <c r="B181" s="674">
        <v>45811</v>
      </c>
      <c r="C181" s="544">
        <v>5775.65</v>
      </c>
      <c r="D181" s="673">
        <f t="shared" si="2"/>
        <v>1.8004758967127811E-2</v>
      </c>
      <c r="E181" s="673">
        <v>1.8004758967127811E-2</v>
      </c>
    </row>
    <row r="182" spans="2:5" outlineLevel="1">
      <c r="B182" s="674" t="s">
        <v>8972</v>
      </c>
      <c r="C182" s="544">
        <v>5673.5</v>
      </c>
      <c r="D182" s="673">
        <f t="shared" si="2"/>
        <v>2.9720041744180772E-2</v>
      </c>
      <c r="E182" s="673">
        <v>2.9720041744180772E-2</v>
      </c>
    </row>
    <row r="183" spans="2:5" outlineLevel="1">
      <c r="B183" s="674">
        <v>45755</v>
      </c>
      <c r="C183" s="544">
        <v>5509.75</v>
      </c>
      <c r="D183" s="673">
        <f t="shared" si="2"/>
        <v>-1.3491253513813604E-2</v>
      </c>
      <c r="E183" s="673">
        <v>-1.3491253513813604E-2</v>
      </c>
    </row>
    <row r="184" spans="2:5" outlineLevel="1">
      <c r="B184" s="674" t="s">
        <v>8868</v>
      </c>
      <c r="C184" s="544">
        <v>5585.1</v>
      </c>
      <c r="D184" s="673">
        <f t="shared" si="2"/>
        <v>-6.395602245132105E-3</v>
      </c>
      <c r="E184" s="673">
        <v>-6.395602245132105E-3</v>
      </c>
    </row>
    <row r="185" spans="2:5" outlineLevel="1">
      <c r="B185" s="674" t="s">
        <v>497</v>
      </c>
      <c r="C185" s="544">
        <v>5621.05</v>
      </c>
      <c r="D185" s="673">
        <f t="shared" si="2"/>
        <v>-3.6514140366735717E-3</v>
      </c>
      <c r="E185" s="673">
        <v>-3.6514140366735717E-3</v>
      </c>
    </row>
    <row r="186" spans="2:5" outlineLevel="1">
      <c r="B186" s="674" t="s">
        <v>8973</v>
      </c>
      <c r="C186" s="544">
        <v>5641.65</v>
      </c>
      <c r="D186" s="673">
        <f t="shared" si="2"/>
        <v>-3.0394868215274707E-3</v>
      </c>
      <c r="E186" s="673">
        <v>-3.0394868215274707E-3</v>
      </c>
    </row>
    <row r="187" spans="2:5" outlineLevel="1">
      <c r="B187" s="674" t="s">
        <v>505</v>
      </c>
      <c r="C187" s="544">
        <v>5658.85</v>
      </c>
      <c r="D187" s="673">
        <f t="shared" si="2"/>
        <v>1.8090063508626769E-2</v>
      </c>
      <c r="E187" s="673">
        <v>1.8090063508626769E-2</v>
      </c>
    </row>
    <row r="188" spans="2:5" outlineLevel="1">
      <c r="B188" s="674" t="s">
        <v>8976</v>
      </c>
      <c r="C188" s="544">
        <v>5558.3</v>
      </c>
      <c r="D188" s="673">
        <f t="shared" si="2"/>
        <v>-2.9508049688326504E-3</v>
      </c>
      <c r="E188" s="673">
        <v>-2.9508049688326504E-3</v>
      </c>
    </row>
    <row r="189" spans="2:5" outlineLevel="1">
      <c r="B189" s="674" t="s">
        <v>182</v>
      </c>
      <c r="C189" s="544">
        <v>5574.75</v>
      </c>
      <c r="D189" s="673">
        <f t="shared" si="2"/>
        <v>8.8767034040936315E-3</v>
      </c>
      <c r="E189" s="673">
        <v>8.8767034040936315E-3</v>
      </c>
    </row>
    <row r="190" spans="2:5" outlineLevel="1">
      <c r="B190" s="674" t="s">
        <v>494</v>
      </c>
      <c r="C190" s="544">
        <v>5525.7</v>
      </c>
      <c r="D190" s="673">
        <f t="shared" si="2"/>
        <v>1.6903300606383953E-2</v>
      </c>
      <c r="E190" s="673">
        <v>1.6903300606383953E-2</v>
      </c>
    </row>
    <row r="191" spans="2:5" outlineLevel="1">
      <c r="B191" s="674" t="s">
        <v>506</v>
      </c>
      <c r="C191" s="544">
        <v>5433.85</v>
      </c>
      <c r="D191" s="673">
        <f t="shared" si="2"/>
        <v>1.6994038985223829E-2</v>
      </c>
      <c r="E191" s="673">
        <v>1.6994038985223829E-2</v>
      </c>
    </row>
    <row r="192" spans="2:5" outlineLevel="1">
      <c r="B192" s="674" t="s">
        <v>8964</v>
      </c>
      <c r="C192" s="544">
        <v>5343.05</v>
      </c>
      <c r="D192" s="673">
        <f t="shared" si="2"/>
        <v>-1.8002205476934353E-2</v>
      </c>
      <c r="E192" s="673">
        <v>-1.8002205476934353E-2</v>
      </c>
    </row>
    <row r="193" spans="2:5" outlineLevel="1">
      <c r="B193" s="674">
        <v>45449</v>
      </c>
      <c r="C193" s="544">
        <v>5441</v>
      </c>
      <c r="D193" s="673">
        <f t="shared" si="2"/>
        <v>-1.0281643594169507E-3</v>
      </c>
      <c r="E193" s="673">
        <v>-1.0281643594169507E-3</v>
      </c>
    </row>
    <row r="194" spans="2:5" outlineLevel="1">
      <c r="B194" s="674">
        <v>45848</v>
      </c>
      <c r="C194" s="544">
        <v>5446.6</v>
      </c>
      <c r="D194" s="673">
        <f t="shared" si="2"/>
        <v>-1.8604106417290555E-2</v>
      </c>
      <c r="E194" s="673">
        <v>-1.8604106417290555E-2</v>
      </c>
    </row>
    <row r="195" spans="2:5" outlineLevel="1">
      <c r="B195" s="674" t="s">
        <v>492</v>
      </c>
      <c r="C195" s="544">
        <v>5549.85</v>
      </c>
      <c r="D195" s="673">
        <f t="shared" si="2"/>
        <v>-6.1423851436654235E-3</v>
      </c>
      <c r="E195" s="673">
        <v>-6.1423851436654235E-3</v>
      </c>
    </row>
    <row r="196" spans="2:5" outlineLevel="1">
      <c r="B196" s="674">
        <v>45750</v>
      </c>
      <c r="C196" s="544">
        <v>5584.15</v>
      </c>
      <c r="D196" s="673">
        <f t="shared" si="2"/>
        <v>1.7760236803156723E-3</v>
      </c>
      <c r="E196" s="673">
        <v>1.7760236803156723E-3</v>
      </c>
    </row>
    <row r="197" spans="2:5" outlineLevel="1">
      <c r="B197" s="674">
        <v>45481</v>
      </c>
      <c r="C197" s="544">
        <v>5574.25</v>
      </c>
      <c r="D197" s="673">
        <f t="shared" si="2"/>
        <v>3.972954068547447E-2</v>
      </c>
      <c r="E197" s="673">
        <v>3.972954068547447E-2</v>
      </c>
    </row>
    <row r="198" spans="2:5" outlineLevel="1">
      <c r="B198" s="674">
        <v>45972</v>
      </c>
      <c r="C198" s="544">
        <v>5361.25</v>
      </c>
      <c r="D198" s="673">
        <f t="shared" si="2"/>
        <v>6.6940814180561125E-3</v>
      </c>
      <c r="E198" s="673">
        <v>6.6940814180561125E-3</v>
      </c>
    </row>
    <row r="199" spans="2:5" outlineLevel="1">
      <c r="B199" s="674">
        <v>45571</v>
      </c>
      <c r="C199" s="544">
        <v>5325.6</v>
      </c>
      <c r="D199" s="673">
        <f t="shared" si="2"/>
        <v>-2.2170811644495855E-2</v>
      </c>
      <c r="E199" s="673">
        <v>-2.2170811644495855E-2</v>
      </c>
    </row>
    <row r="200" spans="2:5" outlineLevel="1">
      <c r="B200" s="674">
        <v>45665</v>
      </c>
      <c r="C200" s="544">
        <v>5446.35</v>
      </c>
      <c r="D200" s="673">
        <f t="shared" si="2"/>
        <v>6.4957030982665892E-2</v>
      </c>
      <c r="E200" s="673">
        <v>6.4957030982665892E-2</v>
      </c>
    </row>
    <row r="201" spans="2:5" outlineLevel="1">
      <c r="B201" s="674" t="s">
        <v>512</v>
      </c>
      <c r="C201" s="544">
        <v>5114.1499999999996</v>
      </c>
      <c r="D201" s="673">
        <f t="shared" si="2"/>
        <v>-2.182374599531399E-2</v>
      </c>
      <c r="E201" s="673">
        <v>-2.182374599531399E-2</v>
      </c>
    </row>
    <row r="202" spans="2:5" outlineLevel="1">
      <c r="B202" s="674" t="s">
        <v>502</v>
      </c>
      <c r="C202" s="544">
        <v>5228.25</v>
      </c>
      <c r="D202" s="673">
        <f t="shared" ref="D202:D265" si="3">(C202-C203)/C203</f>
        <v>3.3483210561561274E-4</v>
      </c>
      <c r="E202" s="673">
        <v>3.3483210561561274E-4</v>
      </c>
    </row>
    <row r="203" spans="2:5" outlineLevel="1">
      <c r="B203" s="674">
        <v>45813</v>
      </c>
      <c r="C203" s="544">
        <v>5226.5</v>
      </c>
      <c r="D203" s="673">
        <f t="shared" si="3"/>
        <v>8.1382545837522136E-4</v>
      </c>
      <c r="E203" s="673">
        <v>8.1382545837522136E-4</v>
      </c>
    </row>
    <row r="204" spans="2:5" outlineLevel="1">
      <c r="B204" s="674" t="s">
        <v>507</v>
      </c>
      <c r="C204" s="544">
        <v>5222.25</v>
      </c>
      <c r="D204" s="673">
        <f t="shared" si="3"/>
        <v>-2.8301096876831681E-2</v>
      </c>
      <c r="E204" s="673">
        <v>-2.8301096876831681E-2</v>
      </c>
    </row>
    <row r="205" spans="2:5" outlineLevel="1">
      <c r="B205" s="674" t="s">
        <v>544</v>
      </c>
      <c r="C205" s="544">
        <v>5374.35</v>
      </c>
      <c r="D205" s="673">
        <f t="shared" si="3"/>
        <v>4.4425010931351185E-2</v>
      </c>
      <c r="E205" s="673">
        <v>4.4425010931351185E-2</v>
      </c>
    </row>
    <row r="206" spans="2:5" outlineLevel="1">
      <c r="B206" s="674">
        <v>45874</v>
      </c>
      <c r="C206" s="544">
        <v>5145.75</v>
      </c>
      <c r="D206" s="673">
        <f t="shared" si="3"/>
        <v>-5.3446476205202846E-3</v>
      </c>
      <c r="E206" s="673">
        <v>-5.3446476205202846E-3</v>
      </c>
    </row>
    <row r="207" spans="2:5" outlineLevel="1">
      <c r="B207" s="674">
        <v>45602</v>
      </c>
      <c r="C207" s="544">
        <v>5173.3999999999996</v>
      </c>
      <c r="D207" s="673">
        <f t="shared" si="3"/>
        <v>-3.8472975986915472E-2</v>
      </c>
      <c r="E207" s="673">
        <v>-3.8472975986915472E-2</v>
      </c>
    </row>
    <row r="208" spans="2:5" outlineLevel="1">
      <c r="B208" s="674" t="s">
        <v>543</v>
      </c>
      <c r="C208" s="544">
        <v>5380.4</v>
      </c>
      <c r="D208" s="673">
        <f t="shared" si="3"/>
        <v>3.2845103948707016E-2</v>
      </c>
      <c r="E208" s="673">
        <v>3.2845103948707016E-2</v>
      </c>
    </row>
    <row r="209" spans="2:5" outlineLevel="1">
      <c r="B209" s="674" t="s">
        <v>496</v>
      </c>
      <c r="C209" s="544">
        <v>5209.3</v>
      </c>
      <c r="D209" s="673">
        <f t="shared" si="3"/>
        <v>1.3600809433007852E-2</v>
      </c>
      <c r="E209" s="673">
        <v>1.3600809433007852E-2</v>
      </c>
    </row>
    <row r="210" spans="2:5" outlineLevel="1">
      <c r="B210" s="674" t="s">
        <v>410</v>
      </c>
      <c r="C210" s="544">
        <v>5139.3999999999996</v>
      </c>
      <c r="D210" s="673">
        <f t="shared" si="3"/>
        <v>-3.4192451163708594E-2</v>
      </c>
      <c r="E210" s="673">
        <v>-3.4192451163708594E-2</v>
      </c>
    </row>
    <row r="211" spans="2:5" outlineLevel="1">
      <c r="B211" s="674" t="s">
        <v>180</v>
      </c>
      <c r="C211" s="544">
        <v>5321.35</v>
      </c>
      <c r="D211" s="673">
        <f t="shared" si="3"/>
        <v>-1.0606345034728057E-3</v>
      </c>
      <c r="E211" s="673">
        <v>-1.0606345034728057E-3</v>
      </c>
    </row>
    <row r="212" spans="2:5" outlineLevel="1">
      <c r="B212" s="674" t="s">
        <v>8871</v>
      </c>
      <c r="C212" s="544">
        <v>5327</v>
      </c>
      <c r="D212" s="673">
        <f t="shared" si="3"/>
        <v>1.0899797038262389E-3</v>
      </c>
      <c r="E212" s="673">
        <v>1.0899797038262389E-3</v>
      </c>
    </row>
    <row r="213" spans="2:5" outlineLevel="1">
      <c r="B213" s="674">
        <v>45692</v>
      </c>
      <c r="C213" s="544">
        <v>5321.2</v>
      </c>
      <c r="D213" s="673">
        <f t="shared" si="3"/>
        <v>-7.2943678525456343E-3</v>
      </c>
      <c r="E213" s="673">
        <v>-7.2943678525456343E-3</v>
      </c>
    </row>
    <row r="214" spans="2:5" outlineLevel="1">
      <c r="B214" s="674" t="s">
        <v>511</v>
      </c>
      <c r="C214" s="544">
        <v>5360.3</v>
      </c>
      <c r="D214" s="673">
        <f t="shared" si="3"/>
        <v>4.4780773991092572E-2</v>
      </c>
      <c r="E214" s="673">
        <v>4.4780773991092572E-2</v>
      </c>
    </row>
    <row r="215" spans="2:5" outlineLevel="1">
      <c r="B215" s="674" t="s">
        <v>542</v>
      </c>
      <c r="C215" s="544">
        <v>5130.55</v>
      </c>
      <c r="D215" s="673">
        <f t="shared" si="3"/>
        <v>1.8825398401429813E-2</v>
      </c>
      <c r="E215" s="673">
        <v>1.8825398401429813E-2</v>
      </c>
    </row>
    <row r="216" spans="2:5" outlineLevel="1">
      <c r="B216" s="674" t="s">
        <v>503</v>
      </c>
      <c r="C216" s="544">
        <v>5035.75</v>
      </c>
      <c r="D216" s="673">
        <f t="shared" si="3"/>
        <v>3.2804873046474385E-2</v>
      </c>
      <c r="E216" s="673">
        <v>3.2804873046474385E-2</v>
      </c>
    </row>
    <row r="217" spans="2:5" outlineLevel="1">
      <c r="B217" s="674">
        <v>45543</v>
      </c>
      <c r="C217" s="544">
        <v>4875.8</v>
      </c>
      <c r="D217" s="673">
        <f t="shared" si="3"/>
        <v>2.0031171222058344E-2</v>
      </c>
      <c r="E217" s="673">
        <v>2.0031171222058344E-2</v>
      </c>
    </row>
    <row r="218" spans="2:5" outlineLevel="1">
      <c r="B218" s="674" t="s">
        <v>8959</v>
      </c>
      <c r="C218" s="544">
        <v>4780.05</v>
      </c>
      <c r="D218" s="673">
        <f t="shared" si="3"/>
        <v>3.4307043167802698E-2</v>
      </c>
      <c r="E218" s="673">
        <v>3.4307043167802698E-2</v>
      </c>
    </row>
    <row r="219" spans="2:5" outlineLevel="1">
      <c r="B219" s="674">
        <v>45904</v>
      </c>
      <c r="C219" s="544">
        <v>4621.5</v>
      </c>
      <c r="D219" s="673">
        <f t="shared" si="3"/>
        <v>-2.973872332385074E-2</v>
      </c>
      <c r="E219" s="673">
        <v>-2.973872332385074E-2</v>
      </c>
    </row>
    <row r="220" spans="2:5" outlineLevel="1">
      <c r="B220" s="674">
        <v>45816</v>
      </c>
      <c r="C220" s="544">
        <v>4763.1499999999996</v>
      </c>
      <c r="D220" s="673">
        <f t="shared" si="3"/>
        <v>4.7673793125269119E-3</v>
      </c>
      <c r="E220" s="673">
        <v>4.7673793125269119E-3</v>
      </c>
    </row>
    <row r="221" spans="2:5" outlineLevel="1">
      <c r="B221" s="674">
        <v>45873</v>
      </c>
      <c r="C221" s="544">
        <v>4740.55</v>
      </c>
      <c r="D221" s="673">
        <f t="shared" si="3"/>
        <v>-0.14757473589570685</v>
      </c>
      <c r="E221" s="673">
        <v>-0.14757473589570685</v>
      </c>
    </row>
    <row r="222" spans="2:5" outlineLevel="1">
      <c r="B222" s="674">
        <v>45840</v>
      </c>
      <c r="C222" s="544">
        <v>5561.25</v>
      </c>
      <c r="D222" s="673">
        <f t="shared" si="3"/>
        <v>-2.0320262128739098E-2</v>
      </c>
      <c r="E222" s="673">
        <v>-2.0320262128739098E-2</v>
      </c>
    </row>
    <row r="223" spans="2:5" outlineLevel="1">
      <c r="B223" s="674" t="s">
        <v>8963</v>
      </c>
      <c r="C223" s="544">
        <v>5676.6</v>
      </c>
      <c r="D223" s="673">
        <f t="shared" si="3"/>
        <v>-6.601705880799598E-4</v>
      </c>
      <c r="E223" s="673">
        <v>-6.601705880799598E-4</v>
      </c>
    </row>
    <row r="224" spans="2:5" outlineLevel="1">
      <c r="B224" s="674" t="s">
        <v>421</v>
      </c>
      <c r="C224" s="544">
        <v>5680.35</v>
      </c>
      <c r="D224" s="673">
        <f t="shared" si="3"/>
        <v>1.8421901893287435E-2</v>
      </c>
      <c r="E224" s="673">
        <v>1.8421901893287435E-2</v>
      </c>
    </row>
    <row r="225" spans="2:5" outlineLevel="1">
      <c r="B225" s="674">
        <v>45933</v>
      </c>
      <c r="C225" s="544">
        <v>5577.6</v>
      </c>
      <c r="D225" s="673">
        <f t="shared" si="3"/>
        <v>5.0187815968593813E-2</v>
      </c>
      <c r="E225" s="673">
        <v>5.0187815968593813E-2</v>
      </c>
    </row>
    <row r="226" spans="2:5" outlineLevel="1">
      <c r="B226" s="674" t="s">
        <v>498</v>
      </c>
      <c r="C226" s="544">
        <v>5311.05</v>
      </c>
      <c r="D226" s="673">
        <f t="shared" si="3"/>
        <v>-1.8725519178183332E-2</v>
      </c>
      <c r="E226" s="673">
        <v>-1.8725519178183332E-2</v>
      </c>
    </row>
    <row r="227" spans="2:5" outlineLevel="1">
      <c r="B227" s="674" t="s">
        <v>414</v>
      </c>
      <c r="C227" s="544">
        <v>5412.4</v>
      </c>
      <c r="D227" s="673">
        <f t="shared" si="3"/>
        <v>1.7588388467431732E-2</v>
      </c>
      <c r="E227" s="673">
        <v>1.7588388467431732E-2</v>
      </c>
    </row>
    <row r="228" spans="2:5" outlineLevel="1">
      <c r="B228" s="674" t="s">
        <v>181</v>
      </c>
      <c r="C228" s="544">
        <v>5318.85</v>
      </c>
      <c r="D228" s="673">
        <f t="shared" si="3"/>
        <v>2.5844527806976093E-2</v>
      </c>
      <c r="E228" s="673">
        <v>2.5844527806976093E-2</v>
      </c>
    </row>
    <row r="229" spans="2:5" outlineLevel="1">
      <c r="B229" s="674" t="s">
        <v>175</v>
      </c>
      <c r="C229" s="544">
        <v>5184.8500000000004</v>
      </c>
      <c r="D229" s="673">
        <f t="shared" si="3"/>
        <v>2.5738167070577252E-2</v>
      </c>
      <c r="E229" s="673">
        <v>2.5738167070577252E-2</v>
      </c>
    </row>
    <row r="230" spans="2:5" outlineLevel="1">
      <c r="B230" s="674" t="s">
        <v>411</v>
      </c>
      <c r="C230" s="544">
        <v>5054.75</v>
      </c>
      <c r="D230" s="673">
        <f t="shared" si="3"/>
        <v>-1.8047070022243091E-2</v>
      </c>
      <c r="E230" s="673">
        <v>-1.8047070022243091E-2</v>
      </c>
    </row>
    <row r="231" spans="2:5" outlineLevel="1">
      <c r="B231" s="674" t="s">
        <v>491</v>
      </c>
      <c r="C231" s="544">
        <v>5147.6499999999996</v>
      </c>
      <c r="D231" s="673">
        <f t="shared" si="3"/>
        <v>-1.393571373841085E-2</v>
      </c>
      <c r="E231" s="673">
        <v>-1.393571373841085E-2</v>
      </c>
    </row>
    <row r="232" spans="2:5" outlineLevel="1">
      <c r="B232" s="674">
        <v>45666</v>
      </c>
      <c r="C232" s="544">
        <v>5220.3999999999996</v>
      </c>
      <c r="D232" s="673">
        <f t="shared" si="3"/>
        <v>-1.4346104554409994E-3</v>
      </c>
      <c r="E232" s="673">
        <v>-1.4346104554409994E-3</v>
      </c>
    </row>
    <row r="233" spans="2:5" outlineLevel="1">
      <c r="B233" s="674" t="s">
        <v>8958</v>
      </c>
      <c r="C233" s="544">
        <v>5227.8999999999996</v>
      </c>
      <c r="D233" s="673">
        <f t="shared" si="3"/>
        <v>-6.5276260154877403E-3</v>
      </c>
      <c r="E233" s="673">
        <v>-6.5276260154877403E-3</v>
      </c>
    </row>
    <row r="234" spans="2:5" outlineLevel="1">
      <c r="B234" s="674" t="s">
        <v>422</v>
      </c>
      <c r="C234" s="544">
        <v>5262.25</v>
      </c>
      <c r="D234" s="673">
        <f t="shared" si="3"/>
        <v>2.0409152608105486E-2</v>
      </c>
      <c r="E234" s="673">
        <v>2.0409152608105486E-2</v>
      </c>
    </row>
    <row r="235" spans="2:5" outlineLevel="1">
      <c r="B235" s="674">
        <v>45963</v>
      </c>
      <c r="C235" s="544">
        <v>5157</v>
      </c>
      <c r="D235" s="673">
        <f t="shared" si="3"/>
        <v>2.6166550591980899E-2</v>
      </c>
      <c r="E235" s="673">
        <v>2.6166550591980899E-2</v>
      </c>
    </row>
    <row r="236" spans="2:5" outlineLevel="1">
      <c r="B236" s="674">
        <v>45782</v>
      </c>
      <c r="C236" s="544">
        <v>5025.5</v>
      </c>
      <c r="D236" s="673">
        <f t="shared" si="3"/>
        <v>2.083727978783824E-3</v>
      </c>
      <c r="E236" s="673">
        <v>2.083727978783824E-3</v>
      </c>
    </row>
    <row r="237" spans="2:5" outlineLevel="1">
      <c r="B237" s="674" t="s">
        <v>8960</v>
      </c>
      <c r="C237" s="544">
        <v>5015.05</v>
      </c>
      <c r="D237" s="673">
        <f t="shared" si="3"/>
        <v>4.0642674808549339E-3</v>
      </c>
      <c r="E237" s="673">
        <v>4.0642674808549339E-3</v>
      </c>
    </row>
    <row r="238" spans="2:5" outlineLevel="1">
      <c r="B238" s="674" t="s">
        <v>490</v>
      </c>
      <c r="C238" s="544">
        <v>4994.75</v>
      </c>
      <c r="D238" s="673">
        <f t="shared" si="3"/>
        <v>4.0605435586528668E-2</v>
      </c>
      <c r="E238" s="673">
        <v>4.0605435586528668E-2</v>
      </c>
    </row>
    <row r="239" spans="2:5" outlineLevel="1">
      <c r="B239" s="674" t="s">
        <v>8962</v>
      </c>
      <c r="C239" s="544">
        <v>4799.8500000000004</v>
      </c>
      <c r="D239" s="673">
        <f t="shared" si="3"/>
        <v>-3.9520946101433758E-2</v>
      </c>
      <c r="E239" s="673">
        <v>-3.9520946101433758E-2</v>
      </c>
    </row>
    <row r="240" spans="2:5" outlineLevel="1">
      <c r="B240" s="674">
        <v>45785</v>
      </c>
      <c r="C240" s="544">
        <v>4997.3500000000004</v>
      </c>
      <c r="D240" s="673">
        <f t="shared" si="3"/>
        <v>-1.4027957265041474E-2</v>
      </c>
      <c r="E240" s="673">
        <v>-1.4027957265041474E-2</v>
      </c>
    </row>
    <row r="241" spans="2:5" outlineLevel="1">
      <c r="B241" s="674" t="s">
        <v>203</v>
      </c>
      <c r="C241" s="544">
        <v>5068.45</v>
      </c>
      <c r="D241" s="673">
        <f t="shared" si="3"/>
        <v>-7.217989148531989E-3</v>
      </c>
      <c r="E241" s="673">
        <v>-7.217989148531989E-3</v>
      </c>
    </row>
    <row r="242" spans="2:5" outlineLevel="1">
      <c r="B242" s="674" t="s">
        <v>493</v>
      </c>
      <c r="C242" s="544">
        <v>5105.3</v>
      </c>
      <c r="D242" s="673">
        <f t="shared" si="3"/>
        <v>2.1478806310587413E-2</v>
      </c>
      <c r="E242" s="673">
        <v>2.1478806310587413E-2</v>
      </c>
    </row>
    <row r="243" spans="2:5" outlineLevel="1">
      <c r="B243" s="674" t="s">
        <v>488</v>
      </c>
      <c r="C243" s="544">
        <v>4997.95</v>
      </c>
      <c r="D243" s="673">
        <f t="shared" si="3"/>
        <v>9.4727381060582365E-3</v>
      </c>
      <c r="E243" s="673">
        <v>9.4727381060582365E-3</v>
      </c>
    </row>
    <row r="244" spans="2:5" outlineLevel="1">
      <c r="B244" s="674" t="s">
        <v>8957</v>
      </c>
      <c r="C244" s="544">
        <v>4951.05</v>
      </c>
      <c r="D244" s="673">
        <f t="shared" si="3"/>
        <v>2.0140935033894462E-2</v>
      </c>
      <c r="E244" s="673">
        <v>2.0140935033894462E-2</v>
      </c>
    </row>
    <row r="245" spans="2:5" outlineLevel="1">
      <c r="B245" s="674" t="s">
        <v>8961</v>
      </c>
      <c r="C245" s="544">
        <v>4853.3</v>
      </c>
      <c r="D245" s="673">
        <f t="shared" si="3"/>
        <v>1.0083561401500529E-2</v>
      </c>
      <c r="E245" s="673">
        <v>1.0083561401500529E-2</v>
      </c>
    </row>
    <row r="246" spans="2:5" outlineLevel="1">
      <c r="B246" s="674">
        <v>45993</v>
      </c>
      <c r="C246" s="544">
        <v>4804.8500000000004</v>
      </c>
      <c r="D246" s="673">
        <f t="shared" si="3"/>
        <v>-3.0791729702470929E-2</v>
      </c>
      <c r="E246" s="673">
        <v>-3.0791729702470929E-2</v>
      </c>
    </row>
    <row r="247" spans="2:5" outlineLevel="1">
      <c r="B247" s="674">
        <v>45999</v>
      </c>
      <c r="C247" s="544">
        <v>4957.5</v>
      </c>
      <c r="D247" s="673">
        <f t="shared" si="3"/>
        <v>-2.2651999053702319E-2</v>
      </c>
      <c r="E247" s="673">
        <v>-2.2651999053702319E-2</v>
      </c>
    </row>
    <row r="248" spans="2:5" outlineLevel="1">
      <c r="B248" s="674">
        <v>45697</v>
      </c>
      <c r="C248" s="544">
        <v>5072.3999999999996</v>
      </c>
      <c r="D248" s="673">
        <f t="shared" si="3"/>
        <v>5.2617497547488073E-3</v>
      </c>
      <c r="E248" s="673">
        <v>5.2617497547488073E-3</v>
      </c>
    </row>
    <row r="249" spans="2:5" outlineLevel="1">
      <c r="B249" s="674" t="s">
        <v>201</v>
      </c>
      <c r="C249" s="544">
        <v>5045.8500000000004</v>
      </c>
      <c r="D249" s="673">
        <f t="shared" si="3"/>
        <v>-8.4888142187637804E-3</v>
      </c>
      <c r="E249" s="673">
        <v>-8.4888142187637804E-3</v>
      </c>
    </row>
    <row r="250" spans="2:5" outlineLevel="1">
      <c r="B250" s="674" t="s">
        <v>179</v>
      </c>
      <c r="C250" s="544">
        <v>5089.05</v>
      </c>
      <c r="D250" s="673">
        <f t="shared" si="3"/>
        <v>2.0463204331261316E-2</v>
      </c>
      <c r="E250" s="673">
        <v>2.0463204331261316E-2</v>
      </c>
    </row>
    <row r="251" spans="2:5" outlineLevel="1">
      <c r="B251" s="674" t="s">
        <v>423</v>
      </c>
      <c r="C251" s="544">
        <v>4987</v>
      </c>
      <c r="D251" s="673">
        <f t="shared" si="3"/>
        <v>-2.0710976817714115E-3</v>
      </c>
      <c r="E251" s="673">
        <v>-2.0710976817714115E-3</v>
      </c>
    </row>
    <row r="252" spans="2:5" outlineLevel="1">
      <c r="B252" s="674" t="s">
        <v>520</v>
      </c>
      <c r="C252" s="544">
        <v>4997.3500000000004</v>
      </c>
      <c r="D252" s="673">
        <f t="shared" si="3"/>
        <v>-1.9560333918639178E-2</v>
      </c>
      <c r="E252" s="673">
        <v>-1.9560333918639178E-2</v>
      </c>
    </row>
    <row r="253" spans="2:5" outlineLevel="1">
      <c r="B253" s="674">
        <v>46000</v>
      </c>
      <c r="C253" s="544">
        <v>5097.05</v>
      </c>
      <c r="D253" s="673">
        <f t="shared" si="3"/>
        <v>-3.8501001612351233E-3</v>
      </c>
      <c r="E253" s="673">
        <v>-3.8501001612351233E-3</v>
      </c>
    </row>
    <row r="254" spans="2:5" outlineLevel="1">
      <c r="B254" s="674" t="s">
        <v>495</v>
      </c>
      <c r="C254" s="544">
        <v>5116.75</v>
      </c>
      <c r="D254" s="673">
        <f t="shared" si="3"/>
        <v>-2.7030367567361928E-2</v>
      </c>
      <c r="E254" s="673">
        <v>-2.7030367567361928E-2</v>
      </c>
    </row>
    <row r="255" spans="2:5" outlineLevel="1">
      <c r="B255" s="674">
        <v>45964</v>
      </c>
      <c r="C255" s="544">
        <v>5258.9</v>
      </c>
      <c r="D255" s="673">
        <f t="shared" si="3"/>
        <v>0</v>
      </c>
      <c r="E255" s="673">
        <v>0</v>
      </c>
    </row>
    <row r="256" spans="2:5" outlineLevel="1">
      <c r="B256" s="674" t="s">
        <v>183</v>
      </c>
      <c r="C256" s="544">
        <v>5258.9</v>
      </c>
      <c r="D256" s="673">
        <f t="shared" si="3"/>
        <v>4.4311171381094831E-3</v>
      </c>
      <c r="E256" s="673">
        <v>4.4311171381094831E-3</v>
      </c>
    </row>
    <row r="257" spans="2:5" outlineLevel="1">
      <c r="B257" s="674" t="s">
        <v>513</v>
      </c>
      <c r="C257" s="544">
        <v>5235.7</v>
      </c>
      <c r="D257" s="673">
        <f t="shared" si="3"/>
        <v>1.741093636398319E-3</v>
      </c>
      <c r="E257" s="673">
        <v>1.741093636398319E-3</v>
      </c>
    </row>
    <row r="258" spans="2:5" outlineLevel="1">
      <c r="B258" s="674" t="s">
        <v>424</v>
      </c>
      <c r="C258" s="544">
        <v>5226.6000000000004</v>
      </c>
      <c r="D258" s="673">
        <f t="shared" si="3"/>
        <v>6.2183547349980136E-3</v>
      </c>
      <c r="E258" s="673">
        <v>6.2183547349980136E-3</v>
      </c>
    </row>
    <row r="259" spans="2:5" outlineLevel="1">
      <c r="B259" s="674" t="s">
        <v>501</v>
      </c>
      <c r="C259" s="544">
        <v>5194.3</v>
      </c>
      <c r="D259" s="673">
        <f t="shared" si="3"/>
        <v>-4.7878287966272533E-2</v>
      </c>
      <c r="E259" s="673">
        <v>-4.7878287966272533E-2</v>
      </c>
    </row>
    <row r="260" spans="2:5" outlineLevel="1">
      <c r="B260" s="674" t="s">
        <v>535</v>
      </c>
      <c r="C260" s="544">
        <v>5455.5</v>
      </c>
      <c r="D260" s="673">
        <f t="shared" si="3"/>
        <v>3.4218009478672984E-2</v>
      </c>
      <c r="E260" s="673">
        <v>3.4218009478672984E-2</v>
      </c>
    </row>
    <row r="261" spans="2:5" outlineLevel="1">
      <c r="B261" s="674" t="s">
        <v>500</v>
      </c>
      <c r="C261" s="544">
        <v>5275</v>
      </c>
      <c r="D261" s="673">
        <f t="shared" si="3"/>
        <v>-8.2824032618428772E-2</v>
      </c>
      <c r="E261" s="673">
        <v>-8.2824032618428772E-2</v>
      </c>
    </row>
    <row r="262" spans="2:5" outlineLevel="1">
      <c r="B262" s="674" t="s">
        <v>8872</v>
      </c>
      <c r="C262" s="544">
        <v>5751.35</v>
      </c>
      <c r="D262" s="673">
        <f t="shared" si="3"/>
        <v>-5.4739768876525092E-4</v>
      </c>
      <c r="E262" s="673">
        <v>-5.4739768876525092E-4</v>
      </c>
    </row>
    <row r="263" spans="2:5" outlineLevel="1">
      <c r="B263" s="674" t="s">
        <v>486</v>
      </c>
      <c r="C263" s="544">
        <v>5754.5</v>
      </c>
      <c r="D263" s="673">
        <f t="shared" si="3"/>
        <v>-6.199825586607665E-2</v>
      </c>
      <c r="E263" s="673">
        <v>-6.199825586607665E-2</v>
      </c>
    </row>
    <row r="264" spans="2:5" outlineLevel="1">
      <c r="B264" s="674" t="s">
        <v>425</v>
      </c>
      <c r="C264" s="544">
        <v>6134.85</v>
      </c>
      <c r="D264" s="673">
        <f t="shared" si="3"/>
        <v>6.6225798602662617E-2</v>
      </c>
      <c r="E264" s="673">
        <v>6.6225798602662617E-2</v>
      </c>
    </row>
    <row r="265" spans="2:5" outlineLevel="1">
      <c r="B265" s="674" t="s">
        <v>541</v>
      </c>
      <c r="C265" s="544">
        <v>5753.8</v>
      </c>
      <c r="D265" s="673">
        <f t="shared" si="3"/>
        <v>4.3640716825074435E-2</v>
      </c>
      <c r="E265" s="673">
        <v>4.3640716825074435E-2</v>
      </c>
    </row>
    <row r="266" spans="2:5" outlineLevel="1">
      <c r="B266" s="674">
        <v>45756</v>
      </c>
      <c r="C266" s="544">
        <v>5513.2</v>
      </c>
      <c r="D266" s="673">
        <f t="shared" ref="D266:D329" si="4">(C266-C267)/C267</f>
        <v>-1.9762283641665355E-2</v>
      </c>
      <c r="E266" s="673">
        <v>-1.9762283641665355E-2</v>
      </c>
    </row>
    <row r="267" spans="2:5" outlineLevel="1">
      <c r="B267" s="674" t="s">
        <v>184</v>
      </c>
      <c r="C267" s="544">
        <v>5624.35</v>
      </c>
      <c r="D267" s="673">
        <f t="shared" si="4"/>
        <v>3.2388626810330723E-2</v>
      </c>
      <c r="E267" s="673">
        <v>3.2388626810330723E-2</v>
      </c>
    </row>
    <row r="268" spans="2:5" outlineLevel="1">
      <c r="B268" s="674" t="s">
        <v>178</v>
      </c>
      <c r="C268" s="544">
        <v>5447.9</v>
      </c>
      <c r="D268" s="673">
        <f t="shared" si="4"/>
        <v>6.5776102581156723E-3</v>
      </c>
      <c r="E268" s="673">
        <v>6.5776102581156723E-3</v>
      </c>
    </row>
    <row r="269" spans="2:5" outlineLevel="1">
      <c r="B269" s="674">
        <v>45969</v>
      </c>
      <c r="C269" s="544">
        <v>5412.3</v>
      </c>
      <c r="D269" s="673">
        <f t="shared" si="4"/>
        <v>-1.4099131100060046E-2</v>
      </c>
      <c r="E269" s="673">
        <v>-1.4099131100060046E-2</v>
      </c>
    </row>
    <row r="270" spans="2:5" outlineLevel="1">
      <c r="B270" s="674" t="s">
        <v>167</v>
      </c>
      <c r="C270" s="544">
        <v>5489.7</v>
      </c>
      <c r="D270" s="673">
        <f t="shared" si="4"/>
        <v>-4.2922645094928401E-2</v>
      </c>
      <c r="E270" s="673">
        <v>-4.2922645094928401E-2</v>
      </c>
    </row>
    <row r="271" spans="2:5" outlineLevel="1">
      <c r="B271" s="674">
        <v>45877</v>
      </c>
      <c r="C271" s="544">
        <v>5735.9</v>
      </c>
      <c r="D271" s="673">
        <f t="shared" si="4"/>
        <v>1.9869669194456051E-2</v>
      </c>
      <c r="E271" s="673">
        <v>1.9869669194456051E-2</v>
      </c>
    </row>
    <row r="272" spans="2:5" outlineLevel="1">
      <c r="B272" s="674">
        <v>45970</v>
      </c>
      <c r="C272" s="544">
        <v>5624.15</v>
      </c>
      <c r="D272" s="673">
        <f t="shared" si="4"/>
        <v>-1.9465462533561236E-2</v>
      </c>
      <c r="E272" s="673">
        <v>-1.9465462533561236E-2</v>
      </c>
    </row>
    <row r="273" spans="2:5" outlineLevel="1">
      <c r="B273" s="674" t="s">
        <v>416</v>
      </c>
      <c r="C273" s="544">
        <v>5735.8</v>
      </c>
      <c r="D273" s="673">
        <f t="shared" si="4"/>
        <v>-5.804491521944407E-2</v>
      </c>
      <c r="E273" s="673">
        <v>-5.804491521944407E-2</v>
      </c>
    </row>
    <row r="274" spans="2:5" outlineLevel="1">
      <c r="B274" s="674">
        <v>45512</v>
      </c>
      <c r="C274" s="544">
        <v>6089.25</v>
      </c>
      <c r="D274" s="673">
        <f t="shared" si="4"/>
        <v>-2.0107173892053656E-2</v>
      </c>
      <c r="E274" s="673">
        <v>-2.0107173892053656E-2</v>
      </c>
    </row>
    <row r="275" spans="2:5" outlineLevel="1">
      <c r="B275" s="674" t="s">
        <v>499</v>
      </c>
      <c r="C275" s="544">
        <v>6214.2</v>
      </c>
      <c r="D275" s="673">
        <f t="shared" si="4"/>
        <v>9.5840212620300694E-4</v>
      </c>
      <c r="E275" s="673">
        <v>9.5840212620300694E-4</v>
      </c>
    </row>
    <row r="276" spans="2:5" outlineLevel="1">
      <c r="B276" s="674" t="s">
        <v>176</v>
      </c>
      <c r="C276" s="544">
        <v>6208.25</v>
      </c>
      <c r="D276" s="673">
        <f t="shared" si="4"/>
        <v>-2.8670891027145429E-2</v>
      </c>
      <c r="E276" s="673">
        <v>-2.8670891027145429E-2</v>
      </c>
    </row>
    <row r="277" spans="2:5" outlineLevel="1">
      <c r="B277" s="674" t="s">
        <v>515</v>
      </c>
      <c r="C277" s="544">
        <v>6391.5</v>
      </c>
      <c r="D277" s="673">
        <f t="shared" si="4"/>
        <v>3.7067685642660664E-2</v>
      </c>
      <c r="E277" s="673">
        <v>3.7067685642660664E-2</v>
      </c>
    </row>
    <row r="278" spans="2:5" outlineLevel="1">
      <c r="B278" s="674" t="s">
        <v>354</v>
      </c>
      <c r="C278" s="544">
        <v>6163.05</v>
      </c>
      <c r="D278" s="673">
        <f t="shared" si="4"/>
        <v>-1.0317473062161771E-2</v>
      </c>
      <c r="E278" s="673">
        <v>-1.0317473062161771E-2</v>
      </c>
    </row>
    <row r="279" spans="2:5" outlineLevel="1">
      <c r="B279" s="674">
        <v>45841</v>
      </c>
      <c r="C279" s="544">
        <v>6227.3</v>
      </c>
      <c r="D279" s="673">
        <f t="shared" si="4"/>
        <v>-5.3882208160195635E-2</v>
      </c>
      <c r="E279" s="673">
        <v>-5.3882208160195635E-2</v>
      </c>
    </row>
    <row r="280" spans="2:5" outlineLevel="1">
      <c r="B280" s="674" t="s">
        <v>8873</v>
      </c>
      <c r="C280" s="544">
        <v>6581.95</v>
      </c>
      <c r="D280" s="673">
        <f t="shared" si="4"/>
        <v>-5.5148864160037472E-3</v>
      </c>
      <c r="E280" s="673">
        <v>-5.5148864160037472E-3</v>
      </c>
    </row>
    <row r="281" spans="2:5" outlineLevel="1">
      <c r="B281" s="674" t="s">
        <v>169</v>
      </c>
      <c r="C281" s="544">
        <v>6618.45</v>
      </c>
      <c r="D281" s="673">
        <f t="shared" si="4"/>
        <v>-1.073942872516933E-2</v>
      </c>
      <c r="E281" s="673">
        <v>-1.073942872516933E-2</v>
      </c>
    </row>
    <row r="282" spans="2:5" outlineLevel="1">
      <c r="B282" s="674" t="s">
        <v>412</v>
      </c>
      <c r="C282" s="544">
        <v>6690.3</v>
      </c>
      <c r="D282" s="673">
        <f t="shared" si="4"/>
        <v>-2.712724575932297E-2</v>
      </c>
      <c r="E282" s="673">
        <v>-2.712724575932297E-2</v>
      </c>
    </row>
    <row r="283" spans="2:5" outlineLevel="1">
      <c r="B283" s="674" t="s">
        <v>524</v>
      </c>
      <c r="C283" s="544">
        <v>6876.85</v>
      </c>
      <c r="D283" s="673">
        <f t="shared" si="4"/>
        <v>-1.7213782458948425E-2</v>
      </c>
      <c r="E283" s="673">
        <v>-1.7213782458948425E-2</v>
      </c>
    </row>
    <row r="284" spans="2:5" outlineLevel="1">
      <c r="B284" s="674" t="s">
        <v>413</v>
      </c>
      <c r="C284" s="544">
        <v>6997.3</v>
      </c>
      <c r="D284" s="673">
        <f t="shared" si="4"/>
        <v>-4.2331590616702733E-2</v>
      </c>
      <c r="E284" s="673">
        <v>-4.2331590616702733E-2</v>
      </c>
    </row>
    <row r="285" spans="2:5" outlineLevel="1">
      <c r="B285" s="674" t="s">
        <v>534</v>
      </c>
      <c r="C285" s="544">
        <v>7306.6</v>
      </c>
      <c r="D285" s="673">
        <f t="shared" si="4"/>
        <v>-1.591910634372922E-3</v>
      </c>
      <c r="E285" s="673">
        <v>-1.591910634372922E-3</v>
      </c>
    </row>
    <row r="286" spans="2:5" outlineLevel="1">
      <c r="B286" s="674" t="s">
        <v>540</v>
      </c>
      <c r="C286" s="544">
        <v>7318.25</v>
      </c>
      <c r="D286" s="673">
        <f t="shared" si="4"/>
        <v>3.5464655611522955E-2</v>
      </c>
      <c r="E286" s="673">
        <v>3.5464655611522955E-2</v>
      </c>
    </row>
    <row r="287" spans="2:5" outlineLevel="1">
      <c r="B287" s="674" t="s">
        <v>485</v>
      </c>
      <c r="C287" s="544">
        <v>7067.6</v>
      </c>
      <c r="D287" s="673">
        <f t="shared" si="4"/>
        <v>-6.8225093625063097E-3</v>
      </c>
      <c r="E287" s="673">
        <v>-6.8225093625063097E-3</v>
      </c>
    </row>
    <row r="288" spans="2:5" outlineLevel="1">
      <c r="B288" s="674">
        <v>45939</v>
      </c>
      <c r="C288" s="544">
        <v>7116.15</v>
      </c>
      <c r="D288" s="673">
        <f t="shared" si="4"/>
        <v>2.2273778569478857E-2</v>
      </c>
      <c r="E288" s="673">
        <v>2.2273778569478857E-2</v>
      </c>
    </row>
    <row r="289" spans="2:5" outlineLevel="1">
      <c r="B289" s="674">
        <v>45814</v>
      </c>
      <c r="C289" s="544">
        <v>6961.1</v>
      </c>
      <c r="D289" s="673">
        <f t="shared" si="4"/>
        <v>-2.2152609990447804E-2</v>
      </c>
      <c r="E289" s="673">
        <v>-2.2152609990447804E-2</v>
      </c>
    </row>
    <row r="290" spans="2:5" outlineLevel="1">
      <c r="B290" s="674" t="s">
        <v>508</v>
      </c>
      <c r="C290" s="544">
        <v>7118.8</v>
      </c>
      <c r="D290" s="673">
        <f t="shared" si="4"/>
        <v>7.80757823504853E-3</v>
      </c>
      <c r="E290" s="673">
        <v>7.80757823504853E-3</v>
      </c>
    </row>
    <row r="291" spans="2:5" outlineLevel="1">
      <c r="B291" s="674">
        <v>45389</v>
      </c>
      <c r="C291" s="544">
        <v>7063.65</v>
      </c>
      <c r="D291" s="673">
        <f t="shared" si="4"/>
        <v>7.7539839926953407E-3</v>
      </c>
      <c r="E291" s="673">
        <v>7.7539839926953407E-3</v>
      </c>
    </row>
    <row r="292" spans="2:5" outlineLevel="1">
      <c r="B292" s="674">
        <v>45718</v>
      </c>
      <c r="C292" s="544">
        <v>7009.3</v>
      </c>
      <c r="D292" s="673">
        <f t="shared" si="4"/>
        <v>8.6920231979162963E-3</v>
      </c>
      <c r="E292" s="673">
        <v>8.6920231979162963E-3</v>
      </c>
    </row>
    <row r="293" spans="2:5" outlineLevel="1">
      <c r="B293" s="674" t="s">
        <v>538</v>
      </c>
      <c r="C293" s="544">
        <v>6948.9</v>
      </c>
      <c r="D293" s="673">
        <f t="shared" si="4"/>
        <v>1.7557475472250641E-2</v>
      </c>
      <c r="E293" s="673">
        <v>1.7557475472250641E-2</v>
      </c>
    </row>
    <row r="294" spans="2:5" outlineLevel="1">
      <c r="B294" s="674" t="s">
        <v>417</v>
      </c>
      <c r="C294" s="544">
        <v>6829</v>
      </c>
      <c r="D294" s="673">
        <f t="shared" si="4"/>
        <v>-3.7416572109183914E-2</v>
      </c>
      <c r="E294" s="673">
        <v>-3.7416572109183914E-2</v>
      </c>
    </row>
    <row r="295" spans="2:5" outlineLevel="1">
      <c r="B295" s="674" t="s">
        <v>426</v>
      </c>
      <c r="C295" s="544">
        <v>7094.45</v>
      </c>
      <c r="D295" s="673">
        <f t="shared" si="4"/>
        <v>-2.6780066071554341E-3</v>
      </c>
      <c r="E295" s="673">
        <v>-2.6780066071554341E-3</v>
      </c>
    </row>
    <row r="296" spans="2:5" outlineLevel="1">
      <c r="B296" s="674" t="s">
        <v>204</v>
      </c>
      <c r="C296" s="544">
        <v>7113.5</v>
      </c>
      <c r="D296" s="673">
        <f t="shared" si="4"/>
        <v>2.4409562211981567E-2</v>
      </c>
      <c r="E296" s="673">
        <v>2.4409562211981567E-2</v>
      </c>
    </row>
    <row r="297" spans="2:5" outlineLevel="1">
      <c r="B297" s="674" t="s">
        <v>509</v>
      </c>
      <c r="C297" s="544">
        <v>6944</v>
      </c>
      <c r="D297" s="673">
        <f t="shared" si="4"/>
        <v>-7.6101325520740292E-3</v>
      </c>
      <c r="E297" s="673">
        <v>-7.6101325520740292E-3</v>
      </c>
    </row>
    <row r="298" spans="2:5" outlineLevel="1">
      <c r="B298" s="674" t="s">
        <v>427</v>
      </c>
      <c r="C298" s="544">
        <v>6997.25</v>
      </c>
      <c r="D298" s="673">
        <f t="shared" si="4"/>
        <v>-1.3574919264951248E-4</v>
      </c>
      <c r="E298" s="673">
        <v>-1.3574919264951248E-4</v>
      </c>
    </row>
    <row r="299" spans="2:5" outlineLevel="1">
      <c r="B299" s="674">
        <v>45905</v>
      </c>
      <c r="C299" s="544">
        <v>6998.2</v>
      </c>
      <c r="D299" s="673">
        <f t="shared" si="4"/>
        <v>-2.1388239320139168E-3</v>
      </c>
      <c r="E299" s="673">
        <v>-2.1388239320139168E-3</v>
      </c>
    </row>
    <row r="300" spans="2:5" outlineLevel="1">
      <c r="B300" s="674">
        <v>45846</v>
      </c>
      <c r="C300" s="544">
        <v>7013.2</v>
      </c>
      <c r="D300" s="673">
        <f t="shared" si="4"/>
        <v>-5.4667281171340704E-3</v>
      </c>
      <c r="E300" s="673">
        <v>-5.4667281171340704E-3</v>
      </c>
    </row>
    <row r="301" spans="2:5" outlineLevel="1">
      <c r="B301" s="674" t="s">
        <v>546</v>
      </c>
      <c r="C301" s="544">
        <v>7051.75</v>
      </c>
      <c r="D301" s="673">
        <f t="shared" si="4"/>
        <v>2.5477892257018391E-2</v>
      </c>
      <c r="E301" s="673">
        <v>2.5477892257018391E-2</v>
      </c>
    </row>
    <row r="302" spans="2:5" outlineLevel="1">
      <c r="B302" s="674" t="s">
        <v>536</v>
      </c>
      <c r="C302" s="544">
        <v>6876.55</v>
      </c>
      <c r="D302" s="673">
        <f t="shared" si="4"/>
        <v>-9.9415457267910869E-3</v>
      </c>
      <c r="E302" s="673">
        <v>-9.9415457267910869E-3</v>
      </c>
    </row>
    <row r="303" spans="2:5" outlineLevel="1">
      <c r="B303" s="674" t="s">
        <v>521</v>
      </c>
      <c r="C303" s="544">
        <v>6945.6</v>
      </c>
      <c r="D303" s="673">
        <f t="shared" si="4"/>
        <v>-7.8281241071937718E-3</v>
      </c>
      <c r="E303" s="673">
        <v>-7.8281241071937718E-3</v>
      </c>
    </row>
    <row r="304" spans="2:5" outlineLevel="1">
      <c r="B304" s="674">
        <v>45937</v>
      </c>
      <c r="C304" s="544">
        <v>7000.4</v>
      </c>
      <c r="D304" s="673">
        <f t="shared" si="4"/>
        <v>3.9006481959501832E-3</v>
      </c>
      <c r="E304" s="673">
        <v>3.9006481959501832E-3</v>
      </c>
    </row>
    <row r="305" spans="2:5" outlineLevel="1">
      <c r="B305" s="674" t="s">
        <v>539</v>
      </c>
      <c r="C305" s="544">
        <v>6973.2</v>
      </c>
      <c r="D305" s="673">
        <f t="shared" si="4"/>
        <v>2.0338883848877703E-2</v>
      </c>
      <c r="E305" s="673">
        <v>2.0338883848877703E-2</v>
      </c>
    </row>
    <row r="306" spans="2:5" outlineLevel="1">
      <c r="B306" s="674" t="s">
        <v>8874</v>
      </c>
      <c r="C306" s="544">
        <v>6834.2</v>
      </c>
      <c r="D306" s="673">
        <f t="shared" si="4"/>
        <v>-2.4137451816534091E-4</v>
      </c>
      <c r="E306" s="673">
        <v>-2.4137451816534091E-4</v>
      </c>
    </row>
    <row r="307" spans="2:5" outlineLevel="1">
      <c r="B307" s="674">
        <v>45298</v>
      </c>
      <c r="C307" s="544">
        <v>6835.85</v>
      </c>
      <c r="D307" s="673">
        <f t="shared" si="4"/>
        <v>4.0317842664944377E-3</v>
      </c>
      <c r="E307" s="673">
        <v>4.0317842664944377E-3</v>
      </c>
    </row>
    <row r="308" spans="2:5" outlineLevel="1">
      <c r="B308" s="674" t="s">
        <v>173</v>
      </c>
      <c r="C308" s="544">
        <v>6808.4</v>
      </c>
      <c r="D308" s="673">
        <f t="shared" si="4"/>
        <v>2.0089039331836543E-3</v>
      </c>
      <c r="E308" s="673">
        <v>2.0089039331836543E-3</v>
      </c>
    </row>
    <row r="309" spans="2:5" outlineLevel="1">
      <c r="B309" s="674" t="s">
        <v>527</v>
      </c>
      <c r="C309" s="544">
        <v>6794.75</v>
      </c>
      <c r="D309" s="673">
        <f t="shared" si="4"/>
        <v>6.6669135893922E-3</v>
      </c>
      <c r="E309" s="673">
        <v>6.6669135893922E-3</v>
      </c>
    </row>
    <row r="310" spans="2:5" outlineLevel="1">
      <c r="B310" s="674" t="s">
        <v>415</v>
      </c>
      <c r="C310" s="544">
        <v>6749.75</v>
      </c>
      <c r="D310" s="673">
        <f t="shared" si="4"/>
        <v>-1.5030462223195068E-2</v>
      </c>
      <c r="E310" s="673">
        <v>-1.5030462223195068E-2</v>
      </c>
    </row>
    <row r="311" spans="2:5" outlineLevel="1">
      <c r="B311" s="674" t="s">
        <v>202</v>
      </c>
      <c r="C311" s="544">
        <v>6852.75</v>
      </c>
      <c r="D311" s="673">
        <f t="shared" si="4"/>
        <v>2.7537448831176564E-2</v>
      </c>
      <c r="E311" s="673">
        <v>2.7537448831176564E-2</v>
      </c>
    </row>
    <row r="312" spans="2:5" outlineLevel="1">
      <c r="B312" s="674" t="s">
        <v>519</v>
      </c>
      <c r="C312" s="544">
        <v>6669.1</v>
      </c>
      <c r="D312" s="673">
        <f t="shared" si="4"/>
        <v>-1.5085840871330941E-2</v>
      </c>
      <c r="E312" s="673">
        <v>-1.5085840871330941E-2</v>
      </c>
    </row>
    <row r="313" spans="2:5" outlineLevel="1">
      <c r="B313" s="674" t="s">
        <v>537</v>
      </c>
      <c r="C313" s="544">
        <v>6771.25</v>
      </c>
      <c r="D313" s="673">
        <f t="shared" si="4"/>
        <v>1.7858082360634079E-2</v>
      </c>
      <c r="E313" s="673">
        <v>1.7858082360634079E-2</v>
      </c>
    </row>
    <row r="314" spans="2:5" outlineLevel="1">
      <c r="B314" s="674" t="s">
        <v>8954</v>
      </c>
      <c r="C314" s="544">
        <v>6652.45</v>
      </c>
      <c r="D314" s="673">
        <f t="shared" si="4"/>
        <v>2.9878704843291613E-2</v>
      </c>
      <c r="E314" s="673">
        <v>2.9878704843291613E-2</v>
      </c>
    </row>
    <row r="315" spans="2:5" outlineLevel="1">
      <c r="B315" s="674" t="s">
        <v>489</v>
      </c>
      <c r="C315" s="544">
        <v>6459.45</v>
      </c>
      <c r="D315" s="673">
        <f t="shared" si="4"/>
        <v>6.6466151352698594E-3</v>
      </c>
      <c r="E315" s="673">
        <v>6.6466151352698594E-3</v>
      </c>
    </row>
    <row r="316" spans="2:5" outlineLevel="1">
      <c r="B316" s="674">
        <v>45451</v>
      </c>
      <c r="C316" s="544">
        <v>6416.8</v>
      </c>
      <c r="D316" s="673">
        <f t="shared" si="4"/>
        <v>1.7635117990357746E-2</v>
      </c>
      <c r="E316" s="673">
        <v>1.7635117990357746E-2</v>
      </c>
    </row>
    <row r="317" spans="2:5" outlineLevel="1">
      <c r="B317" s="674" t="s">
        <v>525</v>
      </c>
      <c r="C317" s="544">
        <v>6305.6</v>
      </c>
      <c r="D317" s="673">
        <f t="shared" si="4"/>
        <v>-2.4014239832836688E-2</v>
      </c>
      <c r="E317" s="673">
        <v>-2.4014239832836688E-2</v>
      </c>
    </row>
    <row r="318" spans="2:5" outlineLevel="1">
      <c r="B318" s="674">
        <v>45968</v>
      </c>
      <c r="C318" s="544">
        <v>6460.75</v>
      </c>
      <c r="D318" s="673">
        <f t="shared" si="4"/>
        <v>-5.8243313944542456E-3</v>
      </c>
      <c r="E318" s="673">
        <v>-5.8243313944542456E-3</v>
      </c>
    </row>
    <row r="319" spans="2:5" outlineLevel="1">
      <c r="B319" s="674">
        <v>45329</v>
      </c>
      <c r="C319" s="544">
        <v>6498.6</v>
      </c>
      <c r="D319" s="673">
        <f t="shared" si="4"/>
        <v>-3.6413255958358563E-3</v>
      </c>
      <c r="E319" s="673">
        <v>-3.6413255958358563E-3</v>
      </c>
    </row>
    <row r="320" spans="2:5" outlineLevel="1">
      <c r="B320" s="674">
        <v>45876</v>
      </c>
      <c r="C320" s="544">
        <v>6522.35</v>
      </c>
      <c r="D320" s="673">
        <f t="shared" si="4"/>
        <v>6.9161951663823792E-3</v>
      </c>
      <c r="E320" s="673">
        <v>6.9161951663823792E-3</v>
      </c>
    </row>
    <row r="321" spans="2:5" outlineLevel="1">
      <c r="B321" s="674">
        <v>45725</v>
      </c>
      <c r="C321" s="544">
        <v>6477.55</v>
      </c>
      <c r="D321" s="673">
        <f t="shared" si="4"/>
        <v>2.8247825258746556E-2</v>
      </c>
      <c r="E321" s="673">
        <v>2.8247825258746556E-2</v>
      </c>
    </row>
    <row r="322" spans="2:5" outlineLevel="1">
      <c r="B322" s="674">
        <v>45603</v>
      </c>
      <c r="C322" s="544">
        <v>6299.6</v>
      </c>
      <c r="D322" s="673">
        <f t="shared" si="4"/>
        <v>-3.059960452107802E-2</v>
      </c>
      <c r="E322" s="673">
        <v>-3.059960452107802E-2</v>
      </c>
    </row>
    <row r="323" spans="2:5" outlineLevel="1">
      <c r="B323" s="674">
        <v>45661</v>
      </c>
      <c r="C323" s="544">
        <v>6498.45</v>
      </c>
      <c r="D323" s="673">
        <f t="shared" si="4"/>
        <v>-6.5381379394654202E-2</v>
      </c>
      <c r="E323" s="673">
        <v>-6.5381379394654202E-2</v>
      </c>
    </row>
    <row r="324" spans="2:5" outlineLevel="1">
      <c r="B324" s="674" t="s">
        <v>522</v>
      </c>
      <c r="C324" s="544">
        <v>6953.05</v>
      </c>
      <c r="D324" s="673">
        <f t="shared" si="4"/>
        <v>-2.2815488703462699E-3</v>
      </c>
      <c r="E324" s="673">
        <v>-2.2815488703462699E-3</v>
      </c>
    </row>
    <row r="325" spans="2:5" outlineLevel="1">
      <c r="B325" s="674" t="s">
        <v>533</v>
      </c>
      <c r="C325" s="544">
        <v>6968.95</v>
      </c>
      <c r="D325" s="673">
        <f t="shared" si="4"/>
        <v>-1.4041764522792224E-2</v>
      </c>
      <c r="E325" s="673">
        <v>-1.4041764522792224E-2</v>
      </c>
    </row>
    <row r="326" spans="2:5" outlineLevel="1">
      <c r="B326" s="674" t="s">
        <v>483</v>
      </c>
      <c r="C326" s="544">
        <v>7068.2</v>
      </c>
      <c r="D326" s="673">
        <f t="shared" si="4"/>
        <v>-9.6052124566504624E-3</v>
      </c>
      <c r="E326" s="673">
        <v>-9.6052124566504624E-3</v>
      </c>
    </row>
    <row r="327" spans="2:5" outlineLevel="1">
      <c r="B327" s="674" t="s">
        <v>174</v>
      </c>
      <c r="C327" s="544">
        <v>7136.75</v>
      </c>
      <c r="D327" s="673">
        <f t="shared" si="4"/>
        <v>2.0007020007020006E-3</v>
      </c>
      <c r="E327" s="673">
        <v>2.0007020007020006E-3</v>
      </c>
    </row>
    <row r="328" spans="2:5" outlineLevel="1">
      <c r="B328" s="674" t="s">
        <v>529</v>
      </c>
      <c r="C328" s="544">
        <v>7122.5</v>
      </c>
      <c r="D328" s="673">
        <f t="shared" si="4"/>
        <v>-1.79790152904355E-2</v>
      </c>
      <c r="E328" s="673">
        <v>-1.79790152904355E-2</v>
      </c>
    </row>
    <row r="329" spans="2:5" outlineLevel="1">
      <c r="B329" s="674">
        <v>45751</v>
      </c>
      <c r="C329" s="544">
        <v>7252.9</v>
      </c>
      <c r="D329" s="673">
        <f t="shared" si="4"/>
        <v>-2.1775341061590122E-2</v>
      </c>
      <c r="E329" s="673">
        <v>-2.1775341061590122E-2</v>
      </c>
    </row>
    <row r="330" spans="2:5" outlineLevel="1">
      <c r="B330" s="674" t="s">
        <v>8955</v>
      </c>
      <c r="C330" s="544">
        <v>7414.35</v>
      </c>
      <c r="D330" s="673">
        <f t="shared" ref="D330:D393" si="5">(C330-C331)/C331</f>
        <v>1.5935763662896278E-2</v>
      </c>
      <c r="E330" s="673">
        <v>1.5935763662896278E-2</v>
      </c>
    </row>
    <row r="331" spans="2:5" outlineLevel="1">
      <c r="B331" s="674" t="s">
        <v>510</v>
      </c>
      <c r="C331" s="544">
        <v>7298.05</v>
      </c>
      <c r="D331" s="673">
        <f t="shared" si="5"/>
        <v>-8.2688988843440531E-3</v>
      </c>
      <c r="E331" s="673">
        <v>-8.2688988843440531E-3</v>
      </c>
    </row>
    <row r="332" spans="2:5" outlineLevel="1">
      <c r="B332" s="674">
        <v>45786</v>
      </c>
      <c r="C332" s="544">
        <v>7358.9</v>
      </c>
      <c r="D332" s="673">
        <f t="shared" si="5"/>
        <v>-1.8263560927452779E-2</v>
      </c>
      <c r="E332" s="673">
        <v>-1.8263560927452779E-2</v>
      </c>
    </row>
    <row r="333" spans="2:5" outlineLevel="1">
      <c r="B333" s="674" t="s">
        <v>545</v>
      </c>
      <c r="C333" s="544">
        <v>7495.8</v>
      </c>
      <c r="D333" s="673">
        <f t="shared" si="5"/>
        <v>-1.6049867805030976E-3</v>
      </c>
      <c r="E333" s="673">
        <v>-1.6049867805030976E-3</v>
      </c>
    </row>
    <row r="334" spans="2:5" outlineLevel="1">
      <c r="B334" s="674" t="s">
        <v>168</v>
      </c>
      <c r="C334" s="544">
        <v>7507.85</v>
      </c>
      <c r="D334" s="673">
        <f t="shared" si="5"/>
        <v>1.2669453946534905E-3</v>
      </c>
      <c r="E334" s="673">
        <v>1.2669453946534905E-3</v>
      </c>
    </row>
    <row r="335" spans="2:5" outlineLevel="1">
      <c r="B335" s="674" t="s">
        <v>8953</v>
      </c>
      <c r="C335" s="544">
        <v>7498.35</v>
      </c>
      <c r="D335" s="673">
        <f t="shared" si="5"/>
        <v>-1.3978289599126755E-2</v>
      </c>
      <c r="E335" s="673">
        <v>-1.3978289599126755E-2</v>
      </c>
    </row>
    <row r="336" spans="2:5" outlineLevel="1">
      <c r="B336" s="674">
        <v>45878</v>
      </c>
      <c r="C336" s="544">
        <v>7604.65</v>
      </c>
      <c r="D336" s="673">
        <f t="shared" si="5"/>
        <v>-2.131835321673559E-2</v>
      </c>
      <c r="E336" s="673">
        <v>-2.131835321673559E-2</v>
      </c>
    </row>
    <row r="337" spans="2:5" outlineLevel="1">
      <c r="B337" s="674">
        <v>45906</v>
      </c>
      <c r="C337" s="544">
        <v>7770.3</v>
      </c>
      <c r="D337" s="673">
        <f t="shared" si="5"/>
        <v>6.5611782917620034E-3</v>
      </c>
      <c r="E337" s="673">
        <v>6.5611782917620034E-3</v>
      </c>
    </row>
    <row r="338" spans="2:5" outlineLevel="1">
      <c r="B338" s="674" t="s">
        <v>484</v>
      </c>
      <c r="C338" s="544">
        <v>7719.65</v>
      </c>
      <c r="D338" s="673">
        <f t="shared" si="5"/>
        <v>-1.0491572133564105E-2</v>
      </c>
      <c r="E338" s="673">
        <v>-1.0491572133564105E-2</v>
      </c>
    </row>
    <row r="339" spans="2:5" outlineLevel="1">
      <c r="B339" s="674" t="s">
        <v>8956</v>
      </c>
      <c r="C339" s="544">
        <v>7801.5</v>
      </c>
      <c r="D339" s="673">
        <f t="shared" si="5"/>
        <v>-3.9720834051352724E-2</v>
      </c>
      <c r="E339" s="673">
        <v>-3.9720834051352724E-2</v>
      </c>
    </row>
    <row r="340" spans="2:5" outlineLevel="1">
      <c r="B340" s="674" t="s">
        <v>517</v>
      </c>
      <c r="C340" s="544">
        <v>8124.2</v>
      </c>
      <c r="D340" s="673">
        <f t="shared" si="5"/>
        <v>-7.9433403547333609E-3</v>
      </c>
      <c r="E340" s="673">
        <v>-7.9433403547333609E-3</v>
      </c>
    </row>
    <row r="341" spans="2:5" outlineLevel="1">
      <c r="B341" s="674" t="s">
        <v>514</v>
      </c>
      <c r="C341" s="544">
        <v>8189.25</v>
      </c>
      <c r="D341" s="673">
        <f t="shared" si="5"/>
        <v>-6.0262899173432905E-3</v>
      </c>
      <c r="E341" s="673">
        <v>-6.0262899173432905E-3</v>
      </c>
    </row>
    <row r="342" spans="2:5" outlineLevel="1">
      <c r="B342" s="674">
        <v>45419</v>
      </c>
      <c r="C342" s="544">
        <v>8238.9</v>
      </c>
      <c r="D342" s="673">
        <f t="shared" si="5"/>
        <v>2.559346719280986E-2</v>
      </c>
      <c r="E342" s="673">
        <v>2.559346719280986E-2</v>
      </c>
    </row>
    <row r="343" spans="2:5" outlineLevel="1">
      <c r="B343" s="674">
        <v>45907</v>
      </c>
      <c r="C343" s="544">
        <v>8033.3</v>
      </c>
      <c r="D343" s="673">
        <f t="shared" si="5"/>
        <v>-2.2718839909732801E-2</v>
      </c>
      <c r="E343" s="673">
        <v>-2.2718839909732801E-2</v>
      </c>
    </row>
    <row r="344" spans="2:5" outlineLevel="1">
      <c r="B344" s="674">
        <v>45358</v>
      </c>
      <c r="C344" s="544">
        <v>8220.0499999999993</v>
      </c>
      <c r="D344" s="673">
        <f t="shared" si="5"/>
        <v>2.1403364894753731E-2</v>
      </c>
      <c r="E344" s="673">
        <v>2.1403364894753731E-2</v>
      </c>
    </row>
    <row r="345" spans="2:5" outlineLevel="1">
      <c r="B345" s="674">
        <v>45542</v>
      </c>
      <c r="C345" s="544">
        <v>8047.8</v>
      </c>
      <c r="D345" s="673">
        <f t="shared" si="5"/>
        <v>8.0321366006886469E-2</v>
      </c>
      <c r="E345" s="673">
        <v>8.0321366006886469E-2</v>
      </c>
    </row>
    <row r="346" spans="2:5" outlineLevel="1">
      <c r="B346" s="674" t="s">
        <v>523</v>
      </c>
      <c r="C346" s="544">
        <v>7449.45</v>
      </c>
      <c r="D346" s="673">
        <f t="shared" si="5"/>
        <v>1.1995408326144718E-2</v>
      </c>
      <c r="E346" s="673">
        <v>1.1995408326144718E-2</v>
      </c>
    </row>
    <row r="347" spans="2:5" outlineLevel="1">
      <c r="B347" s="674" t="s">
        <v>547</v>
      </c>
      <c r="C347" s="544">
        <v>7361.15</v>
      </c>
      <c r="D347" s="673">
        <f t="shared" si="5"/>
        <v>-1.6408447410792455E-2</v>
      </c>
      <c r="E347" s="673">
        <v>-1.6408447410792455E-2</v>
      </c>
    </row>
    <row r="348" spans="2:5" outlineLevel="1">
      <c r="B348" s="674">
        <v>45572</v>
      </c>
      <c r="C348" s="544">
        <v>7483.95</v>
      </c>
      <c r="D348" s="673">
        <f t="shared" si="5"/>
        <v>-1.6867327435023421E-2</v>
      </c>
      <c r="E348" s="673">
        <v>-1.6867327435023421E-2</v>
      </c>
    </row>
    <row r="349" spans="2:5" outlineLevel="1">
      <c r="B349" s="674" t="s">
        <v>516</v>
      </c>
      <c r="C349" s="544">
        <v>7612.35</v>
      </c>
      <c r="D349" s="673">
        <f t="shared" si="5"/>
        <v>4.6455461486179803E-3</v>
      </c>
      <c r="E349" s="673">
        <v>4.6455461486179803E-3</v>
      </c>
    </row>
    <row r="350" spans="2:5" outlineLevel="1">
      <c r="B350" s="674">
        <v>45783</v>
      </c>
      <c r="C350" s="544">
        <v>7577.15</v>
      </c>
      <c r="D350" s="673">
        <f t="shared" si="5"/>
        <v>-3.1426562699731604E-2</v>
      </c>
      <c r="E350" s="673">
        <v>-3.1426562699731604E-2</v>
      </c>
    </row>
    <row r="351" spans="2:5" outlineLevel="1">
      <c r="B351" s="674" t="s">
        <v>418</v>
      </c>
      <c r="C351" s="544">
        <v>7823</v>
      </c>
      <c r="D351" s="673">
        <f t="shared" si="5"/>
        <v>-3.414099722285941E-3</v>
      </c>
      <c r="E351" s="673">
        <v>-3.414099722285941E-3</v>
      </c>
    </row>
    <row r="352" spans="2:5" outlineLevel="1">
      <c r="B352" s="674" t="s">
        <v>528</v>
      </c>
      <c r="C352" s="544">
        <v>7849.8</v>
      </c>
      <c r="D352" s="673">
        <f t="shared" si="5"/>
        <v>3.1565391084945306E-2</v>
      </c>
      <c r="E352" s="673">
        <v>3.1565391084945306E-2</v>
      </c>
    </row>
    <row r="353" spans="2:5" outlineLevel="1">
      <c r="B353" s="674">
        <v>45633</v>
      </c>
      <c r="C353" s="544">
        <v>7609.6</v>
      </c>
      <c r="D353" s="673">
        <f t="shared" si="5"/>
        <v>-5.9757162651107119E-4</v>
      </c>
      <c r="E353" s="673">
        <v>-5.9757162651107119E-4</v>
      </c>
    </row>
    <row r="354" spans="2:5" outlineLevel="1">
      <c r="B354" s="674">
        <v>45843</v>
      </c>
      <c r="C354" s="544">
        <v>7614.15</v>
      </c>
      <c r="D354" s="673">
        <f t="shared" si="5"/>
        <v>-1.4294988229586094E-3</v>
      </c>
      <c r="E354" s="673">
        <v>-1.4294988229586094E-3</v>
      </c>
    </row>
    <row r="355" spans="2:5">
      <c r="B355" s="674">
        <v>45511</v>
      </c>
      <c r="C355" s="544">
        <v>7625.05</v>
      </c>
      <c r="D355" s="673">
        <f t="shared" si="5"/>
        <v>1.9480302432698004E-2</v>
      </c>
      <c r="E355" s="673">
        <v>1.9480302432698004E-2</v>
      </c>
    </row>
    <row r="356" spans="2:5">
      <c r="B356" s="674">
        <v>45720</v>
      </c>
      <c r="C356" s="544">
        <v>7479.35</v>
      </c>
      <c r="D356" s="673">
        <f t="shared" si="5"/>
        <v>2.1280808356660116E-2</v>
      </c>
      <c r="E356" s="673">
        <v>2.1280808356660116E-2</v>
      </c>
    </row>
    <row r="357" spans="2:5">
      <c r="B357" s="674">
        <v>45722</v>
      </c>
      <c r="C357" s="544">
        <v>7323.5</v>
      </c>
      <c r="D357" s="673">
        <f t="shared" si="5"/>
        <v>-4.8450604267750075E-4</v>
      </c>
      <c r="E357" s="673">
        <v>-4.8450604267750075E-4</v>
      </c>
    </row>
    <row r="358" spans="2:5" hidden="1" outlineLevel="1">
      <c r="B358" s="674" t="s">
        <v>419</v>
      </c>
      <c r="C358" s="544">
        <v>7327.05</v>
      </c>
      <c r="D358" s="673">
        <f t="shared" si="5"/>
        <v>-1.0352931642286916E-2</v>
      </c>
      <c r="E358" s="673">
        <v>-1.0352931642286916E-2</v>
      </c>
    </row>
    <row r="359" spans="2:5" hidden="1" outlineLevel="1">
      <c r="B359" s="674">
        <v>45753</v>
      </c>
      <c r="C359" s="544">
        <v>7403.7</v>
      </c>
      <c r="D359" s="673">
        <f t="shared" si="5"/>
        <v>1.0151037616143374E-2</v>
      </c>
      <c r="E359" s="673">
        <v>1.0151037616143374E-2</v>
      </c>
    </row>
    <row r="360" spans="2:5" hidden="1" outlineLevel="1">
      <c r="B360" s="674">
        <v>45693</v>
      </c>
      <c r="C360" s="544">
        <v>7329.3</v>
      </c>
      <c r="D360" s="673">
        <f t="shared" si="5"/>
        <v>1.3993898853787006E-2</v>
      </c>
      <c r="E360" s="673">
        <v>1.3993898853787006E-2</v>
      </c>
    </row>
    <row r="361" spans="2:5" hidden="1" outlineLevel="1">
      <c r="B361" s="674">
        <v>45694</v>
      </c>
      <c r="C361" s="544">
        <v>7228.15</v>
      </c>
      <c r="D361" s="673">
        <f t="shared" si="5"/>
        <v>2.4269656688370674E-3</v>
      </c>
      <c r="E361" s="673">
        <v>2.4269656688370674E-3</v>
      </c>
    </row>
    <row r="362" spans="2:5" hidden="1" outlineLevel="1">
      <c r="B362" s="674">
        <v>45932</v>
      </c>
      <c r="C362" s="544">
        <v>7210.65</v>
      </c>
      <c r="D362" s="673">
        <f t="shared" si="5"/>
        <v>8.863486911141194E-3</v>
      </c>
      <c r="E362" s="673">
        <v>8.863486911141194E-3</v>
      </c>
    </row>
    <row r="363" spans="2:5" hidden="1" outlineLevel="1">
      <c r="B363" s="674">
        <v>45420</v>
      </c>
      <c r="C363" s="544">
        <v>7147.3</v>
      </c>
      <c r="D363" s="673">
        <f t="shared" si="5"/>
        <v>2.1874167449556716E-3</v>
      </c>
      <c r="E363" s="673">
        <v>2.1874167449556716E-3</v>
      </c>
    </row>
    <row r="364" spans="2:5" hidden="1" outlineLevel="1">
      <c r="B364" s="674">
        <v>45936</v>
      </c>
      <c r="C364" s="544">
        <v>7131.7</v>
      </c>
      <c r="D364" s="673">
        <f t="shared" si="5"/>
        <v>-1.8225150707979558E-4</v>
      </c>
      <c r="E364" s="673">
        <v>-1.8225150707979558E-4</v>
      </c>
    </row>
    <row r="365" spans="2:5" hidden="1" outlineLevel="1">
      <c r="B365" s="674" t="s">
        <v>487</v>
      </c>
      <c r="C365" s="544">
        <v>7133</v>
      </c>
      <c r="D365" s="673">
        <f t="shared" si="5"/>
        <v>5.6960776020076745E-3</v>
      </c>
      <c r="E365" s="673">
        <v>5.6960776020076745E-3</v>
      </c>
    </row>
    <row r="366" spans="2:5" hidden="1" outlineLevel="1">
      <c r="B366" s="674" t="s">
        <v>526</v>
      </c>
      <c r="C366" s="544">
        <v>7092.6</v>
      </c>
      <c r="D366" s="673">
        <f t="shared" si="5"/>
        <v>-1.0118491018966936E-2</v>
      </c>
      <c r="E366" s="673">
        <v>-1.0118491018966936E-2</v>
      </c>
    </row>
    <row r="367" spans="2:5" hidden="1" outlineLevel="1">
      <c r="B367" s="674" t="s">
        <v>518</v>
      </c>
      <c r="C367" s="544">
        <v>7165.1</v>
      </c>
      <c r="D367" s="673">
        <f t="shared" si="5"/>
        <v>3.7684570339862355E-3</v>
      </c>
      <c r="E367" s="673">
        <v>3.7684570339862355E-3</v>
      </c>
    </row>
    <row r="368" spans="2:5" hidden="1" outlineLevel="1">
      <c r="B368" s="674">
        <v>45779</v>
      </c>
      <c r="C368" s="544">
        <v>7138.2</v>
      </c>
      <c r="D368" s="673">
        <f t="shared" si="5"/>
        <v>1.3552944517411496E-2</v>
      </c>
      <c r="E368" s="673">
        <v>1.3552944517411496E-2</v>
      </c>
    </row>
    <row r="369" spans="2:5" hidden="1" outlineLevel="1">
      <c r="B369" s="674">
        <v>45909</v>
      </c>
      <c r="C369" s="544">
        <v>7042.75</v>
      </c>
      <c r="D369" s="673">
        <f t="shared" si="5"/>
        <v>-1.4689937392885873E-2</v>
      </c>
      <c r="E369" s="673">
        <v>-1.4689937392885873E-2</v>
      </c>
    </row>
    <row r="370" spans="2:5" hidden="1" outlineLevel="1">
      <c r="B370" s="674" t="s">
        <v>482</v>
      </c>
      <c r="C370" s="544">
        <v>7147.75</v>
      </c>
      <c r="D370" s="673">
        <f t="shared" si="5"/>
        <v>-2.7067941929497272E-3</v>
      </c>
      <c r="E370" s="673">
        <v>-2.7067941929497272E-3</v>
      </c>
    </row>
    <row r="371" spans="2:5" hidden="1" outlineLevel="1">
      <c r="B371" s="674">
        <v>45664</v>
      </c>
      <c r="C371" s="544">
        <v>7167.15</v>
      </c>
      <c r="D371" s="673">
        <f t="shared" si="5"/>
        <v>-1.1160792137224477E-4</v>
      </c>
      <c r="E371" s="673">
        <v>-1.1160792137224477E-4</v>
      </c>
    </row>
    <row r="372" spans="2:5" hidden="1" outlineLevel="1">
      <c r="B372" s="674" t="s">
        <v>171</v>
      </c>
      <c r="C372" s="544">
        <v>7167.95</v>
      </c>
      <c r="D372" s="673">
        <f t="shared" si="5"/>
        <v>-9.8012128914613857E-3</v>
      </c>
      <c r="E372" s="673">
        <v>-9.8012128914613857E-3</v>
      </c>
    </row>
    <row r="373" spans="2:5" hidden="1" outlineLevel="1">
      <c r="B373" s="674">
        <v>45997</v>
      </c>
      <c r="C373" s="544">
        <v>7238.9</v>
      </c>
      <c r="D373" s="673">
        <f t="shared" si="5"/>
        <v>5.3084084957811993E-2</v>
      </c>
      <c r="E373" s="673">
        <v>5.3084084957811993E-2</v>
      </c>
    </row>
    <row r="374" spans="2:5" hidden="1" outlineLevel="1">
      <c r="B374" s="674">
        <v>45299</v>
      </c>
      <c r="C374" s="544">
        <v>6874</v>
      </c>
      <c r="D374" s="673">
        <f t="shared" si="5"/>
        <v>-7.2929453390136473E-3</v>
      </c>
      <c r="E374" s="673">
        <v>-7.2929453390136473E-3</v>
      </c>
    </row>
    <row r="375" spans="2:5" collapsed="1">
      <c r="B375" s="674">
        <v>45845</v>
      </c>
      <c r="C375" s="544">
        <v>6924.5</v>
      </c>
      <c r="D375" s="673">
        <f t="shared" si="5"/>
        <v>-3.6762325450896299E-3</v>
      </c>
      <c r="E375" s="673">
        <v>-3.6762325450896299E-3</v>
      </c>
    </row>
    <row r="376" spans="2:5">
      <c r="B376" s="674" t="s">
        <v>478</v>
      </c>
      <c r="C376" s="544">
        <v>6950.05</v>
      </c>
      <c r="D376" s="673">
        <f t="shared" si="5"/>
        <v>-6.234226762849078E-3</v>
      </c>
      <c r="E376" s="673">
        <v>-6.234226762849078E-3</v>
      </c>
    </row>
    <row r="377" spans="2:5">
      <c r="B377" s="674">
        <v>45723</v>
      </c>
      <c r="C377" s="544">
        <v>6993.65</v>
      </c>
      <c r="D377" s="673">
        <f t="shared" si="5"/>
        <v>2.9818219300118538E-2</v>
      </c>
      <c r="E377" s="673">
        <v>2.9818219300118538E-2</v>
      </c>
    </row>
    <row r="378" spans="2:5">
      <c r="B378" s="674" t="s">
        <v>185</v>
      </c>
      <c r="C378" s="544">
        <v>6791.15</v>
      </c>
      <c r="D378" s="673">
        <f t="shared" si="5"/>
        <v>-2.6498060489186316E-4</v>
      </c>
      <c r="E378" s="673">
        <v>-2.6498060489186316E-4</v>
      </c>
    </row>
    <row r="379" spans="2:5">
      <c r="B379" s="674" t="s">
        <v>420</v>
      </c>
      <c r="C379" s="544">
        <v>6792.95</v>
      </c>
      <c r="D379" s="673">
        <f t="shared" si="5"/>
        <v>1.6269710660961671E-2</v>
      </c>
      <c r="E379" s="673">
        <v>1.6269710660961671E-2</v>
      </c>
    </row>
    <row r="380" spans="2:5">
      <c r="B380" s="674">
        <v>45330</v>
      </c>
      <c r="C380" s="544">
        <v>6684.2</v>
      </c>
      <c r="D380" s="673">
        <f t="shared" si="5"/>
        <v>2.6293768568774519E-2</v>
      </c>
      <c r="E380" s="673">
        <v>2.6293768568774519E-2</v>
      </c>
    </row>
    <row r="381" spans="2:5">
      <c r="B381" s="674">
        <v>45967</v>
      </c>
      <c r="C381" s="544">
        <v>6512.95</v>
      </c>
      <c r="D381" s="673">
        <f t="shared" si="5"/>
        <v>1.1571107953001111E-2</v>
      </c>
      <c r="E381" s="673">
        <v>1.1571107953001111E-2</v>
      </c>
    </row>
    <row r="382" spans="2:5">
      <c r="B382" s="674" t="s">
        <v>531</v>
      </c>
      <c r="C382" s="544">
        <v>6438.45</v>
      </c>
      <c r="D382" s="673">
        <f t="shared" si="5"/>
        <v>9.4858065679411102E-3</v>
      </c>
      <c r="E382" s="673">
        <v>9.4858065679411102E-3</v>
      </c>
    </row>
    <row r="383" spans="2:5">
      <c r="B383" s="674" t="s">
        <v>172</v>
      </c>
      <c r="C383" s="544">
        <v>6377.95</v>
      </c>
      <c r="D383" s="673">
        <f t="shared" si="5"/>
        <v>-5.7978735906855094E-4</v>
      </c>
      <c r="E383" s="673">
        <v>-5.7978735906855094E-4</v>
      </c>
    </row>
    <row r="384" spans="2:5" hidden="1" outlineLevel="1">
      <c r="B384" s="674">
        <v>45607</v>
      </c>
      <c r="C384" s="544">
        <v>6381.65</v>
      </c>
      <c r="D384" s="673">
        <f t="shared" si="5"/>
        <v>1.6688174098679287E-2</v>
      </c>
      <c r="E384" s="673">
        <v>1.6688174098679287E-2</v>
      </c>
    </row>
    <row r="385" spans="2:5" hidden="1" outlineLevel="1">
      <c r="B385" s="674" t="s">
        <v>170</v>
      </c>
      <c r="C385" s="544">
        <v>6276.9</v>
      </c>
      <c r="D385" s="673">
        <f t="shared" si="5"/>
        <v>0.11237328985609971</v>
      </c>
      <c r="E385" s="673">
        <v>0.11237328985609971</v>
      </c>
    </row>
    <row r="386" spans="2:5" hidden="1" outlineLevel="1">
      <c r="B386" s="674">
        <v>45634</v>
      </c>
      <c r="C386" s="544">
        <v>5642.8</v>
      </c>
      <c r="D386" s="673">
        <f t="shared" si="5"/>
        <v>3.0384924402892512E-2</v>
      </c>
      <c r="E386" s="673">
        <v>3.0384924402892512E-2</v>
      </c>
    </row>
    <row r="387" spans="2:5" hidden="1" outlineLevel="1">
      <c r="B387" s="674" t="s">
        <v>532</v>
      </c>
      <c r="C387" s="544">
        <v>5476.4</v>
      </c>
      <c r="D387" s="673">
        <f t="shared" si="5"/>
        <v>4.9621466219453694E-2</v>
      </c>
      <c r="E387" s="673">
        <v>4.9621466219453694E-2</v>
      </c>
    </row>
    <row r="388" spans="2:5" hidden="1" outlineLevel="1">
      <c r="B388" s="674" t="s">
        <v>461</v>
      </c>
      <c r="C388" s="544">
        <v>5217.5</v>
      </c>
      <c r="D388" s="673">
        <f t="shared" si="5"/>
        <v>-2.3899724054066696E-2</v>
      </c>
      <c r="E388" s="673">
        <v>-2.3899724054066696E-2</v>
      </c>
    </row>
    <row r="389" spans="2:5" hidden="1" outlineLevel="1">
      <c r="B389" s="674" t="s">
        <v>186</v>
      </c>
      <c r="C389" s="544">
        <v>5345.25</v>
      </c>
      <c r="D389" s="673">
        <f t="shared" si="5"/>
        <v>-3.4552203086759839E-2</v>
      </c>
      <c r="E389" s="673">
        <v>-3.4552203086759839E-2</v>
      </c>
    </row>
    <row r="390" spans="2:5" hidden="1" outlineLevel="1">
      <c r="B390" s="674" t="s">
        <v>530</v>
      </c>
      <c r="C390" s="544">
        <v>5536.55</v>
      </c>
      <c r="D390" s="673">
        <f t="shared" si="5"/>
        <v>-4.0376115781263509E-2</v>
      </c>
      <c r="E390" s="673">
        <v>-4.0376115781263509E-2</v>
      </c>
    </row>
    <row r="391" spans="2:5" hidden="1" outlineLevel="1">
      <c r="B391" s="674">
        <v>45810</v>
      </c>
      <c r="C391" s="544">
        <v>5769.5</v>
      </c>
      <c r="D391" s="673">
        <f t="shared" si="5"/>
        <v>-1.1301613414560971E-2</v>
      </c>
      <c r="E391" s="673">
        <v>-1.1301613414560971E-2</v>
      </c>
    </row>
    <row r="392" spans="2:5" hidden="1" outlineLevel="1">
      <c r="B392" s="674" t="s">
        <v>191</v>
      </c>
      <c r="C392" s="544">
        <v>5835.45</v>
      </c>
      <c r="D392" s="673">
        <f t="shared" si="5"/>
        <v>3.8160809115896782E-2</v>
      </c>
      <c r="E392" s="673">
        <v>3.8160809115896782E-2</v>
      </c>
    </row>
    <row r="393" spans="2:5" hidden="1" outlineLevel="1">
      <c r="B393" s="674" t="s">
        <v>477</v>
      </c>
      <c r="C393" s="544">
        <v>5620.95</v>
      </c>
      <c r="D393" s="673">
        <f t="shared" si="5"/>
        <v>1.9534757175894403E-2</v>
      </c>
      <c r="E393" s="673">
        <v>1.9534757175894403E-2</v>
      </c>
    </row>
    <row r="394" spans="2:5" hidden="1" outlineLevel="1">
      <c r="B394" s="674" t="s">
        <v>429</v>
      </c>
      <c r="C394" s="544">
        <v>5513.25</v>
      </c>
      <c r="D394" s="673">
        <f t="shared" ref="D394:D457" si="6">(C394-C395)/C395</f>
        <v>2.1937385308346841E-2</v>
      </c>
      <c r="E394" s="673">
        <v>2.1937385308346841E-2</v>
      </c>
    </row>
    <row r="395" spans="2:5" hidden="1" outlineLevel="1">
      <c r="B395" s="674">
        <v>45695</v>
      </c>
      <c r="C395" s="544">
        <v>5394.9</v>
      </c>
      <c r="D395" s="673">
        <f t="shared" si="6"/>
        <v>1.5663535214714652E-2</v>
      </c>
      <c r="E395" s="673">
        <v>1.5663535214714652E-2</v>
      </c>
    </row>
    <row r="396" spans="2:5" hidden="1" outlineLevel="1">
      <c r="B396" s="674" t="s">
        <v>480</v>
      </c>
      <c r="C396" s="544">
        <v>5311.7</v>
      </c>
      <c r="D396" s="673">
        <f t="shared" si="6"/>
        <v>4.9189322133303065E-3</v>
      </c>
      <c r="E396" s="673">
        <v>4.9189322133303065E-3</v>
      </c>
    </row>
    <row r="397" spans="2:5" hidden="1" outlineLevel="1">
      <c r="B397" s="674" t="s">
        <v>430</v>
      </c>
      <c r="C397" s="544">
        <v>5285.7</v>
      </c>
      <c r="D397" s="673">
        <f t="shared" si="6"/>
        <v>3.760041018629329E-3</v>
      </c>
      <c r="E397" s="673">
        <v>3.760041018629329E-3</v>
      </c>
    </row>
    <row r="398" spans="2:5" hidden="1" outlineLevel="1">
      <c r="B398" s="674" t="s">
        <v>200</v>
      </c>
      <c r="C398" s="544">
        <v>5265.9</v>
      </c>
      <c r="D398" s="673">
        <f t="shared" si="6"/>
        <v>1.0157396483756763E-2</v>
      </c>
      <c r="E398" s="673">
        <v>1.0157396483756763E-2</v>
      </c>
    </row>
    <row r="399" spans="2:5" hidden="1" outlineLevel="1">
      <c r="B399" s="674" t="s">
        <v>462</v>
      </c>
      <c r="C399" s="544">
        <v>5212.95</v>
      </c>
      <c r="D399" s="673">
        <f t="shared" si="6"/>
        <v>9.0882694541230772E-3</v>
      </c>
      <c r="E399" s="673">
        <v>9.0882694541230772E-3</v>
      </c>
    </row>
    <row r="400" spans="2:5" hidden="1" outlineLevel="1">
      <c r="B400" s="674" t="s">
        <v>428</v>
      </c>
      <c r="C400" s="544">
        <v>5166</v>
      </c>
      <c r="D400" s="673">
        <f t="shared" si="6"/>
        <v>-2.7237720429702513E-2</v>
      </c>
      <c r="E400" s="673">
        <v>-2.7237720429702513E-2</v>
      </c>
    </row>
    <row r="401" spans="2:5" hidden="1" outlineLevel="1">
      <c r="B401" s="674">
        <v>45637</v>
      </c>
      <c r="C401" s="544">
        <v>5310.65</v>
      </c>
      <c r="D401" s="673">
        <f t="shared" si="6"/>
        <v>-5.9520963386018567E-2</v>
      </c>
      <c r="E401" s="673">
        <v>-5.9520963386018567E-2</v>
      </c>
    </row>
    <row r="402" spans="2:5" hidden="1" outlineLevel="1">
      <c r="B402" s="674">
        <v>45842</v>
      </c>
      <c r="C402" s="544">
        <v>5646.75</v>
      </c>
      <c r="D402" s="673">
        <f t="shared" si="6"/>
        <v>-4.6798159801174242E-3</v>
      </c>
      <c r="E402" s="673">
        <v>-4.6798159801174242E-3</v>
      </c>
    </row>
    <row r="403" spans="2:5" hidden="1" outlineLevel="1">
      <c r="B403" s="674" t="s">
        <v>481</v>
      </c>
      <c r="C403" s="544">
        <v>5673.3</v>
      </c>
      <c r="D403" s="673">
        <f t="shared" si="6"/>
        <v>4.4883541816057798E-3</v>
      </c>
      <c r="E403" s="673">
        <v>4.4883541816057798E-3</v>
      </c>
    </row>
    <row r="404" spans="2:5" hidden="1" outlineLevel="1">
      <c r="B404" s="674" t="s">
        <v>465</v>
      </c>
      <c r="C404" s="544">
        <v>5647.95</v>
      </c>
      <c r="D404" s="673">
        <f t="shared" si="6"/>
        <v>1.5427583455246386E-3</v>
      </c>
      <c r="E404" s="673">
        <v>1.5427583455246386E-3</v>
      </c>
    </row>
    <row r="405" spans="2:5" hidden="1" outlineLevel="1">
      <c r="B405" s="674" t="s">
        <v>436</v>
      </c>
      <c r="C405" s="544">
        <v>5639.25</v>
      </c>
      <c r="D405" s="673">
        <f t="shared" si="6"/>
        <v>1.3187563444936467E-2</v>
      </c>
      <c r="E405" s="673">
        <v>1.3187563444936467E-2</v>
      </c>
    </row>
    <row r="406" spans="2:5" hidden="1" outlineLevel="1">
      <c r="B406" s="674" t="s">
        <v>463</v>
      </c>
      <c r="C406" s="544">
        <v>5565.85</v>
      </c>
      <c r="D406" s="673">
        <f t="shared" si="6"/>
        <v>-4.2133323791461114E-3</v>
      </c>
      <c r="E406" s="673">
        <v>-4.2133323791461114E-3</v>
      </c>
    </row>
    <row r="407" spans="2:5" hidden="1" outlineLevel="1">
      <c r="B407" s="674" t="s">
        <v>192</v>
      </c>
      <c r="C407" s="544">
        <v>5589.4</v>
      </c>
      <c r="D407" s="673">
        <f t="shared" si="6"/>
        <v>5.3675904886166354E-5</v>
      </c>
      <c r="E407" s="673">
        <v>5.3675904886166354E-5</v>
      </c>
    </row>
    <row r="408" spans="2:5" hidden="1" outlineLevel="1">
      <c r="B408" s="674">
        <v>45749</v>
      </c>
      <c r="C408" s="544">
        <v>5589.1</v>
      </c>
      <c r="D408" s="673">
        <f t="shared" si="6"/>
        <v>-5.2415658844363437E-3</v>
      </c>
      <c r="E408" s="673">
        <v>-5.2415658844363437E-3</v>
      </c>
    </row>
    <row r="409" spans="2:5" hidden="1" outlineLevel="1">
      <c r="B409" s="674" t="s">
        <v>459</v>
      </c>
      <c r="C409" s="544">
        <v>5618.55</v>
      </c>
      <c r="D409" s="673">
        <f t="shared" si="6"/>
        <v>3.9758411807801581E-3</v>
      </c>
      <c r="E409" s="673">
        <v>3.9758411807801581E-3</v>
      </c>
    </row>
    <row r="410" spans="2:5" hidden="1" outlineLevel="1">
      <c r="B410" s="674" t="s">
        <v>431</v>
      </c>
      <c r="C410" s="544">
        <v>5596.3</v>
      </c>
      <c r="D410" s="673">
        <f t="shared" si="6"/>
        <v>1.8620313068802363E-2</v>
      </c>
      <c r="E410" s="673">
        <v>1.8620313068802363E-2</v>
      </c>
    </row>
    <row r="411" spans="2:5" hidden="1" outlineLevel="1">
      <c r="B411" s="674" t="s">
        <v>479</v>
      </c>
      <c r="C411" s="544">
        <v>5494</v>
      </c>
      <c r="D411" s="673">
        <f t="shared" si="6"/>
        <v>-8.0346664259275981E-3</v>
      </c>
      <c r="E411" s="673">
        <v>-8.0346664259275981E-3</v>
      </c>
    </row>
    <row r="412" spans="2:5" hidden="1" outlineLevel="1">
      <c r="B412" s="674" t="s">
        <v>433</v>
      </c>
      <c r="C412" s="544">
        <v>5538.5</v>
      </c>
      <c r="D412" s="673">
        <f t="shared" si="6"/>
        <v>4.6072082857194019E-3</v>
      </c>
      <c r="E412" s="673">
        <v>4.6072082857194019E-3</v>
      </c>
    </row>
    <row r="413" spans="2:5" hidden="1" outlineLevel="1">
      <c r="B413" s="674" t="s">
        <v>460</v>
      </c>
      <c r="C413" s="544">
        <v>5513.1</v>
      </c>
      <c r="D413" s="673">
        <f t="shared" si="6"/>
        <v>6.3247816444433275E-3</v>
      </c>
      <c r="E413" s="673">
        <v>6.3247816444433275E-3</v>
      </c>
    </row>
    <row r="414" spans="2:5" hidden="1" outlineLevel="1">
      <c r="B414" s="674">
        <v>45931</v>
      </c>
      <c r="C414" s="544">
        <v>5478.45</v>
      </c>
      <c r="D414" s="673">
        <f t="shared" si="6"/>
        <v>2.7996434770371031E-2</v>
      </c>
      <c r="E414" s="673">
        <v>2.7996434770371031E-2</v>
      </c>
    </row>
    <row r="415" spans="2:5" hidden="1" outlineLevel="1">
      <c r="B415" s="674">
        <v>45424</v>
      </c>
      <c r="C415" s="544">
        <v>5329.25</v>
      </c>
      <c r="D415" s="673">
        <f t="shared" si="6"/>
        <v>-6.9041984234948063E-3</v>
      </c>
      <c r="E415" s="673">
        <v>-6.9041984234948063E-3</v>
      </c>
    </row>
    <row r="416" spans="2:5" hidden="1" outlineLevel="1">
      <c r="B416" s="674">
        <v>45515</v>
      </c>
      <c r="C416" s="544">
        <v>5366.3</v>
      </c>
      <c r="D416" s="673">
        <f t="shared" si="6"/>
        <v>5.235700169528003E-3</v>
      </c>
      <c r="E416" s="673">
        <v>5.235700169528003E-3</v>
      </c>
    </row>
    <row r="417" spans="2:5" hidden="1" outlineLevel="1">
      <c r="B417" s="674" t="s">
        <v>190</v>
      </c>
      <c r="C417" s="544">
        <v>5338.35</v>
      </c>
      <c r="D417" s="673">
        <f t="shared" si="6"/>
        <v>-1.0738839575264499E-2</v>
      </c>
      <c r="E417" s="673">
        <v>-1.0738839575264499E-2</v>
      </c>
    </row>
    <row r="418" spans="2:5" hidden="1" outlineLevel="1">
      <c r="B418" s="674">
        <v>45608</v>
      </c>
      <c r="C418" s="544">
        <v>5396.3</v>
      </c>
      <c r="D418" s="673">
        <f t="shared" si="6"/>
        <v>2.4558805380723258E-2</v>
      </c>
      <c r="E418" s="673">
        <v>2.4558805380723258E-2</v>
      </c>
    </row>
    <row r="419" spans="2:5" hidden="1" outlineLevel="1">
      <c r="B419" s="674" t="s">
        <v>471</v>
      </c>
      <c r="C419" s="544">
        <v>5266.95</v>
      </c>
      <c r="D419" s="673">
        <f t="shared" si="6"/>
        <v>-1.3143842161473561E-2</v>
      </c>
      <c r="E419" s="673">
        <v>-1.3143842161473561E-2</v>
      </c>
    </row>
    <row r="420" spans="2:5" hidden="1" outlineLevel="1">
      <c r="B420" s="674">
        <v>45901</v>
      </c>
      <c r="C420" s="544">
        <v>5337.1</v>
      </c>
      <c r="D420" s="673">
        <f t="shared" si="6"/>
        <v>-3.4822387153992693E-3</v>
      </c>
      <c r="E420" s="673">
        <v>-3.4822387153992693E-3</v>
      </c>
    </row>
    <row r="421" spans="2:5" hidden="1" outlineLevel="1">
      <c r="B421" s="674" t="s">
        <v>469</v>
      </c>
      <c r="C421" s="544">
        <v>5355.75</v>
      </c>
      <c r="D421" s="673">
        <f t="shared" si="6"/>
        <v>-4.57243104027438E-4</v>
      </c>
      <c r="E421" s="673">
        <v>-4.57243104027438E-4</v>
      </c>
    </row>
    <row r="422" spans="2:5" hidden="1" outlineLevel="1">
      <c r="B422" s="674">
        <v>45363</v>
      </c>
      <c r="C422" s="544">
        <v>5358.2</v>
      </c>
      <c r="D422" s="673">
        <f t="shared" si="6"/>
        <v>2.0016942538144438E-2</v>
      </c>
      <c r="E422" s="673">
        <v>2.0016942538144438E-2</v>
      </c>
    </row>
    <row r="423" spans="2:5" hidden="1" outlineLevel="1">
      <c r="B423" s="674">
        <v>45334</v>
      </c>
      <c r="C423" s="544">
        <v>5253.05</v>
      </c>
      <c r="D423" s="673">
        <f t="shared" si="6"/>
        <v>4.6236730466649514E-2</v>
      </c>
      <c r="E423" s="673">
        <v>4.6236730466649514E-2</v>
      </c>
    </row>
    <row r="424" spans="2:5" hidden="1" outlineLevel="1">
      <c r="B424" s="674">
        <v>45754</v>
      </c>
      <c r="C424" s="544">
        <v>5020.8999999999996</v>
      </c>
      <c r="D424" s="673">
        <f t="shared" si="6"/>
        <v>-1.2134473841257935E-3</v>
      </c>
      <c r="E424" s="673">
        <v>-1.2134473841257935E-3</v>
      </c>
    </row>
    <row r="425" spans="2:5" hidden="1" outlineLevel="1">
      <c r="B425" s="674" t="s">
        <v>432</v>
      </c>
      <c r="C425" s="544">
        <v>5027</v>
      </c>
      <c r="D425" s="673">
        <f t="shared" si="6"/>
        <v>2.5552098740245832E-2</v>
      </c>
      <c r="E425" s="673">
        <v>2.5552098740245832E-2</v>
      </c>
    </row>
    <row r="426" spans="2:5" hidden="1" outlineLevel="1">
      <c r="B426" s="674" t="s">
        <v>475</v>
      </c>
      <c r="C426" s="544">
        <v>4901.75</v>
      </c>
      <c r="D426" s="673">
        <f t="shared" si="6"/>
        <v>-1.1903322044831514E-2</v>
      </c>
      <c r="E426" s="673">
        <v>-1.1903322044831514E-2</v>
      </c>
    </row>
    <row r="427" spans="2:5" hidden="1" outlineLevel="1">
      <c r="B427" s="674">
        <v>45689</v>
      </c>
      <c r="C427" s="544">
        <v>4960.8</v>
      </c>
      <c r="D427" s="673">
        <f t="shared" si="6"/>
        <v>-2.0619386246366459E-3</v>
      </c>
      <c r="E427" s="673">
        <v>-2.0619386246366459E-3</v>
      </c>
    </row>
    <row r="428" spans="2:5" hidden="1" outlineLevel="1">
      <c r="B428" s="674">
        <v>45394</v>
      </c>
      <c r="C428" s="544">
        <v>4971.05</v>
      </c>
      <c r="D428" s="673">
        <f t="shared" si="6"/>
        <v>2.0152477502898676E-2</v>
      </c>
      <c r="E428" s="673">
        <v>2.0152477502898676E-2</v>
      </c>
    </row>
    <row r="429" spans="2:5" hidden="1" outlineLevel="1">
      <c r="B429" s="674" t="s">
        <v>464</v>
      </c>
      <c r="C429" s="544">
        <v>4872.8500000000004</v>
      </c>
      <c r="D429" s="673">
        <f t="shared" si="6"/>
        <v>-6.3519575856442979E-3</v>
      </c>
      <c r="E429" s="673">
        <v>-6.3519575856442979E-3</v>
      </c>
    </row>
    <row r="430" spans="2:5" hidden="1" outlineLevel="1">
      <c r="B430" s="674" t="s">
        <v>472</v>
      </c>
      <c r="C430" s="544">
        <v>4904</v>
      </c>
      <c r="D430" s="673">
        <f t="shared" si="6"/>
        <v>7.9664916394218688E-2</v>
      </c>
      <c r="E430" s="673">
        <v>7.9664916394218688E-2</v>
      </c>
    </row>
    <row r="431" spans="2:5" hidden="1" outlineLevel="1">
      <c r="B431" s="674">
        <v>45514</v>
      </c>
      <c r="C431" s="544">
        <v>4542.1499999999996</v>
      </c>
      <c r="D431" s="673">
        <f t="shared" si="6"/>
        <v>-2.6094321215305107E-2</v>
      </c>
      <c r="E431" s="673">
        <v>-2.6094321215305107E-2</v>
      </c>
    </row>
    <row r="432" spans="2:5" hidden="1" outlineLevel="1">
      <c r="B432" s="674">
        <v>45455</v>
      </c>
      <c r="C432" s="544">
        <v>4663.8500000000004</v>
      </c>
      <c r="D432" s="673">
        <f t="shared" si="6"/>
        <v>2.4672913622831822E-2</v>
      </c>
      <c r="E432" s="673">
        <v>2.4672913622831822E-2</v>
      </c>
    </row>
    <row r="433" spans="2:5" hidden="1" outlineLevel="1">
      <c r="B433" s="674">
        <v>45391</v>
      </c>
      <c r="C433" s="544">
        <v>4551.55</v>
      </c>
      <c r="D433" s="673">
        <f t="shared" si="6"/>
        <v>-2.1235189127583164E-2</v>
      </c>
      <c r="E433" s="673">
        <v>-2.1235189127583164E-2</v>
      </c>
    </row>
    <row r="434" spans="2:5" hidden="1" outlineLevel="1">
      <c r="B434" s="674" t="s">
        <v>473</v>
      </c>
      <c r="C434" s="544">
        <v>4650.3</v>
      </c>
      <c r="D434" s="673">
        <f t="shared" si="6"/>
        <v>-3.7490895068340545E-3</v>
      </c>
      <c r="E434" s="673">
        <v>-3.7490895068340545E-3</v>
      </c>
    </row>
    <row r="435" spans="2:5" hidden="1" outlineLevel="1">
      <c r="B435" s="674" t="s">
        <v>476</v>
      </c>
      <c r="C435" s="544">
        <v>4667.8</v>
      </c>
      <c r="D435" s="673">
        <f t="shared" si="6"/>
        <v>1.1232790649812145E-2</v>
      </c>
      <c r="E435" s="673">
        <v>1.1232790649812145E-2</v>
      </c>
    </row>
    <row r="436" spans="2:5" hidden="1" outlineLevel="1">
      <c r="B436" s="674" t="s">
        <v>466</v>
      </c>
      <c r="C436" s="544">
        <v>4615.95</v>
      </c>
      <c r="D436" s="673">
        <f t="shared" si="6"/>
        <v>-1.3454016969800557E-2</v>
      </c>
      <c r="E436" s="673">
        <v>-1.3454016969800557E-2</v>
      </c>
    </row>
    <row r="437" spans="2:5" hidden="1" outlineLevel="1">
      <c r="B437" s="674" t="s">
        <v>435</v>
      </c>
      <c r="C437" s="544">
        <v>4678.8999999999996</v>
      </c>
      <c r="D437" s="673">
        <f t="shared" si="6"/>
        <v>-9.4736062155324815E-3</v>
      </c>
      <c r="E437" s="673">
        <v>-9.4736062155324815E-3</v>
      </c>
    </row>
    <row r="438" spans="2:5" hidden="1" outlineLevel="1">
      <c r="B438" s="674" t="s">
        <v>434</v>
      </c>
      <c r="C438" s="544">
        <v>4723.6499999999996</v>
      </c>
      <c r="D438" s="673">
        <f t="shared" si="6"/>
        <v>5.1816227948842282E-3</v>
      </c>
      <c r="E438" s="673">
        <v>5.1816227948842282E-3</v>
      </c>
    </row>
    <row r="439" spans="2:5" hidden="1" outlineLevel="1">
      <c r="B439" s="674">
        <v>45454</v>
      </c>
      <c r="C439" s="544">
        <v>4699.3</v>
      </c>
      <c r="D439" s="673">
        <f t="shared" si="6"/>
        <v>1.1483119706411039E-2</v>
      </c>
      <c r="E439" s="673">
        <v>1.1483119706411039E-2</v>
      </c>
    </row>
    <row r="440" spans="2:5" hidden="1" outlineLevel="1">
      <c r="B440" s="674" t="s">
        <v>467</v>
      </c>
      <c r="C440" s="544">
        <v>4645.95</v>
      </c>
      <c r="D440" s="673">
        <f t="shared" si="6"/>
        <v>-4.5423866813793902E-3</v>
      </c>
      <c r="E440" s="673">
        <v>-4.5423866813793902E-3</v>
      </c>
    </row>
    <row r="441" spans="2:5" hidden="1" outlineLevel="1">
      <c r="B441" s="674" t="s">
        <v>187</v>
      </c>
      <c r="C441" s="544">
        <v>4667.1499999999996</v>
      </c>
      <c r="D441" s="673">
        <f t="shared" si="6"/>
        <v>7.0558534453926186E-3</v>
      </c>
      <c r="E441" s="673">
        <v>7.0558534453926186E-3</v>
      </c>
    </row>
    <row r="442" spans="2:5" hidden="1" outlineLevel="1">
      <c r="B442" s="674">
        <v>45577</v>
      </c>
      <c r="C442" s="544">
        <v>4634.45</v>
      </c>
      <c r="D442" s="673">
        <f t="shared" si="6"/>
        <v>8.936735315888053E-3</v>
      </c>
      <c r="E442" s="673">
        <v>8.936735315888053E-3</v>
      </c>
    </row>
    <row r="443" spans="2:5" hidden="1" outlineLevel="1">
      <c r="B443" s="674" t="s">
        <v>189</v>
      </c>
      <c r="C443" s="544">
        <v>4593.3999999999996</v>
      </c>
      <c r="D443" s="673">
        <f t="shared" si="6"/>
        <v>1.5093589091953607E-2</v>
      </c>
      <c r="E443" s="673">
        <v>1.5093589091953607E-2</v>
      </c>
    </row>
    <row r="444" spans="2:5" hidden="1" outlineLevel="1">
      <c r="B444" s="674" t="s">
        <v>199</v>
      </c>
      <c r="C444" s="544">
        <v>4525.1000000000004</v>
      </c>
      <c r="D444" s="673">
        <f t="shared" si="6"/>
        <v>-3.1501960611532965E-3</v>
      </c>
      <c r="E444" s="673">
        <v>-3.1501960611532965E-3</v>
      </c>
    </row>
    <row r="445" spans="2:5" hidden="1" outlineLevel="1">
      <c r="B445" s="674" t="s">
        <v>468</v>
      </c>
      <c r="C445" s="544">
        <v>4539.3999999999996</v>
      </c>
      <c r="D445" s="673">
        <f t="shared" si="6"/>
        <v>1.489000178858868E-2</v>
      </c>
      <c r="E445" s="673">
        <v>1.489000178858868E-2</v>
      </c>
    </row>
    <row r="446" spans="2:5" hidden="1" outlineLevel="1">
      <c r="B446" s="674">
        <v>45544</v>
      </c>
      <c r="C446" s="544">
        <v>4472.8</v>
      </c>
      <c r="D446" s="673">
        <f t="shared" si="6"/>
        <v>3.9140694020420259E-4</v>
      </c>
      <c r="E446" s="673">
        <v>3.9140694020420259E-4</v>
      </c>
    </row>
    <row r="447" spans="2:5" hidden="1" outlineLevel="1">
      <c r="B447" s="674">
        <v>45547</v>
      </c>
      <c r="C447" s="544">
        <v>4471.05</v>
      </c>
      <c r="D447" s="673">
        <f t="shared" si="6"/>
        <v>1.455671787424279E-2</v>
      </c>
      <c r="E447" s="673">
        <v>1.455671787424279E-2</v>
      </c>
    </row>
    <row r="448" spans="2:5" hidden="1" outlineLevel="1">
      <c r="B448" s="674">
        <v>45870</v>
      </c>
      <c r="C448" s="544">
        <v>4406.8999999999996</v>
      </c>
      <c r="D448" s="673">
        <f t="shared" si="6"/>
        <v>-2.0580064451605814E-2</v>
      </c>
      <c r="E448" s="673">
        <v>-2.0580064451605814E-2</v>
      </c>
    </row>
    <row r="449" spans="2:5" hidden="1" outlineLevel="1">
      <c r="B449" s="674">
        <v>45635</v>
      </c>
      <c r="C449" s="544">
        <v>4499.5</v>
      </c>
      <c r="D449" s="673">
        <f t="shared" si="6"/>
        <v>-3.8878089419605664E-4</v>
      </c>
      <c r="E449" s="673">
        <v>-3.8878089419605664E-4</v>
      </c>
    </row>
    <row r="450" spans="2:5" hidden="1" outlineLevel="1">
      <c r="B450" s="674">
        <v>45638</v>
      </c>
      <c r="C450" s="544">
        <v>4501.25</v>
      </c>
      <c r="D450" s="673">
        <f t="shared" si="6"/>
        <v>-1.5305613167262927E-3</v>
      </c>
      <c r="E450" s="673">
        <v>-1.5305613167262927E-3</v>
      </c>
    </row>
    <row r="451" spans="2:5" hidden="1" outlineLevel="1">
      <c r="B451" s="674">
        <v>45302</v>
      </c>
      <c r="C451" s="544">
        <v>4508.1499999999996</v>
      </c>
      <c r="D451" s="673">
        <f t="shared" si="6"/>
        <v>-3.2942372956302817E-3</v>
      </c>
      <c r="E451" s="673">
        <v>-3.2942372956302817E-3</v>
      </c>
    </row>
    <row r="452" spans="2:5" hidden="1" outlineLevel="1">
      <c r="B452" s="674">
        <v>45421</v>
      </c>
      <c r="C452" s="544">
        <v>4523.05</v>
      </c>
      <c r="D452" s="673">
        <f t="shared" si="6"/>
        <v>-2.6411236075983387E-2</v>
      </c>
      <c r="E452" s="673">
        <v>-2.6411236075983387E-2</v>
      </c>
    </row>
    <row r="453" spans="2:5" hidden="1" outlineLevel="1">
      <c r="B453" s="674">
        <v>45605</v>
      </c>
      <c r="C453" s="544">
        <v>4645.75</v>
      </c>
      <c r="D453" s="673">
        <f t="shared" si="6"/>
        <v>5.3613344370485358E-2</v>
      </c>
      <c r="E453" s="673">
        <v>5.3613344370485358E-2</v>
      </c>
    </row>
    <row r="454" spans="2:5" hidden="1" outlineLevel="1">
      <c r="B454" s="674">
        <v>45839</v>
      </c>
      <c r="C454" s="544">
        <v>4409.3500000000004</v>
      </c>
      <c r="D454" s="673">
        <f t="shared" si="6"/>
        <v>1.3305909524411529E-2</v>
      </c>
      <c r="E454" s="673">
        <v>1.3305909524411529E-2</v>
      </c>
    </row>
    <row r="455" spans="2:5" hidden="1" outlineLevel="1">
      <c r="B455" s="674" t="s">
        <v>438</v>
      </c>
      <c r="C455" s="544">
        <v>4351.45</v>
      </c>
      <c r="D455" s="673">
        <f t="shared" si="6"/>
        <v>1.0848481328764694E-2</v>
      </c>
      <c r="E455" s="673">
        <v>1.0848481328764694E-2</v>
      </c>
    </row>
    <row r="456" spans="2:5" hidden="1" outlineLevel="1">
      <c r="B456" s="674" t="s">
        <v>470</v>
      </c>
      <c r="C456" s="544">
        <v>4304.75</v>
      </c>
      <c r="D456" s="673">
        <f t="shared" si="6"/>
        <v>-4.3828202696763923E-3</v>
      </c>
      <c r="E456" s="673">
        <v>-4.3828202696763923E-3</v>
      </c>
    </row>
    <row r="457" spans="2:5" hidden="1" outlineLevel="1">
      <c r="B457" s="674">
        <v>45574</v>
      </c>
      <c r="C457" s="544">
        <v>4323.7</v>
      </c>
      <c r="D457" s="673">
        <f t="shared" si="6"/>
        <v>2.4342861204231275E-2</v>
      </c>
      <c r="E457" s="673">
        <v>2.4342861204231275E-2</v>
      </c>
    </row>
    <row r="458" spans="2:5" hidden="1" outlineLevel="1">
      <c r="B458" s="674">
        <v>45658</v>
      </c>
      <c r="C458" s="544">
        <v>4220.95</v>
      </c>
      <c r="D458" s="673">
        <f t="shared" ref="D458:D502" si="7">(C458-C459)/C459</f>
        <v>1.538369016117388E-2</v>
      </c>
      <c r="E458" s="673">
        <v>1.538369016117388E-2</v>
      </c>
    </row>
    <row r="459" spans="2:5" hidden="1" outlineLevel="1">
      <c r="B459" s="674" t="s">
        <v>198</v>
      </c>
      <c r="C459" s="544">
        <v>4157</v>
      </c>
      <c r="D459" s="673">
        <f t="shared" si="7"/>
        <v>-2.698974389731902E-3</v>
      </c>
      <c r="E459" s="673">
        <v>-2.698974389731902E-3</v>
      </c>
    </row>
    <row r="460" spans="2:5" hidden="1" outlineLevel="1">
      <c r="B460" s="674">
        <v>45423</v>
      </c>
      <c r="C460" s="544">
        <v>4168.25</v>
      </c>
      <c r="D460" s="673">
        <f t="shared" si="7"/>
        <v>3.7808093821868052E-3</v>
      </c>
      <c r="E460" s="673">
        <v>3.7808093821868052E-3</v>
      </c>
    </row>
    <row r="461" spans="2:5" hidden="1" outlineLevel="1">
      <c r="B461" s="674" t="s">
        <v>196</v>
      </c>
      <c r="C461" s="544">
        <v>4152.55</v>
      </c>
      <c r="D461" s="673">
        <f t="shared" si="7"/>
        <v>1.4499657969315051E-2</v>
      </c>
      <c r="E461" s="673">
        <v>1.4499657969315051E-2</v>
      </c>
    </row>
    <row r="462" spans="2:5" hidden="1" outlineLevel="1">
      <c r="B462" s="674" t="s">
        <v>456</v>
      </c>
      <c r="C462" s="544">
        <v>4093.2</v>
      </c>
      <c r="D462" s="673">
        <f t="shared" si="7"/>
        <v>2.621187619871378E-2</v>
      </c>
      <c r="E462" s="673">
        <v>2.621187619871378E-2</v>
      </c>
    </row>
    <row r="463" spans="2:5" hidden="1" outlineLevel="1">
      <c r="B463" s="674">
        <v>45331</v>
      </c>
      <c r="C463" s="544">
        <v>3988.65</v>
      </c>
      <c r="D463" s="673">
        <f t="shared" si="7"/>
        <v>6.6120708147737574E-3</v>
      </c>
      <c r="E463" s="673">
        <v>6.6120708147737574E-3</v>
      </c>
    </row>
    <row r="464" spans="2:5" hidden="1" outlineLevel="1">
      <c r="B464" s="674" t="s">
        <v>197</v>
      </c>
      <c r="C464" s="544">
        <v>3962.45</v>
      </c>
      <c r="D464" s="673">
        <f t="shared" si="7"/>
        <v>-2.2763425611936661E-2</v>
      </c>
      <c r="E464" s="673">
        <v>-2.2763425611936661E-2</v>
      </c>
    </row>
    <row r="465" spans="2:5" hidden="1" outlineLevel="1">
      <c r="B465" s="674">
        <v>45393</v>
      </c>
      <c r="C465" s="544">
        <v>4054.75</v>
      </c>
      <c r="D465" s="673">
        <f t="shared" si="7"/>
        <v>7.4413635460146635E-3</v>
      </c>
      <c r="E465" s="673">
        <v>7.4413635460146635E-3</v>
      </c>
    </row>
    <row r="466" spans="2:5" hidden="1" outlineLevel="1">
      <c r="B466" s="674">
        <v>45452</v>
      </c>
      <c r="C466" s="544">
        <v>4024.8</v>
      </c>
      <c r="D466" s="673">
        <f t="shared" si="7"/>
        <v>3.2317636195752536E-2</v>
      </c>
      <c r="E466" s="673">
        <v>3.2317636195752536E-2</v>
      </c>
    </row>
    <row r="467" spans="2:5" hidden="1" outlineLevel="1">
      <c r="B467" s="674">
        <v>45360</v>
      </c>
      <c r="C467" s="544">
        <v>3898.8</v>
      </c>
      <c r="D467" s="673">
        <f t="shared" si="7"/>
        <v>-8.2795986111640352E-3</v>
      </c>
      <c r="E467" s="673">
        <v>-8.2795986111640352E-3</v>
      </c>
    </row>
    <row r="468" spans="2:5" hidden="1" outlineLevel="1">
      <c r="B468" s="674" t="s">
        <v>439</v>
      </c>
      <c r="C468" s="544">
        <v>3931.35</v>
      </c>
      <c r="D468" s="673">
        <f t="shared" si="7"/>
        <v>-1.726699084595605E-3</v>
      </c>
      <c r="E468" s="673">
        <v>-1.726699084595605E-3</v>
      </c>
    </row>
    <row r="469" spans="2:5" hidden="1" outlineLevel="1">
      <c r="B469" s="674">
        <v>45483</v>
      </c>
      <c r="C469" s="544">
        <v>3938.15</v>
      </c>
      <c r="D469" s="673">
        <f t="shared" si="7"/>
        <v>-1.5770071852546058E-2</v>
      </c>
      <c r="E469" s="673">
        <v>-1.5770071852546058E-2</v>
      </c>
    </row>
    <row r="470" spans="2:5" hidden="1" outlineLevel="1">
      <c r="B470" s="674" t="s">
        <v>474</v>
      </c>
      <c r="C470" s="544">
        <v>4001.25</v>
      </c>
      <c r="D470" s="673">
        <f t="shared" si="7"/>
        <v>1.8959458082917342E-2</v>
      </c>
      <c r="E470" s="673">
        <v>1.8959458082917342E-2</v>
      </c>
    </row>
    <row r="471" spans="2:5" hidden="1" outlineLevel="1">
      <c r="B471" s="674" t="s">
        <v>437</v>
      </c>
      <c r="C471" s="544">
        <v>3926.8</v>
      </c>
      <c r="D471" s="673">
        <f t="shared" si="7"/>
        <v>9.5769433482022336E-3</v>
      </c>
      <c r="E471" s="673">
        <v>9.5769433482022336E-3</v>
      </c>
    </row>
    <row r="472" spans="2:5" hidden="1" outlineLevel="1">
      <c r="B472" s="674">
        <v>45717</v>
      </c>
      <c r="C472" s="544">
        <v>3889.55</v>
      </c>
      <c r="D472" s="673">
        <f t="shared" si="7"/>
        <v>9.7793218812331764E-4</v>
      </c>
      <c r="E472" s="673">
        <v>9.7793218812331764E-4</v>
      </c>
    </row>
    <row r="473" spans="2:5" hidden="1" outlineLevel="1">
      <c r="B473" s="674" t="s">
        <v>441</v>
      </c>
      <c r="C473" s="544">
        <v>3885.75</v>
      </c>
      <c r="D473" s="673">
        <f t="shared" si="7"/>
        <v>-1.587964897618048E-2</v>
      </c>
      <c r="E473" s="673">
        <v>-1.587964897618048E-2</v>
      </c>
    </row>
    <row r="474" spans="2:5" hidden="1" outlineLevel="1">
      <c r="B474" s="674" t="s">
        <v>442</v>
      </c>
      <c r="C474" s="544">
        <v>3948.45</v>
      </c>
      <c r="D474" s="673">
        <f t="shared" si="7"/>
        <v>1.93757422419579E-2</v>
      </c>
      <c r="E474" s="673">
        <v>1.93757422419579E-2</v>
      </c>
    </row>
    <row r="475" spans="2:5" hidden="1" outlineLevel="1">
      <c r="B475" s="674" t="s">
        <v>188</v>
      </c>
      <c r="C475" s="544">
        <v>3873.4</v>
      </c>
      <c r="D475" s="673">
        <f t="shared" si="7"/>
        <v>-2.2539056965856547E-3</v>
      </c>
      <c r="E475" s="673">
        <v>-2.2539056965856547E-3</v>
      </c>
    </row>
    <row r="476" spans="2:5" hidden="1" outlineLevel="1">
      <c r="B476" s="674" t="s">
        <v>445</v>
      </c>
      <c r="C476" s="544">
        <v>3882.15</v>
      </c>
      <c r="D476" s="673">
        <f t="shared" si="7"/>
        <v>-1.6791399156631016E-2</v>
      </c>
      <c r="E476" s="673">
        <v>-1.6791399156631016E-2</v>
      </c>
    </row>
    <row r="477" spans="2:5" hidden="1" outlineLevel="1">
      <c r="B477" s="674" t="s">
        <v>458</v>
      </c>
      <c r="C477" s="544">
        <v>3948.45</v>
      </c>
      <c r="D477" s="673">
        <f t="shared" si="7"/>
        <v>-1.2245459548706728E-2</v>
      </c>
      <c r="E477" s="673">
        <v>-1.2245459548706728E-2</v>
      </c>
    </row>
    <row r="478" spans="2:5" hidden="1" outlineLevel="1">
      <c r="B478" s="674" t="s">
        <v>455</v>
      </c>
      <c r="C478" s="544">
        <v>3997.4</v>
      </c>
      <c r="D478" s="673">
        <f t="shared" si="7"/>
        <v>8.3368017455573255E-3</v>
      </c>
      <c r="E478" s="673">
        <v>8.3368017455573255E-3</v>
      </c>
    </row>
    <row r="479" spans="2:5" hidden="1" outlineLevel="1">
      <c r="B479" s="674">
        <v>45484</v>
      </c>
      <c r="C479" s="544">
        <v>3964.35</v>
      </c>
      <c r="D479" s="673">
        <f t="shared" si="7"/>
        <v>1.7308907138344684E-3</v>
      </c>
      <c r="E479" s="673">
        <v>1.7308907138344684E-3</v>
      </c>
    </row>
    <row r="480" spans="2:5" hidden="1" outlineLevel="1">
      <c r="B480" s="674" t="s">
        <v>440</v>
      </c>
      <c r="C480" s="544">
        <v>3957.5</v>
      </c>
      <c r="D480" s="673">
        <f t="shared" si="7"/>
        <v>-2.758154677805762E-2</v>
      </c>
      <c r="E480" s="673">
        <v>-2.758154677805762E-2</v>
      </c>
    </row>
    <row r="481" spans="2:5" hidden="1" outlineLevel="1">
      <c r="B481" s="674" t="s">
        <v>453</v>
      </c>
      <c r="C481" s="544">
        <v>4069.75</v>
      </c>
      <c r="D481" s="673">
        <f t="shared" si="7"/>
        <v>2.3397574041007325E-3</v>
      </c>
      <c r="E481" s="673">
        <v>2.3397574041007325E-3</v>
      </c>
    </row>
    <row r="482" spans="2:5" hidden="1" outlineLevel="1">
      <c r="B482" s="674" t="s">
        <v>454</v>
      </c>
      <c r="C482" s="544">
        <v>4060.25</v>
      </c>
      <c r="D482" s="673">
        <f t="shared" si="7"/>
        <v>-6.5329891483868951E-3</v>
      </c>
      <c r="E482" s="673">
        <v>-6.5329891483868951E-3</v>
      </c>
    </row>
    <row r="483" spans="2:5" hidden="1" outlineLevel="1">
      <c r="B483" s="674">
        <v>45301</v>
      </c>
      <c r="C483" s="544">
        <v>4086.95</v>
      </c>
      <c r="D483" s="673">
        <f t="shared" si="7"/>
        <v>3.579846415084776E-2</v>
      </c>
      <c r="E483" s="673">
        <v>3.579846415084776E-2</v>
      </c>
    </row>
    <row r="484" spans="2:5" hidden="1" outlineLevel="1">
      <c r="B484" s="674" t="s">
        <v>457</v>
      </c>
      <c r="C484" s="544">
        <v>3945.7</v>
      </c>
      <c r="D484" s="673">
        <f t="shared" si="7"/>
        <v>-1.5949022982055857E-2</v>
      </c>
      <c r="E484" s="673">
        <v>-1.5949022982055857E-2</v>
      </c>
    </row>
    <row r="485" spans="2:5" hidden="1" outlineLevel="1">
      <c r="B485" s="674">
        <v>45392</v>
      </c>
      <c r="C485" s="544">
        <v>4009.65</v>
      </c>
      <c r="D485" s="673">
        <f t="shared" si="7"/>
        <v>1.4110889110889339E-3</v>
      </c>
      <c r="E485" s="673">
        <v>1.4110889110889339E-3</v>
      </c>
    </row>
    <row r="486" spans="2:5" hidden="1" outlineLevel="1">
      <c r="B486" s="674" t="s">
        <v>444</v>
      </c>
      <c r="C486" s="544">
        <v>4004</v>
      </c>
      <c r="D486" s="673">
        <f t="shared" si="7"/>
        <v>1.3337382633563591E-2</v>
      </c>
      <c r="E486" s="673">
        <v>1.3337382633563591E-2</v>
      </c>
    </row>
    <row r="487" spans="2:5" hidden="1" outlineLevel="1">
      <c r="B487" s="674">
        <v>45809</v>
      </c>
      <c r="C487" s="544">
        <v>3951.3</v>
      </c>
      <c r="D487" s="673">
        <f t="shared" si="7"/>
        <v>2.1152877023866538E-2</v>
      </c>
      <c r="E487" s="673">
        <v>2.1152877023866538E-2</v>
      </c>
    </row>
    <row r="488" spans="2:5" hidden="1" outlineLevel="1">
      <c r="B488" s="674" t="s">
        <v>193</v>
      </c>
      <c r="C488" s="544">
        <v>3869.45</v>
      </c>
      <c r="D488" s="673">
        <f t="shared" si="7"/>
        <v>4.7518273762381952E-3</v>
      </c>
      <c r="E488" s="673">
        <v>4.7518273762381952E-3</v>
      </c>
    </row>
    <row r="489" spans="2:5" hidden="1" outlineLevel="1">
      <c r="B489" s="674" t="s">
        <v>443</v>
      </c>
      <c r="C489" s="544">
        <v>3851.15</v>
      </c>
      <c r="D489" s="673">
        <f t="shared" si="7"/>
        <v>-1.6761131535947736E-2</v>
      </c>
      <c r="E489" s="673">
        <v>-1.6761131535947736E-2</v>
      </c>
    </row>
    <row r="490" spans="2:5" hidden="1" outlineLevel="1">
      <c r="B490" s="674" t="s">
        <v>194</v>
      </c>
      <c r="C490" s="544">
        <v>3916.8</v>
      </c>
      <c r="D490" s="673">
        <f t="shared" si="7"/>
        <v>4.0631128314898585E-3</v>
      </c>
      <c r="E490" s="673">
        <v>4.0631128314898585E-3</v>
      </c>
    </row>
    <row r="491" spans="2:5" hidden="1" outlineLevel="1">
      <c r="B491" s="674" t="s">
        <v>452</v>
      </c>
      <c r="C491" s="544">
        <v>3900.95</v>
      </c>
      <c r="D491" s="673">
        <f t="shared" si="7"/>
        <v>3.9375651435409071E-3</v>
      </c>
      <c r="E491" s="673">
        <v>3.9375651435409071E-3</v>
      </c>
    </row>
    <row r="492" spans="2:5" hidden="1" outlineLevel="1">
      <c r="B492" s="674">
        <v>45361</v>
      </c>
      <c r="C492" s="544">
        <v>3885.65</v>
      </c>
      <c r="D492" s="673">
        <f t="shared" si="7"/>
        <v>-9.3566356903386546E-3</v>
      </c>
      <c r="E492" s="673">
        <v>-9.3566356903386546E-3</v>
      </c>
    </row>
    <row r="493" spans="2:5" hidden="1" outlineLevel="1">
      <c r="B493" s="674">
        <v>45606</v>
      </c>
      <c r="C493" s="544">
        <v>3922.35</v>
      </c>
      <c r="D493" s="673">
        <f t="shared" si="7"/>
        <v>-3.9993905690561436E-3</v>
      </c>
      <c r="E493" s="673">
        <v>-3.9993905690561436E-3</v>
      </c>
    </row>
    <row r="494" spans="2:5" hidden="1" outlineLevel="1">
      <c r="B494" s="674" t="s">
        <v>195</v>
      </c>
      <c r="C494" s="544">
        <v>3938.1</v>
      </c>
      <c r="D494" s="673">
        <f t="shared" si="7"/>
        <v>2.451968729268832E-2</v>
      </c>
      <c r="E494" s="673">
        <v>2.451968729268832E-2</v>
      </c>
    </row>
    <row r="495" spans="2:5" hidden="1" outlineLevel="1">
      <c r="B495" s="674">
        <v>45545</v>
      </c>
      <c r="C495" s="544">
        <v>3843.85</v>
      </c>
      <c r="D495" s="673">
        <f t="shared" si="7"/>
        <v>-1.0910260533933765E-2</v>
      </c>
      <c r="E495" s="673">
        <v>-1.0910260533933765E-2</v>
      </c>
    </row>
    <row r="496" spans="2:5" hidden="1" outlineLevel="1">
      <c r="B496" s="674" t="s">
        <v>450</v>
      </c>
      <c r="C496" s="544">
        <v>3886.25</v>
      </c>
      <c r="D496" s="673">
        <f t="shared" si="7"/>
        <v>-1.6674468327366139E-2</v>
      </c>
      <c r="E496" s="673">
        <v>-1.6674468327366139E-2</v>
      </c>
    </row>
    <row r="497" spans="2:11" hidden="1" outlineLevel="1">
      <c r="B497" s="674" t="s">
        <v>451</v>
      </c>
      <c r="C497" s="544">
        <v>3952.15</v>
      </c>
      <c r="D497" s="673">
        <f t="shared" si="7"/>
        <v>1.4998394863563426E-2</v>
      </c>
      <c r="E497" s="673">
        <v>1.4998394863563426E-2</v>
      </c>
    </row>
    <row r="498" spans="2:11" hidden="1" outlineLevel="1">
      <c r="B498" s="674" t="s">
        <v>446</v>
      </c>
      <c r="C498" s="544">
        <v>3893.75</v>
      </c>
      <c r="D498" s="673">
        <f t="shared" si="7"/>
        <v>-3.2800933975855776E-2</v>
      </c>
      <c r="E498" s="673">
        <v>-3.2800933975855776E-2</v>
      </c>
    </row>
    <row r="499" spans="2:11" hidden="1" outlineLevel="1">
      <c r="B499" s="674" t="s">
        <v>448</v>
      </c>
      <c r="C499" s="544">
        <v>4025.8</v>
      </c>
      <c r="D499" s="673">
        <f t="shared" si="7"/>
        <v>-5.1032386412780675E-3</v>
      </c>
      <c r="E499" s="673">
        <v>-5.1032386412780675E-3</v>
      </c>
    </row>
    <row r="500" spans="2:11" hidden="1" outlineLevel="1">
      <c r="B500" s="674" t="s">
        <v>447</v>
      </c>
      <c r="C500" s="544">
        <v>4046.45</v>
      </c>
      <c r="D500" s="673">
        <f t="shared" si="7"/>
        <v>6.1290964244864578E-3</v>
      </c>
      <c r="E500" s="673">
        <v>6.1290964244864578E-3</v>
      </c>
    </row>
    <row r="501" spans="2:11" hidden="1" outlineLevel="1">
      <c r="B501" s="674">
        <v>45575</v>
      </c>
      <c r="C501" s="544">
        <v>4021.8</v>
      </c>
      <c r="D501" s="673">
        <f t="shared" si="7"/>
        <v>1.7262966194938726E-2</v>
      </c>
      <c r="E501" s="673">
        <v>1.7262966194938726E-2</v>
      </c>
    </row>
    <row r="502" spans="2:11" collapsed="1">
      <c r="B502" s="674" t="s">
        <v>449</v>
      </c>
      <c r="C502" s="544">
        <v>3953.55</v>
      </c>
      <c r="D502" s="673">
        <f t="shared" si="7"/>
        <v>4.8034768022568947E-3</v>
      </c>
      <c r="E502" s="673">
        <v>4.8034768022568947E-3</v>
      </c>
    </row>
    <row r="503" spans="2:11">
      <c r="B503" s="674" t="s">
        <v>371</v>
      </c>
      <c r="C503" s="544">
        <v>3934.65</v>
      </c>
      <c r="D503" s="673"/>
    </row>
    <row r="504" spans="2:11">
      <c r="C504" s="544"/>
    </row>
    <row r="505" spans="2:11">
      <c r="B505" s="694"/>
      <c r="C505" s="694"/>
      <c r="D505" s="694"/>
      <c r="E505" s="694"/>
      <c r="F505" s="694"/>
      <c r="G505" s="694"/>
      <c r="H505" s="694"/>
      <c r="I505" s="694"/>
      <c r="J505" s="694"/>
      <c r="K505" s="694"/>
    </row>
  </sheetData>
  <printOptions horizontalCentered="1"/>
  <pageMargins left="0.31496062992125984" right="0.11811023622047245" top="0.47244094488188981" bottom="0.59055118110236227" header="0.31496062992125984" footer="0.31496062992125984"/>
  <pageSetup paperSize="9" scale="63" orientation="portrait" horizontalDpi="360" verticalDpi="360" r:id="rId1"/>
  <ignoredErrors>
    <ignoredError sqref="K10" formulaRange="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B9:V10010"/>
  <sheetViews>
    <sheetView showGridLines="0" zoomScale="70" zoomScaleNormal="70" zoomScaleSheetLayoutView="70" workbookViewId="0">
      <pane xSplit="1" ySplit="9" topLeftCell="E25" activePane="bottomRight" state="frozen"/>
      <selection pane="topRight" activeCell="B1" sqref="B1"/>
      <selection pane="bottomLeft" activeCell="A3" sqref="A3"/>
      <selection pane="bottomRight" activeCell="I6" sqref="I6"/>
    </sheetView>
  </sheetViews>
  <sheetFormatPr defaultRowHeight="15"/>
  <cols>
    <col min="1" max="1" width="1.85546875" customWidth="1"/>
    <col min="2" max="2" width="12.7109375" bestFit="1" customWidth="1"/>
    <col min="3" max="3" width="10.140625" bestFit="1" customWidth="1"/>
    <col min="4" max="4" width="15.85546875" bestFit="1" customWidth="1"/>
    <col min="5" max="5" width="19.140625" customWidth="1"/>
    <col min="6" max="6" width="4.7109375" customWidth="1"/>
    <col min="7" max="7" width="16.28515625" bestFit="1" customWidth="1"/>
    <col min="8" max="8" width="22.85546875" bestFit="1" customWidth="1"/>
    <col min="9" max="9" width="11.7109375" customWidth="1"/>
    <col min="10" max="10" width="12.140625" customWidth="1"/>
    <col min="11" max="11" width="14.42578125" customWidth="1"/>
    <col min="12" max="13" width="13.28515625" customWidth="1"/>
    <col min="14" max="14" width="15.42578125" customWidth="1"/>
  </cols>
  <sheetData>
    <row r="9" spans="2:16" ht="18">
      <c r="B9" s="695" t="s">
        <v>165</v>
      </c>
      <c r="C9" s="695" t="s">
        <v>548</v>
      </c>
      <c r="D9" s="695" t="s">
        <v>217</v>
      </c>
      <c r="E9" s="695" t="s">
        <v>549</v>
      </c>
      <c r="F9" s="695"/>
      <c r="G9" s="695" t="s">
        <v>558</v>
      </c>
      <c r="H9" s="695" t="s">
        <v>559</v>
      </c>
      <c r="I9" s="695"/>
      <c r="J9" s="695" t="s">
        <v>9000</v>
      </c>
      <c r="K9" s="695"/>
      <c r="L9" s="695"/>
      <c r="M9" s="695"/>
      <c r="N9" s="695"/>
    </row>
    <row r="10" spans="2:16">
      <c r="B10" s="51"/>
      <c r="C10" s="52"/>
      <c r="D10" s="53"/>
      <c r="E10" s="54"/>
      <c r="F10" s="54"/>
      <c r="G10" s="54"/>
      <c r="H10" s="54"/>
      <c r="I10" s="55"/>
      <c r="J10" s="54"/>
      <c r="K10" s="55"/>
      <c r="L10" s="55"/>
      <c r="M10" s="55"/>
      <c r="N10" s="55"/>
    </row>
    <row r="11" spans="2:16" ht="15.75">
      <c r="B11" s="92" t="s">
        <v>8859</v>
      </c>
      <c r="C11" s="544">
        <v>4251.3500000000004</v>
      </c>
      <c r="D11">
        <f>(C11-C12)/C12</f>
        <v>-7.7835087637406252E-3</v>
      </c>
      <c r="E11">
        <v>-7.7835087637406252E-3</v>
      </c>
      <c r="G11">
        <v>1</v>
      </c>
      <c r="H11">
        <f ca="1">_xlfn.NORM.INV(RAND(),N$13,N$14)</f>
        <v>5.463110114090469E-3</v>
      </c>
      <c r="J11" s="54"/>
      <c r="K11" s="55"/>
      <c r="L11" s="55"/>
      <c r="M11" s="55"/>
      <c r="N11" s="55"/>
    </row>
    <row r="12" spans="2:16" ht="15.75">
      <c r="B12" s="674">
        <v>46083</v>
      </c>
      <c r="C12" s="544">
        <v>4284.7</v>
      </c>
      <c r="D12">
        <f t="shared" ref="D12:D75" si="0">(C12-C13)/C13</f>
        <v>1.5187414111737537E-2</v>
      </c>
      <c r="E12">
        <v>1.5187414111737537E-2</v>
      </c>
      <c r="G12">
        <v>2</v>
      </c>
      <c r="H12">
        <f t="shared" ref="H12:H75" ca="1" si="1">_xlfn.NORM.INV(RAND(),N$13,N$14)</f>
        <v>7.3779452554413498E-3</v>
      </c>
      <c r="J12" s="870" t="s">
        <v>560</v>
      </c>
      <c r="K12" s="870"/>
      <c r="L12" s="870"/>
      <c r="M12" s="870"/>
      <c r="N12" s="870"/>
    </row>
    <row r="13" spans="2:16" ht="15.75">
      <c r="B13" s="674">
        <v>46144</v>
      </c>
      <c r="C13" s="544">
        <v>4220.6000000000004</v>
      </c>
      <c r="D13">
        <f t="shared" si="0"/>
        <v>8.5668200011949011E-3</v>
      </c>
      <c r="E13">
        <v>8.5668200011949011E-3</v>
      </c>
      <c r="G13">
        <v>3</v>
      </c>
      <c r="H13">
        <f t="shared" ca="1" si="1"/>
        <v>7.4139100517033887E-4</v>
      </c>
      <c r="J13" s="19" t="s">
        <v>126</v>
      </c>
      <c r="K13" s="15"/>
      <c r="L13" s="15"/>
      <c r="M13" s="15"/>
      <c r="N13" s="28">
        <f>AVERAGE(E11:E502)</f>
        <v>3.7689507990689965E-4</v>
      </c>
    </row>
    <row r="14" spans="2:16" ht="15.75">
      <c r="B14" s="674" t="s">
        <v>8945</v>
      </c>
      <c r="C14" s="544">
        <v>4184.75</v>
      </c>
      <c r="D14">
        <f t="shared" si="0"/>
        <v>2.9358897543439186E-3</v>
      </c>
      <c r="E14">
        <v>2.9358897543439186E-3</v>
      </c>
      <c r="G14">
        <v>4</v>
      </c>
      <c r="H14">
        <f t="shared" ca="1" si="1"/>
        <v>2.1510433337304395E-2</v>
      </c>
      <c r="J14" s="858" t="s">
        <v>550</v>
      </c>
      <c r="K14" s="859"/>
      <c r="L14" s="859"/>
      <c r="M14" s="859"/>
      <c r="N14" s="860">
        <f>_xlfn.STDEV.S(E11:E502)</f>
        <v>2.286805038720726E-2</v>
      </c>
      <c r="P14" s="35"/>
    </row>
    <row r="15" spans="2:16" ht="15.75">
      <c r="B15" s="674" t="s">
        <v>8946</v>
      </c>
      <c r="C15" s="544">
        <v>4172.5</v>
      </c>
      <c r="D15">
        <f t="shared" si="0"/>
        <v>1.3013183131418672E-2</v>
      </c>
      <c r="E15">
        <v>1.3013183131418672E-2</v>
      </c>
      <c r="G15">
        <v>5</v>
      </c>
      <c r="H15">
        <f t="shared" ca="1" si="1"/>
        <v>1.6306107064734805E-2</v>
      </c>
      <c r="J15" s="858" t="s">
        <v>551</v>
      </c>
      <c r="K15" s="859"/>
      <c r="L15" s="859"/>
      <c r="M15" s="859"/>
      <c r="N15" s="860">
        <f>MIN(E11:E502)</f>
        <v>-0.14757473589570685</v>
      </c>
    </row>
    <row r="16" spans="2:16" ht="15.75">
      <c r="B16" s="674" t="s">
        <v>8861</v>
      </c>
      <c r="C16" s="544">
        <v>4118.8999999999996</v>
      </c>
      <c r="D16">
        <f t="shared" si="0"/>
        <v>-3.0738696872883936E-3</v>
      </c>
      <c r="E16">
        <v>-3.0738696872883936E-3</v>
      </c>
      <c r="G16">
        <v>6</v>
      </c>
      <c r="H16">
        <f t="shared" ca="1" si="1"/>
        <v>9.3043563033334102E-3</v>
      </c>
      <c r="J16" s="858" t="s">
        <v>348</v>
      </c>
      <c r="K16" s="859"/>
      <c r="L16" s="859"/>
      <c r="M16" s="859"/>
      <c r="N16" s="860">
        <f>MAX(E11:E502)</f>
        <v>0.11237328985609971</v>
      </c>
    </row>
    <row r="17" spans="2:22" ht="15.75">
      <c r="B17" s="674" t="s">
        <v>379</v>
      </c>
      <c r="C17" s="544">
        <v>4131.6000000000004</v>
      </c>
      <c r="D17">
        <f t="shared" si="0"/>
        <v>2.9502641283763717E-2</v>
      </c>
      <c r="E17">
        <v>2.9502641283763717E-2</v>
      </c>
      <c r="G17">
        <v>7</v>
      </c>
      <c r="H17">
        <f t="shared" ca="1" si="1"/>
        <v>4.0240541601815434E-3</v>
      </c>
      <c r="J17" s="858" t="s">
        <v>554</v>
      </c>
      <c r="K17" s="859"/>
      <c r="L17" s="859"/>
      <c r="M17" s="859"/>
      <c r="N17" s="861">
        <v>2565.8000000000002</v>
      </c>
    </row>
    <row r="18" spans="2:22" ht="15.75">
      <c r="B18" s="674" t="s">
        <v>372</v>
      </c>
      <c r="C18" s="544">
        <v>4013.2</v>
      </c>
      <c r="D18">
        <f t="shared" si="0"/>
        <v>4.9847618798477426E-2</v>
      </c>
      <c r="E18">
        <v>4.9847618798477426E-2</v>
      </c>
      <c r="G18">
        <v>8</v>
      </c>
      <c r="H18">
        <f t="shared" ca="1" si="1"/>
        <v>-3.0660809840165467E-3</v>
      </c>
      <c r="J18" s="19"/>
      <c r="K18" s="15"/>
      <c r="L18" s="15"/>
      <c r="M18" s="15"/>
      <c r="N18" s="56"/>
    </row>
    <row r="19" spans="2:22" ht="15.75">
      <c r="B19" s="674">
        <v>45569</v>
      </c>
      <c r="C19" s="544">
        <v>3822.65</v>
      </c>
      <c r="D19">
        <f t="shared" si="0"/>
        <v>2.7842757656422301E-2</v>
      </c>
      <c r="E19">
        <v>2.7842757656422301E-2</v>
      </c>
      <c r="G19">
        <v>9</v>
      </c>
      <c r="H19">
        <f ca="1">_xlfn.NORM.INV(RAND(),N$13,N$14)</f>
        <v>1.1860828471684015E-2</v>
      </c>
      <c r="J19" s="857" t="s">
        <v>561</v>
      </c>
      <c r="K19" s="857"/>
      <c r="L19" s="857"/>
      <c r="M19" s="857"/>
      <c r="N19" s="857"/>
    </row>
    <row r="20" spans="2:22" ht="15.75">
      <c r="B20" s="674">
        <v>45476</v>
      </c>
      <c r="C20" s="544">
        <v>3719.1</v>
      </c>
      <c r="D20">
        <f t="shared" si="0"/>
        <v>-1.7566568047337278E-2</v>
      </c>
      <c r="E20">
        <v>-1.7566568047337278E-2</v>
      </c>
      <c r="G20">
        <v>10</v>
      </c>
      <c r="H20">
        <f t="shared" ca="1" si="1"/>
        <v>-1.3993797370523131E-3</v>
      </c>
      <c r="J20" s="19" t="s">
        <v>126</v>
      </c>
      <c r="K20" s="15"/>
      <c r="L20" s="15"/>
      <c r="M20" s="15"/>
      <c r="N20" s="28">
        <f ca="1">AVERAGE(H11:H10010)</f>
        <v>1.0005652128988602E-4</v>
      </c>
    </row>
    <row r="21" spans="2:22" ht="15.75">
      <c r="B21" s="674" t="s">
        <v>211</v>
      </c>
      <c r="C21" s="544">
        <v>3785.6</v>
      </c>
      <c r="D21">
        <f t="shared" si="0"/>
        <v>-9.795843632701709E-3</v>
      </c>
      <c r="E21">
        <v>-9.795843632701709E-3</v>
      </c>
      <c r="G21">
        <v>11</v>
      </c>
      <c r="H21">
        <f t="shared" ca="1" si="1"/>
        <v>-2.7066420584132726E-2</v>
      </c>
      <c r="J21" s="858" t="s">
        <v>550</v>
      </c>
      <c r="K21" s="859"/>
      <c r="L21" s="859"/>
      <c r="M21" s="859"/>
      <c r="N21" s="860">
        <f ca="1">_xlfn.STDEV.S(H11:H10010)</f>
        <v>2.2828900764030519E-2</v>
      </c>
      <c r="U21" s="9"/>
    </row>
    <row r="22" spans="2:22" ht="15.75">
      <c r="B22" s="674" t="s">
        <v>8950</v>
      </c>
      <c r="C22" s="544">
        <v>3823.05</v>
      </c>
      <c r="D22">
        <f t="shared" si="0"/>
        <v>-1.0418554085885124E-2</v>
      </c>
      <c r="E22">
        <v>-1.0418554085885124E-2</v>
      </c>
      <c r="G22">
        <v>12</v>
      </c>
      <c r="H22">
        <f t="shared" ca="1" si="1"/>
        <v>-2.3997357587499824E-2</v>
      </c>
      <c r="J22" s="858" t="s">
        <v>551</v>
      </c>
      <c r="K22" s="859"/>
      <c r="L22" s="859"/>
      <c r="M22" s="859"/>
      <c r="N22" s="860">
        <f ca="1">MIN(H11:H10010)</f>
        <v>-0.10003533131819713</v>
      </c>
      <c r="P22" s="9"/>
    </row>
    <row r="23" spans="2:22" ht="15.75">
      <c r="B23" s="674" t="s">
        <v>383</v>
      </c>
      <c r="C23" s="544">
        <v>3863.3</v>
      </c>
      <c r="D23">
        <f t="shared" si="0"/>
        <v>1.9071485096280712E-2</v>
      </c>
      <c r="E23">
        <v>1.9071485096280712E-2</v>
      </c>
      <c r="G23">
        <v>13</v>
      </c>
      <c r="H23">
        <f t="shared" ca="1" si="1"/>
        <v>-1.8659375489712599E-2</v>
      </c>
      <c r="J23" s="858" t="s">
        <v>348</v>
      </c>
      <c r="K23" s="859"/>
      <c r="L23" s="859"/>
      <c r="M23" s="859"/>
      <c r="N23" s="860">
        <f ca="1">MAX(H11:H10010)</f>
        <v>8.6915189770397E-2</v>
      </c>
    </row>
    <row r="24" spans="2:22" ht="15.75">
      <c r="B24" s="674">
        <v>45446</v>
      </c>
      <c r="C24" s="544">
        <v>3791</v>
      </c>
      <c r="D24">
        <f t="shared" si="0"/>
        <v>9.6141042371301246E-3</v>
      </c>
      <c r="E24">
        <v>9.6141042371301246E-3</v>
      </c>
      <c r="G24">
        <v>14</v>
      </c>
      <c r="H24">
        <f t="shared" ca="1" si="1"/>
        <v>-1.6054998004348071E-2</v>
      </c>
      <c r="J24" s="858" t="s">
        <v>554</v>
      </c>
      <c r="K24" s="859"/>
      <c r="L24" s="859"/>
      <c r="M24" s="859"/>
      <c r="N24" s="861">
        <v>2565.8000000000002</v>
      </c>
      <c r="U24" s="9"/>
    </row>
    <row r="25" spans="2:22" ht="15.75">
      <c r="B25" s="674" t="s">
        <v>377</v>
      </c>
      <c r="C25" s="544">
        <v>3754.9</v>
      </c>
      <c r="D25">
        <f t="shared" si="0"/>
        <v>-1.2595981908067762E-2</v>
      </c>
      <c r="E25">
        <v>-1.2595981908067762E-2</v>
      </c>
      <c r="G25">
        <v>15</v>
      </c>
      <c r="H25">
        <f t="shared" ca="1" si="1"/>
        <v>-1.3903158818004554E-2</v>
      </c>
    </row>
    <row r="26" spans="2:22" ht="15.75">
      <c r="B26" s="674">
        <v>45355</v>
      </c>
      <c r="C26" s="544">
        <v>3802.8</v>
      </c>
      <c r="D26">
        <f t="shared" si="0"/>
        <v>1.0106912809615561E-2</v>
      </c>
      <c r="E26">
        <v>1.0106912809615561E-2</v>
      </c>
      <c r="G26">
        <v>16</v>
      </c>
      <c r="H26">
        <f t="shared" ca="1" si="1"/>
        <v>3.0641097206958776E-2</v>
      </c>
      <c r="J26" s="856" t="s">
        <v>552</v>
      </c>
      <c r="K26" s="855" t="s">
        <v>557</v>
      </c>
      <c r="L26" s="855" t="s">
        <v>553</v>
      </c>
      <c r="M26" s="855" t="s">
        <v>555</v>
      </c>
      <c r="N26" s="855" t="s">
        <v>556</v>
      </c>
      <c r="O26" s="57"/>
    </row>
    <row r="27" spans="2:22" ht="15.75">
      <c r="B27" s="674">
        <v>45386</v>
      </c>
      <c r="C27" s="544">
        <v>3764.75</v>
      </c>
      <c r="D27">
        <f t="shared" si="0"/>
        <v>-1.7805896164883903E-2</v>
      </c>
      <c r="E27">
        <v>-1.7805896164883903E-2</v>
      </c>
      <c r="G27">
        <v>17</v>
      </c>
      <c r="H27">
        <f t="shared" ca="1" si="1"/>
        <v>4.0369238804720244E-2</v>
      </c>
      <c r="J27" s="862">
        <v>0.05</v>
      </c>
      <c r="K27" s="278">
        <f>100%-J27</f>
        <v>0.95</v>
      </c>
      <c r="L27" s="863">
        <f ca="1">_xlfn.PERCENTILE.INC($H$11:$H$10010,J27)</f>
        <v>-3.7337342639639497E-2</v>
      </c>
      <c r="M27" s="864">
        <f ca="1">$N$17*(1-L27)</f>
        <v>2661.6001537447873</v>
      </c>
      <c r="N27" s="864">
        <f ca="1">$N$17-M27</f>
        <v>-95.800153744787167</v>
      </c>
    </row>
    <row r="28" spans="2:22" ht="15.75">
      <c r="B28" s="674">
        <v>45294</v>
      </c>
      <c r="C28" s="544">
        <v>3833</v>
      </c>
      <c r="D28">
        <f t="shared" si="0"/>
        <v>-2.8858091160151027E-2</v>
      </c>
      <c r="E28">
        <v>-2.8858091160151027E-2</v>
      </c>
      <c r="G28">
        <v>18</v>
      </c>
      <c r="H28">
        <f t="shared" ca="1" si="1"/>
        <v>1.0852088200871893E-2</v>
      </c>
      <c r="J28" s="865">
        <v>0.01</v>
      </c>
      <c r="K28" s="866">
        <f>100%-J28</f>
        <v>0.99</v>
      </c>
      <c r="L28" s="867">
        <f ca="1">_xlfn.PERCENTILE.INC($H$11:$H$10010,J28)</f>
        <v>-5.3324314986607578E-2</v>
      </c>
      <c r="M28" s="868">
        <f ca="1">$N$17*(1-L28)</f>
        <v>2702.6195273926378</v>
      </c>
      <c r="N28" s="868">
        <f ca="1">$N$17-M28</f>
        <v>-136.81952739263761</v>
      </c>
      <c r="V28">
        <f ca="1">U28*N27</f>
        <v>0</v>
      </c>
    </row>
    <row r="29" spans="2:22" ht="15.75">
      <c r="B29" s="674">
        <v>46175</v>
      </c>
      <c r="C29" s="544">
        <v>3946.9</v>
      </c>
      <c r="D29">
        <f t="shared" si="0"/>
        <v>1.1571730633690035E-2</v>
      </c>
      <c r="E29">
        <v>1.1571730633690035E-2</v>
      </c>
      <c r="G29">
        <v>19</v>
      </c>
      <c r="H29">
        <f t="shared" ca="1" si="1"/>
        <v>-5.8527897974537581E-3</v>
      </c>
      <c r="J29" s="865">
        <v>5.0000000000000001E-3</v>
      </c>
      <c r="K29" s="866">
        <f>100%-J29</f>
        <v>0.995</v>
      </c>
      <c r="L29" s="867">
        <f ca="1">_xlfn.PERCENTILE.INC($H$11:$H$10010,J29)</f>
        <v>-5.8525276514033893E-2</v>
      </c>
      <c r="M29" s="868">
        <f ca="1">$N$17*(1-L29)</f>
        <v>2715.9641544797082</v>
      </c>
      <c r="N29" s="868">
        <f ca="1">$N$17-M29</f>
        <v>-150.16415447970803</v>
      </c>
    </row>
    <row r="30" spans="2:22" ht="15.75">
      <c r="B30" s="674" t="s">
        <v>8947</v>
      </c>
      <c r="C30" s="544">
        <v>3901.75</v>
      </c>
      <c r="D30">
        <f t="shared" si="0"/>
        <v>-7.3019628795684514E-3</v>
      </c>
      <c r="E30">
        <v>-7.3019628795684514E-3</v>
      </c>
      <c r="G30">
        <v>20</v>
      </c>
      <c r="H30">
        <f t="shared" ca="1" si="1"/>
        <v>-1.7810964692552892E-2</v>
      </c>
      <c r="J30" s="869">
        <v>0.1</v>
      </c>
      <c r="K30" s="866">
        <f>100%-J30</f>
        <v>0.9</v>
      </c>
      <c r="L30" s="867">
        <f ca="1">_xlfn.PERCENTILE.INC($H$11:$H$10010,J30)</f>
        <v>-2.8981591016191893E-2</v>
      </c>
      <c r="M30" s="868">
        <f ca="1">$N$17*(1-L30)</f>
        <v>2640.1609662293454</v>
      </c>
      <c r="N30" s="868">
        <f ca="1">$N$17-M30</f>
        <v>-74.360966229345195</v>
      </c>
    </row>
    <row r="31" spans="2:22" ht="15.75">
      <c r="B31" s="674" t="s">
        <v>8948</v>
      </c>
      <c r="C31" s="544">
        <v>3930.45</v>
      </c>
      <c r="D31">
        <f t="shared" si="0"/>
        <v>2.793723689246031E-3</v>
      </c>
      <c r="E31">
        <v>2.793723689246031E-3</v>
      </c>
      <c r="G31">
        <v>21</v>
      </c>
      <c r="H31">
        <f t="shared" ca="1" si="1"/>
        <v>1.0336984084521738E-3</v>
      </c>
    </row>
    <row r="32" spans="2:22" ht="15.75">
      <c r="B32" s="674">
        <v>46114</v>
      </c>
      <c r="C32" s="544">
        <v>3919.5</v>
      </c>
      <c r="D32">
        <f t="shared" si="0"/>
        <v>-3.3927757169441623E-2</v>
      </c>
      <c r="E32">
        <v>-3.3927757169441623E-2</v>
      </c>
      <c r="G32">
        <v>22</v>
      </c>
      <c r="H32">
        <f t="shared" ca="1" si="1"/>
        <v>-1.8897767776429592E-4</v>
      </c>
    </row>
    <row r="33" spans="2:8" ht="15.75">
      <c r="B33" s="674">
        <v>45326</v>
      </c>
      <c r="C33" s="544">
        <v>4057.15</v>
      </c>
      <c r="D33">
        <f t="shared" si="0"/>
        <v>2.0461290809396827E-2</v>
      </c>
      <c r="E33">
        <v>2.0461290809396827E-2</v>
      </c>
      <c r="G33">
        <v>23</v>
      </c>
      <c r="H33">
        <f t="shared" ca="1" si="1"/>
        <v>3.626600090456593E-3</v>
      </c>
    </row>
    <row r="34" spans="2:8" ht="15.75">
      <c r="B34" s="674">
        <v>45385</v>
      </c>
      <c r="C34" s="544">
        <v>3975.8</v>
      </c>
      <c r="D34">
        <f t="shared" si="0"/>
        <v>-3.2466311501096381E-3</v>
      </c>
      <c r="E34">
        <v>-3.2466311501096381E-3</v>
      </c>
      <c r="G34">
        <v>24</v>
      </c>
      <c r="H34">
        <f t="shared" ca="1" si="1"/>
        <v>5.3440776758920442E-4</v>
      </c>
    </row>
    <row r="35" spans="2:8" ht="15.75">
      <c r="B35" s="674" t="s">
        <v>215</v>
      </c>
      <c r="C35" s="544">
        <v>3988.75</v>
      </c>
      <c r="D35">
        <f t="shared" si="0"/>
        <v>-1.7500862111434104E-2</v>
      </c>
      <c r="E35">
        <v>-1.7500862111434104E-2</v>
      </c>
      <c r="G35">
        <v>25</v>
      </c>
      <c r="H35">
        <f t="shared" ca="1" si="1"/>
        <v>3.1829818069159889E-2</v>
      </c>
    </row>
    <row r="36" spans="2:8" ht="15.75">
      <c r="B36" s="674" t="s">
        <v>392</v>
      </c>
      <c r="C36" s="544">
        <v>4059.8</v>
      </c>
      <c r="D36">
        <f t="shared" si="0"/>
        <v>2.9893519776664191E-3</v>
      </c>
      <c r="E36">
        <v>2.9893519776664191E-3</v>
      </c>
      <c r="G36">
        <v>26</v>
      </c>
      <c r="H36">
        <f t="shared" ca="1" si="1"/>
        <v>-3.9632990360738852E-3</v>
      </c>
    </row>
    <row r="37" spans="2:8" ht="15.75">
      <c r="B37" s="674" t="s">
        <v>389</v>
      </c>
      <c r="C37" s="544">
        <v>4047.7</v>
      </c>
      <c r="D37">
        <f t="shared" si="0"/>
        <v>-8.6184515007506582E-2</v>
      </c>
      <c r="E37">
        <v>-8.6184515007506582E-2</v>
      </c>
      <c r="G37">
        <v>27</v>
      </c>
      <c r="H37">
        <f t="shared" ca="1" si="1"/>
        <v>-9.0165860173498247E-3</v>
      </c>
    </row>
    <row r="38" spans="2:8" ht="15.75">
      <c r="B38" s="674">
        <v>45599</v>
      </c>
      <c r="C38" s="544">
        <v>4429.45</v>
      </c>
      <c r="D38">
        <f t="shared" si="0"/>
        <v>4.6838141898021312E-3</v>
      </c>
      <c r="E38">
        <v>4.6838141898021312E-3</v>
      </c>
      <c r="G38">
        <v>28</v>
      </c>
      <c r="H38">
        <f t="shared" ca="1" si="1"/>
        <v>-5.4224709446104455E-2</v>
      </c>
    </row>
    <row r="39" spans="2:8" ht="15.75">
      <c r="B39" s="674">
        <v>46055</v>
      </c>
      <c r="C39" s="544">
        <v>4408.8</v>
      </c>
      <c r="D39">
        <f t="shared" si="0"/>
        <v>2.5827167387965935E-2</v>
      </c>
      <c r="E39">
        <v>2.5827167387965935E-2</v>
      </c>
      <c r="G39">
        <v>29</v>
      </c>
      <c r="H39">
        <f t="shared" ca="1" si="1"/>
        <v>1.001418074992769E-2</v>
      </c>
    </row>
    <row r="40" spans="2:8" ht="15.75">
      <c r="B40" s="674" t="s">
        <v>8860</v>
      </c>
      <c r="C40" s="544">
        <v>4297.8</v>
      </c>
      <c r="D40">
        <f t="shared" si="0"/>
        <v>4.6165893339255035E-3</v>
      </c>
      <c r="E40">
        <v>4.6165893339255035E-3</v>
      </c>
      <c r="G40">
        <v>30</v>
      </c>
      <c r="H40">
        <f t="shared" ca="1" si="1"/>
        <v>2.5707519776059114E-2</v>
      </c>
    </row>
    <row r="41" spans="2:8" ht="15.75">
      <c r="B41" s="674" t="s">
        <v>373</v>
      </c>
      <c r="C41" s="544">
        <v>4278.05</v>
      </c>
      <c r="D41">
        <f t="shared" si="0"/>
        <v>1.6320809626189273E-2</v>
      </c>
      <c r="E41">
        <v>1.6320809626189273E-2</v>
      </c>
      <c r="G41">
        <v>31</v>
      </c>
      <c r="H41">
        <f t="shared" ca="1" si="1"/>
        <v>3.8612495803359348E-2</v>
      </c>
    </row>
    <row r="42" spans="2:8" ht="15.75">
      <c r="B42" s="674" t="s">
        <v>8997</v>
      </c>
      <c r="C42" s="544">
        <v>4209.3500000000004</v>
      </c>
      <c r="D42">
        <f t="shared" si="0"/>
        <v>-3.8691814373948588E-3</v>
      </c>
      <c r="E42">
        <v>-3.8691814373948588E-3</v>
      </c>
      <c r="G42">
        <v>32</v>
      </c>
      <c r="H42">
        <f t="shared" ca="1" si="1"/>
        <v>-1.8046038718012698E-2</v>
      </c>
    </row>
    <row r="43" spans="2:8" ht="15.75">
      <c r="B43" s="674" t="s">
        <v>8951</v>
      </c>
      <c r="C43" s="544">
        <v>4225.7</v>
      </c>
      <c r="D43">
        <f t="shared" si="0"/>
        <v>-1.3562724683692134E-2</v>
      </c>
      <c r="E43">
        <v>-1.3562724683692134E-2</v>
      </c>
      <c r="G43">
        <v>33</v>
      </c>
      <c r="H43">
        <f t="shared" ca="1" si="1"/>
        <v>-1.5909273045906402E-2</v>
      </c>
    </row>
    <row r="44" spans="2:8" ht="15.75">
      <c r="B44" s="674" t="s">
        <v>378</v>
      </c>
      <c r="C44" s="544">
        <v>4283.8</v>
      </c>
      <c r="D44">
        <f t="shared" si="0"/>
        <v>-1.1891160903726957E-3</v>
      </c>
      <c r="E44">
        <v>-1.1891160903726957E-3</v>
      </c>
      <c r="G44">
        <v>34</v>
      </c>
      <c r="H44">
        <f t="shared" ca="1" si="1"/>
        <v>3.1428612110693428E-2</v>
      </c>
    </row>
    <row r="45" spans="2:8" ht="15.75">
      <c r="B45" s="674" t="s">
        <v>8862</v>
      </c>
      <c r="C45" s="544">
        <v>4288.8999999999996</v>
      </c>
      <c r="D45">
        <f t="shared" si="0"/>
        <v>2.3616033604219579E-2</v>
      </c>
      <c r="E45">
        <v>2.3616033604219579E-2</v>
      </c>
      <c r="G45">
        <v>35</v>
      </c>
      <c r="H45">
        <f t="shared" ca="1" si="1"/>
        <v>7.2071059482973765E-3</v>
      </c>
    </row>
    <row r="46" spans="2:8" ht="15.75">
      <c r="B46" s="674" t="s">
        <v>387</v>
      </c>
      <c r="C46" s="544">
        <v>4189.95</v>
      </c>
      <c r="D46">
        <f t="shared" si="0"/>
        <v>-3.8988671888931128E-3</v>
      </c>
      <c r="E46">
        <v>-3.8988671888931128E-3</v>
      </c>
      <c r="G46">
        <v>36</v>
      </c>
      <c r="H46">
        <f t="shared" ca="1" si="1"/>
        <v>1.4011562910757426E-2</v>
      </c>
    </row>
    <row r="47" spans="2:8" ht="15.75">
      <c r="B47" s="674" t="s">
        <v>391</v>
      </c>
      <c r="C47" s="544">
        <v>4206.3500000000004</v>
      </c>
      <c r="D47">
        <f t="shared" si="0"/>
        <v>3.5600418538807251E-2</v>
      </c>
      <c r="E47">
        <v>3.5600418538807251E-2</v>
      </c>
      <c r="G47">
        <v>37</v>
      </c>
      <c r="H47">
        <f t="shared" ca="1" si="1"/>
        <v>6.1689531095853335E-3</v>
      </c>
    </row>
    <row r="48" spans="2:8" ht="15.75">
      <c r="B48" s="674" t="s">
        <v>8992</v>
      </c>
      <c r="C48" s="544">
        <v>4061.75</v>
      </c>
      <c r="D48">
        <f t="shared" si="0"/>
        <v>8.0535080535080079E-3</v>
      </c>
      <c r="E48">
        <v>8.0535080535080079E-3</v>
      </c>
      <c r="G48">
        <v>38</v>
      </c>
      <c r="H48">
        <f t="shared" ca="1" si="1"/>
        <v>-1.7478142149819458E-2</v>
      </c>
    </row>
    <row r="49" spans="2:8" ht="15.75">
      <c r="B49" s="674">
        <v>45508</v>
      </c>
      <c r="C49" s="544">
        <v>4029.3</v>
      </c>
      <c r="D49">
        <f t="shared" si="0"/>
        <v>-3.5118090762952438E-3</v>
      </c>
      <c r="E49">
        <v>-3.5118090762952438E-3</v>
      </c>
      <c r="G49">
        <v>39</v>
      </c>
      <c r="H49">
        <f t="shared" ca="1" si="1"/>
        <v>2.8454463389736721E-2</v>
      </c>
    </row>
    <row r="50" spans="2:8" ht="15.75">
      <c r="B50" s="674" t="s">
        <v>386</v>
      </c>
      <c r="C50" s="544">
        <v>4043.5</v>
      </c>
      <c r="D50">
        <f t="shared" si="0"/>
        <v>-1.6120201958756616E-2</v>
      </c>
      <c r="E50">
        <v>-1.6120201958756616E-2</v>
      </c>
      <c r="G50">
        <v>40</v>
      </c>
      <c r="H50">
        <f t="shared" ca="1" si="1"/>
        <v>-2.6334667903872021E-2</v>
      </c>
    </row>
    <row r="51" spans="2:8" ht="15.75">
      <c r="B51" s="674" t="s">
        <v>380</v>
      </c>
      <c r="C51" s="544">
        <v>4109.75</v>
      </c>
      <c r="D51">
        <f t="shared" si="0"/>
        <v>1.0961573594787163E-3</v>
      </c>
      <c r="E51">
        <v>1.0961573594787163E-3</v>
      </c>
      <c r="G51">
        <v>41</v>
      </c>
      <c r="H51">
        <f t="shared" ca="1" si="1"/>
        <v>-3.7392104809896077E-3</v>
      </c>
    </row>
    <row r="52" spans="2:8" ht="15.75">
      <c r="B52" s="674" t="s">
        <v>381</v>
      </c>
      <c r="C52" s="544">
        <v>4105.25</v>
      </c>
      <c r="D52">
        <f t="shared" si="0"/>
        <v>7.9303698793258409E-3</v>
      </c>
      <c r="E52">
        <v>7.9303698793258409E-3</v>
      </c>
      <c r="G52">
        <v>42</v>
      </c>
      <c r="H52">
        <f t="shared" ca="1" si="1"/>
        <v>2.6178932834301248E-2</v>
      </c>
    </row>
    <row r="53" spans="2:8" ht="15.75">
      <c r="B53" s="674">
        <v>45539</v>
      </c>
      <c r="C53" s="544">
        <v>4072.95</v>
      </c>
      <c r="D53">
        <f t="shared" si="0"/>
        <v>6.8475372350286926E-3</v>
      </c>
      <c r="E53">
        <v>6.8475372350286926E-3</v>
      </c>
      <c r="G53">
        <v>43</v>
      </c>
      <c r="H53">
        <f t="shared" ca="1" si="1"/>
        <v>5.2129960467860906E-2</v>
      </c>
    </row>
    <row r="54" spans="2:8" ht="15.75">
      <c r="B54" s="674" t="s">
        <v>8988</v>
      </c>
      <c r="C54" s="544">
        <v>4045.25</v>
      </c>
      <c r="D54">
        <f t="shared" si="0"/>
        <v>6.7819810851169737E-3</v>
      </c>
      <c r="E54">
        <v>6.7819810851169737E-3</v>
      </c>
      <c r="G54">
        <v>44</v>
      </c>
      <c r="H54">
        <f t="shared" ca="1" si="1"/>
        <v>4.8701778123248135E-2</v>
      </c>
    </row>
    <row r="55" spans="2:8" ht="15.75">
      <c r="B55" s="674" t="s">
        <v>8991</v>
      </c>
      <c r="C55" s="544">
        <v>4018</v>
      </c>
      <c r="D55">
        <f t="shared" si="0"/>
        <v>-1.6569988006951031E-2</v>
      </c>
      <c r="E55">
        <v>-1.6569988006951031E-2</v>
      </c>
      <c r="G55">
        <v>45</v>
      </c>
      <c r="H55">
        <f t="shared" ca="1" si="1"/>
        <v>2.1770357209324135E-2</v>
      </c>
    </row>
    <row r="56" spans="2:8" ht="15.75">
      <c r="B56" s="674">
        <v>45415</v>
      </c>
      <c r="C56" s="544">
        <v>4085.7</v>
      </c>
      <c r="D56">
        <f t="shared" si="0"/>
        <v>-1.2833205001283321E-3</v>
      </c>
      <c r="E56">
        <v>-1.2833205001283321E-3</v>
      </c>
      <c r="G56">
        <v>46</v>
      </c>
      <c r="H56">
        <f t="shared" ca="1" si="1"/>
        <v>8.496016242408231E-3</v>
      </c>
    </row>
    <row r="57" spans="2:8" ht="15.75">
      <c r="B57" s="674">
        <v>45630</v>
      </c>
      <c r="C57" s="544">
        <v>4090.95</v>
      </c>
      <c r="D57">
        <f t="shared" si="0"/>
        <v>-2.3488130616921607E-2</v>
      </c>
      <c r="E57">
        <v>-2.3488130616921607E-2</v>
      </c>
      <c r="G57">
        <v>47</v>
      </c>
      <c r="H57">
        <f t="shared" ca="1" si="1"/>
        <v>3.6360148520772934E-2</v>
      </c>
    </row>
    <row r="58" spans="2:8" ht="15.75">
      <c r="B58" s="674">
        <v>46357</v>
      </c>
      <c r="C58" s="544">
        <v>4189.3500000000004</v>
      </c>
      <c r="D58">
        <f t="shared" si="0"/>
        <v>-6.0854092526689526E-3</v>
      </c>
      <c r="E58">
        <v>-6.0854092526689526E-3</v>
      </c>
      <c r="G58">
        <v>48</v>
      </c>
      <c r="H58">
        <f t="shared" ca="1" si="1"/>
        <v>9.0097867043299716E-3</v>
      </c>
    </row>
    <row r="59" spans="2:8" ht="15.75">
      <c r="B59" s="674" t="s">
        <v>374</v>
      </c>
      <c r="C59" s="544">
        <v>4215</v>
      </c>
      <c r="D59">
        <f t="shared" si="0"/>
        <v>6.2908096880857477E-3</v>
      </c>
      <c r="E59">
        <v>6.2908096880857477E-3</v>
      </c>
      <c r="G59">
        <v>49</v>
      </c>
      <c r="H59">
        <f t="shared" ca="1" si="1"/>
        <v>1.3352795156841063E-2</v>
      </c>
    </row>
    <row r="60" spans="2:8" ht="15.75">
      <c r="B60" s="674">
        <v>45629</v>
      </c>
      <c r="C60" s="544">
        <v>4188.6499999999996</v>
      </c>
      <c r="D60">
        <f t="shared" si="0"/>
        <v>-9.0843496055169788E-3</v>
      </c>
      <c r="E60">
        <v>-9.0843496055169788E-3</v>
      </c>
      <c r="G60">
        <v>50</v>
      </c>
      <c r="H60">
        <f t="shared" ca="1" si="1"/>
        <v>1.7249150901570229E-2</v>
      </c>
    </row>
    <row r="61" spans="2:8" ht="15.75">
      <c r="B61" s="674">
        <v>45295</v>
      </c>
      <c r="C61" s="544">
        <v>4227.05</v>
      </c>
      <c r="D61">
        <f t="shared" si="0"/>
        <v>2.0386634901445708E-3</v>
      </c>
      <c r="E61">
        <v>2.0386634901445708E-3</v>
      </c>
      <c r="G61">
        <v>51</v>
      </c>
      <c r="H61">
        <f t="shared" ca="1" si="1"/>
        <v>-3.3437803947067579E-2</v>
      </c>
    </row>
    <row r="62" spans="2:8" ht="15.75">
      <c r="B62" s="674">
        <v>46003</v>
      </c>
      <c r="C62" s="544">
        <v>4218.45</v>
      </c>
      <c r="D62">
        <f t="shared" si="0"/>
        <v>-7.622005010762681E-3</v>
      </c>
      <c r="E62">
        <v>-7.622005010762681E-3</v>
      </c>
      <c r="G62">
        <v>52</v>
      </c>
      <c r="H62">
        <f t="shared" ca="1" si="1"/>
        <v>4.5849799772231289E-2</v>
      </c>
    </row>
    <row r="63" spans="2:8" ht="15.75">
      <c r="B63" s="674" t="s">
        <v>388</v>
      </c>
      <c r="C63" s="544">
        <v>4250.8500000000004</v>
      </c>
      <c r="D63">
        <f t="shared" si="0"/>
        <v>-4.1349420171019413E-3</v>
      </c>
      <c r="E63">
        <v>-4.1349420171019413E-3</v>
      </c>
      <c r="G63">
        <v>53</v>
      </c>
      <c r="H63">
        <f t="shared" ca="1" si="1"/>
        <v>-2.4951564786456285E-2</v>
      </c>
    </row>
    <row r="64" spans="2:8" ht="15.75">
      <c r="B64" s="674" t="s">
        <v>214</v>
      </c>
      <c r="C64" s="544">
        <v>4268.5</v>
      </c>
      <c r="D64">
        <f t="shared" si="0"/>
        <v>-5.5332284932145146E-3</v>
      </c>
      <c r="E64">
        <v>-5.5332284932145146E-3</v>
      </c>
      <c r="G64">
        <v>54</v>
      </c>
      <c r="H64">
        <f t="shared" ca="1" si="1"/>
        <v>2.208980200389779E-2</v>
      </c>
    </row>
    <row r="65" spans="2:8" ht="15.75">
      <c r="B65" s="674" t="s">
        <v>210</v>
      </c>
      <c r="C65" s="544">
        <v>4292.25</v>
      </c>
      <c r="D65">
        <f t="shared" si="0"/>
        <v>1.1297504888909789E-2</v>
      </c>
      <c r="E65">
        <v>1.1297504888909789E-2</v>
      </c>
      <c r="G65">
        <v>55</v>
      </c>
      <c r="H65">
        <f t="shared" ca="1" si="1"/>
        <v>-1.1589670276533109E-2</v>
      </c>
    </row>
    <row r="66" spans="2:8" ht="15.75">
      <c r="B66" s="674" t="s">
        <v>8864</v>
      </c>
      <c r="C66" s="544">
        <v>4244.3</v>
      </c>
      <c r="D66">
        <f t="shared" si="0"/>
        <v>-1.5186495736411582E-2</v>
      </c>
      <c r="E66">
        <v>-1.5186495736411582E-2</v>
      </c>
      <c r="G66">
        <v>56</v>
      </c>
      <c r="H66">
        <f t="shared" ca="1" si="1"/>
        <v>2.194072098436874E-2</v>
      </c>
    </row>
    <row r="67" spans="2:8" ht="15.75">
      <c r="B67" s="674">
        <v>45942</v>
      </c>
      <c r="C67" s="544">
        <v>4309.75</v>
      </c>
      <c r="D67">
        <f t="shared" si="0"/>
        <v>-1.1615906797541427E-2</v>
      </c>
      <c r="E67">
        <v>-1.1615906797541427E-2</v>
      </c>
      <c r="G67">
        <v>57</v>
      </c>
      <c r="H67">
        <f t="shared" ca="1" si="1"/>
        <v>-5.5710727466984314E-2</v>
      </c>
    </row>
    <row r="68" spans="2:8" ht="15.75">
      <c r="B68" s="674">
        <v>46235</v>
      </c>
      <c r="C68" s="544">
        <v>4360.3999999999996</v>
      </c>
      <c r="D68">
        <f t="shared" si="0"/>
        <v>-6.4823359194323624E-3</v>
      </c>
      <c r="E68">
        <v>-6.4823359194323624E-3</v>
      </c>
      <c r="G68">
        <v>58</v>
      </c>
      <c r="H68">
        <f t="shared" ca="1" si="1"/>
        <v>1.3658976576695727E-2</v>
      </c>
    </row>
    <row r="69" spans="2:8" ht="15.75">
      <c r="B69" s="674" t="s">
        <v>212</v>
      </c>
      <c r="C69" s="544">
        <v>4388.8500000000004</v>
      </c>
      <c r="D69">
        <f t="shared" si="0"/>
        <v>7.0558270806085214E-3</v>
      </c>
      <c r="E69">
        <v>7.0558270806085214E-3</v>
      </c>
      <c r="G69">
        <v>59</v>
      </c>
      <c r="H69">
        <f t="shared" ca="1" si="1"/>
        <v>-1.0877326857797538E-2</v>
      </c>
    </row>
    <row r="70" spans="2:8" ht="15.75">
      <c r="B70" s="674" t="s">
        <v>384</v>
      </c>
      <c r="C70" s="544">
        <v>4358.1000000000004</v>
      </c>
      <c r="D70">
        <f t="shared" si="0"/>
        <v>-3.1109179495389561E-3</v>
      </c>
      <c r="E70">
        <v>-3.1109179495389561E-3</v>
      </c>
      <c r="G70">
        <v>60</v>
      </c>
      <c r="H70">
        <f t="shared" ca="1" si="1"/>
        <v>-1.4003190573049952E-2</v>
      </c>
    </row>
    <row r="71" spans="2:8" ht="15.75">
      <c r="B71" s="674">
        <v>46297</v>
      </c>
      <c r="C71" s="544">
        <v>4371.7</v>
      </c>
      <c r="D71">
        <f t="shared" si="0"/>
        <v>-8.5948838896953341E-3</v>
      </c>
      <c r="E71">
        <v>-8.5948838896953341E-3</v>
      </c>
      <c r="G71">
        <v>61</v>
      </c>
      <c r="H71">
        <f t="shared" ca="1" si="1"/>
        <v>-3.803920901237625E-2</v>
      </c>
    </row>
    <row r="72" spans="2:8" ht="15.75">
      <c r="B72" s="674">
        <v>45416</v>
      </c>
      <c r="C72" s="544">
        <v>4409.6000000000004</v>
      </c>
      <c r="D72">
        <f t="shared" si="0"/>
        <v>4.6019957169546478E-3</v>
      </c>
      <c r="E72">
        <v>4.6019957169546478E-3</v>
      </c>
      <c r="G72">
        <v>62</v>
      </c>
      <c r="H72">
        <f t="shared" ca="1" si="1"/>
        <v>5.7001404270890906E-2</v>
      </c>
    </row>
    <row r="73" spans="2:8" ht="15.75">
      <c r="B73" s="674">
        <v>45973</v>
      </c>
      <c r="C73" s="544">
        <v>4389.3999999999996</v>
      </c>
      <c r="D73">
        <f t="shared" si="0"/>
        <v>1.5606381378775742E-2</v>
      </c>
      <c r="E73">
        <v>1.5606381378775742E-2</v>
      </c>
      <c r="G73">
        <v>63</v>
      </c>
      <c r="H73">
        <f t="shared" ca="1" si="1"/>
        <v>3.6462967002028029E-2</v>
      </c>
    </row>
    <row r="74" spans="2:8" ht="15.75">
      <c r="B74" s="674" t="s">
        <v>375</v>
      </c>
      <c r="C74" s="544">
        <v>4321.95</v>
      </c>
      <c r="D74">
        <f t="shared" si="0"/>
        <v>-1.1865976199458268E-2</v>
      </c>
      <c r="E74">
        <v>-1.1865976199458268E-2</v>
      </c>
      <c r="G74">
        <v>64</v>
      </c>
      <c r="H74">
        <f t="shared" ca="1" si="1"/>
        <v>-2.0639497112560603E-2</v>
      </c>
    </row>
    <row r="75" spans="2:8" ht="15.75">
      <c r="B75" s="674" t="s">
        <v>382</v>
      </c>
      <c r="C75" s="544">
        <v>4373.8500000000004</v>
      </c>
      <c r="D75">
        <f t="shared" si="0"/>
        <v>1.3356656318057677E-2</v>
      </c>
      <c r="E75">
        <v>1.3356656318057677E-2</v>
      </c>
      <c r="G75">
        <v>65</v>
      </c>
      <c r="H75">
        <f t="shared" ca="1" si="1"/>
        <v>-1.9294902327678727E-2</v>
      </c>
    </row>
    <row r="76" spans="2:8" ht="15.75">
      <c r="B76" s="674" t="s">
        <v>395</v>
      </c>
      <c r="C76" s="544">
        <v>4316.2</v>
      </c>
      <c r="D76">
        <f t="shared" ref="D76:D139" si="2">(C76-C77)/C77</f>
        <v>7.9045383959740444E-3</v>
      </c>
      <c r="E76">
        <v>7.9045383959740444E-3</v>
      </c>
      <c r="G76">
        <v>66</v>
      </c>
      <c r="H76">
        <f t="shared" ref="H76:H139" ca="1" si="3">_xlfn.NORM.INV(RAND(),N$13,N$14)</f>
        <v>-1.4540427688851446E-2</v>
      </c>
    </row>
    <row r="77" spans="2:8" ht="15.75">
      <c r="B77" s="674" t="s">
        <v>8949</v>
      </c>
      <c r="C77" s="544">
        <v>4282.3500000000004</v>
      </c>
      <c r="D77">
        <f t="shared" si="2"/>
        <v>-7.405645588505573E-2</v>
      </c>
      <c r="E77">
        <v>-7.405645588505573E-2</v>
      </c>
      <c r="G77">
        <v>67</v>
      </c>
      <c r="H77">
        <f t="shared" ca="1" si="3"/>
        <v>-1.3263900101257779E-2</v>
      </c>
    </row>
    <row r="78" spans="2:8" ht="15.75">
      <c r="B78" s="674" t="s">
        <v>8987</v>
      </c>
      <c r="C78" s="544">
        <v>4624.8500000000004</v>
      </c>
      <c r="D78">
        <f t="shared" si="2"/>
        <v>-1.1509607369568353E-2</v>
      </c>
      <c r="E78">
        <v>-1.1509607369568353E-2</v>
      </c>
      <c r="G78">
        <v>68</v>
      </c>
      <c r="H78">
        <f t="shared" ca="1" si="3"/>
        <v>1.9215429443671675E-2</v>
      </c>
    </row>
    <row r="79" spans="2:8" ht="15.75">
      <c r="B79" s="674" t="s">
        <v>213</v>
      </c>
      <c r="C79" s="544">
        <v>4678.7</v>
      </c>
      <c r="D79">
        <f t="shared" si="2"/>
        <v>3.9697867044332863E-3</v>
      </c>
      <c r="E79">
        <v>3.9697867044332863E-3</v>
      </c>
      <c r="G79">
        <v>69</v>
      </c>
      <c r="H79">
        <f t="shared" ca="1" si="3"/>
        <v>1.0843437371777656E-2</v>
      </c>
    </row>
    <row r="80" spans="2:8" ht="15.75">
      <c r="B80" s="674" t="s">
        <v>8863</v>
      </c>
      <c r="C80" s="544">
        <v>4660.2</v>
      </c>
      <c r="D80">
        <f t="shared" si="2"/>
        <v>-1.1161093193006358E-2</v>
      </c>
      <c r="E80">
        <v>-1.1161093193006358E-2</v>
      </c>
      <c r="G80">
        <v>70</v>
      </c>
      <c r="H80">
        <f t="shared" ca="1" si="3"/>
        <v>-1.6341889763433814E-2</v>
      </c>
    </row>
    <row r="81" spans="2:8" ht="15.75">
      <c r="B81" s="674">
        <v>46266</v>
      </c>
      <c r="C81" s="544">
        <v>4712.8</v>
      </c>
      <c r="D81">
        <f t="shared" si="2"/>
        <v>4.0906766660984781E-3</v>
      </c>
      <c r="E81">
        <v>4.0906766660984781E-3</v>
      </c>
      <c r="G81">
        <v>71</v>
      </c>
      <c r="H81">
        <f t="shared" ca="1" si="3"/>
        <v>1.6996099108595814E-2</v>
      </c>
    </row>
    <row r="82" spans="2:8" ht="15.75">
      <c r="B82" s="674" t="s">
        <v>396</v>
      </c>
      <c r="C82" s="544">
        <v>4693.6000000000004</v>
      </c>
      <c r="D82">
        <f t="shared" si="2"/>
        <v>-1.0613518270639331E-2</v>
      </c>
      <c r="E82">
        <v>-1.0613518270639331E-2</v>
      </c>
      <c r="G82">
        <v>72</v>
      </c>
      <c r="H82">
        <f t="shared" ca="1" si="3"/>
        <v>-2.6343455223257924E-2</v>
      </c>
    </row>
    <row r="83" spans="2:8" ht="15.75">
      <c r="B83" s="674" t="s">
        <v>393</v>
      </c>
      <c r="C83" s="544">
        <v>4743.95</v>
      </c>
      <c r="D83">
        <f t="shared" si="2"/>
        <v>-7.6767803541359066E-3</v>
      </c>
      <c r="E83">
        <v>-7.6767803541359066E-3</v>
      </c>
      <c r="G83">
        <v>73</v>
      </c>
      <c r="H83">
        <f t="shared" ca="1" si="3"/>
        <v>-2.0008648489099994E-3</v>
      </c>
    </row>
    <row r="84" spans="2:8" ht="15.75">
      <c r="B84" s="674">
        <v>46267</v>
      </c>
      <c r="C84" s="544">
        <v>4780.6499999999996</v>
      </c>
      <c r="D84">
        <f t="shared" si="2"/>
        <v>1.1649314372777905E-2</v>
      </c>
      <c r="E84">
        <v>1.1649314372777905E-2</v>
      </c>
      <c r="G84">
        <v>74</v>
      </c>
      <c r="H84">
        <f t="shared" ca="1" si="3"/>
        <v>-3.7847878649144871E-2</v>
      </c>
    </row>
    <row r="85" spans="2:8" ht="15.75">
      <c r="B85" s="674" t="s">
        <v>390</v>
      </c>
      <c r="C85" s="544">
        <v>4725.6000000000004</v>
      </c>
      <c r="D85">
        <f t="shared" si="2"/>
        <v>-1.5366664235781927E-2</v>
      </c>
      <c r="E85">
        <v>-1.5366664235781927E-2</v>
      </c>
      <c r="G85">
        <v>75</v>
      </c>
      <c r="H85">
        <f t="shared" ca="1" si="3"/>
        <v>5.6344614964812682E-2</v>
      </c>
    </row>
    <row r="86" spans="2:8" ht="15.75">
      <c r="B86" s="674">
        <v>46023</v>
      </c>
      <c r="C86" s="544">
        <v>4799.3500000000004</v>
      </c>
      <c r="D86">
        <f t="shared" si="2"/>
        <v>2.2553800210920179E-3</v>
      </c>
      <c r="E86">
        <v>2.2553800210920179E-3</v>
      </c>
      <c r="G86">
        <v>76</v>
      </c>
      <c r="H86">
        <f t="shared" ca="1" si="3"/>
        <v>-4.0957662116400007E-2</v>
      </c>
    </row>
    <row r="87" spans="2:8" ht="15.75">
      <c r="B87" s="674">
        <v>46328</v>
      </c>
      <c r="C87" s="544">
        <v>4788.55</v>
      </c>
      <c r="D87">
        <f t="shared" si="2"/>
        <v>8.7786219653658657E-4</v>
      </c>
      <c r="E87">
        <v>8.7786219653658657E-4</v>
      </c>
      <c r="G87">
        <v>77</v>
      </c>
      <c r="H87">
        <f t="shared" ca="1" si="3"/>
        <v>-2.5496846940522306E-2</v>
      </c>
    </row>
    <row r="88" spans="2:8" ht="15.75">
      <c r="B88" s="674" t="s">
        <v>8989</v>
      </c>
      <c r="C88" s="544">
        <v>4784.3500000000004</v>
      </c>
      <c r="D88">
        <f t="shared" si="2"/>
        <v>-1.2003924761487233E-3</v>
      </c>
      <c r="E88">
        <v>-1.2003924761487233E-3</v>
      </c>
      <c r="G88">
        <v>78</v>
      </c>
      <c r="H88">
        <f t="shared" ca="1" si="3"/>
        <v>-4.7077765576549427E-2</v>
      </c>
    </row>
    <row r="89" spans="2:8" ht="15.75">
      <c r="B89" s="674" t="s">
        <v>376</v>
      </c>
      <c r="C89" s="544">
        <v>4790.1000000000004</v>
      </c>
      <c r="D89">
        <f t="shared" si="2"/>
        <v>-2.3534802349313268E-3</v>
      </c>
      <c r="E89">
        <v>-2.3534802349313268E-3</v>
      </c>
      <c r="G89">
        <v>79</v>
      </c>
      <c r="H89">
        <f t="shared" ca="1" si="3"/>
        <v>2.5774175359645275E-2</v>
      </c>
    </row>
    <row r="90" spans="2:8" ht="15.75">
      <c r="B90" s="674" t="s">
        <v>8952</v>
      </c>
      <c r="C90" s="544">
        <v>4801.3999999999996</v>
      </c>
      <c r="D90">
        <f t="shared" si="2"/>
        <v>-1.8916952499740908E-3</v>
      </c>
      <c r="E90">
        <v>-1.8916952499740908E-3</v>
      </c>
      <c r="G90">
        <v>80</v>
      </c>
      <c r="H90">
        <f t="shared" ca="1" si="3"/>
        <v>-1.2784761035015137E-2</v>
      </c>
    </row>
    <row r="91" spans="2:8" ht="15.75">
      <c r="B91" s="674" t="s">
        <v>8986</v>
      </c>
      <c r="C91" s="544">
        <v>4810.5</v>
      </c>
      <c r="D91">
        <f t="shared" si="2"/>
        <v>4.4684805078197649E-3</v>
      </c>
      <c r="E91">
        <v>4.4684805078197649E-3</v>
      </c>
      <c r="G91">
        <v>81</v>
      </c>
      <c r="H91">
        <f t="shared" ca="1" si="3"/>
        <v>-2.5831809516148264E-2</v>
      </c>
    </row>
    <row r="92" spans="2:8" ht="15.75">
      <c r="B92" s="674" t="s">
        <v>8990</v>
      </c>
      <c r="C92" s="544">
        <v>4789.1000000000004</v>
      </c>
      <c r="D92">
        <f t="shared" si="2"/>
        <v>1.4844089382396919E-2</v>
      </c>
      <c r="E92">
        <v>1.4844089382396919E-2</v>
      </c>
      <c r="G92">
        <v>82</v>
      </c>
      <c r="H92">
        <f t="shared" ca="1" si="3"/>
        <v>-3.6600368971160574E-3</v>
      </c>
    </row>
    <row r="93" spans="2:8" ht="15.75">
      <c r="B93" s="674">
        <v>45789</v>
      </c>
      <c r="C93" s="544">
        <v>4719.05</v>
      </c>
      <c r="D93">
        <f t="shared" si="2"/>
        <v>2.1892831234638827E-2</v>
      </c>
      <c r="E93">
        <v>2.1892831234638827E-2</v>
      </c>
      <c r="G93">
        <v>83</v>
      </c>
      <c r="H93">
        <f t="shared" ca="1" si="3"/>
        <v>-2.9901871241423645E-2</v>
      </c>
    </row>
    <row r="94" spans="2:8" ht="15.75">
      <c r="B94" s="674" t="s">
        <v>394</v>
      </c>
      <c r="C94" s="544">
        <v>4617.95</v>
      </c>
      <c r="D94">
        <f t="shared" si="2"/>
        <v>-1.3795901805640167E-2</v>
      </c>
      <c r="E94">
        <v>-1.3795901805640167E-2</v>
      </c>
      <c r="G94">
        <v>84</v>
      </c>
      <c r="H94">
        <f t="shared" ca="1" si="3"/>
        <v>2.2768032404206814E-2</v>
      </c>
    </row>
    <row r="95" spans="2:8" ht="15.75">
      <c r="B95" s="674">
        <v>45327</v>
      </c>
      <c r="C95" s="544">
        <v>4682.55</v>
      </c>
      <c r="D95">
        <f t="shared" si="2"/>
        <v>-1.4926805343796312E-3</v>
      </c>
      <c r="E95">
        <v>-1.4926805343796312E-3</v>
      </c>
      <c r="G95">
        <v>85</v>
      </c>
      <c r="H95">
        <f t="shared" ca="1" si="3"/>
        <v>1.7196563256762106E-2</v>
      </c>
    </row>
    <row r="96" spans="2:8" ht="15.75">
      <c r="B96" s="674" t="s">
        <v>385</v>
      </c>
      <c r="C96" s="544">
        <v>4689.55</v>
      </c>
      <c r="D96">
        <f t="shared" si="2"/>
        <v>5.2194975563749392E-3</v>
      </c>
      <c r="E96">
        <v>5.2194975563749392E-3</v>
      </c>
      <c r="G96">
        <v>86</v>
      </c>
      <c r="H96">
        <f t="shared" ca="1" si="3"/>
        <v>-2.1497204194632698E-2</v>
      </c>
    </row>
    <row r="97" spans="2:8" ht="15.75">
      <c r="B97" s="674">
        <v>46358</v>
      </c>
      <c r="C97" s="544">
        <v>4665.2</v>
      </c>
      <c r="D97">
        <f t="shared" si="2"/>
        <v>1.0264628177920142E-2</v>
      </c>
      <c r="E97">
        <v>1.0264628177920142E-2</v>
      </c>
      <c r="G97">
        <v>87</v>
      </c>
      <c r="H97">
        <f t="shared" ca="1" si="3"/>
        <v>3.36043585783031E-3</v>
      </c>
    </row>
    <row r="98" spans="2:8" ht="15.75">
      <c r="B98" s="674">
        <v>46143</v>
      </c>
      <c r="C98" s="544">
        <v>4617.8</v>
      </c>
      <c r="D98">
        <f t="shared" si="2"/>
        <v>-1.4638101741208488E-2</v>
      </c>
      <c r="E98">
        <v>-1.4638101741208488E-2</v>
      </c>
      <c r="G98">
        <v>88</v>
      </c>
      <c r="H98">
        <f t="shared" ca="1" si="3"/>
        <v>-1.5705516591677203E-2</v>
      </c>
    </row>
    <row r="99" spans="2:8" ht="15.75">
      <c r="B99" s="674">
        <v>45418</v>
      </c>
      <c r="C99" s="544">
        <v>4686.3999999999996</v>
      </c>
      <c r="D99">
        <f t="shared" si="2"/>
        <v>-1.7763013110046844E-2</v>
      </c>
      <c r="E99">
        <v>-1.7763013110046844E-2</v>
      </c>
      <c r="G99">
        <v>89</v>
      </c>
      <c r="H99">
        <f t="shared" ca="1" si="3"/>
        <v>2.5739260199573104E-2</v>
      </c>
    </row>
    <row r="100" spans="2:8" ht="15.75">
      <c r="B100" s="674" t="s">
        <v>8996</v>
      </c>
      <c r="C100" s="544">
        <v>4771.1499999999996</v>
      </c>
      <c r="D100">
        <f t="shared" si="2"/>
        <v>-9.0863777025483403E-3</v>
      </c>
      <c r="E100">
        <v>-9.0863777025483403E-3</v>
      </c>
      <c r="G100">
        <v>90</v>
      </c>
      <c r="H100">
        <f t="shared" ca="1" si="3"/>
        <v>-5.9919195399470559E-3</v>
      </c>
    </row>
    <row r="101" spans="2:8" ht="15.75">
      <c r="B101" s="674">
        <v>45881</v>
      </c>
      <c r="C101" s="544">
        <v>4814.8999999999996</v>
      </c>
      <c r="D101">
        <f t="shared" si="2"/>
        <v>-3.8481431674770587E-3</v>
      </c>
      <c r="E101">
        <v>-3.8481431674770587E-3</v>
      </c>
      <c r="G101">
        <v>91</v>
      </c>
      <c r="H101">
        <f t="shared" ca="1" si="3"/>
        <v>2.8184563563325583E-2</v>
      </c>
    </row>
    <row r="102" spans="2:8" ht="15.75">
      <c r="B102" s="674" t="s">
        <v>8993</v>
      </c>
      <c r="C102" s="544">
        <v>4833.5</v>
      </c>
      <c r="D102">
        <f t="shared" si="2"/>
        <v>3.3108194759115896E-2</v>
      </c>
      <c r="E102">
        <v>3.3108194759115896E-2</v>
      </c>
      <c r="G102">
        <v>92</v>
      </c>
      <c r="H102">
        <f t="shared" ca="1" si="3"/>
        <v>4.1662731172277909E-2</v>
      </c>
    </row>
    <row r="103" spans="2:8" ht="15.75">
      <c r="B103" s="674">
        <v>45728</v>
      </c>
      <c r="C103" s="544">
        <v>4678.6000000000004</v>
      </c>
      <c r="D103">
        <f t="shared" si="2"/>
        <v>-1.1305762769172249E-2</v>
      </c>
      <c r="E103">
        <v>-1.1305762769172249E-2</v>
      </c>
      <c r="G103">
        <v>93</v>
      </c>
      <c r="H103">
        <f t="shared" ca="1" si="3"/>
        <v>2.9710950620298066E-3</v>
      </c>
    </row>
    <row r="104" spans="2:8" ht="15.75">
      <c r="B104" s="674" t="s">
        <v>8978</v>
      </c>
      <c r="C104" s="544">
        <v>4732.1000000000004</v>
      </c>
      <c r="D104">
        <f t="shared" si="2"/>
        <v>1.0840889914234141E-2</v>
      </c>
      <c r="E104">
        <v>1.0840889914234141E-2</v>
      </c>
      <c r="G104">
        <v>94</v>
      </c>
      <c r="H104">
        <f t="shared" ca="1" si="3"/>
        <v>3.1321212281531945E-2</v>
      </c>
    </row>
    <row r="105" spans="2:8" ht="15.75">
      <c r="B105" s="674">
        <v>46054</v>
      </c>
      <c r="C105" s="544">
        <v>4681.3500000000004</v>
      </c>
      <c r="D105">
        <f t="shared" si="2"/>
        <v>-1.2685858905409604E-2</v>
      </c>
      <c r="E105">
        <v>-1.2685858905409604E-2</v>
      </c>
      <c r="G105">
        <v>95</v>
      </c>
      <c r="H105">
        <f t="shared" ca="1" si="3"/>
        <v>-2.4037524398943584E-2</v>
      </c>
    </row>
    <row r="106" spans="2:8" ht="15.75">
      <c r="B106" s="674">
        <v>45759</v>
      </c>
      <c r="C106" s="544">
        <v>4741.5</v>
      </c>
      <c r="D106">
        <f t="shared" si="2"/>
        <v>-3.1852986217457885E-2</v>
      </c>
      <c r="E106">
        <v>-3.1852986217457885E-2</v>
      </c>
      <c r="G106">
        <v>96</v>
      </c>
      <c r="H106">
        <f t="shared" ca="1" si="3"/>
        <v>-2.0279718361594035E-2</v>
      </c>
    </row>
    <row r="107" spans="2:8" ht="15.75">
      <c r="B107" s="674" t="s">
        <v>397</v>
      </c>
      <c r="C107" s="544">
        <v>4897.5</v>
      </c>
      <c r="D107">
        <f t="shared" si="2"/>
        <v>1.1242845461978742E-3</v>
      </c>
      <c r="E107">
        <v>1.1242845461978742E-3</v>
      </c>
      <c r="G107">
        <v>97</v>
      </c>
      <c r="H107">
        <f t="shared" ca="1" si="3"/>
        <v>-3.2772559010304319E-3</v>
      </c>
    </row>
    <row r="108" spans="2:8" ht="15.75">
      <c r="B108" s="674">
        <v>45700</v>
      </c>
      <c r="C108" s="544">
        <v>4892</v>
      </c>
      <c r="D108">
        <f t="shared" si="2"/>
        <v>-2.3445687650340819E-2</v>
      </c>
      <c r="E108">
        <v>-2.3445687650340819E-2</v>
      </c>
      <c r="G108">
        <v>98</v>
      </c>
      <c r="H108">
        <f t="shared" ca="1" si="3"/>
        <v>9.7942619053849739E-3</v>
      </c>
    </row>
    <row r="109" spans="2:8" ht="15.75">
      <c r="B109" s="674">
        <v>46002</v>
      </c>
      <c r="C109" s="544">
        <v>5009.45</v>
      </c>
      <c r="D109">
        <f t="shared" si="2"/>
        <v>-1.3781019598578586E-2</v>
      </c>
      <c r="E109">
        <v>-1.3781019598578586E-2</v>
      </c>
      <c r="G109">
        <v>99</v>
      </c>
      <c r="H109">
        <f t="shared" ca="1" si="3"/>
        <v>-8.7689956087976337E-3</v>
      </c>
    </row>
    <row r="110" spans="2:8" ht="15.75">
      <c r="B110" s="674">
        <v>45669</v>
      </c>
      <c r="C110" s="544">
        <v>5079.45</v>
      </c>
      <c r="D110">
        <f t="shared" si="2"/>
        <v>-1.2644571872873978E-2</v>
      </c>
      <c r="E110">
        <v>-1.2644571872873978E-2</v>
      </c>
      <c r="G110">
        <v>100</v>
      </c>
      <c r="H110">
        <f t="shared" ca="1" si="3"/>
        <v>1.8806946532234355E-2</v>
      </c>
    </row>
    <row r="111" spans="2:8" ht="15.75">
      <c r="B111" s="674" t="s">
        <v>8979</v>
      </c>
      <c r="C111" s="544">
        <v>5144.5</v>
      </c>
      <c r="D111">
        <f t="shared" si="2"/>
        <v>-1.0359056238998982E-2</v>
      </c>
      <c r="E111">
        <v>-1.0359056238998982E-2</v>
      </c>
      <c r="G111">
        <v>101</v>
      </c>
      <c r="H111">
        <f t="shared" ca="1" si="3"/>
        <v>4.5070818774101483E-2</v>
      </c>
    </row>
    <row r="112" spans="2:8" ht="15.75">
      <c r="B112" s="674" t="s">
        <v>398</v>
      </c>
      <c r="C112" s="544">
        <v>5198.3500000000004</v>
      </c>
      <c r="D112">
        <f t="shared" si="2"/>
        <v>1.0045369317905964E-2</v>
      </c>
      <c r="E112">
        <v>1.0045369317905964E-2</v>
      </c>
      <c r="G112">
        <v>102</v>
      </c>
      <c r="H112">
        <f t="shared" ca="1" si="3"/>
        <v>-1.2735092905399082E-2</v>
      </c>
    </row>
    <row r="113" spans="2:8" ht="15.75">
      <c r="B113" s="674">
        <v>45912</v>
      </c>
      <c r="C113" s="544">
        <v>5146.6499999999996</v>
      </c>
      <c r="D113">
        <f t="shared" si="2"/>
        <v>2.6983322942642327E-3</v>
      </c>
      <c r="E113">
        <v>2.6983322942642327E-3</v>
      </c>
      <c r="G113">
        <v>103</v>
      </c>
      <c r="H113">
        <f t="shared" ca="1" si="3"/>
        <v>5.7308499390176224E-2</v>
      </c>
    </row>
    <row r="114" spans="2:8" ht="15.75">
      <c r="B114" s="674" t="s">
        <v>8994</v>
      </c>
      <c r="C114" s="544">
        <v>5132.8</v>
      </c>
      <c r="D114">
        <f t="shared" si="2"/>
        <v>7.8966609797712539E-4</v>
      </c>
      <c r="E114">
        <v>7.8966609797712539E-4</v>
      </c>
      <c r="G114">
        <v>104</v>
      </c>
      <c r="H114">
        <f t="shared" ca="1" si="3"/>
        <v>1.3600517189597056E-2</v>
      </c>
    </row>
    <row r="115" spans="2:8" ht="15.75">
      <c r="B115" s="674" t="s">
        <v>209</v>
      </c>
      <c r="C115" s="544">
        <v>5128.75</v>
      </c>
      <c r="D115">
        <f t="shared" si="2"/>
        <v>-7.7196173081945261E-3</v>
      </c>
      <c r="E115">
        <v>-7.7196173081945261E-3</v>
      </c>
      <c r="G115">
        <v>105</v>
      </c>
      <c r="H115">
        <f t="shared" ca="1" si="3"/>
        <v>2.3589528735869232E-2</v>
      </c>
    </row>
    <row r="116" spans="2:8" ht="15.75">
      <c r="B116" s="674">
        <v>45570</v>
      </c>
      <c r="C116" s="544">
        <v>5168.6499999999996</v>
      </c>
      <c r="D116">
        <f t="shared" si="2"/>
        <v>-5.5507455507456211E-3</v>
      </c>
      <c r="E116">
        <v>-5.5507455507456211E-3</v>
      </c>
      <c r="G116">
        <v>106</v>
      </c>
      <c r="H116">
        <f t="shared" ca="1" si="3"/>
        <v>7.5754303098817099E-3</v>
      </c>
    </row>
    <row r="117" spans="2:8" ht="15.75">
      <c r="B117" s="674" t="s">
        <v>8995</v>
      </c>
      <c r="C117" s="544">
        <v>5197.5</v>
      </c>
      <c r="D117">
        <f t="shared" si="2"/>
        <v>-3.9668851328043802E-3</v>
      </c>
      <c r="E117">
        <v>-3.9668851328043802E-3</v>
      </c>
      <c r="G117">
        <v>107</v>
      </c>
      <c r="H117">
        <f t="shared" ca="1" si="3"/>
        <v>-3.0286375982273236E-2</v>
      </c>
    </row>
    <row r="118" spans="2:8" ht="15.75">
      <c r="B118" s="674" t="s">
        <v>8865</v>
      </c>
      <c r="C118" s="544">
        <v>5218.2</v>
      </c>
      <c r="D118">
        <f t="shared" si="2"/>
        <v>-1.7898481169894485E-2</v>
      </c>
      <c r="E118">
        <v>-1.7898481169894485E-2</v>
      </c>
      <c r="G118">
        <v>108</v>
      </c>
      <c r="H118">
        <f t="shared" ca="1" si="3"/>
        <v>3.4379677565804644E-2</v>
      </c>
    </row>
    <row r="119" spans="2:8" ht="15.75">
      <c r="B119" s="674" t="s">
        <v>8982</v>
      </c>
      <c r="C119" s="544">
        <v>5313.3</v>
      </c>
      <c r="D119">
        <f t="shared" si="2"/>
        <v>-3.8107824323835041E-2</v>
      </c>
      <c r="E119">
        <v>-3.8107824323835041E-2</v>
      </c>
      <c r="G119">
        <v>109</v>
      </c>
      <c r="H119">
        <f t="shared" ca="1" si="3"/>
        <v>-1.5072930912629957E-3</v>
      </c>
    </row>
    <row r="120" spans="2:8" ht="15.75">
      <c r="B120" s="674" t="s">
        <v>8985</v>
      </c>
      <c r="C120" s="544">
        <v>5523.8</v>
      </c>
      <c r="D120">
        <f t="shared" si="2"/>
        <v>-1.9005040860841141E-4</v>
      </c>
      <c r="E120">
        <v>-1.9005040860841141E-4</v>
      </c>
      <c r="G120">
        <v>110</v>
      </c>
      <c r="H120">
        <f t="shared" ca="1" si="3"/>
        <v>1.6541135657858852E-3</v>
      </c>
    </row>
    <row r="121" spans="2:8" ht="15.75">
      <c r="B121" s="674" t="s">
        <v>8866</v>
      </c>
      <c r="C121" s="544">
        <v>5524.85</v>
      </c>
      <c r="D121">
        <f t="shared" si="2"/>
        <v>9.8704954440352044E-3</v>
      </c>
      <c r="E121">
        <v>9.8704954440352044E-3</v>
      </c>
      <c r="G121">
        <v>111</v>
      </c>
      <c r="H121">
        <f t="shared" ca="1" si="3"/>
        <v>1.0586456380116498E-2</v>
      </c>
    </row>
    <row r="122" spans="2:8" ht="15.75">
      <c r="B122" s="674" t="s">
        <v>8983</v>
      </c>
      <c r="C122" s="544">
        <v>5470.85</v>
      </c>
      <c r="D122">
        <f t="shared" si="2"/>
        <v>1.1350506983149959E-2</v>
      </c>
      <c r="E122">
        <v>1.1350506983149959E-2</v>
      </c>
      <c r="G122">
        <v>112</v>
      </c>
      <c r="H122">
        <f t="shared" ca="1" si="3"/>
        <v>4.6025162794553473E-2</v>
      </c>
    </row>
    <row r="123" spans="2:8" ht="15.75">
      <c r="B123" s="674">
        <v>46204</v>
      </c>
      <c r="C123" s="544">
        <v>5409.45</v>
      </c>
      <c r="D123">
        <f t="shared" si="2"/>
        <v>-7.2582125160580253E-3</v>
      </c>
      <c r="E123">
        <v>-7.2582125160580253E-3</v>
      </c>
      <c r="G123">
        <v>113</v>
      </c>
      <c r="H123">
        <f t="shared" ca="1" si="3"/>
        <v>-2.1531337356447917E-2</v>
      </c>
    </row>
    <row r="124" spans="2:8" ht="15.75">
      <c r="B124" s="674" t="s">
        <v>8980</v>
      </c>
      <c r="C124" s="544">
        <v>5449</v>
      </c>
      <c r="D124">
        <f t="shared" si="2"/>
        <v>2.714420358152686E-2</v>
      </c>
      <c r="E124">
        <v>2.714420358152686E-2</v>
      </c>
      <c r="G124">
        <v>114</v>
      </c>
      <c r="H124">
        <f t="shared" ca="1" si="3"/>
        <v>2.5689811818339361E-2</v>
      </c>
    </row>
    <row r="125" spans="2:8" ht="15.75">
      <c r="B125" s="674" t="s">
        <v>400</v>
      </c>
      <c r="C125" s="544">
        <v>5305</v>
      </c>
      <c r="D125">
        <f t="shared" si="2"/>
        <v>1.429185985373548E-2</v>
      </c>
      <c r="E125">
        <v>1.429185985373548E-2</v>
      </c>
      <c r="G125">
        <v>115</v>
      </c>
      <c r="H125">
        <f t="shared" ca="1" si="3"/>
        <v>9.5523150680582331E-3</v>
      </c>
    </row>
    <row r="126" spans="2:8" ht="15.75">
      <c r="B126" s="674" t="s">
        <v>8984</v>
      </c>
      <c r="C126" s="544">
        <v>5230.25</v>
      </c>
      <c r="D126">
        <f t="shared" si="2"/>
        <v>-1.1780599327362801E-2</v>
      </c>
      <c r="E126">
        <v>-1.1780599327362801E-2</v>
      </c>
      <c r="G126">
        <v>116</v>
      </c>
      <c r="H126">
        <f t="shared" ca="1" si="3"/>
        <v>-2.6781864336938105E-2</v>
      </c>
    </row>
    <row r="127" spans="2:8" ht="15.75">
      <c r="B127" s="674" t="s">
        <v>8981</v>
      </c>
      <c r="C127" s="544">
        <v>5292.6</v>
      </c>
      <c r="D127">
        <f t="shared" si="2"/>
        <v>-2.451341787083456E-2</v>
      </c>
      <c r="E127">
        <v>-2.451341787083456E-2</v>
      </c>
      <c r="G127">
        <v>117</v>
      </c>
      <c r="H127">
        <f t="shared" ca="1" si="3"/>
        <v>-1.3638427858813352E-2</v>
      </c>
    </row>
    <row r="128" spans="2:8" ht="15.75">
      <c r="B128" s="674">
        <v>45357</v>
      </c>
      <c r="C128" s="544">
        <v>5425.6</v>
      </c>
      <c r="D128">
        <f t="shared" si="2"/>
        <v>2.0315443430724335E-3</v>
      </c>
      <c r="E128">
        <v>2.0315443430724335E-3</v>
      </c>
      <c r="G128">
        <v>118</v>
      </c>
      <c r="H128">
        <f t="shared" ca="1" si="3"/>
        <v>-2.7425662748091838E-2</v>
      </c>
    </row>
    <row r="129" spans="2:8" ht="15.75">
      <c r="B129" s="674" t="s">
        <v>8867</v>
      </c>
      <c r="C129" s="544">
        <v>5414.6</v>
      </c>
      <c r="D129">
        <f t="shared" si="2"/>
        <v>-6.094203164580164E-3</v>
      </c>
      <c r="E129">
        <v>-6.094203164580164E-3</v>
      </c>
      <c r="G129">
        <v>119</v>
      </c>
      <c r="H129">
        <f t="shared" ca="1" si="3"/>
        <v>-4.1658046195248238E-2</v>
      </c>
    </row>
    <row r="130" spans="2:8" ht="15.75">
      <c r="B130" s="674" t="s">
        <v>402</v>
      </c>
      <c r="C130" s="544">
        <v>5447.8</v>
      </c>
      <c r="D130">
        <f t="shared" si="2"/>
        <v>-7.9785038929586574E-4</v>
      </c>
      <c r="E130">
        <v>-7.9785038929586574E-4</v>
      </c>
      <c r="G130">
        <v>120</v>
      </c>
      <c r="H130">
        <f t="shared" ca="1" si="3"/>
        <v>2.5282765493935447E-2</v>
      </c>
    </row>
    <row r="131" spans="2:8" ht="15.75">
      <c r="B131" s="674" t="s">
        <v>399</v>
      </c>
      <c r="C131" s="544">
        <v>5452.15</v>
      </c>
      <c r="D131">
        <f t="shared" si="2"/>
        <v>-8.2492041837199381E-3</v>
      </c>
      <c r="E131">
        <v>-8.2492041837199381E-3</v>
      </c>
      <c r="G131">
        <v>121</v>
      </c>
      <c r="H131">
        <f t="shared" ca="1" si="3"/>
        <v>-5.0933002527275267E-3</v>
      </c>
    </row>
    <row r="132" spans="2:8" ht="15.75">
      <c r="B132" s="674" t="s">
        <v>8970</v>
      </c>
      <c r="C132" s="544">
        <v>5497.5</v>
      </c>
      <c r="D132">
        <f t="shared" si="2"/>
        <v>-4.1662892853908161E-3</v>
      </c>
      <c r="E132">
        <v>-4.1662892853908161E-3</v>
      </c>
      <c r="G132">
        <v>122</v>
      </c>
      <c r="H132">
        <f t="shared" ca="1" si="3"/>
        <v>5.4080424815993876E-4</v>
      </c>
    </row>
    <row r="133" spans="2:8" ht="15.75">
      <c r="B133" s="674">
        <v>45994</v>
      </c>
      <c r="C133" s="544">
        <v>5520.5</v>
      </c>
      <c r="D133">
        <f t="shared" si="2"/>
        <v>2.8188819459318584E-2</v>
      </c>
      <c r="E133">
        <v>2.8188819459318584E-2</v>
      </c>
      <c r="G133">
        <v>123</v>
      </c>
      <c r="H133">
        <f t="shared" ca="1" si="3"/>
        <v>5.1313675590907272E-3</v>
      </c>
    </row>
    <row r="134" spans="2:8" ht="15.75">
      <c r="B134" s="674">
        <v>45509</v>
      </c>
      <c r="C134" s="544">
        <v>5369.15</v>
      </c>
      <c r="D134">
        <f t="shared" si="2"/>
        <v>-5.4551179935540184E-3</v>
      </c>
      <c r="E134">
        <v>-5.4551179935540184E-3</v>
      </c>
      <c r="G134">
        <v>124</v>
      </c>
      <c r="H134">
        <f t="shared" ca="1" si="3"/>
        <v>5.9792363167713277E-3</v>
      </c>
    </row>
    <row r="135" spans="2:8" ht="15.75">
      <c r="B135" s="674">
        <v>45478</v>
      </c>
      <c r="C135" s="544">
        <v>5398.6</v>
      </c>
      <c r="D135">
        <f t="shared" si="2"/>
        <v>6.3190858761907557E-3</v>
      </c>
      <c r="E135">
        <v>6.3190858761907557E-3</v>
      </c>
      <c r="G135">
        <v>125</v>
      </c>
      <c r="H135">
        <f t="shared" ca="1" si="3"/>
        <v>-2.9987007015358946E-2</v>
      </c>
    </row>
    <row r="136" spans="2:8" ht="15.75">
      <c r="B136" s="674">
        <v>45448</v>
      </c>
      <c r="C136" s="544">
        <v>5364.7</v>
      </c>
      <c r="D136">
        <f t="shared" si="2"/>
        <v>-1.4584596168329116E-2</v>
      </c>
      <c r="E136">
        <v>-1.4584596168329116E-2</v>
      </c>
      <c r="G136">
        <v>126</v>
      </c>
      <c r="H136">
        <f t="shared" ca="1" si="3"/>
        <v>-1.7515482293193579E-2</v>
      </c>
    </row>
    <row r="137" spans="2:8" ht="15.75">
      <c r="B137" s="674" t="s">
        <v>208</v>
      </c>
      <c r="C137" s="544">
        <v>5444.1</v>
      </c>
      <c r="D137">
        <f t="shared" si="2"/>
        <v>2.4868222891566334E-2</v>
      </c>
      <c r="E137">
        <v>2.4868222891566334E-2</v>
      </c>
      <c r="G137">
        <v>127</v>
      </c>
      <c r="H137">
        <f t="shared" ca="1" si="3"/>
        <v>-1.6262772029736833E-2</v>
      </c>
    </row>
    <row r="138" spans="2:8" ht="15.75">
      <c r="B138" s="674" t="s">
        <v>401</v>
      </c>
      <c r="C138" s="544">
        <v>5312</v>
      </c>
      <c r="D138">
        <f t="shared" si="2"/>
        <v>1.801054229648593E-3</v>
      </c>
      <c r="E138">
        <v>1.801054229648593E-3</v>
      </c>
      <c r="G138">
        <v>128</v>
      </c>
      <c r="H138">
        <f t="shared" ca="1" si="3"/>
        <v>9.6868479229461728E-3</v>
      </c>
    </row>
    <row r="139" spans="2:8" ht="15.75">
      <c r="B139" s="674" t="s">
        <v>408</v>
      </c>
      <c r="C139" s="544">
        <v>5302.45</v>
      </c>
      <c r="D139">
        <f t="shared" si="2"/>
        <v>-1.0598497924149868E-2</v>
      </c>
      <c r="E139">
        <v>-1.0598497924149868E-2</v>
      </c>
      <c r="G139">
        <v>129</v>
      </c>
      <c r="H139">
        <f t="shared" ca="1" si="3"/>
        <v>1.6423735721796217E-3</v>
      </c>
    </row>
    <row r="140" spans="2:8" ht="15.75">
      <c r="B140" s="674">
        <v>45726</v>
      </c>
      <c r="C140" s="544">
        <v>5359.25</v>
      </c>
      <c r="D140">
        <f t="shared" ref="D140:D203" si="4">(C140-C141)/C141</f>
        <v>7.9082976002407632E-3</v>
      </c>
      <c r="E140">
        <v>7.9082976002407632E-3</v>
      </c>
      <c r="G140">
        <v>130</v>
      </c>
      <c r="H140">
        <f t="shared" ref="H140:H203" ca="1" si="5">_xlfn.NORM.INV(RAND(),N$13,N$14)</f>
        <v>-2.3724523728691563E-2</v>
      </c>
    </row>
    <row r="141" spans="2:8" ht="15.75">
      <c r="B141" s="674">
        <v>45940</v>
      </c>
      <c r="C141" s="544">
        <v>5317.2</v>
      </c>
      <c r="D141">
        <f t="shared" si="4"/>
        <v>1.3041200285782295E-2</v>
      </c>
      <c r="E141">
        <v>1.3041200285782295E-2</v>
      </c>
      <c r="G141">
        <v>131</v>
      </c>
      <c r="H141">
        <f t="shared" ca="1" si="5"/>
        <v>-1.8487346949346395E-2</v>
      </c>
    </row>
    <row r="142" spans="2:8" ht="15.75">
      <c r="B142" s="674" t="s">
        <v>405</v>
      </c>
      <c r="C142" s="544">
        <v>5248.75</v>
      </c>
      <c r="D142">
        <f t="shared" si="4"/>
        <v>1.2871354000829753E-2</v>
      </c>
      <c r="E142">
        <v>1.2871354000829753E-2</v>
      </c>
      <c r="G142">
        <v>132</v>
      </c>
      <c r="H142">
        <f t="shared" ca="1" si="5"/>
        <v>3.3796007699108724E-3</v>
      </c>
    </row>
    <row r="143" spans="2:8" ht="15.75">
      <c r="B143" s="674">
        <v>45540</v>
      </c>
      <c r="C143" s="544">
        <v>5182.05</v>
      </c>
      <c r="D143">
        <f t="shared" si="4"/>
        <v>3.239398738905664E-2</v>
      </c>
      <c r="E143">
        <v>3.239398738905664E-2</v>
      </c>
      <c r="G143">
        <v>133</v>
      </c>
      <c r="H143">
        <f t="shared" ca="1" si="5"/>
        <v>1.6420548869333695E-2</v>
      </c>
    </row>
    <row r="144" spans="2:8" ht="15.75">
      <c r="B144" s="674" t="s">
        <v>403</v>
      </c>
      <c r="C144" s="544">
        <v>5019.45</v>
      </c>
      <c r="D144">
        <f t="shared" si="4"/>
        <v>-4.5908856542261024E-3</v>
      </c>
      <c r="E144">
        <v>-4.5908856542261024E-3</v>
      </c>
      <c r="G144">
        <v>134</v>
      </c>
      <c r="H144">
        <f t="shared" ca="1" si="5"/>
        <v>1.9051579151047479E-2</v>
      </c>
    </row>
    <row r="145" spans="2:8" ht="15.75">
      <c r="B145" s="674">
        <v>46174</v>
      </c>
      <c r="C145" s="544">
        <v>5042.6000000000004</v>
      </c>
      <c r="D145">
        <f t="shared" si="4"/>
        <v>8.4393248540118246E-3</v>
      </c>
      <c r="E145">
        <v>8.4393248540118246E-3</v>
      </c>
      <c r="G145">
        <v>135</v>
      </c>
      <c r="H145">
        <f t="shared" ca="1" si="5"/>
        <v>-2.4064513171651206E-2</v>
      </c>
    </row>
    <row r="146" spans="2:8" ht="15.75">
      <c r="B146" s="674">
        <v>45719</v>
      </c>
      <c r="C146" s="544">
        <v>5000.3999999999996</v>
      </c>
      <c r="D146">
        <f t="shared" si="4"/>
        <v>8.0057641501881359E-4</v>
      </c>
      <c r="E146">
        <v>8.0057641501881359E-4</v>
      </c>
      <c r="G146">
        <v>136</v>
      </c>
      <c r="H146">
        <f t="shared" ca="1" si="5"/>
        <v>-1.0510490713067453E-2</v>
      </c>
    </row>
    <row r="147" spans="2:8" ht="15.75">
      <c r="B147" s="674" t="s">
        <v>8966</v>
      </c>
      <c r="C147" s="544">
        <v>4996.3999999999996</v>
      </c>
      <c r="D147">
        <f t="shared" si="4"/>
        <v>-8.8769427610763431E-3</v>
      </c>
      <c r="E147">
        <v>-8.8769427610763431E-3</v>
      </c>
      <c r="G147">
        <v>137</v>
      </c>
      <c r="H147">
        <f t="shared" ca="1" si="5"/>
        <v>1.1990802270662248E-2</v>
      </c>
    </row>
    <row r="148" spans="2:8" ht="15.75">
      <c r="B148" s="674" t="s">
        <v>8977</v>
      </c>
      <c r="C148" s="544">
        <v>5041.1499999999996</v>
      </c>
      <c r="D148">
        <f t="shared" si="4"/>
        <v>-2.174377086082438E-2</v>
      </c>
      <c r="E148">
        <v>-2.174377086082438E-2</v>
      </c>
      <c r="G148">
        <v>138</v>
      </c>
      <c r="H148">
        <f t="shared" ca="1" si="5"/>
        <v>-1.5281944515148445E-3</v>
      </c>
    </row>
    <row r="149" spans="2:8" ht="15.75">
      <c r="B149" s="674" t="s">
        <v>8968</v>
      </c>
      <c r="C149" s="544">
        <v>5153.2</v>
      </c>
      <c r="D149">
        <f t="shared" si="4"/>
        <v>-3.9236340924556939E-2</v>
      </c>
      <c r="E149">
        <v>-3.9236340924556939E-2</v>
      </c>
      <c r="G149">
        <v>139</v>
      </c>
      <c r="H149">
        <f t="shared" ca="1" si="5"/>
        <v>-4.9517991359617708E-2</v>
      </c>
    </row>
    <row r="150" spans="2:8" ht="15.75">
      <c r="B150" s="674">
        <v>45849</v>
      </c>
      <c r="C150" s="544">
        <v>5363.65</v>
      </c>
      <c r="D150">
        <f t="shared" si="4"/>
        <v>8.3968539787093103E-4</v>
      </c>
      <c r="E150">
        <v>8.3968539787093103E-4</v>
      </c>
      <c r="G150">
        <v>140</v>
      </c>
      <c r="H150">
        <f t="shared" ca="1" si="5"/>
        <v>2.7922407271119297E-2</v>
      </c>
    </row>
    <row r="151" spans="2:8" ht="15.75">
      <c r="B151" s="674" t="s">
        <v>8870</v>
      </c>
      <c r="C151" s="544">
        <v>5359.15</v>
      </c>
      <c r="D151">
        <f t="shared" si="4"/>
        <v>-3.041577527671912E-3</v>
      </c>
      <c r="E151">
        <v>-3.041577527671912E-3</v>
      </c>
      <c r="G151">
        <v>141</v>
      </c>
      <c r="H151">
        <f t="shared" ca="1" si="5"/>
        <v>6.3617597330892263E-3</v>
      </c>
    </row>
    <row r="152" spans="2:8" ht="15.75">
      <c r="B152" s="674">
        <v>45758</v>
      </c>
      <c r="C152" s="544">
        <v>5375.5</v>
      </c>
      <c r="D152">
        <f t="shared" si="4"/>
        <v>9.0305642706196908E-4</v>
      </c>
      <c r="E152">
        <v>9.0305642706196908E-4</v>
      </c>
      <c r="G152">
        <v>142</v>
      </c>
      <c r="H152">
        <f t="shared" ca="1" si="5"/>
        <v>-1.6709963976640332E-2</v>
      </c>
    </row>
    <row r="153" spans="2:8" ht="15.75">
      <c r="B153" s="674" t="s">
        <v>207</v>
      </c>
      <c r="C153" s="544">
        <v>5370.65</v>
      </c>
      <c r="D153">
        <f t="shared" si="4"/>
        <v>-8.6661990549322075E-3</v>
      </c>
      <c r="E153">
        <v>-8.6661990549322075E-3</v>
      </c>
      <c r="G153">
        <v>143</v>
      </c>
      <c r="H153">
        <f t="shared" ca="1" si="5"/>
        <v>2.1958621851920414E-2</v>
      </c>
    </row>
    <row r="154" spans="2:8" ht="15.75">
      <c r="B154" s="674" t="s">
        <v>409</v>
      </c>
      <c r="C154" s="544">
        <v>5417.6</v>
      </c>
      <c r="D154">
        <f t="shared" si="4"/>
        <v>6.7923546519731617E-3</v>
      </c>
      <c r="E154">
        <v>6.7923546519731617E-3</v>
      </c>
      <c r="G154">
        <v>144</v>
      </c>
      <c r="H154">
        <f t="shared" ca="1" si="5"/>
        <v>9.8486512125288105E-3</v>
      </c>
    </row>
    <row r="155" spans="2:8" ht="15.75">
      <c r="B155" s="674" t="s">
        <v>404</v>
      </c>
      <c r="C155" s="544">
        <v>5381.05</v>
      </c>
      <c r="D155">
        <f t="shared" si="4"/>
        <v>-2.1510760015946624E-3</v>
      </c>
      <c r="E155">
        <v>-2.1510760015946624E-3</v>
      </c>
      <c r="G155">
        <v>145</v>
      </c>
      <c r="H155">
        <f t="shared" ca="1" si="5"/>
        <v>2.9085122601175788E-3</v>
      </c>
    </row>
    <row r="156" spans="2:8" ht="15.75">
      <c r="B156" s="674">
        <v>45941</v>
      </c>
      <c r="C156" s="544">
        <v>5392.65</v>
      </c>
      <c r="D156">
        <f t="shared" si="4"/>
        <v>1.4819624004968104E-2</v>
      </c>
      <c r="E156">
        <v>1.4819624004968104E-2</v>
      </c>
      <c r="G156">
        <v>146</v>
      </c>
      <c r="H156">
        <f t="shared" ca="1" si="5"/>
        <v>7.6987603305068179E-3</v>
      </c>
    </row>
    <row r="157" spans="2:8" ht="15.75">
      <c r="B157" s="674" t="s">
        <v>8967</v>
      </c>
      <c r="C157" s="544">
        <v>5313.9</v>
      </c>
      <c r="D157">
        <f t="shared" si="4"/>
        <v>-7.1930349002316723E-3</v>
      </c>
      <c r="E157">
        <v>-7.1930349002316723E-3</v>
      </c>
      <c r="G157">
        <v>147</v>
      </c>
      <c r="H157">
        <f t="shared" ca="1" si="5"/>
        <v>-8.1829891228323952E-3</v>
      </c>
    </row>
    <row r="158" spans="2:8" ht="15.75">
      <c r="B158" s="674">
        <v>45879</v>
      </c>
      <c r="C158" s="544">
        <v>5352.4</v>
      </c>
      <c r="D158">
        <f t="shared" si="4"/>
        <v>-1.3973195781329224E-2</v>
      </c>
      <c r="E158">
        <v>-1.3973195781329224E-2</v>
      </c>
      <c r="G158">
        <v>148</v>
      </c>
      <c r="H158">
        <f t="shared" ca="1" si="5"/>
        <v>-1.6201361289721959E-2</v>
      </c>
    </row>
    <row r="159" spans="2:8" ht="15.75">
      <c r="B159" s="674" t="s">
        <v>504</v>
      </c>
      <c r="C159" s="544">
        <v>5428.25</v>
      </c>
      <c r="D159">
        <f t="shared" si="4"/>
        <v>4.0786504383855914E-3</v>
      </c>
      <c r="E159">
        <v>4.0786504383855914E-3</v>
      </c>
      <c r="G159">
        <v>149</v>
      </c>
      <c r="H159">
        <f t="shared" ca="1" si="5"/>
        <v>8.7823232618930974E-3</v>
      </c>
    </row>
    <row r="160" spans="2:8" ht="15.75">
      <c r="B160" s="674">
        <v>45996</v>
      </c>
      <c r="C160" s="544">
        <v>5406.2</v>
      </c>
      <c r="D160">
        <f t="shared" si="4"/>
        <v>-6.1492926934637012E-3</v>
      </c>
      <c r="E160">
        <v>-6.1492926934637012E-3</v>
      </c>
      <c r="G160">
        <v>150</v>
      </c>
      <c r="H160">
        <f t="shared" ca="1" si="5"/>
        <v>-2.5042570866118625E-2</v>
      </c>
    </row>
    <row r="161" spans="2:8" ht="15.75">
      <c r="B161" s="674" t="s">
        <v>407</v>
      </c>
      <c r="C161" s="544">
        <v>5439.65</v>
      </c>
      <c r="D161">
        <f t="shared" si="4"/>
        <v>-1.0972727272727339E-2</v>
      </c>
      <c r="E161">
        <v>-1.0972727272727339E-2</v>
      </c>
      <c r="G161">
        <v>151</v>
      </c>
      <c r="H161">
        <f t="shared" ca="1" si="5"/>
        <v>-3.5603359425335074E-2</v>
      </c>
    </row>
    <row r="162" spans="2:8" ht="15.75">
      <c r="B162" s="674" t="s">
        <v>206</v>
      </c>
      <c r="C162" s="544">
        <v>5500</v>
      </c>
      <c r="D162">
        <f t="shared" si="4"/>
        <v>9.4243528213411327E-3</v>
      </c>
      <c r="E162">
        <v>9.4243528213411327E-3</v>
      </c>
      <c r="G162">
        <v>152</v>
      </c>
      <c r="H162">
        <f t="shared" ca="1" si="5"/>
        <v>3.4863656785193181E-2</v>
      </c>
    </row>
    <row r="163" spans="2:8" ht="15.75">
      <c r="B163" s="674" t="s">
        <v>177</v>
      </c>
      <c r="C163" s="544">
        <v>5448.65</v>
      </c>
      <c r="D163">
        <f t="shared" si="4"/>
        <v>-0.11925352385878703</v>
      </c>
      <c r="E163">
        <v>-0.11925352385878703</v>
      </c>
      <c r="G163">
        <v>153</v>
      </c>
      <c r="H163">
        <f t="shared" ca="1" si="5"/>
        <v>1.0176514900371978E-2</v>
      </c>
    </row>
    <row r="164" spans="2:8" ht="15.75">
      <c r="B164" s="674">
        <v>45965</v>
      </c>
      <c r="C164" s="544">
        <v>6186.4</v>
      </c>
      <c r="D164">
        <f t="shared" si="4"/>
        <v>-6.8070896480863959E-3</v>
      </c>
      <c r="E164">
        <v>-6.8070896480863959E-3</v>
      </c>
      <c r="G164">
        <v>154</v>
      </c>
      <c r="H164">
        <f t="shared" ca="1" si="5"/>
        <v>-1.507209814581517E-2</v>
      </c>
    </row>
    <row r="165" spans="2:8" ht="15.75">
      <c r="B165" s="674">
        <v>45780</v>
      </c>
      <c r="C165" s="544">
        <v>6228.8</v>
      </c>
      <c r="D165">
        <f t="shared" si="4"/>
        <v>1.4280829167412974E-2</v>
      </c>
      <c r="E165">
        <v>1.4280829167412974E-2</v>
      </c>
      <c r="G165">
        <v>155</v>
      </c>
      <c r="H165">
        <f t="shared" ca="1" si="5"/>
        <v>1.2669749667123646E-2</v>
      </c>
    </row>
    <row r="166" spans="2:8" ht="15.75">
      <c r="B166" s="674" t="s">
        <v>8969</v>
      </c>
      <c r="C166" s="544">
        <v>6141.1</v>
      </c>
      <c r="D166">
        <f t="shared" si="4"/>
        <v>-1.2549946536102084E-2</v>
      </c>
      <c r="E166">
        <v>-1.2549946536102084E-2</v>
      </c>
      <c r="G166">
        <v>156</v>
      </c>
      <c r="H166">
        <f t="shared" ca="1" si="5"/>
        <v>1.6861089923180819E-2</v>
      </c>
    </row>
    <row r="167" spans="2:8" ht="15.75">
      <c r="B167" s="674" t="s">
        <v>406</v>
      </c>
      <c r="C167" s="544">
        <v>6219.15</v>
      </c>
      <c r="D167">
        <f t="shared" si="4"/>
        <v>3.3390382506397233E-2</v>
      </c>
      <c r="E167">
        <v>3.3390382506397233E-2</v>
      </c>
      <c r="G167">
        <v>157</v>
      </c>
      <c r="H167">
        <f t="shared" ca="1" si="5"/>
        <v>-1.3999719723462048E-2</v>
      </c>
    </row>
    <row r="168" spans="2:8" ht="15.75">
      <c r="B168" s="674">
        <v>45819</v>
      </c>
      <c r="C168" s="544">
        <v>6018.2</v>
      </c>
      <c r="D168">
        <f t="shared" si="4"/>
        <v>-1.4201706825664601E-2</v>
      </c>
      <c r="E168">
        <v>-1.4201706825664601E-2</v>
      </c>
      <c r="G168">
        <v>158</v>
      </c>
      <c r="H168">
        <f t="shared" ca="1" si="5"/>
        <v>1.2592633299673408E-2</v>
      </c>
    </row>
    <row r="169" spans="2:8" ht="15.75">
      <c r="B169" s="674">
        <v>45356</v>
      </c>
      <c r="C169" s="544">
        <v>6104.9</v>
      </c>
      <c r="D169">
        <f t="shared" si="4"/>
        <v>-3.9808787300345139E-3</v>
      </c>
      <c r="E169">
        <v>-3.9808787300345139E-3</v>
      </c>
      <c r="G169">
        <v>159</v>
      </c>
      <c r="H169">
        <f t="shared" ca="1" si="5"/>
        <v>8.7067182374560327E-3</v>
      </c>
    </row>
    <row r="170" spans="2:8" ht="15.75">
      <c r="B170" s="674">
        <v>45910</v>
      </c>
      <c r="C170" s="544">
        <v>6129.3</v>
      </c>
      <c r="D170">
        <f t="shared" si="4"/>
        <v>1.130213833157339E-2</v>
      </c>
      <c r="E170">
        <v>1.130213833157339E-2</v>
      </c>
      <c r="G170">
        <v>160</v>
      </c>
      <c r="H170">
        <f t="shared" ca="1" si="5"/>
        <v>7.8612924652299351E-3</v>
      </c>
    </row>
    <row r="171" spans="2:8" ht="15.75">
      <c r="B171" s="674">
        <v>45667</v>
      </c>
      <c r="C171" s="544">
        <v>6060.8</v>
      </c>
      <c r="D171">
        <f t="shared" si="4"/>
        <v>-9.7460154073637784E-3</v>
      </c>
      <c r="E171">
        <v>-9.7460154073637784E-3</v>
      </c>
      <c r="G171">
        <v>161</v>
      </c>
      <c r="H171">
        <f t="shared" ca="1" si="5"/>
        <v>2.3521977176879445E-2</v>
      </c>
    </row>
    <row r="172" spans="2:8" ht="15.75">
      <c r="B172" s="674">
        <v>45479</v>
      </c>
      <c r="C172" s="544">
        <v>6120.45</v>
      </c>
      <c r="D172">
        <f t="shared" si="4"/>
        <v>3.6143864430882265E-2</v>
      </c>
      <c r="E172">
        <v>3.6143864430882265E-2</v>
      </c>
      <c r="G172">
        <v>162</v>
      </c>
      <c r="H172">
        <f t="shared" ca="1" si="5"/>
        <v>-3.6781794525648663E-2</v>
      </c>
    </row>
    <row r="173" spans="2:8" ht="15.75">
      <c r="B173" s="674" t="s">
        <v>8971</v>
      </c>
      <c r="C173" s="544">
        <v>5906.95</v>
      </c>
      <c r="D173">
        <f t="shared" si="4"/>
        <v>3.2403806660782415E-2</v>
      </c>
      <c r="E173">
        <v>3.2403806660782415E-2</v>
      </c>
      <c r="G173">
        <v>163</v>
      </c>
      <c r="H173">
        <f t="shared" ca="1" si="5"/>
        <v>-8.4895038526833898E-3</v>
      </c>
    </row>
    <row r="174" spans="2:8" ht="15.75">
      <c r="B174" s="674">
        <v>45632</v>
      </c>
      <c r="C174" s="544">
        <v>5721.55</v>
      </c>
      <c r="D174">
        <f t="shared" si="4"/>
        <v>-1.9798007988974962E-3</v>
      </c>
      <c r="E174">
        <v>-1.9798007988974962E-3</v>
      </c>
      <c r="G174">
        <v>164</v>
      </c>
      <c r="H174">
        <f t="shared" ca="1" si="5"/>
        <v>1.5174854511867548E-2</v>
      </c>
    </row>
    <row r="175" spans="2:8" ht="15.75">
      <c r="B175" s="674" t="s">
        <v>8975</v>
      </c>
      <c r="C175" s="544">
        <v>5732.9</v>
      </c>
      <c r="D175">
        <f t="shared" si="4"/>
        <v>1.9435948502738328E-2</v>
      </c>
      <c r="E175">
        <v>1.9435948502738328E-2</v>
      </c>
      <c r="G175">
        <v>165</v>
      </c>
      <c r="H175">
        <f t="shared" ca="1" si="5"/>
        <v>2.8298078097376347E-2</v>
      </c>
    </row>
    <row r="176" spans="2:8" ht="15.75">
      <c r="B176" s="674">
        <v>45388</v>
      </c>
      <c r="C176" s="544">
        <v>5623.6</v>
      </c>
      <c r="D176">
        <f t="shared" si="4"/>
        <v>-1.0269361750807286E-2</v>
      </c>
      <c r="E176">
        <v>-1.0269361750807286E-2</v>
      </c>
      <c r="G176">
        <v>166</v>
      </c>
      <c r="H176">
        <f t="shared" ca="1" si="5"/>
        <v>-1.2808831894709011E-2</v>
      </c>
    </row>
    <row r="177" spans="2:8" ht="15.75">
      <c r="B177" s="674">
        <v>45818</v>
      </c>
      <c r="C177" s="544">
        <v>5681.95</v>
      </c>
      <c r="D177">
        <f t="shared" si="4"/>
        <v>1.669455056230041E-2</v>
      </c>
      <c r="E177">
        <v>1.669455056230041E-2</v>
      </c>
      <c r="G177">
        <v>167</v>
      </c>
      <c r="H177">
        <f t="shared" ca="1" si="5"/>
        <v>3.521981889600722E-2</v>
      </c>
    </row>
    <row r="178" spans="2:8" ht="15.75">
      <c r="B178" s="674" t="s">
        <v>8869</v>
      </c>
      <c r="C178" s="544">
        <v>5588.65</v>
      </c>
      <c r="D178">
        <f t="shared" si="4"/>
        <v>-6.5505288418807863E-3</v>
      </c>
      <c r="E178">
        <v>-6.5505288418807863E-3</v>
      </c>
      <c r="G178">
        <v>168</v>
      </c>
      <c r="H178">
        <f t="shared" ca="1" si="5"/>
        <v>-6.6483334348669621E-4</v>
      </c>
    </row>
    <row r="179" spans="2:8" ht="15.75">
      <c r="B179" s="674" t="s">
        <v>8974</v>
      </c>
      <c r="C179" s="544">
        <v>5625.5</v>
      </c>
      <c r="D179">
        <f t="shared" si="4"/>
        <v>-2.6283676772222622E-2</v>
      </c>
      <c r="E179">
        <v>-2.6283676772222622E-2</v>
      </c>
      <c r="G179">
        <v>169</v>
      </c>
      <c r="H179">
        <f t="shared" ca="1" si="5"/>
        <v>-2.015594987931256E-2</v>
      </c>
    </row>
    <row r="180" spans="2:8" ht="15.75">
      <c r="B180" s="674">
        <v>45727</v>
      </c>
      <c r="C180" s="544">
        <v>5777.35</v>
      </c>
      <c r="D180">
        <f t="shared" si="4"/>
        <v>-6.2182850262319832E-3</v>
      </c>
      <c r="E180">
        <v>-6.2182850262319832E-3</v>
      </c>
      <c r="G180">
        <v>170</v>
      </c>
      <c r="H180">
        <f t="shared" ca="1" si="5"/>
        <v>-6.0970854426464945E-2</v>
      </c>
    </row>
    <row r="181" spans="2:8" ht="15.75">
      <c r="B181" s="674" t="s">
        <v>205</v>
      </c>
      <c r="C181" s="544">
        <v>5813.5</v>
      </c>
      <c r="D181">
        <f t="shared" si="4"/>
        <v>-1.6378187232458621E-2</v>
      </c>
      <c r="E181">
        <v>-1.6378187232458621E-2</v>
      </c>
      <c r="G181">
        <v>171</v>
      </c>
      <c r="H181">
        <f t="shared" ca="1" si="5"/>
        <v>7.4656115697369022E-3</v>
      </c>
    </row>
    <row r="182" spans="2:8" ht="15.75">
      <c r="B182" s="674" t="s">
        <v>8965</v>
      </c>
      <c r="C182" s="544">
        <v>5910.3</v>
      </c>
      <c r="D182">
        <f t="shared" si="4"/>
        <v>2.3313393297724163E-2</v>
      </c>
      <c r="E182">
        <v>2.3313393297724163E-2</v>
      </c>
      <c r="G182">
        <v>172</v>
      </c>
      <c r="H182">
        <f t="shared" ca="1" si="5"/>
        <v>-2.363760859122823E-2</v>
      </c>
    </row>
    <row r="183" spans="2:8" ht="15.75">
      <c r="B183" s="674">
        <v>45811</v>
      </c>
      <c r="C183" s="544">
        <v>5775.65</v>
      </c>
      <c r="D183">
        <f t="shared" si="4"/>
        <v>1.8004758967127811E-2</v>
      </c>
      <c r="E183">
        <v>1.8004758967127811E-2</v>
      </c>
      <c r="G183">
        <v>173</v>
      </c>
      <c r="H183">
        <f t="shared" ca="1" si="5"/>
        <v>5.6122468535576633E-3</v>
      </c>
    </row>
    <row r="184" spans="2:8" ht="15.75">
      <c r="B184" s="674" t="s">
        <v>8972</v>
      </c>
      <c r="C184" s="544">
        <v>5673.5</v>
      </c>
      <c r="D184">
        <f t="shared" si="4"/>
        <v>2.9720041744180772E-2</v>
      </c>
      <c r="E184">
        <v>2.9720041744180772E-2</v>
      </c>
      <c r="G184">
        <v>174</v>
      </c>
      <c r="H184">
        <f t="shared" ca="1" si="5"/>
        <v>9.829915869757665E-4</v>
      </c>
    </row>
    <row r="185" spans="2:8" ht="15.75">
      <c r="B185" s="674">
        <v>45755</v>
      </c>
      <c r="C185" s="544">
        <v>5509.75</v>
      </c>
      <c r="D185">
        <f t="shared" si="4"/>
        <v>-1.3491253513813604E-2</v>
      </c>
      <c r="E185">
        <v>-1.3491253513813604E-2</v>
      </c>
      <c r="G185">
        <v>175</v>
      </c>
      <c r="H185">
        <f t="shared" ca="1" si="5"/>
        <v>3.9260532299467903E-2</v>
      </c>
    </row>
    <row r="186" spans="2:8" ht="15.75">
      <c r="B186" s="674" t="s">
        <v>8868</v>
      </c>
      <c r="C186" s="544">
        <v>5585.1</v>
      </c>
      <c r="D186">
        <f t="shared" si="4"/>
        <v>-6.395602245132105E-3</v>
      </c>
      <c r="E186">
        <v>-6.395602245132105E-3</v>
      </c>
      <c r="G186">
        <v>176</v>
      </c>
      <c r="H186">
        <f t="shared" ca="1" si="5"/>
        <v>-1.3721005540395709E-2</v>
      </c>
    </row>
    <row r="187" spans="2:8" ht="15.75">
      <c r="B187" s="674" t="s">
        <v>497</v>
      </c>
      <c r="C187" s="544">
        <v>5621.05</v>
      </c>
      <c r="D187">
        <f t="shared" si="4"/>
        <v>-3.6514140366735717E-3</v>
      </c>
      <c r="E187">
        <v>-3.6514140366735717E-3</v>
      </c>
      <c r="G187">
        <v>177</v>
      </c>
      <c r="H187">
        <f t="shared" ca="1" si="5"/>
        <v>3.1084505001354509E-4</v>
      </c>
    </row>
    <row r="188" spans="2:8" ht="15.75">
      <c r="B188" s="674" t="s">
        <v>8973</v>
      </c>
      <c r="C188" s="544">
        <v>5641.65</v>
      </c>
      <c r="D188">
        <f t="shared" si="4"/>
        <v>-3.0394868215274707E-3</v>
      </c>
      <c r="E188">
        <v>-3.0394868215274707E-3</v>
      </c>
      <c r="G188">
        <v>178</v>
      </c>
      <c r="H188">
        <f t="shared" ca="1" si="5"/>
        <v>1.3176796269271816E-2</v>
      </c>
    </row>
    <row r="189" spans="2:8" ht="15.75">
      <c r="B189" s="674" t="s">
        <v>505</v>
      </c>
      <c r="C189" s="544">
        <v>5658.85</v>
      </c>
      <c r="D189">
        <f t="shared" si="4"/>
        <v>1.8090063508626769E-2</v>
      </c>
      <c r="E189">
        <v>1.8090063508626769E-2</v>
      </c>
      <c r="G189">
        <v>179</v>
      </c>
      <c r="H189">
        <f t="shared" ca="1" si="5"/>
        <v>1.565714163993932E-2</v>
      </c>
    </row>
    <row r="190" spans="2:8" ht="15.75">
      <c r="B190" s="674" t="s">
        <v>8976</v>
      </c>
      <c r="C190" s="544">
        <v>5558.3</v>
      </c>
      <c r="D190">
        <f t="shared" si="4"/>
        <v>-2.9508049688326504E-3</v>
      </c>
      <c r="E190">
        <v>-2.9508049688326504E-3</v>
      </c>
      <c r="G190">
        <v>180</v>
      </c>
      <c r="H190">
        <f t="shared" ca="1" si="5"/>
        <v>-3.5713060667563565E-2</v>
      </c>
    </row>
    <row r="191" spans="2:8" ht="15.75">
      <c r="B191" s="674" t="s">
        <v>182</v>
      </c>
      <c r="C191" s="544">
        <v>5574.75</v>
      </c>
      <c r="D191">
        <f t="shared" si="4"/>
        <v>8.8767034040936315E-3</v>
      </c>
      <c r="E191">
        <v>8.8767034040936315E-3</v>
      </c>
      <c r="G191">
        <v>181</v>
      </c>
      <c r="H191">
        <f t="shared" ca="1" si="5"/>
        <v>-1.1981881358831967E-2</v>
      </c>
    </row>
    <row r="192" spans="2:8" ht="15.75">
      <c r="B192" s="674" t="s">
        <v>494</v>
      </c>
      <c r="C192" s="544">
        <v>5525.7</v>
      </c>
      <c r="D192">
        <f t="shared" si="4"/>
        <v>1.6903300606383953E-2</v>
      </c>
      <c r="E192">
        <v>1.6903300606383953E-2</v>
      </c>
      <c r="G192">
        <v>182</v>
      </c>
      <c r="H192">
        <f t="shared" ca="1" si="5"/>
        <v>-1.3979710768562352E-2</v>
      </c>
    </row>
    <row r="193" spans="2:8" ht="15.75">
      <c r="B193" s="674" t="s">
        <v>506</v>
      </c>
      <c r="C193" s="544">
        <v>5433.85</v>
      </c>
      <c r="D193">
        <f t="shared" si="4"/>
        <v>1.6994038985223829E-2</v>
      </c>
      <c r="E193">
        <v>1.6994038985223829E-2</v>
      </c>
      <c r="G193">
        <v>183</v>
      </c>
      <c r="H193">
        <f t="shared" ca="1" si="5"/>
        <v>-4.4831407364246687E-3</v>
      </c>
    </row>
    <row r="194" spans="2:8" ht="15.75">
      <c r="B194" s="674" t="s">
        <v>8964</v>
      </c>
      <c r="C194" s="544">
        <v>5343.05</v>
      </c>
      <c r="D194">
        <f t="shared" si="4"/>
        <v>-1.8002205476934353E-2</v>
      </c>
      <c r="E194">
        <v>-1.8002205476934353E-2</v>
      </c>
      <c r="G194">
        <v>184</v>
      </c>
      <c r="H194">
        <f t="shared" ca="1" si="5"/>
        <v>1.7264610173254216E-2</v>
      </c>
    </row>
    <row r="195" spans="2:8" ht="15.75">
      <c r="B195" s="674">
        <v>45449</v>
      </c>
      <c r="C195" s="544">
        <v>5441</v>
      </c>
      <c r="D195">
        <f t="shared" si="4"/>
        <v>-1.0281643594169507E-3</v>
      </c>
      <c r="E195">
        <v>-1.0281643594169507E-3</v>
      </c>
      <c r="G195">
        <v>185</v>
      </c>
      <c r="H195">
        <f t="shared" ca="1" si="5"/>
        <v>-1.8717805680649145E-3</v>
      </c>
    </row>
    <row r="196" spans="2:8" ht="15.75">
      <c r="B196" s="674">
        <v>45848</v>
      </c>
      <c r="C196" s="544">
        <v>5446.6</v>
      </c>
      <c r="D196">
        <f t="shared" si="4"/>
        <v>-1.8604106417290555E-2</v>
      </c>
      <c r="E196">
        <v>-1.8604106417290555E-2</v>
      </c>
      <c r="G196">
        <v>186</v>
      </c>
      <c r="H196">
        <f t="shared" ca="1" si="5"/>
        <v>-6.0546281135425472E-3</v>
      </c>
    </row>
    <row r="197" spans="2:8" ht="15.75">
      <c r="B197" s="674" t="s">
        <v>492</v>
      </c>
      <c r="C197" s="544">
        <v>5549.85</v>
      </c>
      <c r="D197">
        <f t="shared" si="4"/>
        <v>-6.1423851436654235E-3</v>
      </c>
      <c r="E197">
        <v>-6.1423851436654235E-3</v>
      </c>
      <c r="G197">
        <v>187</v>
      </c>
      <c r="H197">
        <f t="shared" ca="1" si="5"/>
        <v>1.3178550271750928E-2</v>
      </c>
    </row>
    <row r="198" spans="2:8" ht="15.75">
      <c r="B198" s="674">
        <v>45750</v>
      </c>
      <c r="C198" s="544">
        <v>5584.15</v>
      </c>
      <c r="D198">
        <f t="shared" si="4"/>
        <v>1.7760236803156723E-3</v>
      </c>
      <c r="E198">
        <v>1.7760236803156723E-3</v>
      </c>
      <c r="G198">
        <v>188</v>
      </c>
      <c r="H198">
        <f t="shared" ca="1" si="5"/>
        <v>-1.5791839810814622E-2</v>
      </c>
    </row>
    <row r="199" spans="2:8" ht="15.75">
      <c r="B199" s="674">
        <v>45481</v>
      </c>
      <c r="C199" s="544">
        <v>5574.25</v>
      </c>
      <c r="D199">
        <f t="shared" si="4"/>
        <v>3.972954068547447E-2</v>
      </c>
      <c r="E199">
        <v>3.972954068547447E-2</v>
      </c>
      <c r="G199">
        <v>189</v>
      </c>
      <c r="H199">
        <f t="shared" ca="1" si="5"/>
        <v>-8.6401577481016838E-3</v>
      </c>
    </row>
    <row r="200" spans="2:8" ht="15.75">
      <c r="B200" s="674">
        <v>45972</v>
      </c>
      <c r="C200" s="544">
        <v>5361.25</v>
      </c>
      <c r="D200">
        <f t="shared" si="4"/>
        <v>6.6940814180561125E-3</v>
      </c>
      <c r="E200">
        <v>6.6940814180561125E-3</v>
      </c>
      <c r="G200">
        <v>190</v>
      </c>
      <c r="H200">
        <f t="shared" ca="1" si="5"/>
        <v>-1.7094450181824764E-2</v>
      </c>
    </row>
    <row r="201" spans="2:8" ht="15.75">
      <c r="B201" s="674">
        <v>45571</v>
      </c>
      <c r="C201" s="544">
        <v>5325.6</v>
      </c>
      <c r="D201">
        <f t="shared" si="4"/>
        <v>-2.2170811644495855E-2</v>
      </c>
      <c r="E201">
        <v>-2.2170811644495855E-2</v>
      </c>
      <c r="G201">
        <v>191</v>
      </c>
      <c r="H201">
        <f t="shared" ca="1" si="5"/>
        <v>1.8844298734735004E-2</v>
      </c>
    </row>
    <row r="202" spans="2:8" ht="15.75">
      <c r="B202" s="674">
        <v>45665</v>
      </c>
      <c r="C202" s="544">
        <v>5446.35</v>
      </c>
      <c r="D202">
        <f t="shared" si="4"/>
        <v>6.4957030982665892E-2</v>
      </c>
      <c r="E202">
        <v>6.4957030982665892E-2</v>
      </c>
      <c r="G202">
        <v>192</v>
      </c>
      <c r="H202">
        <f t="shared" ca="1" si="5"/>
        <v>3.1623889281954948E-2</v>
      </c>
    </row>
    <row r="203" spans="2:8" ht="15.75">
      <c r="B203" s="674" t="s">
        <v>512</v>
      </c>
      <c r="C203" s="544">
        <v>5114.1499999999996</v>
      </c>
      <c r="D203">
        <f t="shared" si="4"/>
        <v>-2.182374599531399E-2</v>
      </c>
      <c r="E203">
        <v>-2.182374599531399E-2</v>
      </c>
      <c r="G203">
        <v>193</v>
      </c>
      <c r="H203">
        <f t="shared" ca="1" si="5"/>
        <v>4.2971928088118685E-2</v>
      </c>
    </row>
    <row r="204" spans="2:8" ht="15.75">
      <c r="B204" s="674" t="s">
        <v>502</v>
      </c>
      <c r="C204" s="544">
        <v>5228.25</v>
      </c>
      <c r="D204">
        <f t="shared" ref="D204:D267" si="6">(C204-C205)/C205</f>
        <v>3.3483210561561274E-4</v>
      </c>
      <c r="E204">
        <v>3.3483210561561274E-4</v>
      </c>
      <c r="G204">
        <v>194</v>
      </c>
      <c r="H204">
        <f t="shared" ref="H204:H267" ca="1" si="7">_xlfn.NORM.INV(RAND(),N$13,N$14)</f>
        <v>2.6783471337549242E-2</v>
      </c>
    </row>
    <row r="205" spans="2:8" ht="15.75">
      <c r="B205" s="674">
        <v>45813</v>
      </c>
      <c r="C205" s="544">
        <v>5226.5</v>
      </c>
      <c r="D205">
        <f t="shared" si="6"/>
        <v>8.1382545837522136E-4</v>
      </c>
      <c r="E205">
        <v>8.1382545837522136E-4</v>
      </c>
      <c r="G205">
        <v>195</v>
      </c>
      <c r="H205">
        <f t="shared" ca="1" si="7"/>
        <v>-6.5425086452263583E-3</v>
      </c>
    </row>
    <row r="206" spans="2:8" ht="15.75">
      <c r="B206" s="674" t="s">
        <v>507</v>
      </c>
      <c r="C206" s="544">
        <v>5222.25</v>
      </c>
      <c r="D206">
        <f t="shared" si="6"/>
        <v>-2.8301096876831681E-2</v>
      </c>
      <c r="E206">
        <v>-2.8301096876831681E-2</v>
      </c>
      <c r="G206">
        <v>196</v>
      </c>
      <c r="H206">
        <f t="shared" ca="1" si="7"/>
        <v>-3.684901192482376E-2</v>
      </c>
    </row>
    <row r="207" spans="2:8" ht="15.75">
      <c r="B207" s="674" t="s">
        <v>544</v>
      </c>
      <c r="C207" s="544">
        <v>5374.35</v>
      </c>
      <c r="D207">
        <f t="shared" si="6"/>
        <v>4.4425010931351185E-2</v>
      </c>
      <c r="E207">
        <v>4.4425010931351185E-2</v>
      </c>
      <c r="G207">
        <v>197</v>
      </c>
      <c r="H207">
        <f t="shared" ca="1" si="7"/>
        <v>-4.4287811559297258E-2</v>
      </c>
    </row>
    <row r="208" spans="2:8" ht="15.75">
      <c r="B208" s="674">
        <v>45874</v>
      </c>
      <c r="C208" s="544">
        <v>5145.75</v>
      </c>
      <c r="D208">
        <f t="shared" si="6"/>
        <v>-5.3446476205202846E-3</v>
      </c>
      <c r="E208">
        <v>-5.3446476205202846E-3</v>
      </c>
      <c r="G208">
        <v>198</v>
      </c>
      <c r="H208">
        <f t="shared" ca="1" si="7"/>
        <v>6.0870960713638117E-3</v>
      </c>
    </row>
    <row r="209" spans="2:8" ht="15.75">
      <c r="B209" s="674">
        <v>45602</v>
      </c>
      <c r="C209" s="544">
        <v>5173.3999999999996</v>
      </c>
      <c r="D209">
        <f t="shared" si="6"/>
        <v>-3.8472975986915472E-2</v>
      </c>
      <c r="E209">
        <v>-3.8472975986915472E-2</v>
      </c>
      <c r="G209">
        <v>199</v>
      </c>
      <c r="H209">
        <f t="shared" ca="1" si="7"/>
        <v>2.19749708941759E-2</v>
      </c>
    </row>
    <row r="210" spans="2:8" ht="15.75">
      <c r="B210" s="674" t="s">
        <v>543</v>
      </c>
      <c r="C210" s="544">
        <v>5380.4</v>
      </c>
      <c r="D210">
        <f t="shared" si="6"/>
        <v>3.2845103948707016E-2</v>
      </c>
      <c r="E210">
        <v>3.2845103948707016E-2</v>
      </c>
      <c r="G210">
        <v>200</v>
      </c>
      <c r="H210">
        <f t="shared" ca="1" si="7"/>
        <v>-9.7553200641851898E-3</v>
      </c>
    </row>
    <row r="211" spans="2:8" ht="15.75">
      <c r="B211" s="674" t="s">
        <v>496</v>
      </c>
      <c r="C211" s="544">
        <v>5209.3</v>
      </c>
      <c r="D211">
        <f t="shared" si="6"/>
        <v>1.3600809433007852E-2</v>
      </c>
      <c r="E211">
        <v>1.3600809433007852E-2</v>
      </c>
      <c r="G211">
        <v>201</v>
      </c>
      <c r="H211">
        <f t="shared" ca="1" si="7"/>
        <v>-2.356327766914028E-3</v>
      </c>
    </row>
    <row r="212" spans="2:8" ht="15.75">
      <c r="B212" s="674" t="s">
        <v>410</v>
      </c>
      <c r="C212" s="544">
        <v>5139.3999999999996</v>
      </c>
      <c r="D212">
        <f t="shared" si="6"/>
        <v>-3.4192451163708594E-2</v>
      </c>
      <c r="E212">
        <v>-3.4192451163708594E-2</v>
      </c>
      <c r="G212">
        <v>202</v>
      </c>
      <c r="H212">
        <f t="shared" ca="1" si="7"/>
        <v>-2.5512175326945104E-2</v>
      </c>
    </row>
    <row r="213" spans="2:8" ht="15.75">
      <c r="B213" s="674" t="s">
        <v>180</v>
      </c>
      <c r="C213" s="544">
        <v>5321.35</v>
      </c>
      <c r="D213">
        <f t="shared" si="6"/>
        <v>-1.0606345034728057E-3</v>
      </c>
      <c r="E213">
        <v>-1.0606345034728057E-3</v>
      </c>
      <c r="G213">
        <v>203</v>
      </c>
      <c r="H213">
        <f t="shared" ca="1" si="7"/>
        <v>2.8607777643176513E-2</v>
      </c>
    </row>
    <row r="214" spans="2:8" ht="15.75">
      <c r="B214" s="674" t="s">
        <v>8871</v>
      </c>
      <c r="C214" s="544">
        <v>5327</v>
      </c>
      <c r="D214">
        <f t="shared" si="6"/>
        <v>1.0899797038262389E-3</v>
      </c>
      <c r="E214">
        <v>1.0899797038262389E-3</v>
      </c>
      <c r="G214">
        <v>204</v>
      </c>
      <c r="H214">
        <f t="shared" ca="1" si="7"/>
        <v>-6.7975985798291406E-3</v>
      </c>
    </row>
    <row r="215" spans="2:8" ht="15.75">
      <c r="B215" s="674">
        <v>45692</v>
      </c>
      <c r="C215" s="544">
        <v>5321.2</v>
      </c>
      <c r="D215">
        <f t="shared" si="6"/>
        <v>-7.2943678525456343E-3</v>
      </c>
      <c r="E215">
        <v>-7.2943678525456343E-3</v>
      </c>
      <c r="G215">
        <v>205</v>
      </c>
      <c r="H215">
        <f t="shared" ca="1" si="7"/>
        <v>-6.5392948690410554E-3</v>
      </c>
    </row>
    <row r="216" spans="2:8" ht="15.75">
      <c r="B216" s="674" t="s">
        <v>511</v>
      </c>
      <c r="C216" s="544">
        <v>5360.3</v>
      </c>
      <c r="D216">
        <f t="shared" si="6"/>
        <v>4.4780773991092572E-2</v>
      </c>
      <c r="E216">
        <v>4.4780773991092572E-2</v>
      </c>
      <c r="G216">
        <v>206</v>
      </c>
      <c r="H216">
        <f t="shared" ca="1" si="7"/>
        <v>2.4218149907298349E-2</v>
      </c>
    </row>
    <row r="217" spans="2:8" ht="15.75">
      <c r="B217" s="674" t="s">
        <v>542</v>
      </c>
      <c r="C217" s="544">
        <v>5130.55</v>
      </c>
      <c r="D217">
        <f t="shared" si="6"/>
        <v>1.8825398401429813E-2</v>
      </c>
      <c r="E217">
        <v>1.8825398401429813E-2</v>
      </c>
      <c r="G217">
        <v>207</v>
      </c>
      <c r="H217">
        <f t="shared" ca="1" si="7"/>
        <v>2.6571701277640228E-3</v>
      </c>
    </row>
    <row r="218" spans="2:8" ht="15.75">
      <c r="B218" s="674" t="s">
        <v>503</v>
      </c>
      <c r="C218" s="544">
        <v>5035.75</v>
      </c>
      <c r="D218">
        <f t="shared" si="6"/>
        <v>3.2804873046474385E-2</v>
      </c>
      <c r="E218">
        <v>3.2804873046474385E-2</v>
      </c>
      <c r="G218">
        <v>208</v>
      </c>
      <c r="H218">
        <f t="shared" ca="1" si="7"/>
        <v>-2.2896239090278606E-2</v>
      </c>
    </row>
    <row r="219" spans="2:8" ht="15.75">
      <c r="B219" s="674">
        <v>45543</v>
      </c>
      <c r="C219" s="544">
        <v>4875.8</v>
      </c>
      <c r="D219">
        <f t="shared" si="6"/>
        <v>2.0031171222058344E-2</v>
      </c>
      <c r="E219">
        <v>2.0031171222058344E-2</v>
      </c>
      <c r="G219">
        <v>209</v>
      </c>
      <c r="H219">
        <f t="shared" ca="1" si="7"/>
        <v>3.176857236763423E-2</v>
      </c>
    </row>
    <row r="220" spans="2:8" ht="15.75">
      <c r="B220" s="674" t="s">
        <v>8959</v>
      </c>
      <c r="C220" s="544">
        <v>4780.05</v>
      </c>
      <c r="D220">
        <f t="shared" si="6"/>
        <v>3.4307043167802698E-2</v>
      </c>
      <c r="E220">
        <v>3.4307043167802698E-2</v>
      </c>
      <c r="G220">
        <v>210</v>
      </c>
      <c r="H220">
        <f t="shared" ca="1" si="7"/>
        <v>8.7708085995808916E-3</v>
      </c>
    </row>
    <row r="221" spans="2:8" ht="15.75">
      <c r="B221" s="674">
        <v>45904</v>
      </c>
      <c r="C221" s="544">
        <v>4621.5</v>
      </c>
      <c r="D221">
        <f t="shared" si="6"/>
        <v>-2.973872332385074E-2</v>
      </c>
      <c r="E221">
        <v>-2.973872332385074E-2</v>
      </c>
      <c r="G221">
        <v>211</v>
      </c>
      <c r="H221">
        <f t="shared" ca="1" si="7"/>
        <v>-2.1713144126742741E-2</v>
      </c>
    </row>
    <row r="222" spans="2:8" ht="15.75">
      <c r="B222" s="674">
        <v>45816</v>
      </c>
      <c r="C222" s="544">
        <v>4763.1499999999996</v>
      </c>
      <c r="D222">
        <f t="shared" si="6"/>
        <v>4.7673793125269119E-3</v>
      </c>
      <c r="E222">
        <v>4.7673793125269119E-3</v>
      </c>
      <c r="G222">
        <v>212</v>
      </c>
      <c r="H222">
        <f t="shared" ca="1" si="7"/>
        <v>-1.5198446541452066E-2</v>
      </c>
    </row>
    <row r="223" spans="2:8" ht="15.75">
      <c r="B223" s="674">
        <v>45873</v>
      </c>
      <c r="C223" s="544">
        <v>4740.55</v>
      </c>
      <c r="D223">
        <f t="shared" si="6"/>
        <v>-0.14757473589570685</v>
      </c>
      <c r="E223">
        <v>-0.14757473589570685</v>
      </c>
      <c r="G223">
        <v>213</v>
      </c>
      <c r="H223">
        <f t="shared" ca="1" si="7"/>
        <v>-1.8399948833792176E-3</v>
      </c>
    </row>
    <row r="224" spans="2:8" ht="15.75">
      <c r="B224" s="674">
        <v>45840</v>
      </c>
      <c r="C224" s="544">
        <v>5561.25</v>
      </c>
      <c r="D224">
        <f t="shared" si="6"/>
        <v>-2.0320262128739098E-2</v>
      </c>
      <c r="E224">
        <v>-2.0320262128739098E-2</v>
      </c>
      <c r="G224">
        <v>214</v>
      </c>
      <c r="H224">
        <f t="shared" ca="1" si="7"/>
        <v>-2.988822502486976E-2</v>
      </c>
    </row>
    <row r="225" spans="2:8" ht="15.75">
      <c r="B225" s="674" t="s">
        <v>8963</v>
      </c>
      <c r="C225" s="544">
        <v>5676.6</v>
      </c>
      <c r="D225">
        <f t="shared" si="6"/>
        <v>-6.601705880799598E-4</v>
      </c>
      <c r="E225">
        <v>-6.601705880799598E-4</v>
      </c>
      <c r="G225">
        <v>215</v>
      </c>
      <c r="H225">
        <f t="shared" ca="1" si="7"/>
        <v>-1.8009581738134186E-2</v>
      </c>
    </row>
    <row r="226" spans="2:8" ht="15.75">
      <c r="B226" s="674" t="s">
        <v>421</v>
      </c>
      <c r="C226" s="544">
        <v>5680.35</v>
      </c>
      <c r="D226">
        <f t="shared" si="6"/>
        <v>1.8421901893287435E-2</v>
      </c>
      <c r="E226">
        <v>1.8421901893287435E-2</v>
      </c>
      <c r="G226">
        <v>216</v>
      </c>
      <c r="H226">
        <f t="shared" ca="1" si="7"/>
        <v>5.6473458102484306E-3</v>
      </c>
    </row>
    <row r="227" spans="2:8" ht="15.75">
      <c r="B227" s="674">
        <v>45933</v>
      </c>
      <c r="C227" s="544">
        <v>5577.6</v>
      </c>
      <c r="D227">
        <f t="shared" si="6"/>
        <v>5.0187815968593813E-2</v>
      </c>
      <c r="E227">
        <v>5.0187815968593813E-2</v>
      </c>
      <c r="G227">
        <v>217</v>
      </c>
      <c r="H227">
        <f t="shared" ca="1" si="7"/>
        <v>-7.3400804180826403E-3</v>
      </c>
    </row>
    <row r="228" spans="2:8" ht="15.75">
      <c r="B228" s="674" t="s">
        <v>498</v>
      </c>
      <c r="C228" s="544">
        <v>5311.05</v>
      </c>
      <c r="D228">
        <f t="shared" si="6"/>
        <v>-1.8725519178183332E-2</v>
      </c>
      <c r="E228">
        <v>-1.8725519178183332E-2</v>
      </c>
      <c r="G228">
        <v>218</v>
      </c>
      <c r="H228">
        <f t="shared" ca="1" si="7"/>
        <v>-1.3536989128388886E-2</v>
      </c>
    </row>
    <row r="229" spans="2:8" ht="15.75">
      <c r="B229" s="674" t="s">
        <v>414</v>
      </c>
      <c r="C229" s="544">
        <v>5412.4</v>
      </c>
      <c r="D229">
        <f t="shared" si="6"/>
        <v>1.7588388467431732E-2</v>
      </c>
      <c r="E229">
        <v>1.7588388467431732E-2</v>
      </c>
      <c r="G229">
        <v>219</v>
      </c>
      <c r="H229">
        <f t="shared" ca="1" si="7"/>
        <v>-1.5897846724870771E-2</v>
      </c>
    </row>
    <row r="230" spans="2:8" ht="15.75">
      <c r="B230" s="674" t="s">
        <v>181</v>
      </c>
      <c r="C230" s="544">
        <v>5318.85</v>
      </c>
      <c r="D230">
        <f t="shared" si="6"/>
        <v>2.5844527806976093E-2</v>
      </c>
      <c r="E230">
        <v>2.5844527806976093E-2</v>
      </c>
      <c r="G230">
        <v>220</v>
      </c>
      <c r="H230">
        <f t="shared" ca="1" si="7"/>
        <v>5.9895100084566902E-2</v>
      </c>
    </row>
    <row r="231" spans="2:8" ht="15.75">
      <c r="B231" s="674" t="s">
        <v>175</v>
      </c>
      <c r="C231" s="544">
        <v>5184.8500000000004</v>
      </c>
      <c r="D231">
        <f t="shared" si="6"/>
        <v>2.5738167070577252E-2</v>
      </c>
      <c r="E231">
        <v>2.5738167070577252E-2</v>
      </c>
      <c r="G231">
        <v>221</v>
      </c>
      <c r="H231">
        <f t="shared" ca="1" si="7"/>
        <v>-1.4929391520263667E-3</v>
      </c>
    </row>
    <row r="232" spans="2:8" ht="15.75">
      <c r="B232" s="674" t="s">
        <v>411</v>
      </c>
      <c r="C232" s="544">
        <v>5054.75</v>
      </c>
      <c r="D232">
        <f t="shared" si="6"/>
        <v>-1.8047070022243091E-2</v>
      </c>
      <c r="E232">
        <v>-1.8047070022243091E-2</v>
      </c>
      <c r="G232">
        <v>222</v>
      </c>
      <c r="H232">
        <f t="shared" ca="1" si="7"/>
        <v>1.5826810628576257E-2</v>
      </c>
    </row>
    <row r="233" spans="2:8" ht="15.75">
      <c r="B233" s="674" t="s">
        <v>491</v>
      </c>
      <c r="C233" s="544">
        <v>5147.6499999999996</v>
      </c>
      <c r="D233">
        <f t="shared" si="6"/>
        <v>-1.393571373841085E-2</v>
      </c>
      <c r="E233">
        <v>-1.393571373841085E-2</v>
      </c>
      <c r="G233">
        <v>223</v>
      </c>
      <c r="H233">
        <f t="shared" ca="1" si="7"/>
        <v>2.0069317741035483E-2</v>
      </c>
    </row>
    <row r="234" spans="2:8" ht="15.75">
      <c r="B234" s="674">
        <v>45666</v>
      </c>
      <c r="C234" s="544">
        <v>5220.3999999999996</v>
      </c>
      <c r="D234">
        <f t="shared" si="6"/>
        <v>-1.4346104554409994E-3</v>
      </c>
      <c r="E234">
        <v>-1.4346104554409994E-3</v>
      </c>
      <c r="G234">
        <v>224</v>
      </c>
      <c r="H234">
        <f t="shared" ca="1" si="7"/>
        <v>-3.5684237252836446E-3</v>
      </c>
    </row>
    <row r="235" spans="2:8" ht="15.75">
      <c r="B235" s="674" t="s">
        <v>8958</v>
      </c>
      <c r="C235" s="544">
        <v>5227.8999999999996</v>
      </c>
      <c r="D235">
        <f t="shared" si="6"/>
        <v>-6.5276260154877403E-3</v>
      </c>
      <c r="E235">
        <v>-6.5276260154877403E-3</v>
      </c>
      <c r="G235">
        <v>225</v>
      </c>
      <c r="H235">
        <f t="shared" ca="1" si="7"/>
        <v>-4.7729485223422428E-2</v>
      </c>
    </row>
    <row r="236" spans="2:8" ht="15.75">
      <c r="B236" s="674" t="s">
        <v>422</v>
      </c>
      <c r="C236" s="544">
        <v>5262.25</v>
      </c>
      <c r="D236">
        <f t="shared" si="6"/>
        <v>2.0409152608105486E-2</v>
      </c>
      <c r="E236">
        <v>2.0409152608105486E-2</v>
      </c>
      <c r="G236">
        <v>226</v>
      </c>
      <c r="H236">
        <f t="shared" ca="1" si="7"/>
        <v>-7.4577474431982054E-3</v>
      </c>
    </row>
    <row r="237" spans="2:8" ht="15.75">
      <c r="B237" s="674">
        <v>45963</v>
      </c>
      <c r="C237" s="544">
        <v>5157</v>
      </c>
      <c r="D237">
        <f t="shared" si="6"/>
        <v>2.6166550591980899E-2</v>
      </c>
      <c r="E237">
        <v>2.6166550591980899E-2</v>
      </c>
      <c r="G237">
        <v>227</v>
      </c>
      <c r="H237">
        <f t="shared" ca="1" si="7"/>
        <v>8.0760960362622411E-3</v>
      </c>
    </row>
    <row r="238" spans="2:8" ht="15.75">
      <c r="B238" s="674">
        <v>45782</v>
      </c>
      <c r="C238" s="544">
        <v>5025.5</v>
      </c>
      <c r="D238">
        <f t="shared" si="6"/>
        <v>2.083727978783824E-3</v>
      </c>
      <c r="E238">
        <v>2.083727978783824E-3</v>
      </c>
      <c r="G238">
        <v>228</v>
      </c>
      <c r="H238">
        <f t="shared" ca="1" si="7"/>
        <v>-8.3779201671654105E-3</v>
      </c>
    </row>
    <row r="239" spans="2:8" ht="15.75">
      <c r="B239" s="674" t="s">
        <v>8960</v>
      </c>
      <c r="C239" s="544">
        <v>5015.05</v>
      </c>
      <c r="D239">
        <f t="shared" si="6"/>
        <v>4.0642674808549339E-3</v>
      </c>
      <c r="E239">
        <v>4.0642674808549339E-3</v>
      </c>
      <c r="G239">
        <v>229</v>
      </c>
      <c r="H239">
        <f t="shared" ca="1" si="7"/>
        <v>-1.2538979178040179E-2</v>
      </c>
    </row>
    <row r="240" spans="2:8" ht="15.75">
      <c r="B240" s="674" t="s">
        <v>490</v>
      </c>
      <c r="C240" s="544">
        <v>4994.75</v>
      </c>
      <c r="D240">
        <f t="shared" si="6"/>
        <v>4.0605435586528668E-2</v>
      </c>
      <c r="E240">
        <v>4.0605435586528668E-2</v>
      </c>
      <c r="G240">
        <v>230</v>
      </c>
      <c r="H240">
        <f t="shared" ca="1" si="7"/>
        <v>-1.3277690036379436E-2</v>
      </c>
    </row>
    <row r="241" spans="2:8" ht="15.75">
      <c r="B241" s="674" t="s">
        <v>8962</v>
      </c>
      <c r="C241" s="544">
        <v>4799.8500000000004</v>
      </c>
      <c r="D241">
        <f t="shared" si="6"/>
        <v>-3.9520946101433758E-2</v>
      </c>
      <c r="E241">
        <v>-3.9520946101433758E-2</v>
      </c>
      <c r="G241">
        <v>231</v>
      </c>
      <c r="H241">
        <f t="shared" ca="1" si="7"/>
        <v>2.1482087843953609E-2</v>
      </c>
    </row>
    <row r="242" spans="2:8" ht="15.75">
      <c r="B242" s="674">
        <v>45785</v>
      </c>
      <c r="C242" s="544">
        <v>4997.3500000000004</v>
      </c>
      <c r="D242">
        <f t="shared" si="6"/>
        <v>-1.4027957265041474E-2</v>
      </c>
      <c r="E242">
        <v>-1.4027957265041474E-2</v>
      </c>
      <c r="G242">
        <v>232</v>
      </c>
      <c r="H242">
        <f t="shared" ca="1" si="7"/>
        <v>-6.9343189448586737E-2</v>
      </c>
    </row>
    <row r="243" spans="2:8" ht="15.75">
      <c r="B243" s="674" t="s">
        <v>203</v>
      </c>
      <c r="C243" s="544">
        <v>5068.45</v>
      </c>
      <c r="D243">
        <f t="shared" si="6"/>
        <v>-7.217989148531989E-3</v>
      </c>
      <c r="E243">
        <v>-7.217989148531989E-3</v>
      </c>
      <c r="G243">
        <v>233</v>
      </c>
      <c r="H243">
        <f t="shared" ca="1" si="7"/>
        <v>1.5455301167356907E-2</v>
      </c>
    </row>
    <row r="244" spans="2:8" ht="15.75">
      <c r="B244" s="674" t="s">
        <v>493</v>
      </c>
      <c r="C244" s="544">
        <v>5105.3</v>
      </c>
      <c r="D244">
        <f t="shared" si="6"/>
        <v>2.1478806310587413E-2</v>
      </c>
      <c r="E244">
        <v>2.1478806310587413E-2</v>
      </c>
      <c r="G244">
        <v>234</v>
      </c>
      <c r="H244">
        <f t="shared" ca="1" si="7"/>
        <v>1.1140289521831543E-2</v>
      </c>
    </row>
    <row r="245" spans="2:8" ht="15.75">
      <c r="B245" s="674" t="s">
        <v>488</v>
      </c>
      <c r="C245" s="544">
        <v>4997.95</v>
      </c>
      <c r="D245">
        <f t="shared" si="6"/>
        <v>9.4727381060582365E-3</v>
      </c>
      <c r="E245">
        <v>9.4727381060582365E-3</v>
      </c>
      <c r="G245">
        <v>235</v>
      </c>
      <c r="H245">
        <f t="shared" ca="1" si="7"/>
        <v>-9.0112858793265638E-3</v>
      </c>
    </row>
    <row r="246" spans="2:8" ht="15.75">
      <c r="B246" s="674" t="s">
        <v>8957</v>
      </c>
      <c r="C246" s="544">
        <v>4951.05</v>
      </c>
      <c r="D246">
        <f t="shared" si="6"/>
        <v>2.0140935033894462E-2</v>
      </c>
      <c r="E246">
        <v>2.0140935033894462E-2</v>
      </c>
      <c r="G246">
        <v>236</v>
      </c>
      <c r="H246">
        <f t="shared" ca="1" si="7"/>
        <v>-1.3600364437198788E-2</v>
      </c>
    </row>
    <row r="247" spans="2:8" ht="15.75">
      <c r="B247" s="674" t="s">
        <v>8961</v>
      </c>
      <c r="C247" s="544">
        <v>4853.3</v>
      </c>
      <c r="D247">
        <f t="shared" si="6"/>
        <v>1.0083561401500529E-2</v>
      </c>
      <c r="E247">
        <v>1.0083561401500529E-2</v>
      </c>
      <c r="G247">
        <v>237</v>
      </c>
      <c r="H247">
        <f t="shared" ca="1" si="7"/>
        <v>-2.3716305006711243E-2</v>
      </c>
    </row>
    <row r="248" spans="2:8" ht="15.75">
      <c r="B248" s="674">
        <v>45993</v>
      </c>
      <c r="C248" s="544">
        <v>4804.8500000000004</v>
      </c>
      <c r="D248">
        <f t="shared" si="6"/>
        <v>-3.0791729702470929E-2</v>
      </c>
      <c r="E248">
        <v>-3.0791729702470929E-2</v>
      </c>
      <c r="G248">
        <v>238</v>
      </c>
      <c r="H248">
        <f t="shared" ca="1" si="7"/>
        <v>4.5112734569955808E-3</v>
      </c>
    </row>
    <row r="249" spans="2:8" ht="15.75">
      <c r="B249" s="674">
        <v>45999</v>
      </c>
      <c r="C249" s="544">
        <v>4957.5</v>
      </c>
      <c r="D249">
        <f t="shared" si="6"/>
        <v>-2.2651999053702319E-2</v>
      </c>
      <c r="E249">
        <v>-2.2651999053702319E-2</v>
      </c>
      <c r="G249">
        <v>239</v>
      </c>
      <c r="H249">
        <f t="shared" ca="1" si="7"/>
        <v>2.3893666918334173E-2</v>
      </c>
    </row>
    <row r="250" spans="2:8" ht="15.75">
      <c r="B250" s="674">
        <v>45697</v>
      </c>
      <c r="C250" s="544">
        <v>5072.3999999999996</v>
      </c>
      <c r="D250">
        <f t="shared" si="6"/>
        <v>5.2617497547488073E-3</v>
      </c>
      <c r="E250">
        <v>5.2617497547488073E-3</v>
      </c>
      <c r="G250">
        <v>240</v>
      </c>
      <c r="H250">
        <f t="shared" ca="1" si="7"/>
        <v>2.7242083607824919E-2</v>
      </c>
    </row>
    <row r="251" spans="2:8" ht="15.75">
      <c r="B251" s="674" t="s">
        <v>201</v>
      </c>
      <c r="C251" s="544">
        <v>5045.8500000000004</v>
      </c>
      <c r="D251">
        <f t="shared" si="6"/>
        <v>-8.4888142187637804E-3</v>
      </c>
      <c r="E251">
        <v>-8.4888142187637804E-3</v>
      </c>
      <c r="G251">
        <v>241</v>
      </c>
      <c r="H251">
        <f t="shared" ca="1" si="7"/>
        <v>1.0541521482334585E-2</v>
      </c>
    </row>
    <row r="252" spans="2:8" ht="15.75">
      <c r="B252" s="674" t="s">
        <v>179</v>
      </c>
      <c r="C252" s="544">
        <v>5089.05</v>
      </c>
      <c r="D252">
        <f t="shared" si="6"/>
        <v>2.0463204331261316E-2</v>
      </c>
      <c r="E252">
        <v>2.0463204331261316E-2</v>
      </c>
      <c r="G252">
        <v>242</v>
      </c>
      <c r="H252">
        <f t="shared" ca="1" si="7"/>
        <v>-1.2642649690818323E-2</v>
      </c>
    </row>
    <row r="253" spans="2:8" ht="15.75">
      <c r="B253" s="674" t="s">
        <v>423</v>
      </c>
      <c r="C253" s="544">
        <v>4987</v>
      </c>
      <c r="D253">
        <f t="shared" si="6"/>
        <v>-2.0710976817714115E-3</v>
      </c>
      <c r="E253">
        <v>-2.0710976817714115E-3</v>
      </c>
      <c r="G253">
        <v>243</v>
      </c>
      <c r="H253">
        <f t="shared" ca="1" si="7"/>
        <v>-1.4639031755518023E-2</v>
      </c>
    </row>
    <row r="254" spans="2:8" ht="15.75">
      <c r="B254" s="674" t="s">
        <v>520</v>
      </c>
      <c r="C254" s="544">
        <v>4997.3500000000004</v>
      </c>
      <c r="D254">
        <f t="shared" si="6"/>
        <v>-1.9560333918639178E-2</v>
      </c>
      <c r="E254">
        <v>-1.9560333918639178E-2</v>
      </c>
      <c r="G254">
        <v>244</v>
      </c>
      <c r="H254">
        <f t="shared" ca="1" si="7"/>
        <v>2.0875248179910402E-2</v>
      </c>
    </row>
    <row r="255" spans="2:8" ht="15.75">
      <c r="B255" s="674">
        <v>46000</v>
      </c>
      <c r="C255" s="544">
        <v>5097.05</v>
      </c>
      <c r="D255">
        <f t="shared" si="6"/>
        <v>-3.8501001612351233E-3</v>
      </c>
      <c r="E255">
        <v>-3.8501001612351233E-3</v>
      </c>
      <c r="G255">
        <v>245</v>
      </c>
      <c r="H255">
        <f t="shared" ca="1" si="7"/>
        <v>6.6829684148679404E-3</v>
      </c>
    </row>
    <row r="256" spans="2:8" ht="15.75">
      <c r="B256" s="674" t="s">
        <v>495</v>
      </c>
      <c r="C256" s="544">
        <v>5116.75</v>
      </c>
      <c r="D256">
        <f t="shared" si="6"/>
        <v>-2.7030367567361928E-2</v>
      </c>
      <c r="E256">
        <v>-2.7030367567361928E-2</v>
      </c>
      <c r="G256">
        <v>246</v>
      </c>
      <c r="H256">
        <f t="shared" ca="1" si="7"/>
        <v>2.4783980511570158E-2</v>
      </c>
    </row>
    <row r="257" spans="2:8" ht="15.75">
      <c r="B257" s="674">
        <v>45964</v>
      </c>
      <c r="C257" s="544">
        <v>5258.9</v>
      </c>
      <c r="D257">
        <f t="shared" si="6"/>
        <v>0</v>
      </c>
      <c r="E257">
        <v>0</v>
      </c>
      <c r="G257">
        <v>247</v>
      </c>
      <c r="H257">
        <f t="shared" ca="1" si="7"/>
        <v>2.103560243215799E-2</v>
      </c>
    </row>
    <row r="258" spans="2:8" ht="15.75">
      <c r="B258" s="674" t="s">
        <v>183</v>
      </c>
      <c r="C258" s="544">
        <v>5258.9</v>
      </c>
      <c r="D258">
        <f t="shared" si="6"/>
        <v>4.4311171381094831E-3</v>
      </c>
      <c r="E258">
        <v>4.4311171381094831E-3</v>
      </c>
      <c r="G258">
        <v>248</v>
      </c>
      <c r="H258">
        <f t="shared" ca="1" si="7"/>
        <v>-1.6466033219694639E-2</v>
      </c>
    </row>
    <row r="259" spans="2:8" ht="15.75">
      <c r="B259" s="674" t="s">
        <v>513</v>
      </c>
      <c r="C259" s="544">
        <v>5235.7</v>
      </c>
      <c r="D259">
        <f t="shared" si="6"/>
        <v>1.741093636398319E-3</v>
      </c>
      <c r="E259">
        <v>1.741093636398319E-3</v>
      </c>
      <c r="G259">
        <v>249</v>
      </c>
      <c r="H259">
        <f t="shared" ca="1" si="7"/>
        <v>-4.1185483420763211E-2</v>
      </c>
    </row>
    <row r="260" spans="2:8" ht="15.75">
      <c r="B260" s="674" t="s">
        <v>424</v>
      </c>
      <c r="C260" s="544">
        <v>5226.6000000000004</v>
      </c>
      <c r="D260">
        <f t="shared" si="6"/>
        <v>6.2183547349980136E-3</v>
      </c>
      <c r="E260">
        <v>6.2183547349980136E-3</v>
      </c>
      <c r="G260">
        <v>250</v>
      </c>
      <c r="H260">
        <f t="shared" ca="1" si="7"/>
        <v>-2.9768467189686355E-3</v>
      </c>
    </row>
    <row r="261" spans="2:8" ht="15.75">
      <c r="B261" s="674" t="s">
        <v>501</v>
      </c>
      <c r="C261" s="544">
        <v>5194.3</v>
      </c>
      <c r="D261">
        <f t="shared" si="6"/>
        <v>-4.7878287966272533E-2</v>
      </c>
      <c r="E261">
        <v>-4.7878287966272533E-2</v>
      </c>
      <c r="G261">
        <v>251</v>
      </c>
      <c r="H261">
        <f t="shared" ca="1" si="7"/>
        <v>8.2657994842900706E-3</v>
      </c>
    </row>
    <row r="262" spans="2:8" ht="15.75">
      <c r="B262" s="674" t="s">
        <v>535</v>
      </c>
      <c r="C262" s="544">
        <v>5455.5</v>
      </c>
      <c r="D262">
        <f t="shared" si="6"/>
        <v>3.4218009478672984E-2</v>
      </c>
      <c r="E262">
        <v>3.4218009478672984E-2</v>
      </c>
      <c r="G262">
        <v>252</v>
      </c>
      <c r="H262">
        <f t="shared" ca="1" si="7"/>
        <v>-2.7411217853797104E-2</v>
      </c>
    </row>
    <row r="263" spans="2:8" ht="15.75">
      <c r="B263" s="674" t="s">
        <v>500</v>
      </c>
      <c r="C263" s="544">
        <v>5275</v>
      </c>
      <c r="D263">
        <f t="shared" si="6"/>
        <v>-8.2824032618428772E-2</v>
      </c>
      <c r="E263">
        <v>-8.2824032618428772E-2</v>
      </c>
      <c r="G263">
        <v>253</v>
      </c>
      <c r="H263">
        <f t="shared" ca="1" si="7"/>
        <v>-1.6290766653902718E-2</v>
      </c>
    </row>
    <row r="264" spans="2:8" ht="15.75">
      <c r="B264" s="674" t="s">
        <v>8872</v>
      </c>
      <c r="C264" s="544">
        <v>5751.35</v>
      </c>
      <c r="D264">
        <f t="shared" si="6"/>
        <v>-5.4739768876525092E-4</v>
      </c>
      <c r="E264">
        <v>-5.4739768876525092E-4</v>
      </c>
      <c r="G264">
        <v>254</v>
      </c>
      <c r="H264">
        <f t="shared" ca="1" si="7"/>
        <v>5.0714114696271398E-3</v>
      </c>
    </row>
    <row r="265" spans="2:8" ht="15.75">
      <c r="B265" s="674" t="s">
        <v>486</v>
      </c>
      <c r="C265" s="544">
        <v>5754.5</v>
      </c>
      <c r="D265">
        <f t="shared" si="6"/>
        <v>-6.199825586607665E-2</v>
      </c>
      <c r="E265">
        <v>-6.199825586607665E-2</v>
      </c>
      <c r="G265">
        <v>255</v>
      </c>
      <c r="H265">
        <f t="shared" ca="1" si="7"/>
        <v>-2.0986568561105019E-3</v>
      </c>
    </row>
    <row r="266" spans="2:8" ht="15.75">
      <c r="B266" s="674" t="s">
        <v>425</v>
      </c>
      <c r="C266" s="544">
        <v>6134.85</v>
      </c>
      <c r="D266">
        <f t="shared" si="6"/>
        <v>6.6225798602662617E-2</v>
      </c>
      <c r="E266">
        <v>6.6225798602662617E-2</v>
      </c>
      <c r="G266">
        <v>256</v>
      </c>
      <c r="H266">
        <f t="shared" ca="1" si="7"/>
        <v>-2.4053943366596917E-2</v>
      </c>
    </row>
    <row r="267" spans="2:8" ht="15.75">
      <c r="B267" s="674" t="s">
        <v>541</v>
      </c>
      <c r="C267" s="544">
        <v>5753.8</v>
      </c>
      <c r="D267">
        <f t="shared" si="6"/>
        <v>4.3640716825074435E-2</v>
      </c>
      <c r="E267">
        <v>4.3640716825074435E-2</v>
      </c>
      <c r="G267">
        <v>257</v>
      </c>
      <c r="H267">
        <f t="shared" ca="1" si="7"/>
        <v>2.4696114736948792E-2</v>
      </c>
    </row>
    <row r="268" spans="2:8" ht="15.75">
      <c r="B268" s="674">
        <v>45756</v>
      </c>
      <c r="C268" s="544">
        <v>5513.2</v>
      </c>
      <c r="D268">
        <f t="shared" ref="D268:D331" si="8">(C268-C269)/C269</f>
        <v>-1.9762283641665355E-2</v>
      </c>
      <c r="E268">
        <v>-1.9762283641665355E-2</v>
      </c>
      <c r="G268">
        <v>258</v>
      </c>
      <c r="H268">
        <f t="shared" ref="H268:H331" ca="1" si="9">_xlfn.NORM.INV(RAND(),N$13,N$14)</f>
        <v>-4.5471563218174738E-3</v>
      </c>
    </row>
    <row r="269" spans="2:8" ht="15.75">
      <c r="B269" s="674" t="s">
        <v>184</v>
      </c>
      <c r="C269" s="544">
        <v>5624.35</v>
      </c>
      <c r="D269">
        <f t="shared" si="8"/>
        <v>3.2388626810330723E-2</v>
      </c>
      <c r="E269">
        <v>3.2388626810330723E-2</v>
      </c>
      <c r="G269">
        <v>259</v>
      </c>
      <c r="H269">
        <f t="shared" ca="1" si="9"/>
        <v>2.8446666581426155E-3</v>
      </c>
    </row>
    <row r="270" spans="2:8" ht="15.75">
      <c r="B270" s="674" t="s">
        <v>178</v>
      </c>
      <c r="C270" s="544">
        <v>5447.9</v>
      </c>
      <c r="D270">
        <f t="shared" si="8"/>
        <v>6.5776102581156723E-3</v>
      </c>
      <c r="E270">
        <v>6.5776102581156723E-3</v>
      </c>
      <c r="G270">
        <v>260</v>
      </c>
      <c r="H270">
        <f t="shared" ca="1" si="9"/>
        <v>-2.8251375173199762E-2</v>
      </c>
    </row>
    <row r="271" spans="2:8" ht="15.75">
      <c r="B271" s="674">
        <v>45969</v>
      </c>
      <c r="C271" s="544">
        <v>5412.3</v>
      </c>
      <c r="D271">
        <f t="shared" si="8"/>
        <v>-1.4099131100060046E-2</v>
      </c>
      <c r="E271">
        <v>-1.4099131100060046E-2</v>
      </c>
      <c r="G271">
        <v>261</v>
      </c>
      <c r="H271">
        <f t="shared" ca="1" si="9"/>
        <v>-1.4155735339396535E-4</v>
      </c>
    </row>
    <row r="272" spans="2:8" ht="15.75">
      <c r="B272" s="674" t="s">
        <v>167</v>
      </c>
      <c r="C272" s="544">
        <v>5489.7</v>
      </c>
      <c r="D272">
        <f t="shared" si="8"/>
        <v>-4.2922645094928401E-2</v>
      </c>
      <c r="E272">
        <v>-4.2922645094928401E-2</v>
      </c>
      <c r="G272">
        <v>262</v>
      </c>
      <c r="H272">
        <f t="shared" ca="1" si="9"/>
        <v>5.6653763901437955E-2</v>
      </c>
    </row>
    <row r="273" spans="2:8" ht="15.75">
      <c r="B273" s="674">
        <v>45877</v>
      </c>
      <c r="C273" s="544">
        <v>5735.9</v>
      </c>
      <c r="D273">
        <f t="shared" si="8"/>
        <v>1.9869669194456051E-2</v>
      </c>
      <c r="E273">
        <v>1.9869669194456051E-2</v>
      </c>
      <c r="G273">
        <v>263</v>
      </c>
      <c r="H273">
        <f t="shared" ca="1" si="9"/>
        <v>1.0765692577672988E-2</v>
      </c>
    </row>
    <row r="274" spans="2:8" ht="15.75">
      <c r="B274" s="674">
        <v>45970</v>
      </c>
      <c r="C274" s="544">
        <v>5624.15</v>
      </c>
      <c r="D274">
        <f t="shared" si="8"/>
        <v>-1.9465462533561236E-2</v>
      </c>
      <c r="E274">
        <v>-1.9465462533561236E-2</v>
      </c>
      <c r="G274">
        <v>264</v>
      </c>
      <c r="H274">
        <f t="shared" ca="1" si="9"/>
        <v>2.8758897253303942E-2</v>
      </c>
    </row>
    <row r="275" spans="2:8" ht="15.75">
      <c r="B275" s="674" t="s">
        <v>416</v>
      </c>
      <c r="C275" s="544">
        <v>5735.8</v>
      </c>
      <c r="D275">
        <f t="shared" si="8"/>
        <v>-5.804491521944407E-2</v>
      </c>
      <c r="E275">
        <v>-5.804491521944407E-2</v>
      </c>
      <c r="G275">
        <v>265</v>
      </c>
      <c r="H275">
        <f t="shared" ca="1" si="9"/>
        <v>1.0978025648180295E-2</v>
      </c>
    </row>
    <row r="276" spans="2:8" ht="15.75">
      <c r="B276" s="674">
        <v>45512</v>
      </c>
      <c r="C276" s="544">
        <v>6089.25</v>
      </c>
      <c r="D276">
        <f t="shared" si="8"/>
        <v>-2.0107173892053656E-2</v>
      </c>
      <c r="E276">
        <v>-2.0107173892053656E-2</v>
      </c>
      <c r="G276">
        <v>266</v>
      </c>
      <c r="H276">
        <f t="shared" ca="1" si="9"/>
        <v>-4.1735347662697243E-3</v>
      </c>
    </row>
    <row r="277" spans="2:8" ht="15.75">
      <c r="B277" s="674" t="s">
        <v>499</v>
      </c>
      <c r="C277" s="544">
        <v>6214.2</v>
      </c>
      <c r="D277">
        <f t="shared" si="8"/>
        <v>9.5840212620300694E-4</v>
      </c>
      <c r="E277">
        <v>9.5840212620300694E-4</v>
      </c>
      <c r="G277">
        <v>267</v>
      </c>
      <c r="H277">
        <f t="shared" ca="1" si="9"/>
        <v>-2.0156413274471284E-2</v>
      </c>
    </row>
    <row r="278" spans="2:8" ht="15.75">
      <c r="B278" s="674" t="s">
        <v>176</v>
      </c>
      <c r="C278" s="544">
        <v>6208.25</v>
      </c>
      <c r="D278">
        <f t="shared" si="8"/>
        <v>-2.8670891027145429E-2</v>
      </c>
      <c r="E278">
        <v>-2.8670891027145429E-2</v>
      </c>
      <c r="G278">
        <v>268</v>
      </c>
      <c r="H278">
        <f t="shared" ca="1" si="9"/>
        <v>6.7764326122420364E-3</v>
      </c>
    </row>
    <row r="279" spans="2:8" ht="15.75">
      <c r="B279" s="674" t="s">
        <v>515</v>
      </c>
      <c r="C279" s="544">
        <v>6391.5</v>
      </c>
      <c r="D279">
        <f t="shared" si="8"/>
        <v>3.7067685642660664E-2</v>
      </c>
      <c r="E279">
        <v>3.7067685642660664E-2</v>
      </c>
      <c r="G279">
        <v>269</v>
      </c>
      <c r="H279">
        <f t="shared" ca="1" si="9"/>
        <v>-4.133934213519052E-3</v>
      </c>
    </row>
    <row r="280" spans="2:8" ht="15.75">
      <c r="B280" s="674" t="s">
        <v>354</v>
      </c>
      <c r="C280" s="544">
        <v>6163.05</v>
      </c>
      <c r="D280">
        <f t="shared" si="8"/>
        <v>-1.0317473062161771E-2</v>
      </c>
      <c r="E280">
        <v>-1.0317473062161771E-2</v>
      </c>
      <c r="G280">
        <v>270</v>
      </c>
      <c r="H280">
        <f t="shared" ca="1" si="9"/>
        <v>5.2127124349650392E-3</v>
      </c>
    </row>
    <row r="281" spans="2:8" ht="15.75">
      <c r="B281" s="674">
        <v>45841</v>
      </c>
      <c r="C281" s="544">
        <v>6227.3</v>
      </c>
      <c r="D281">
        <f t="shared" si="8"/>
        <v>-5.3882208160195635E-2</v>
      </c>
      <c r="E281">
        <v>-5.3882208160195635E-2</v>
      </c>
      <c r="G281">
        <v>271</v>
      </c>
      <c r="H281">
        <f t="shared" ca="1" si="9"/>
        <v>-4.7554262881206759E-3</v>
      </c>
    </row>
    <row r="282" spans="2:8" ht="15.75">
      <c r="B282" s="674" t="s">
        <v>8873</v>
      </c>
      <c r="C282" s="544">
        <v>6581.95</v>
      </c>
      <c r="D282">
        <f t="shared" si="8"/>
        <v>-5.5148864160037472E-3</v>
      </c>
      <c r="E282">
        <v>-5.5148864160037472E-3</v>
      </c>
      <c r="G282">
        <v>272</v>
      </c>
      <c r="H282">
        <f t="shared" ca="1" si="9"/>
        <v>3.5733406330491761E-2</v>
      </c>
    </row>
    <row r="283" spans="2:8" ht="15.75">
      <c r="B283" s="674" t="s">
        <v>169</v>
      </c>
      <c r="C283" s="544">
        <v>6618.45</v>
      </c>
      <c r="D283">
        <f t="shared" si="8"/>
        <v>-1.073942872516933E-2</v>
      </c>
      <c r="E283">
        <v>-1.073942872516933E-2</v>
      </c>
      <c r="G283">
        <v>273</v>
      </c>
      <c r="H283">
        <f t="shared" ca="1" si="9"/>
        <v>1.1514019974829179E-3</v>
      </c>
    </row>
    <row r="284" spans="2:8" ht="15.75">
      <c r="B284" s="674" t="s">
        <v>412</v>
      </c>
      <c r="C284" s="544">
        <v>6690.3</v>
      </c>
      <c r="D284">
        <f t="shared" si="8"/>
        <v>-2.712724575932297E-2</v>
      </c>
      <c r="E284">
        <v>-2.712724575932297E-2</v>
      </c>
      <c r="G284">
        <v>274</v>
      </c>
      <c r="H284">
        <f t="shared" ca="1" si="9"/>
        <v>-1.1970716147008528E-2</v>
      </c>
    </row>
    <row r="285" spans="2:8" ht="15.75">
      <c r="B285" s="674" t="s">
        <v>524</v>
      </c>
      <c r="C285" s="544">
        <v>6876.85</v>
      </c>
      <c r="D285">
        <f t="shared" si="8"/>
        <v>-1.7213782458948425E-2</v>
      </c>
      <c r="E285">
        <v>-1.7213782458948425E-2</v>
      </c>
      <c r="G285">
        <v>275</v>
      </c>
      <c r="H285">
        <f t="shared" ca="1" si="9"/>
        <v>1.0946941480857279E-2</v>
      </c>
    </row>
    <row r="286" spans="2:8" ht="15.75">
      <c r="B286" s="674" t="s">
        <v>413</v>
      </c>
      <c r="C286" s="544">
        <v>6997.3</v>
      </c>
      <c r="D286">
        <f t="shared" si="8"/>
        <v>-4.2331590616702733E-2</v>
      </c>
      <c r="E286">
        <v>-4.2331590616702733E-2</v>
      </c>
      <c r="G286">
        <v>276</v>
      </c>
      <c r="H286">
        <f t="shared" ca="1" si="9"/>
        <v>3.4613836834492505E-2</v>
      </c>
    </row>
    <row r="287" spans="2:8" ht="15.75">
      <c r="B287" s="674" t="s">
        <v>534</v>
      </c>
      <c r="C287" s="544">
        <v>7306.6</v>
      </c>
      <c r="D287">
        <f t="shared" si="8"/>
        <v>-1.591910634372922E-3</v>
      </c>
      <c r="E287">
        <v>-1.591910634372922E-3</v>
      </c>
      <c r="G287">
        <v>277</v>
      </c>
      <c r="H287">
        <f t="shared" ca="1" si="9"/>
        <v>-1.9961029258948958E-2</v>
      </c>
    </row>
    <row r="288" spans="2:8" ht="15.75">
      <c r="B288" s="674" t="s">
        <v>540</v>
      </c>
      <c r="C288" s="544">
        <v>7318.25</v>
      </c>
      <c r="D288">
        <f t="shared" si="8"/>
        <v>3.5464655611522955E-2</v>
      </c>
      <c r="E288">
        <v>3.5464655611522955E-2</v>
      </c>
      <c r="G288">
        <v>278</v>
      </c>
      <c r="H288">
        <f t="shared" ca="1" si="9"/>
        <v>-2.9241472703487894E-2</v>
      </c>
    </row>
    <row r="289" spans="2:8" ht="15.75">
      <c r="B289" s="674" t="s">
        <v>485</v>
      </c>
      <c r="C289" s="544">
        <v>7067.6</v>
      </c>
      <c r="D289">
        <f t="shared" si="8"/>
        <v>-6.8225093625063097E-3</v>
      </c>
      <c r="E289">
        <v>-6.8225093625063097E-3</v>
      </c>
      <c r="G289">
        <v>279</v>
      </c>
      <c r="H289">
        <f t="shared" ca="1" si="9"/>
        <v>1.5324881952932239E-3</v>
      </c>
    </row>
    <row r="290" spans="2:8" ht="15.75">
      <c r="B290" s="674">
        <v>45939</v>
      </c>
      <c r="C290" s="544">
        <v>7116.15</v>
      </c>
      <c r="D290">
        <f t="shared" si="8"/>
        <v>2.2273778569478857E-2</v>
      </c>
      <c r="E290">
        <v>2.2273778569478857E-2</v>
      </c>
      <c r="G290">
        <v>280</v>
      </c>
      <c r="H290">
        <f t="shared" ca="1" si="9"/>
        <v>9.2238842367976565E-4</v>
      </c>
    </row>
    <row r="291" spans="2:8" ht="15.75">
      <c r="B291" s="674">
        <v>45814</v>
      </c>
      <c r="C291" s="544">
        <v>6961.1</v>
      </c>
      <c r="D291">
        <f t="shared" si="8"/>
        <v>-2.2152609990447804E-2</v>
      </c>
      <c r="E291">
        <v>-2.2152609990447804E-2</v>
      </c>
      <c r="G291">
        <v>281</v>
      </c>
      <c r="H291">
        <f t="shared" ca="1" si="9"/>
        <v>1.2490863772210722E-2</v>
      </c>
    </row>
    <row r="292" spans="2:8" ht="15.75">
      <c r="B292" s="674" t="s">
        <v>508</v>
      </c>
      <c r="C292" s="544">
        <v>7118.8</v>
      </c>
      <c r="D292">
        <f t="shared" si="8"/>
        <v>7.80757823504853E-3</v>
      </c>
      <c r="E292">
        <v>7.80757823504853E-3</v>
      </c>
      <c r="G292">
        <v>282</v>
      </c>
      <c r="H292">
        <f t="shared" ca="1" si="9"/>
        <v>4.0169638350963197E-2</v>
      </c>
    </row>
    <row r="293" spans="2:8" ht="15.75">
      <c r="B293" s="674">
        <v>45389</v>
      </c>
      <c r="C293" s="544">
        <v>7063.65</v>
      </c>
      <c r="D293">
        <f t="shared" si="8"/>
        <v>7.7539839926953407E-3</v>
      </c>
      <c r="E293">
        <v>7.7539839926953407E-3</v>
      </c>
      <c r="G293">
        <v>283</v>
      </c>
      <c r="H293">
        <f t="shared" ca="1" si="9"/>
        <v>-5.4334582366860435E-3</v>
      </c>
    </row>
    <row r="294" spans="2:8" ht="15.75">
      <c r="B294" s="674">
        <v>45718</v>
      </c>
      <c r="C294" s="544">
        <v>7009.3</v>
      </c>
      <c r="D294">
        <f t="shared" si="8"/>
        <v>8.6920231979162963E-3</v>
      </c>
      <c r="E294">
        <v>8.6920231979162963E-3</v>
      </c>
      <c r="G294">
        <v>284</v>
      </c>
      <c r="H294">
        <f t="shared" ca="1" si="9"/>
        <v>-2.3243423768946076E-2</v>
      </c>
    </row>
    <row r="295" spans="2:8" ht="15.75">
      <c r="B295" s="674" t="s">
        <v>538</v>
      </c>
      <c r="C295" s="544">
        <v>6948.9</v>
      </c>
      <c r="D295">
        <f t="shared" si="8"/>
        <v>1.7557475472250641E-2</v>
      </c>
      <c r="E295">
        <v>1.7557475472250641E-2</v>
      </c>
      <c r="G295">
        <v>285</v>
      </c>
      <c r="H295">
        <f t="shared" ca="1" si="9"/>
        <v>7.1696168715493589E-3</v>
      </c>
    </row>
    <row r="296" spans="2:8" ht="15.75">
      <c r="B296" s="674" t="s">
        <v>417</v>
      </c>
      <c r="C296" s="544">
        <v>6829</v>
      </c>
      <c r="D296">
        <f t="shared" si="8"/>
        <v>-3.7416572109183914E-2</v>
      </c>
      <c r="E296">
        <v>-3.7416572109183914E-2</v>
      </c>
      <c r="G296">
        <v>286</v>
      </c>
      <c r="H296">
        <f t="shared" ca="1" si="9"/>
        <v>2.6186401688041486E-2</v>
      </c>
    </row>
    <row r="297" spans="2:8" ht="15.75">
      <c r="B297" s="674" t="s">
        <v>426</v>
      </c>
      <c r="C297" s="544">
        <v>7094.45</v>
      </c>
      <c r="D297">
        <f t="shared" si="8"/>
        <v>-2.6780066071554341E-3</v>
      </c>
      <c r="E297">
        <v>-2.6780066071554341E-3</v>
      </c>
      <c r="G297">
        <v>287</v>
      </c>
      <c r="H297">
        <f t="shared" ca="1" si="9"/>
        <v>-5.908569560471013E-2</v>
      </c>
    </row>
    <row r="298" spans="2:8" ht="15.75">
      <c r="B298" s="674" t="s">
        <v>204</v>
      </c>
      <c r="C298" s="544">
        <v>7113.5</v>
      </c>
      <c r="D298">
        <f t="shared" si="8"/>
        <v>2.4409562211981567E-2</v>
      </c>
      <c r="E298">
        <v>2.4409562211981567E-2</v>
      </c>
      <c r="G298">
        <v>288</v>
      </c>
      <c r="H298">
        <f t="shared" ca="1" si="9"/>
        <v>-4.9943301690960323E-3</v>
      </c>
    </row>
    <row r="299" spans="2:8" ht="15.75">
      <c r="B299" s="674" t="s">
        <v>509</v>
      </c>
      <c r="C299" s="544">
        <v>6944</v>
      </c>
      <c r="D299">
        <f t="shared" si="8"/>
        <v>-7.6101325520740292E-3</v>
      </c>
      <c r="E299">
        <v>-7.6101325520740292E-3</v>
      </c>
      <c r="G299">
        <v>289</v>
      </c>
      <c r="H299">
        <f t="shared" ca="1" si="9"/>
        <v>-3.0694790797858411E-2</v>
      </c>
    </row>
    <row r="300" spans="2:8" ht="15.75">
      <c r="B300" s="674" t="s">
        <v>427</v>
      </c>
      <c r="C300" s="544">
        <v>6997.25</v>
      </c>
      <c r="D300">
        <f t="shared" si="8"/>
        <v>-1.3574919264951248E-4</v>
      </c>
      <c r="E300">
        <v>-1.3574919264951248E-4</v>
      </c>
      <c r="G300">
        <v>290</v>
      </c>
      <c r="H300">
        <f t="shared" ca="1" si="9"/>
        <v>1.6739515507651945E-2</v>
      </c>
    </row>
    <row r="301" spans="2:8" ht="15.75">
      <c r="B301" s="674">
        <v>45905</v>
      </c>
      <c r="C301" s="544">
        <v>6998.2</v>
      </c>
      <c r="D301">
        <f t="shared" si="8"/>
        <v>-2.1388239320139168E-3</v>
      </c>
      <c r="E301">
        <v>-2.1388239320139168E-3</v>
      </c>
      <c r="G301">
        <v>291</v>
      </c>
      <c r="H301">
        <f t="shared" ca="1" si="9"/>
        <v>-2.2905123177853995E-2</v>
      </c>
    </row>
    <row r="302" spans="2:8" ht="15.75">
      <c r="B302" s="674">
        <v>45846</v>
      </c>
      <c r="C302" s="544">
        <v>7013.2</v>
      </c>
      <c r="D302">
        <f t="shared" si="8"/>
        <v>-5.4667281171340704E-3</v>
      </c>
      <c r="E302">
        <v>-5.4667281171340704E-3</v>
      </c>
      <c r="G302">
        <v>292</v>
      </c>
      <c r="H302">
        <f t="shared" ca="1" si="9"/>
        <v>1.2896186841312635E-2</v>
      </c>
    </row>
    <row r="303" spans="2:8" ht="15.75">
      <c r="B303" s="674" t="s">
        <v>546</v>
      </c>
      <c r="C303" s="544">
        <v>7051.75</v>
      </c>
      <c r="D303">
        <f t="shared" si="8"/>
        <v>2.5477892257018391E-2</v>
      </c>
      <c r="E303">
        <v>2.5477892257018391E-2</v>
      </c>
      <c r="G303">
        <v>293</v>
      </c>
      <c r="H303">
        <f t="shared" ca="1" si="9"/>
        <v>-1.9922398114203401E-2</v>
      </c>
    </row>
    <row r="304" spans="2:8" ht="15.75">
      <c r="B304" s="674" t="s">
        <v>536</v>
      </c>
      <c r="C304" s="544">
        <v>6876.55</v>
      </c>
      <c r="D304">
        <f t="shared" si="8"/>
        <v>-9.9415457267910869E-3</v>
      </c>
      <c r="E304">
        <v>-9.9415457267910869E-3</v>
      </c>
      <c r="G304">
        <v>294</v>
      </c>
      <c r="H304">
        <f t="shared" ca="1" si="9"/>
        <v>9.1413733226081567E-3</v>
      </c>
    </row>
    <row r="305" spans="2:8" ht="15.75">
      <c r="B305" s="674" t="s">
        <v>521</v>
      </c>
      <c r="C305" s="544">
        <v>6945.6</v>
      </c>
      <c r="D305">
        <f t="shared" si="8"/>
        <v>-7.8281241071937718E-3</v>
      </c>
      <c r="E305">
        <v>-7.8281241071937718E-3</v>
      </c>
      <c r="G305">
        <v>295</v>
      </c>
      <c r="H305">
        <f t="shared" ca="1" si="9"/>
        <v>-7.7372097430005891E-3</v>
      </c>
    </row>
    <row r="306" spans="2:8" ht="15.75">
      <c r="B306" s="674">
        <v>45937</v>
      </c>
      <c r="C306" s="544">
        <v>7000.4</v>
      </c>
      <c r="D306">
        <f t="shared" si="8"/>
        <v>3.9006481959501832E-3</v>
      </c>
      <c r="E306">
        <v>3.9006481959501832E-3</v>
      </c>
      <c r="G306">
        <v>296</v>
      </c>
      <c r="H306">
        <f t="shared" ca="1" si="9"/>
        <v>-1.691083766053147E-3</v>
      </c>
    </row>
    <row r="307" spans="2:8" ht="15.75">
      <c r="B307" s="674" t="s">
        <v>539</v>
      </c>
      <c r="C307" s="544">
        <v>6973.2</v>
      </c>
      <c r="D307">
        <f t="shared" si="8"/>
        <v>2.0338883848877703E-2</v>
      </c>
      <c r="E307">
        <v>2.0338883848877703E-2</v>
      </c>
      <c r="G307">
        <v>297</v>
      </c>
      <c r="H307">
        <f t="shared" ca="1" si="9"/>
        <v>-1.7360893463981043E-2</v>
      </c>
    </row>
    <row r="308" spans="2:8" ht="15.75">
      <c r="B308" s="674" t="s">
        <v>8874</v>
      </c>
      <c r="C308" s="544">
        <v>6834.2</v>
      </c>
      <c r="D308">
        <f t="shared" si="8"/>
        <v>-2.4137451816534091E-4</v>
      </c>
      <c r="E308">
        <v>-2.4137451816534091E-4</v>
      </c>
      <c r="G308">
        <v>298</v>
      </c>
      <c r="H308">
        <f t="shared" ca="1" si="9"/>
        <v>-3.8577936488239865E-2</v>
      </c>
    </row>
    <row r="309" spans="2:8" ht="15.75">
      <c r="B309" s="674">
        <v>45298</v>
      </c>
      <c r="C309" s="544">
        <v>6835.85</v>
      </c>
      <c r="D309">
        <f t="shared" si="8"/>
        <v>4.0317842664944377E-3</v>
      </c>
      <c r="E309">
        <v>4.0317842664944377E-3</v>
      </c>
      <c r="G309">
        <v>299</v>
      </c>
      <c r="H309">
        <f t="shared" ca="1" si="9"/>
        <v>-9.8319863528482758E-3</v>
      </c>
    </row>
    <row r="310" spans="2:8" ht="15.75">
      <c r="B310" s="674" t="s">
        <v>173</v>
      </c>
      <c r="C310" s="544">
        <v>6808.4</v>
      </c>
      <c r="D310">
        <f t="shared" si="8"/>
        <v>2.0089039331836543E-3</v>
      </c>
      <c r="E310">
        <v>2.0089039331836543E-3</v>
      </c>
      <c r="G310">
        <v>300</v>
      </c>
      <c r="H310">
        <f t="shared" ca="1" si="9"/>
        <v>1.6388842056753665E-2</v>
      </c>
    </row>
    <row r="311" spans="2:8" ht="15.75">
      <c r="B311" s="674" t="s">
        <v>527</v>
      </c>
      <c r="C311" s="544">
        <v>6794.75</v>
      </c>
      <c r="D311">
        <f t="shared" si="8"/>
        <v>6.6669135893922E-3</v>
      </c>
      <c r="E311">
        <v>6.6669135893922E-3</v>
      </c>
      <c r="G311">
        <v>301</v>
      </c>
      <c r="H311">
        <f t="shared" ca="1" si="9"/>
        <v>-2.194169865830544E-2</v>
      </c>
    </row>
    <row r="312" spans="2:8" ht="15.75">
      <c r="B312" s="674" t="s">
        <v>415</v>
      </c>
      <c r="C312" s="544">
        <v>6749.75</v>
      </c>
      <c r="D312">
        <f t="shared" si="8"/>
        <v>-1.5030462223195068E-2</v>
      </c>
      <c r="E312">
        <v>-1.5030462223195068E-2</v>
      </c>
      <c r="G312">
        <v>302</v>
      </c>
      <c r="H312">
        <f t="shared" ca="1" si="9"/>
        <v>2.3044418023741027E-2</v>
      </c>
    </row>
    <row r="313" spans="2:8" ht="15.75">
      <c r="B313" s="674" t="s">
        <v>202</v>
      </c>
      <c r="C313" s="544">
        <v>6852.75</v>
      </c>
      <c r="D313">
        <f t="shared" si="8"/>
        <v>2.7537448831176564E-2</v>
      </c>
      <c r="E313">
        <v>2.7537448831176564E-2</v>
      </c>
      <c r="G313">
        <v>303</v>
      </c>
      <c r="H313">
        <f t="shared" ca="1" si="9"/>
        <v>-1.3087602436291231E-2</v>
      </c>
    </row>
    <row r="314" spans="2:8" ht="15.75">
      <c r="B314" s="674" t="s">
        <v>519</v>
      </c>
      <c r="C314" s="544">
        <v>6669.1</v>
      </c>
      <c r="D314">
        <f t="shared" si="8"/>
        <v>-1.5085840871330941E-2</v>
      </c>
      <c r="E314">
        <v>-1.5085840871330941E-2</v>
      </c>
      <c r="G314">
        <v>304</v>
      </c>
      <c r="H314">
        <f t="shared" ca="1" si="9"/>
        <v>-1.6740275191990586E-2</v>
      </c>
    </row>
    <row r="315" spans="2:8" ht="15.75">
      <c r="B315" s="674" t="s">
        <v>537</v>
      </c>
      <c r="C315" s="544">
        <v>6771.25</v>
      </c>
      <c r="D315">
        <f t="shared" si="8"/>
        <v>1.7858082360634079E-2</v>
      </c>
      <c r="E315">
        <v>1.7858082360634079E-2</v>
      </c>
      <c r="G315">
        <v>305</v>
      </c>
      <c r="H315">
        <f t="shared" ca="1" si="9"/>
        <v>3.4567596323152976E-2</v>
      </c>
    </row>
    <row r="316" spans="2:8" ht="15.75">
      <c r="B316" s="674" t="s">
        <v>8954</v>
      </c>
      <c r="C316" s="544">
        <v>6652.45</v>
      </c>
      <c r="D316">
        <f t="shared" si="8"/>
        <v>2.9878704843291613E-2</v>
      </c>
      <c r="E316">
        <v>2.9878704843291613E-2</v>
      </c>
      <c r="G316">
        <v>306</v>
      </c>
      <c r="H316">
        <f t="shared" ca="1" si="9"/>
        <v>-4.2808879587501174E-2</v>
      </c>
    </row>
    <row r="317" spans="2:8" ht="15.75">
      <c r="B317" s="674" t="s">
        <v>489</v>
      </c>
      <c r="C317" s="544">
        <v>6459.45</v>
      </c>
      <c r="D317">
        <f t="shared" si="8"/>
        <v>6.6466151352698594E-3</v>
      </c>
      <c r="E317">
        <v>6.6466151352698594E-3</v>
      </c>
      <c r="G317">
        <v>307</v>
      </c>
      <c r="H317">
        <f t="shared" ca="1" si="9"/>
        <v>1.2588792678425545E-2</v>
      </c>
    </row>
    <row r="318" spans="2:8" ht="15.75">
      <c r="B318" s="674">
        <v>45451</v>
      </c>
      <c r="C318" s="544">
        <v>6416.8</v>
      </c>
      <c r="D318">
        <f t="shared" si="8"/>
        <v>1.7635117990357746E-2</v>
      </c>
      <c r="E318">
        <v>1.7635117990357746E-2</v>
      </c>
      <c r="G318">
        <v>308</v>
      </c>
      <c r="H318">
        <f t="shared" ca="1" si="9"/>
        <v>1.8337003901673046E-2</v>
      </c>
    </row>
    <row r="319" spans="2:8" ht="15.75">
      <c r="B319" s="674" t="s">
        <v>525</v>
      </c>
      <c r="C319" s="544">
        <v>6305.6</v>
      </c>
      <c r="D319">
        <f t="shared" si="8"/>
        <v>-2.4014239832836688E-2</v>
      </c>
      <c r="E319">
        <v>-2.4014239832836688E-2</v>
      </c>
      <c r="G319">
        <v>309</v>
      </c>
      <c r="H319">
        <f t="shared" ca="1" si="9"/>
        <v>8.8384635874264456E-3</v>
      </c>
    </row>
    <row r="320" spans="2:8" ht="15.75">
      <c r="B320" s="674">
        <v>45968</v>
      </c>
      <c r="C320" s="544">
        <v>6460.75</v>
      </c>
      <c r="D320">
        <f t="shared" si="8"/>
        <v>-5.8243313944542456E-3</v>
      </c>
      <c r="E320">
        <v>-5.8243313944542456E-3</v>
      </c>
      <c r="G320">
        <v>310</v>
      </c>
      <c r="H320">
        <f t="shared" ca="1" si="9"/>
        <v>2.3001519033538045E-2</v>
      </c>
    </row>
    <row r="321" spans="2:8" ht="15.75">
      <c r="B321" s="674">
        <v>45329</v>
      </c>
      <c r="C321" s="544">
        <v>6498.6</v>
      </c>
      <c r="D321">
        <f t="shared" si="8"/>
        <v>-3.6413255958358563E-3</v>
      </c>
      <c r="E321">
        <v>-3.6413255958358563E-3</v>
      </c>
      <c r="G321">
        <v>311</v>
      </c>
      <c r="H321">
        <f t="shared" ca="1" si="9"/>
        <v>-1.8775352962343863E-2</v>
      </c>
    </row>
    <row r="322" spans="2:8" ht="15.75">
      <c r="B322" s="674">
        <v>45876</v>
      </c>
      <c r="C322" s="544">
        <v>6522.35</v>
      </c>
      <c r="D322">
        <f t="shared" si="8"/>
        <v>6.9161951663823792E-3</v>
      </c>
      <c r="E322">
        <v>6.9161951663823792E-3</v>
      </c>
      <c r="G322">
        <v>312</v>
      </c>
      <c r="H322">
        <f t="shared" ca="1" si="9"/>
        <v>-1.1536058877688923E-2</v>
      </c>
    </row>
    <row r="323" spans="2:8" ht="15.75">
      <c r="B323" s="674">
        <v>45725</v>
      </c>
      <c r="C323" s="544">
        <v>6477.55</v>
      </c>
      <c r="D323">
        <f t="shared" si="8"/>
        <v>2.8247825258746556E-2</v>
      </c>
      <c r="E323">
        <v>2.8247825258746556E-2</v>
      </c>
      <c r="G323">
        <v>313</v>
      </c>
      <c r="H323">
        <f t="shared" ca="1" si="9"/>
        <v>2.6983062919426423E-2</v>
      </c>
    </row>
    <row r="324" spans="2:8" ht="15.75">
      <c r="B324" s="674">
        <v>45603</v>
      </c>
      <c r="C324" s="544">
        <v>6299.6</v>
      </c>
      <c r="D324">
        <f t="shared" si="8"/>
        <v>-3.059960452107802E-2</v>
      </c>
      <c r="E324">
        <v>-3.059960452107802E-2</v>
      </c>
      <c r="G324">
        <v>314</v>
      </c>
      <c r="H324">
        <f t="shared" ca="1" si="9"/>
        <v>1.9015929812009474E-2</v>
      </c>
    </row>
    <row r="325" spans="2:8" ht="15.75">
      <c r="B325" s="674">
        <v>45661</v>
      </c>
      <c r="C325" s="544">
        <v>6498.45</v>
      </c>
      <c r="D325">
        <f t="shared" si="8"/>
        <v>-6.5381379394654202E-2</v>
      </c>
      <c r="E325">
        <v>-6.5381379394654202E-2</v>
      </c>
      <c r="G325">
        <v>315</v>
      </c>
      <c r="H325">
        <f t="shared" ca="1" si="9"/>
        <v>-5.0716935646399522E-2</v>
      </c>
    </row>
    <row r="326" spans="2:8" ht="15.75">
      <c r="B326" s="674" t="s">
        <v>522</v>
      </c>
      <c r="C326" s="544">
        <v>6953.05</v>
      </c>
      <c r="D326">
        <f t="shared" si="8"/>
        <v>-2.2815488703462699E-3</v>
      </c>
      <c r="E326">
        <v>-2.2815488703462699E-3</v>
      </c>
      <c r="G326">
        <v>316</v>
      </c>
      <c r="H326">
        <f t="shared" ca="1" si="9"/>
        <v>1.2466182448827504E-2</v>
      </c>
    </row>
    <row r="327" spans="2:8" ht="15.75">
      <c r="B327" s="674" t="s">
        <v>533</v>
      </c>
      <c r="C327" s="544">
        <v>6968.95</v>
      </c>
      <c r="D327">
        <f t="shared" si="8"/>
        <v>-1.4041764522792224E-2</v>
      </c>
      <c r="E327">
        <v>-1.4041764522792224E-2</v>
      </c>
      <c r="G327">
        <v>317</v>
      </c>
      <c r="H327">
        <f t="shared" ca="1" si="9"/>
        <v>-1.7227672513752686E-2</v>
      </c>
    </row>
    <row r="328" spans="2:8" ht="15.75">
      <c r="B328" s="674" t="s">
        <v>483</v>
      </c>
      <c r="C328" s="544">
        <v>7068.2</v>
      </c>
      <c r="D328">
        <f t="shared" si="8"/>
        <v>-9.6052124566504624E-3</v>
      </c>
      <c r="E328">
        <v>-9.6052124566504624E-3</v>
      </c>
      <c r="G328">
        <v>318</v>
      </c>
      <c r="H328">
        <f t="shared" ca="1" si="9"/>
        <v>2.1657307468434025E-2</v>
      </c>
    </row>
    <row r="329" spans="2:8" ht="15.75">
      <c r="B329" s="674" t="s">
        <v>174</v>
      </c>
      <c r="C329" s="544">
        <v>7136.75</v>
      </c>
      <c r="D329">
        <f t="shared" si="8"/>
        <v>2.0007020007020006E-3</v>
      </c>
      <c r="E329">
        <v>2.0007020007020006E-3</v>
      </c>
      <c r="G329">
        <v>319</v>
      </c>
      <c r="H329">
        <f t="shared" ca="1" si="9"/>
        <v>3.9580478276715889E-2</v>
      </c>
    </row>
    <row r="330" spans="2:8" ht="15.75">
      <c r="B330" s="674" t="s">
        <v>529</v>
      </c>
      <c r="C330" s="544">
        <v>7122.5</v>
      </c>
      <c r="D330">
        <f t="shared" si="8"/>
        <v>-1.79790152904355E-2</v>
      </c>
      <c r="E330">
        <v>-1.79790152904355E-2</v>
      </c>
      <c r="G330">
        <v>320</v>
      </c>
      <c r="H330">
        <f t="shared" ca="1" si="9"/>
        <v>-2.5762075508119184E-2</v>
      </c>
    </row>
    <row r="331" spans="2:8" ht="15.75">
      <c r="B331" s="674">
        <v>45751</v>
      </c>
      <c r="C331" s="544">
        <v>7252.9</v>
      </c>
      <c r="D331">
        <f t="shared" si="8"/>
        <v>-2.1775341061590122E-2</v>
      </c>
      <c r="E331">
        <v>-2.1775341061590122E-2</v>
      </c>
      <c r="G331">
        <v>321</v>
      </c>
      <c r="H331">
        <f t="shared" ca="1" si="9"/>
        <v>6.1818635507627593E-3</v>
      </c>
    </row>
    <row r="332" spans="2:8" ht="15.75">
      <c r="B332" s="674" t="s">
        <v>8955</v>
      </c>
      <c r="C332" s="544">
        <v>7414.35</v>
      </c>
      <c r="D332">
        <f t="shared" ref="D332:D395" si="10">(C332-C333)/C333</f>
        <v>1.5935763662896278E-2</v>
      </c>
      <c r="E332">
        <v>1.5935763662896278E-2</v>
      </c>
      <c r="G332">
        <v>322</v>
      </c>
      <c r="H332">
        <f t="shared" ref="H332:H395" ca="1" si="11">_xlfn.NORM.INV(RAND(),N$13,N$14)</f>
        <v>2.6565299581410257E-2</v>
      </c>
    </row>
    <row r="333" spans="2:8" ht="15.75">
      <c r="B333" s="674" t="s">
        <v>510</v>
      </c>
      <c r="C333" s="544">
        <v>7298.05</v>
      </c>
      <c r="D333">
        <f t="shared" si="10"/>
        <v>-8.2688988843440531E-3</v>
      </c>
      <c r="E333">
        <v>-8.2688988843440531E-3</v>
      </c>
      <c r="G333">
        <v>323</v>
      </c>
      <c r="H333">
        <f t="shared" ca="1" si="11"/>
        <v>6.204279943715741E-3</v>
      </c>
    </row>
    <row r="334" spans="2:8" ht="15.75">
      <c r="B334" s="674">
        <v>45786</v>
      </c>
      <c r="C334" s="544">
        <v>7358.9</v>
      </c>
      <c r="D334">
        <f t="shared" si="10"/>
        <v>-1.8263560927452779E-2</v>
      </c>
      <c r="E334">
        <v>-1.8263560927452779E-2</v>
      </c>
      <c r="G334">
        <v>324</v>
      </c>
      <c r="H334">
        <f t="shared" ca="1" si="11"/>
        <v>1.3661020646491637E-2</v>
      </c>
    </row>
    <row r="335" spans="2:8" ht="15.75">
      <c r="B335" s="674" t="s">
        <v>545</v>
      </c>
      <c r="C335" s="544">
        <v>7495.8</v>
      </c>
      <c r="D335">
        <f t="shared" si="10"/>
        <v>-1.6049867805030976E-3</v>
      </c>
      <c r="E335">
        <v>-1.6049867805030976E-3</v>
      </c>
      <c r="G335">
        <v>325</v>
      </c>
      <c r="H335">
        <f t="shared" ca="1" si="11"/>
        <v>-1.0418816684695013E-2</v>
      </c>
    </row>
    <row r="336" spans="2:8" ht="15.75">
      <c r="B336" s="674" t="s">
        <v>168</v>
      </c>
      <c r="C336" s="544">
        <v>7507.85</v>
      </c>
      <c r="D336">
        <f t="shared" si="10"/>
        <v>1.2669453946534905E-3</v>
      </c>
      <c r="E336">
        <v>1.2669453946534905E-3</v>
      </c>
      <c r="G336">
        <v>326</v>
      </c>
      <c r="H336">
        <f t="shared" ca="1" si="11"/>
        <v>-1.8778289280522543E-2</v>
      </c>
    </row>
    <row r="337" spans="2:8" ht="15.75">
      <c r="B337" s="674" t="s">
        <v>8953</v>
      </c>
      <c r="C337" s="544">
        <v>7498.35</v>
      </c>
      <c r="D337">
        <f t="shared" si="10"/>
        <v>-1.3978289599126755E-2</v>
      </c>
      <c r="E337">
        <v>-1.3978289599126755E-2</v>
      </c>
      <c r="G337">
        <v>327</v>
      </c>
      <c r="H337">
        <f t="shared" ca="1" si="11"/>
        <v>-1.2229901912337139E-2</v>
      </c>
    </row>
    <row r="338" spans="2:8" ht="15.75">
      <c r="B338" s="674">
        <v>45878</v>
      </c>
      <c r="C338" s="544">
        <v>7604.65</v>
      </c>
      <c r="D338">
        <f t="shared" si="10"/>
        <v>-2.131835321673559E-2</v>
      </c>
      <c r="E338">
        <v>-2.131835321673559E-2</v>
      </c>
      <c r="G338">
        <v>328</v>
      </c>
      <c r="H338">
        <f t="shared" ca="1" si="11"/>
        <v>-2.0671447622720114E-2</v>
      </c>
    </row>
    <row r="339" spans="2:8" ht="15.75">
      <c r="B339" s="674">
        <v>45906</v>
      </c>
      <c r="C339" s="544">
        <v>7770.3</v>
      </c>
      <c r="D339">
        <f t="shared" si="10"/>
        <v>6.5611782917620034E-3</v>
      </c>
      <c r="E339">
        <v>6.5611782917620034E-3</v>
      </c>
      <c r="G339">
        <v>329</v>
      </c>
      <c r="H339">
        <f t="shared" ca="1" si="11"/>
        <v>4.5759930713064646E-2</v>
      </c>
    </row>
    <row r="340" spans="2:8" ht="15.75">
      <c r="B340" s="674" t="s">
        <v>484</v>
      </c>
      <c r="C340" s="544">
        <v>7719.65</v>
      </c>
      <c r="D340">
        <f t="shared" si="10"/>
        <v>-1.0491572133564105E-2</v>
      </c>
      <c r="E340">
        <v>-1.0491572133564105E-2</v>
      </c>
      <c r="G340">
        <v>330</v>
      </c>
      <c r="H340">
        <f t="shared" ca="1" si="11"/>
        <v>8.0436517984887844E-3</v>
      </c>
    </row>
    <row r="341" spans="2:8" ht="15.75">
      <c r="B341" s="674" t="s">
        <v>8956</v>
      </c>
      <c r="C341" s="544">
        <v>7801.5</v>
      </c>
      <c r="D341">
        <f t="shared" si="10"/>
        <v>-3.9720834051352724E-2</v>
      </c>
      <c r="E341">
        <v>-3.9720834051352724E-2</v>
      </c>
      <c r="G341">
        <v>331</v>
      </c>
      <c r="H341">
        <f t="shared" ca="1" si="11"/>
        <v>-9.4174104906065599E-3</v>
      </c>
    </row>
    <row r="342" spans="2:8" ht="15.75">
      <c r="B342" s="674" t="s">
        <v>517</v>
      </c>
      <c r="C342" s="544">
        <v>8124.2</v>
      </c>
      <c r="D342">
        <f t="shared" si="10"/>
        <v>-7.9433403547333609E-3</v>
      </c>
      <c r="E342">
        <v>-7.9433403547333609E-3</v>
      </c>
      <c r="G342">
        <v>332</v>
      </c>
      <c r="H342">
        <f t="shared" ca="1" si="11"/>
        <v>-2.9422661705041694E-2</v>
      </c>
    </row>
    <row r="343" spans="2:8" ht="15.75">
      <c r="B343" s="674" t="s">
        <v>514</v>
      </c>
      <c r="C343" s="544">
        <v>8189.25</v>
      </c>
      <c r="D343">
        <f t="shared" si="10"/>
        <v>-6.0262899173432905E-3</v>
      </c>
      <c r="E343">
        <v>-6.0262899173432905E-3</v>
      </c>
      <c r="G343">
        <v>333</v>
      </c>
      <c r="H343">
        <f t="shared" ca="1" si="11"/>
        <v>4.5972381480409424E-3</v>
      </c>
    </row>
    <row r="344" spans="2:8" ht="15.75">
      <c r="B344" s="674">
        <v>45419</v>
      </c>
      <c r="C344" s="544">
        <v>8238.9</v>
      </c>
      <c r="D344">
        <f t="shared" si="10"/>
        <v>2.559346719280986E-2</v>
      </c>
      <c r="E344">
        <v>2.559346719280986E-2</v>
      </c>
      <c r="G344">
        <v>334</v>
      </c>
      <c r="H344">
        <f t="shared" ca="1" si="11"/>
        <v>-4.882575029620341E-2</v>
      </c>
    </row>
    <row r="345" spans="2:8" ht="15.75">
      <c r="B345" s="674">
        <v>45907</v>
      </c>
      <c r="C345" s="544">
        <v>8033.3</v>
      </c>
      <c r="D345">
        <f t="shared" si="10"/>
        <v>-2.2718839909732801E-2</v>
      </c>
      <c r="E345">
        <v>-2.2718839909732801E-2</v>
      </c>
      <c r="G345">
        <v>335</v>
      </c>
      <c r="H345">
        <f t="shared" ca="1" si="11"/>
        <v>3.8549733150505486E-2</v>
      </c>
    </row>
    <row r="346" spans="2:8" ht="15.75">
      <c r="B346" s="674">
        <v>45358</v>
      </c>
      <c r="C346" s="544">
        <v>8220.0499999999993</v>
      </c>
      <c r="D346">
        <f t="shared" si="10"/>
        <v>2.1403364894753731E-2</v>
      </c>
      <c r="E346">
        <v>2.1403364894753731E-2</v>
      </c>
      <c r="G346">
        <v>336</v>
      </c>
      <c r="H346">
        <f t="shared" ca="1" si="11"/>
        <v>4.677096561986744E-2</v>
      </c>
    </row>
    <row r="347" spans="2:8" ht="15.75">
      <c r="B347" s="674">
        <v>45542</v>
      </c>
      <c r="C347" s="544">
        <v>8047.8</v>
      </c>
      <c r="D347">
        <f t="shared" si="10"/>
        <v>8.0321366006886469E-2</v>
      </c>
      <c r="E347">
        <v>8.0321366006886469E-2</v>
      </c>
      <c r="G347">
        <v>337</v>
      </c>
      <c r="H347">
        <f t="shared" ca="1" si="11"/>
        <v>1.0728837020922926E-2</v>
      </c>
    </row>
    <row r="348" spans="2:8" ht="15.75">
      <c r="B348" s="674" t="s">
        <v>523</v>
      </c>
      <c r="C348" s="544">
        <v>7449.45</v>
      </c>
      <c r="D348">
        <f t="shared" si="10"/>
        <v>1.1995408326144718E-2</v>
      </c>
      <c r="E348">
        <v>1.1995408326144718E-2</v>
      </c>
      <c r="G348">
        <v>338</v>
      </c>
      <c r="H348">
        <f t="shared" ca="1" si="11"/>
        <v>2.2587113170149324E-2</v>
      </c>
    </row>
    <row r="349" spans="2:8" ht="15.75">
      <c r="B349" s="674" t="s">
        <v>547</v>
      </c>
      <c r="C349" s="544">
        <v>7361.15</v>
      </c>
      <c r="D349">
        <f t="shared" si="10"/>
        <v>-1.6408447410792455E-2</v>
      </c>
      <c r="E349">
        <v>-1.6408447410792455E-2</v>
      </c>
      <c r="G349">
        <v>339</v>
      </c>
      <c r="H349">
        <f t="shared" ca="1" si="11"/>
        <v>2.2526055184615684E-2</v>
      </c>
    </row>
    <row r="350" spans="2:8" ht="15.75">
      <c r="B350" s="674">
        <v>45572</v>
      </c>
      <c r="C350" s="544">
        <v>7483.95</v>
      </c>
      <c r="D350">
        <f t="shared" si="10"/>
        <v>-1.6867327435023421E-2</v>
      </c>
      <c r="E350">
        <v>-1.6867327435023421E-2</v>
      </c>
      <c r="G350">
        <v>340</v>
      </c>
      <c r="H350">
        <f t="shared" ca="1" si="11"/>
        <v>-1.1565729642904681E-2</v>
      </c>
    </row>
    <row r="351" spans="2:8" ht="15.75">
      <c r="B351" s="674" t="s">
        <v>516</v>
      </c>
      <c r="C351" s="544">
        <v>7612.35</v>
      </c>
      <c r="D351">
        <f t="shared" si="10"/>
        <v>4.6455461486179803E-3</v>
      </c>
      <c r="E351">
        <v>4.6455461486179803E-3</v>
      </c>
      <c r="G351">
        <v>341</v>
      </c>
      <c r="H351">
        <f t="shared" ca="1" si="11"/>
        <v>1.7855025879298199E-3</v>
      </c>
    </row>
    <row r="352" spans="2:8" ht="15.75">
      <c r="B352" s="674">
        <v>45783</v>
      </c>
      <c r="C352" s="544">
        <v>7577.15</v>
      </c>
      <c r="D352">
        <f t="shared" si="10"/>
        <v>-3.1426562699731604E-2</v>
      </c>
      <c r="E352">
        <v>-3.1426562699731604E-2</v>
      </c>
      <c r="G352">
        <v>342</v>
      </c>
      <c r="H352">
        <f t="shared" ca="1" si="11"/>
        <v>2.3473058347477972E-2</v>
      </c>
    </row>
    <row r="353" spans="2:8" ht="15.75">
      <c r="B353" s="674" t="s">
        <v>418</v>
      </c>
      <c r="C353" s="544">
        <v>7823</v>
      </c>
      <c r="D353">
        <f t="shared" si="10"/>
        <v>-3.414099722285941E-3</v>
      </c>
      <c r="E353">
        <v>-3.414099722285941E-3</v>
      </c>
      <c r="G353">
        <v>343</v>
      </c>
      <c r="H353">
        <f t="shared" ca="1" si="11"/>
        <v>1.2733827513384687E-2</v>
      </c>
    </row>
    <row r="354" spans="2:8" ht="15.75">
      <c r="B354" s="674" t="s">
        <v>528</v>
      </c>
      <c r="C354" s="544">
        <v>7849.8</v>
      </c>
      <c r="D354">
        <f t="shared" si="10"/>
        <v>3.1565391084945306E-2</v>
      </c>
      <c r="E354">
        <v>3.1565391084945306E-2</v>
      </c>
      <c r="G354">
        <v>344</v>
      </c>
      <c r="H354">
        <f t="shared" ca="1" si="11"/>
        <v>8.2726685933115478E-3</v>
      </c>
    </row>
    <row r="355" spans="2:8" ht="15.75">
      <c r="B355" s="674">
        <v>45633</v>
      </c>
      <c r="C355" s="544">
        <v>7609.6</v>
      </c>
      <c r="D355">
        <f t="shared" si="10"/>
        <v>-5.9757162651107119E-4</v>
      </c>
      <c r="E355">
        <v>-5.9757162651107119E-4</v>
      </c>
      <c r="G355">
        <v>345</v>
      </c>
      <c r="H355">
        <f t="shared" ca="1" si="11"/>
        <v>-2.9649785856605437E-2</v>
      </c>
    </row>
    <row r="356" spans="2:8" ht="15.75">
      <c r="B356" s="674">
        <v>45843</v>
      </c>
      <c r="C356" s="544">
        <v>7614.15</v>
      </c>
      <c r="D356">
        <f t="shared" si="10"/>
        <v>-1.4294988229586094E-3</v>
      </c>
      <c r="E356">
        <v>-1.4294988229586094E-3</v>
      </c>
      <c r="G356">
        <v>346</v>
      </c>
      <c r="H356">
        <f t="shared" ca="1" si="11"/>
        <v>-9.3689569799075192E-3</v>
      </c>
    </row>
    <row r="357" spans="2:8" ht="15.75">
      <c r="B357" s="674">
        <v>45511</v>
      </c>
      <c r="C357" s="544">
        <v>7625.05</v>
      </c>
      <c r="D357">
        <f t="shared" si="10"/>
        <v>1.9480302432698004E-2</v>
      </c>
      <c r="E357">
        <v>1.9480302432698004E-2</v>
      </c>
      <c r="G357">
        <v>347</v>
      </c>
      <c r="H357">
        <f t="shared" ca="1" si="11"/>
        <v>6.8362883296962688E-3</v>
      </c>
    </row>
    <row r="358" spans="2:8" ht="15.75">
      <c r="B358" s="674">
        <v>45720</v>
      </c>
      <c r="C358" s="544">
        <v>7479.35</v>
      </c>
      <c r="D358">
        <f t="shared" si="10"/>
        <v>2.1280808356660116E-2</v>
      </c>
      <c r="E358">
        <v>2.1280808356660116E-2</v>
      </c>
      <c r="G358">
        <v>348</v>
      </c>
      <c r="H358">
        <f t="shared" ca="1" si="11"/>
        <v>-9.3859802876767508E-3</v>
      </c>
    </row>
    <row r="359" spans="2:8" ht="15.75">
      <c r="B359" s="674">
        <v>45722</v>
      </c>
      <c r="C359" s="544">
        <v>7323.5</v>
      </c>
      <c r="D359">
        <f t="shared" si="10"/>
        <v>-4.8450604267750075E-4</v>
      </c>
      <c r="E359">
        <v>-4.8450604267750075E-4</v>
      </c>
      <c r="G359">
        <v>349</v>
      </c>
      <c r="H359">
        <f t="shared" ca="1" si="11"/>
        <v>-1.9864367744687229E-2</v>
      </c>
    </row>
    <row r="360" spans="2:8" ht="15.75">
      <c r="B360" s="674" t="s">
        <v>419</v>
      </c>
      <c r="C360" s="544">
        <v>7327.05</v>
      </c>
      <c r="D360">
        <f t="shared" si="10"/>
        <v>-1.0352931642286916E-2</v>
      </c>
      <c r="E360">
        <v>-1.0352931642286916E-2</v>
      </c>
      <c r="G360">
        <v>350</v>
      </c>
      <c r="H360">
        <f t="shared" ca="1" si="11"/>
        <v>-2.1187700908481353E-2</v>
      </c>
    </row>
    <row r="361" spans="2:8" ht="15.75">
      <c r="B361" s="674">
        <v>45753</v>
      </c>
      <c r="C361" s="544">
        <v>7403.7</v>
      </c>
      <c r="D361">
        <f t="shared" si="10"/>
        <v>1.0151037616143374E-2</v>
      </c>
      <c r="E361">
        <v>1.0151037616143374E-2</v>
      </c>
      <c r="G361">
        <v>351</v>
      </c>
      <c r="H361">
        <f t="shared" ca="1" si="11"/>
        <v>4.0375328866559396E-3</v>
      </c>
    </row>
    <row r="362" spans="2:8" ht="15.75">
      <c r="B362" s="674">
        <v>45693</v>
      </c>
      <c r="C362" s="544">
        <v>7329.3</v>
      </c>
      <c r="D362">
        <f t="shared" si="10"/>
        <v>1.3993898853787006E-2</v>
      </c>
      <c r="E362">
        <v>1.3993898853787006E-2</v>
      </c>
      <c r="G362">
        <v>352</v>
      </c>
      <c r="H362">
        <f t="shared" ca="1" si="11"/>
        <v>1.6996813454961578E-2</v>
      </c>
    </row>
    <row r="363" spans="2:8" ht="15.75">
      <c r="B363" s="674">
        <v>45694</v>
      </c>
      <c r="C363" s="544">
        <v>7228.15</v>
      </c>
      <c r="D363">
        <f t="shared" si="10"/>
        <v>2.4269656688370674E-3</v>
      </c>
      <c r="E363">
        <v>2.4269656688370674E-3</v>
      </c>
      <c r="G363">
        <v>353</v>
      </c>
      <c r="H363">
        <f t="shared" ca="1" si="11"/>
        <v>-9.7170822947302889E-3</v>
      </c>
    </row>
    <row r="364" spans="2:8" ht="15.75">
      <c r="B364" s="674">
        <v>45932</v>
      </c>
      <c r="C364" s="544">
        <v>7210.65</v>
      </c>
      <c r="D364">
        <f t="shared" si="10"/>
        <v>8.863486911141194E-3</v>
      </c>
      <c r="E364">
        <v>8.863486911141194E-3</v>
      </c>
      <c r="G364">
        <v>354</v>
      </c>
      <c r="H364">
        <f t="shared" ca="1" si="11"/>
        <v>-7.4976354044671437E-3</v>
      </c>
    </row>
    <row r="365" spans="2:8" ht="15.75">
      <c r="B365" s="674">
        <v>45420</v>
      </c>
      <c r="C365" s="544">
        <v>7147.3</v>
      </c>
      <c r="D365">
        <f t="shared" si="10"/>
        <v>2.1874167449556716E-3</v>
      </c>
      <c r="E365">
        <v>2.1874167449556716E-3</v>
      </c>
      <c r="G365">
        <v>355</v>
      </c>
      <c r="H365">
        <f t="shared" ca="1" si="11"/>
        <v>1.5823873245526074E-2</v>
      </c>
    </row>
    <row r="366" spans="2:8" ht="15.75">
      <c r="B366" s="674">
        <v>45936</v>
      </c>
      <c r="C366" s="544">
        <v>7131.7</v>
      </c>
      <c r="D366">
        <f t="shared" si="10"/>
        <v>-1.8225150707979558E-4</v>
      </c>
      <c r="E366">
        <v>-1.8225150707979558E-4</v>
      </c>
      <c r="G366">
        <v>356</v>
      </c>
      <c r="H366">
        <f t="shared" ca="1" si="11"/>
        <v>-1.0356355017623645E-2</v>
      </c>
    </row>
    <row r="367" spans="2:8" ht="15.75">
      <c r="B367" s="674" t="s">
        <v>487</v>
      </c>
      <c r="C367" s="544">
        <v>7133</v>
      </c>
      <c r="D367">
        <f t="shared" si="10"/>
        <v>5.6960776020076745E-3</v>
      </c>
      <c r="E367">
        <v>5.6960776020076745E-3</v>
      </c>
      <c r="G367">
        <v>357</v>
      </c>
      <c r="H367">
        <f t="shared" ca="1" si="11"/>
        <v>-2.0562812160886072E-2</v>
      </c>
    </row>
    <row r="368" spans="2:8" ht="15.75">
      <c r="B368" s="674" t="s">
        <v>526</v>
      </c>
      <c r="C368" s="544">
        <v>7092.6</v>
      </c>
      <c r="D368">
        <f t="shared" si="10"/>
        <v>-1.0118491018966936E-2</v>
      </c>
      <c r="E368">
        <v>-1.0118491018966936E-2</v>
      </c>
      <c r="G368">
        <v>358</v>
      </c>
      <c r="H368">
        <f t="shared" ca="1" si="11"/>
        <v>1.767294959495153E-3</v>
      </c>
    </row>
    <row r="369" spans="2:8" ht="15.75">
      <c r="B369" s="674" t="s">
        <v>518</v>
      </c>
      <c r="C369" s="544">
        <v>7165.1</v>
      </c>
      <c r="D369">
        <f t="shared" si="10"/>
        <v>3.7684570339862355E-3</v>
      </c>
      <c r="E369">
        <v>3.7684570339862355E-3</v>
      </c>
      <c r="G369">
        <v>359</v>
      </c>
      <c r="H369">
        <f t="shared" ca="1" si="11"/>
        <v>-3.1622061845614391E-2</v>
      </c>
    </row>
    <row r="370" spans="2:8" ht="15.75">
      <c r="B370" s="674">
        <v>45779</v>
      </c>
      <c r="C370" s="544">
        <v>7138.2</v>
      </c>
      <c r="D370">
        <f t="shared" si="10"/>
        <v>1.3552944517411496E-2</v>
      </c>
      <c r="E370">
        <v>1.3552944517411496E-2</v>
      </c>
      <c r="G370">
        <v>360</v>
      </c>
      <c r="H370">
        <f t="shared" ca="1" si="11"/>
        <v>-4.4138630007809779E-2</v>
      </c>
    </row>
    <row r="371" spans="2:8" ht="15.75">
      <c r="B371" s="674">
        <v>45909</v>
      </c>
      <c r="C371" s="544">
        <v>7042.75</v>
      </c>
      <c r="D371">
        <f t="shared" si="10"/>
        <v>-1.4689937392885873E-2</v>
      </c>
      <c r="E371">
        <v>-1.4689937392885873E-2</v>
      </c>
      <c r="G371">
        <v>361</v>
      </c>
      <c r="H371">
        <f t="shared" ca="1" si="11"/>
        <v>-7.3508980379027753E-3</v>
      </c>
    </row>
    <row r="372" spans="2:8" ht="15.75">
      <c r="B372" s="674" t="s">
        <v>482</v>
      </c>
      <c r="C372" s="544">
        <v>7147.75</v>
      </c>
      <c r="D372">
        <f t="shared" si="10"/>
        <v>-2.7067941929497272E-3</v>
      </c>
      <c r="E372">
        <v>-2.7067941929497272E-3</v>
      </c>
      <c r="G372">
        <v>362</v>
      </c>
      <c r="H372">
        <f t="shared" ca="1" si="11"/>
        <v>-5.1632416995411369E-5</v>
      </c>
    </row>
    <row r="373" spans="2:8" ht="15.75">
      <c r="B373" s="674">
        <v>45664</v>
      </c>
      <c r="C373" s="544">
        <v>7167.15</v>
      </c>
      <c r="D373">
        <f t="shared" si="10"/>
        <v>-1.1160792137224477E-4</v>
      </c>
      <c r="E373">
        <v>-1.1160792137224477E-4</v>
      </c>
      <c r="G373">
        <v>363</v>
      </c>
      <c r="H373">
        <f t="shared" ca="1" si="11"/>
        <v>3.3279019291927871E-2</v>
      </c>
    </row>
    <row r="374" spans="2:8" ht="15.75">
      <c r="B374" s="674" t="s">
        <v>171</v>
      </c>
      <c r="C374" s="544">
        <v>7167.95</v>
      </c>
      <c r="D374">
        <f t="shared" si="10"/>
        <v>-9.8012128914613857E-3</v>
      </c>
      <c r="E374">
        <v>-9.8012128914613857E-3</v>
      </c>
      <c r="G374">
        <v>364</v>
      </c>
      <c r="H374">
        <f t="shared" ca="1" si="11"/>
        <v>1.753978143154903E-2</v>
      </c>
    </row>
    <row r="375" spans="2:8" ht="15.75">
      <c r="B375" s="674">
        <v>45997</v>
      </c>
      <c r="C375" s="544">
        <v>7238.9</v>
      </c>
      <c r="D375">
        <f t="shared" si="10"/>
        <v>5.3084084957811993E-2</v>
      </c>
      <c r="E375">
        <v>5.3084084957811993E-2</v>
      </c>
      <c r="G375">
        <v>365</v>
      </c>
      <c r="H375">
        <f t="shared" ca="1" si="11"/>
        <v>-3.1000196598170793E-3</v>
      </c>
    </row>
    <row r="376" spans="2:8" ht="15.75">
      <c r="B376" s="674">
        <v>45299</v>
      </c>
      <c r="C376" s="544">
        <v>6874</v>
      </c>
      <c r="D376">
        <f t="shared" si="10"/>
        <v>-7.2929453390136473E-3</v>
      </c>
      <c r="E376">
        <v>-7.2929453390136473E-3</v>
      </c>
      <c r="G376">
        <v>366</v>
      </c>
      <c r="H376">
        <f t="shared" ca="1" si="11"/>
        <v>1.8445208527364003E-3</v>
      </c>
    </row>
    <row r="377" spans="2:8" ht="15.75">
      <c r="B377" s="674">
        <v>45845</v>
      </c>
      <c r="C377" s="544">
        <v>6924.5</v>
      </c>
      <c r="D377">
        <f t="shared" si="10"/>
        <v>-3.6762325450896299E-3</v>
      </c>
      <c r="E377">
        <v>-3.6762325450896299E-3</v>
      </c>
      <c r="G377">
        <v>367</v>
      </c>
      <c r="H377">
        <f t="shared" ca="1" si="11"/>
        <v>-1.899104575160894E-2</v>
      </c>
    </row>
    <row r="378" spans="2:8" ht="15.75">
      <c r="B378" s="674" t="s">
        <v>478</v>
      </c>
      <c r="C378" s="544">
        <v>6950.05</v>
      </c>
      <c r="D378">
        <f t="shared" si="10"/>
        <v>-6.234226762849078E-3</v>
      </c>
      <c r="E378">
        <v>-6.234226762849078E-3</v>
      </c>
      <c r="G378">
        <v>368</v>
      </c>
      <c r="H378">
        <f t="shared" ca="1" si="11"/>
        <v>7.3424030956850588E-3</v>
      </c>
    </row>
    <row r="379" spans="2:8" ht="15.75">
      <c r="B379" s="674">
        <v>45723</v>
      </c>
      <c r="C379" s="544">
        <v>6993.65</v>
      </c>
      <c r="D379">
        <f t="shared" si="10"/>
        <v>2.9818219300118538E-2</v>
      </c>
      <c r="E379">
        <v>2.9818219300118538E-2</v>
      </c>
      <c r="G379">
        <v>369</v>
      </c>
      <c r="H379">
        <f t="shared" ca="1" si="11"/>
        <v>-6.1939882177762029E-2</v>
      </c>
    </row>
    <row r="380" spans="2:8" ht="15.75">
      <c r="B380" s="674" t="s">
        <v>185</v>
      </c>
      <c r="C380" s="544">
        <v>6791.15</v>
      </c>
      <c r="D380">
        <f t="shared" si="10"/>
        <v>-2.6498060489186316E-4</v>
      </c>
      <c r="E380">
        <v>-2.6498060489186316E-4</v>
      </c>
      <c r="G380">
        <v>370</v>
      </c>
      <c r="H380">
        <f t="shared" ca="1" si="11"/>
        <v>3.0894061860213713E-2</v>
      </c>
    </row>
    <row r="381" spans="2:8" ht="15.75">
      <c r="B381" s="674" t="s">
        <v>420</v>
      </c>
      <c r="C381" s="544">
        <v>6792.95</v>
      </c>
      <c r="D381">
        <f t="shared" si="10"/>
        <v>1.6269710660961671E-2</v>
      </c>
      <c r="E381">
        <v>1.6269710660961671E-2</v>
      </c>
      <c r="G381">
        <v>371</v>
      </c>
      <c r="H381">
        <f t="shared" ca="1" si="11"/>
        <v>-4.3389548720274923E-2</v>
      </c>
    </row>
    <row r="382" spans="2:8" ht="15.75">
      <c r="B382" s="674">
        <v>45330</v>
      </c>
      <c r="C382" s="544">
        <v>6684.2</v>
      </c>
      <c r="D382">
        <f t="shared" si="10"/>
        <v>2.6293768568774519E-2</v>
      </c>
      <c r="E382">
        <v>2.6293768568774519E-2</v>
      </c>
      <c r="G382">
        <v>372</v>
      </c>
      <c r="H382">
        <f t="shared" ca="1" si="11"/>
        <v>-2.7555090871591438E-3</v>
      </c>
    </row>
    <row r="383" spans="2:8" ht="15.75">
      <c r="B383" s="674">
        <v>45967</v>
      </c>
      <c r="C383" s="544">
        <v>6512.95</v>
      </c>
      <c r="D383">
        <f t="shared" si="10"/>
        <v>1.1571107953001111E-2</v>
      </c>
      <c r="E383">
        <v>1.1571107953001111E-2</v>
      </c>
      <c r="G383">
        <v>373</v>
      </c>
      <c r="H383">
        <f t="shared" ca="1" si="11"/>
        <v>6.3455642053955362E-3</v>
      </c>
    </row>
    <row r="384" spans="2:8" ht="15.75">
      <c r="B384" s="674" t="s">
        <v>531</v>
      </c>
      <c r="C384" s="544">
        <v>6438.45</v>
      </c>
      <c r="D384">
        <f t="shared" si="10"/>
        <v>9.4858065679411102E-3</v>
      </c>
      <c r="E384">
        <v>9.4858065679411102E-3</v>
      </c>
      <c r="G384">
        <v>374</v>
      </c>
      <c r="H384">
        <f t="shared" ca="1" si="11"/>
        <v>-1.8529317025162133E-2</v>
      </c>
    </row>
    <row r="385" spans="2:8" ht="15.75">
      <c r="B385" s="674" t="s">
        <v>172</v>
      </c>
      <c r="C385" s="544">
        <v>6377.95</v>
      </c>
      <c r="D385">
        <f t="shared" si="10"/>
        <v>-5.7978735906855094E-4</v>
      </c>
      <c r="E385">
        <v>-5.7978735906855094E-4</v>
      </c>
      <c r="G385">
        <v>375</v>
      </c>
      <c r="H385">
        <f t="shared" ca="1" si="11"/>
        <v>-6.9374609230156477E-3</v>
      </c>
    </row>
    <row r="386" spans="2:8" ht="15.75">
      <c r="B386" s="674">
        <v>45607</v>
      </c>
      <c r="C386" s="544">
        <v>6381.65</v>
      </c>
      <c r="D386">
        <f t="shared" si="10"/>
        <v>1.6688174098679287E-2</v>
      </c>
      <c r="E386">
        <v>1.6688174098679287E-2</v>
      </c>
      <c r="G386">
        <v>376</v>
      </c>
      <c r="H386">
        <f t="shared" ca="1" si="11"/>
        <v>8.3384120502433181E-3</v>
      </c>
    </row>
    <row r="387" spans="2:8" ht="15.75">
      <c r="B387" s="674" t="s">
        <v>170</v>
      </c>
      <c r="C387" s="544">
        <v>6276.9</v>
      </c>
      <c r="D387">
        <f t="shared" si="10"/>
        <v>0.11237328985609971</v>
      </c>
      <c r="E387">
        <v>0.11237328985609971</v>
      </c>
      <c r="G387">
        <v>377</v>
      </c>
      <c r="H387">
        <f t="shared" ca="1" si="11"/>
        <v>-3.3727453811502578E-2</v>
      </c>
    </row>
    <row r="388" spans="2:8" ht="15.75">
      <c r="B388" s="674">
        <v>45634</v>
      </c>
      <c r="C388" s="544">
        <v>5642.8</v>
      </c>
      <c r="D388">
        <f t="shared" si="10"/>
        <v>3.0384924402892512E-2</v>
      </c>
      <c r="E388">
        <v>3.0384924402892512E-2</v>
      </c>
      <c r="G388">
        <v>378</v>
      </c>
      <c r="H388">
        <f t="shared" ca="1" si="11"/>
        <v>4.6517514068950576E-3</v>
      </c>
    </row>
    <row r="389" spans="2:8" ht="15.75">
      <c r="B389" s="674" t="s">
        <v>532</v>
      </c>
      <c r="C389" s="544">
        <v>5476.4</v>
      </c>
      <c r="D389">
        <f t="shared" si="10"/>
        <v>4.9621466219453694E-2</v>
      </c>
      <c r="E389">
        <v>4.9621466219453694E-2</v>
      </c>
      <c r="G389">
        <v>379</v>
      </c>
      <c r="H389">
        <f t="shared" ca="1" si="11"/>
        <v>-1.5999764759647907E-2</v>
      </c>
    </row>
    <row r="390" spans="2:8" ht="15.75">
      <c r="B390" s="674" t="s">
        <v>461</v>
      </c>
      <c r="C390" s="544">
        <v>5217.5</v>
      </c>
      <c r="D390">
        <f t="shared" si="10"/>
        <v>-2.3899724054066696E-2</v>
      </c>
      <c r="E390">
        <v>-2.3899724054066696E-2</v>
      </c>
      <c r="G390">
        <v>380</v>
      </c>
      <c r="H390">
        <f t="shared" ca="1" si="11"/>
        <v>4.2927316407310977E-2</v>
      </c>
    </row>
    <row r="391" spans="2:8" ht="15.75">
      <c r="B391" s="674" t="s">
        <v>186</v>
      </c>
      <c r="C391" s="544">
        <v>5345.25</v>
      </c>
      <c r="D391">
        <f t="shared" si="10"/>
        <v>-3.4552203086759839E-2</v>
      </c>
      <c r="E391">
        <v>-3.4552203086759839E-2</v>
      </c>
      <c r="G391">
        <v>381</v>
      </c>
      <c r="H391">
        <f t="shared" ca="1" si="11"/>
        <v>1.1646600139042756E-2</v>
      </c>
    </row>
    <row r="392" spans="2:8" ht="15.75">
      <c r="B392" s="674" t="s">
        <v>530</v>
      </c>
      <c r="C392" s="544">
        <v>5536.55</v>
      </c>
      <c r="D392">
        <f t="shared" si="10"/>
        <v>-4.0376115781263509E-2</v>
      </c>
      <c r="E392">
        <v>-4.0376115781263509E-2</v>
      </c>
      <c r="G392">
        <v>382</v>
      </c>
      <c r="H392">
        <f t="shared" ca="1" si="11"/>
        <v>-7.848748573598666E-3</v>
      </c>
    </row>
    <row r="393" spans="2:8" ht="15.75">
      <c r="B393" s="674">
        <v>45810</v>
      </c>
      <c r="C393" s="544">
        <v>5769.5</v>
      </c>
      <c r="D393">
        <f t="shared" si="10"/>
        <v>-1.1301613414560971E-2</v>
      </c>
      <c r="E393">
        <v>-1.1301613414560971E-2</v>
      </c>
      <c r="G393">
        <v>383</v>
      </c>
      <c r="H393">
        <f t="shared" ca="1" si="11"/>
        <v>4.7201326098153418E-2</v>
      </c>
    </row>
    <row r="394" spans="2:8" ht="15.75">
      <c r="B394" s="674" t="s">
        <v>191</v>
      </c>
      <c r="C394" s="544">
        <v>5835.45</v>
      </c>
      <c r="D394">
        <f t="shared" si="10"/>
        <v>3.8160809115896782E-2</v>
      </c>
      <c r="E394">
        <v>3.8160809115896782E-2</v>
      </c>
      <c r="G394">
        <v>384</v>
      </c>
      <c r="H394">
        <f t="shared" ca="1" si="11"/>
        <v>2.0893807195264683E-2</v>
      </c>
    </row>
    <row r="395" spans="2:8" ht="15.75">
      <c r="B395" s="674" t="s">
        <v>477</v>
      </c>
      <c r="C395" s="544">
        <v>5620.95</v>
      </c>
      <c r="D395">
        <f t="shared" si="10"/>
        <v>1.9534757175894403E-2</v>
      </c>
      <c r="E395">
        <v>1.9534757175894403E-2</v>
      </c>
      <c r="G395">
        <v>385</v>
      </c>
      <c r="H395">
        <f t="shared" ca="1" si="11"/>
        <v>-2.4322427226593168E-2</v>
      </c>
    </row>
    <row r="396" spans="2:8" ht="15.75">
      <c r="B396" s="674" t="s">
        <v>429</v>
      </c>
      <c r="C396" s="544">
        <v>5513.25</v>
      </c>
      <c r="D396">
        <f t="shared" ref="D396:D459" si="12">(C396-C397)/C397</f>
        <v>2.1937385308346841E-2</v>
      </c>
      <c r="E396">
        <v>2.1937385308346841E-2</v>
      </c>
      <c r="G396">
        <v>386</v>
      </c>
      <c r="H396">
        <f t="shared" ref="H396:H459" ca="1" si="13">_xlfn.NORM.INV(RAND(),N$13,N$14)</f>
        <v>3.3469077916694283E-2</v>
      </c>
    </row>
    <row r="397" spans="2:8" ht="15.75">
      <c r="B397" s="674">
        <v>45695</v>
      </c>
      <c r="C397" s="544">
        <v>5394.9</v>
      </c>
      <c r="D397">
        <f t="shared" si="12"/>
        <v>1.5663535214714652E-2</v>
      </c>
      <c r="E397">
        <v>1.5663535214714652E-2</v>
      </c>
      <c r="G397">
        <v>387</v>
      </c>
      <c r="H397">
        <f t="shared" ca="1" si="13"/>
        <v>-5.2187755992767672E-3</v>
      </c>
    </row>
    <row r="398" spans="2:8" ht="15.75">
      <c r="B398" s="674" t="s">
        <v>480</v>
      </c>
      <c r="C398" s="544">
        <v>5311.7</v>
      </c>
      <c r="D398">
        <f t="shared" si="12"/>
        <v>4.9189322133303065E-3</v>
      </c>
      <c r="E398">
        <v>4.9189322133303065E-3</v>
      </c>
      <c r="G398">
        <v>388</v>
      </c>
      <c r="H398">
        <f t="shared" ca="1" si="13"/>
        <v>-2.8023486664227458E-2</v>
      </c>
    </row>
    <row r="399" spans="2:8" ht="15.75">
      <c r="B399" s="674" t="s">
        <v>430</v>
      </c>
      <c r="C399" s="544">
        <v>5285.7</v>
      </c>
      <c r="D399">
        <f t="shared" si="12"/>
        <v>3.760041018629329E-3</v>
      </c>
      <c r="E399">
        <v>3.760041018629329E-3</v>
      </c>
      <c r="G399">
        <v>389</v>
      </c>
      <c r="H399">
        <f t="shared" ca="1" si="13"/>
        <v>4.0759516869266817E-3</v>
      </c>
    </row>
    <row r="400" spans="2:8" ht="15.75">
      <c r="B400" s="674" t="s">
        <v>200</v>
      </c>
      <c r="C400" s="544">
        <v>5265.9</v>
      </c>
      <c r="D400">
        <f t="shared" si="12"/>
        <v>1.0157396483756763E-2</v>
      </c>
      <c r="E400">
        <v>1.0157396483756763E-2</v>
      </c>
      <c r="G400">
        <v>390</v>
      </c>
      <c r="H400">
        <f t="shared" ca="1" si="13"/>
        <v>5.6675786100904721E-2</v>
      </c>
    </row>
    <row r="401" spans="2:8" ht="15.75">
      <c r="B401" s="674" t="s">
        <v>462</v>
      </c>
      <c r="C401" s="544">
        <v>5212.95</v>
      </c>
      <c r="D401">
        <f t="shared" si="12"/>
        <v>9.0882694541230772E-3</v>
      </c>
      <c r="E401">
        <v>9.0882694541230772E-3</v>
      </c>
      <c r="G401">
        <v>391</v>
      </c>
      <c r="H401">
        <f t="shared" ca="1" si="13"/>
        <v>3.1504568337901301E-3</v>
      </c>
    </row>
    <row r="402" spans="2:8" ht="15.75">
      <c r="B402" s="674" t="s">
        <v>428</v>
      </c>
      <c r="C402" s="544">
        <v>5166</v>
      </c>
      <c r="D402">
        <f t="shared" si="12"/>
        <v>-2.7237720429702513E-2</v>
      </c>
      <c r="E402">
        <v>-2.7237720429702513E-2</v>
      </c>
      <c r="G402">
        <v>392</v>
      </c>
      <c r="H402">
        <f t="shared" ca="1" si="13"/>
        <v>8.589533066281959E-3</v>
      </c>
    </row>
    <row r="403" spans="2:8" ht="15.75">
      <c r="B403" s="674">
        <v>45637</v>
      </c>
      <c r="C403" s="544">
        <v>5310.65</v>
      </c>
      <c r="D403">
        <f t="shared" si="12"/>
        <v>-5.9520963386018567E-2</v>
      </c>
      <c r="E403">
        <v>-5.9520963386018567E-2</v>
      </c>
      <c r="G403">
        <v>393</v>
      </c>
      <c r="H403">
        <f t="shared" ca="1" si="13"/>
        <v>5.765788751314044E-3</v>
      </c>
    </row>
    <row r="404" spans="2:8" ht="15.75">
      <c r="B404" s="674">
        <v>45842</v>
      </c>
      <c r="C404" s="544">
        <v>5646.75</v>
      </c>
      <c r="D404">
        <f t="shared" si="12"/>
        <v>-4.6798159801174242E-3</v>
      </c>
      <c r="E404">
        <v>-4.6798159801174242E-3</v>
      </c>
      <c r="G404">
        <v>394</v>
      </c>
      <c r="H404">
        <f t="shared" ca="1" si="13"/>
        <v>3.9816257626389268E-2</v>
      </c>
    </row>
    <row r="405" spans="2:8" ht="15.75">
      <c r="B405" s="674" t="s">
        <v>481</v>
      </c>
      <c r="C405" s="544">
        <v>5673.3</v>
      </c>
      <c r="D405">
        <f t="shared" si="12"/>
        <v>4.4883541816057798E-3</v>
      </c>
      <c r="E405">
        <v>4.4883541816057798E-3</v>
      </c>
      <c r="G405">
        <v>395</v>
      </c>
      <c r="H405">
        <f t="shared" ca="1" si="13"/>
        <v>4.2500704119321376E-3</v>
      </c>
    </row>
    <row r="406" spans="2:8" ht="15.75">
      <c r="B406" s="674" t="s">
        <v>465</v>
      </c>
      <c r="C406" s="544">
        <v>5647.95</v>
      </c>
      <c r="D406">
        <f t="shared" si="12"/>
        <v>1.5427583455246386E-3</v>
      </c>
      <c r="E406">
        <v>1.5427583455246386E-3</v>
      </c>
      <c r="G406">
        <v>396</v>
      </c>
      <c r="H406">
        <f t="shared" ca="1" si="13"/>
        <v>-9.5655431387606273E-3</v>
      </c>
    </row>
    <row r="407" spans="2:8" ht="15.75">
      <c r="B407" s="674" t="s">
        <v>436</v>
      </c>
      <c r="C407" s="544">
        <v>5639.25</v>
      </c>
      <c r="D407">
        <f t="shared" si="12"/>
        <v>1.3187563444936467E-2</v>
      </c>
      <c r="E407">
        <v>1.3187563444936467E-2</v>
      </c>
      <c r="G407">
        <v>397</v>
      </c>
      <c r="H407">
        <f t="shared" ca="1" si="13"/>
        <v>3.4530714225671444E-2</v>
      </c>
    </row>
    <row r="408" spans="2:8" ht="15.75">
      <c r="B408" s="674" t="s">
        <v>463</v>
      </c>
      <c r="C408" s="544">
        <v>5565.85</v>
      </c>
      <c r="D408">
        <f t="shared" si="12"/>
        <v>-4.2133323791461114E-3</v>
      </c>
      <c r="E408">
        <v>-4.2133323791461114E-3</v>
      </c>
      <c r="G408">
        <v>398</v>
      </c>
      <c r="H408">
        <f t="shared" ca="1" si="13"/>
        <v>-8.7251840181726409E-3</v>
      </c>
    </row>
    <row r="409" spans="2:8" ht="15.75">
      <c r="B409" s="674" t="s">
        <v>192</v>
      </c>
      <c r="C409" s="544">
        <v>5589.4</v>
      </c>
      <c r="D409">
        <f t="shared" si="12"/>
        <v>5.3675904886166354E-5</v>
      </c>
      <c r="E409">
        <v>5.3675904886166354E-5</v>
      </c>
      <c r="G409">
        <v>399</v>
      </c>
      <c r="H409">
        <f t="shared" ca="1" si="13"/>
        <v>4.3390897991079855E-3</v>
      </c>
    </row>
    <row r="410" spans="2:8" ht="15.75">
      <c r="B410" s="674">
        <v>45749</v>
      </c>
      <c r="C410" s="544">
        <v>5589.1</v>
      </c>
      <c r="D410">
        <f t="shared" si="12"/>
        <v>-5.2415658844363437E-3</v>
      </c>
      <c r="E410">
        <v>-5.2415658844363437E-3</v>
      </c>
      <c r="G410">
        <v>400</v>
      </c>
      <c r="H410">
        <f t="shared" ca="1" si="13"/>
        <v>2.7129023951431318E-2</v>
      </c>
    </row>
    <row r="411" spans="2:8" ht="15.75">
      <c r="B411" s="674" t="s">
        <v>459</v>
      </c>
      <c r="C411" s="544">
        <v>5618.55</v>
      </c>
      <c r="D411">
        <f t="shared" si="12"/>
        <v>3.9758411807801581E-3</v>
      </c>
      <c r="E411">
        <v>3.9758411807801581E-3</v>
      </c>
      <c r="G411">
        <v>401</v>
      </c>
      <c r="H411">
        <f t="shared" ca="1" si="13"/>
        <v>-1.0601154106624256E-2</v>
      </c>
    </row>
    <row r="412" spans="2:8" ht="15.75">
      <c r="B412" s="674" t="s">
        <v>431</v>
      </c>
      <c r="C412" s="544">
        <v>5596.3</v>
      </c>
      <c r="D412">
        <f t="shared" si="12"/>
        <v>1.8620313068802363E-2</v>
      </c>
      <c r="E412">
        <v>1.8620313068802363E-2</v>
      </c>
      <c r="G412">
        <v>402</v>
      </c>
      <c r="H412">
        <f t="shared" ca="1" si="13"/>
        <v>4.0655742591710196E-2</v>
      </c>
    </row>
    <row r="413" spans="2:8" ht="15.75">
      <c r="B413" s="674" t="s">
        <v>479</v>
      </c>
      <c r="C413" s="544">
        <v>5494</v>
      </c>
      <c r="D413">
        <f t="shared" si="12"/>
        <v>-8.0346664259275981E-3</v>
      </c>
      <c r="E413">
        <v>-8.0346664259275981E-3</v>
      </c>
      <c r="G413">
        <v>403</v>
      </c>
      <c r="H413">
        <f t="shared" ca="1" si="13"/>
        <v>7.6173942955577697E-3</v>
      </c>
    </row>
    <row r="414" spans="2:8" ht="15.75">
      <c r="B414" s="674" t="s">
        <v>433</v>
      </c>
      <c r="C414" s="544">
        <v>5538.5</v>
      </c>
      <c r="D414">
        <f t="shared" si="12"/>
        <v>4.6072082857194019E-3</v>
      </c>
      <c r="E414">
        <v>4.6072082857194019E-3</v>
      </c>
      <c r="G414">
        <v>404</v>
      </c>
      <c r="H414">
        <f t="shared" ca="1" si="13"/>
        <v>2.8394557890141121E-2</v>
      </c>
    </row>
    <row r="415" spans="2:8" ht="15.75">
      <c r="B415" s="674" t="s">
        <v>460</v>
      </c>
      <c r="C415" s="544">
        <v>5513.1</v>
      </c>
      <c r="D415">
        <f t="shared" si="12"/>
        <v>6.3247816444433275E-3</v>
      </c>
      <c r="E415">
        <v>6.3247816444433275E-3</v>
      </c>
      <c r="G415">
        <v>405</v>
      </c>
      <c r="H415">
        <f t="shared" ca="1" si="13"/>
        <v>-5.3461968172143354E-3</v>
      </c>
    </row>
    <row r="416" spans="2:8" ht="15.75">
      <c r="B416" s="674">
        <v>45931</v>
      </c>
      <c r="C416" s="544">
        <v>5478.45</v>
      </c>
      <c r="D416">
        <f t="shared" si="12"/>
        <v>2.7996434770371031E-2</v>
      </c>
      <c r="E416">
        <v>2.7996434770371031E-2</v>
      </c>
      <c r="G416">
        <v>406</v>
      </c>
      <c r="H416">
        <f t="shared" ca="1" si="13"/>
        <v>-2.1844519223271852E-2</v>
      </c>
    </row>
    <row r="417" spans="2:8" ht="15.75">
      <c r="B417" s="674">
        <v>45424</v>
      </c>
      <c r="C417" s="544">
        <v>5329.25</v>
      </c>
      <c r="D417">
        <f t="shared" si="12"/>
        <v>-6.9041984234948063E-3</v>
      </c>
      <c r="E417">
        <v>-6.9041984234948063E-3</v>
      </c>
      <c r="G417">
        <v>407</v>
      </c>
      <c r="H417">
        <f t="shared" ca="1" si="13"/>
        <v>2.4038360679547253E-2</v>
      </c>
    </row>
    <row r="418" spans="2:8" ht="15.75">
      <c r="B418" s="674">
        <v>45515</v>
      </c>
      <c r="C418" s="544">
        <v>5366.3</v>
      </c>
      <c r="D418">
        <f t="shared" si="12"/>
        <v>5.235700169528003E-3</v>
      </c>
      <c r="E418">
        <v>5.235700169528003E-3</v>
      </c>
      <c r="G418">
        <v>408</v>
      </c>
      <c r="H418">
        <f t="shared" ca="1" si="13"/>
        <v>1.0990299418625742E-2</v>
      </c>
    </row>
    <row r="419" spans="2:8" ht="15.75">
      <c r="B419" s="674" t="s">
        <v>190</v>
      </c>
      <c r="C419" s="544">
        <v>5338.35</v>
      </c>
      <c r="D419">
        <f t="shared" si="12"/>
        <v>-1.0738839575264499E-2</v>
      </c>
      <c r="E419">
        <v>-1.0738839575264499E-2</v>
      </c>
      <c r="G419">
        <v>409</v>
      </c>
      <c r="H419">
        <f t="shared" ca="1" si="13"/>
        <v>3.8834004227978836E-2</v>
      </c>
    </row>
    <row r="420" spans="2:8" ht="15.75">
      <c r="B420" s="674">
        <v>45608</v>
      </c>
      <c r="C420" s="544">
        <v>5396.3</v>
      </c>
      <c r="D420">
        <f t="shared" si="12"/>
        <v>2.4558805380723258E-2</v>
      </c>
      <c r="E420">
        <v>2.4558805380723258E-2</v>
      </c>
      <c r="G420">
        <v>410</v>
      </c>
      <c r="H420">
        <f t="shared" ca="1" si="13"/>
        <v>1.9636038599147355E-2</v>
      </c>
    </row>
    <row r="421" spans="2:8" ht="15.75">
      <c r="B421" s="674" t="s">
        <v>471</v>
      </c>
      <c r="C421" s="544">
        <v>5266.95</v>
      </c>
      <c r="D421">
        <f t="shared" si="12"/>
        <v>-1.3143842161473561E-2</v>
      </c>
      <c r="E421">
        <v>-1.3143842161473561E-2</v>
      </c>
      <c r="G421">
        <v>411</v>
      </c>
      <c r="H421">
        <f t="shared" ca="1" si="13"/>
        <v>-2.4234249536325338E-2</v>
      </c>
    </row>
    <row r="422" spans="2:8" ht="15.75">
      <c r="B422" s="674">
        <v>45901</v>
      </c>
      <c r="C422" s="544">
        <v>5337.1</v>
      </c>
      <c r="D422">
        <f t="shared" si="12"/>
        <v>-3.4822387153992693E-3</v>
      </c>
      <c r="E422">
        <v>-3.4822387153992693E-3</v>
      </c>
      <c r="G422">
        <v>412</v>
      </c>
      <c r="H422">
        <f t="shared" ca="1" si="13"/>
        <v>3.8455880668993296E-2</v>
      </c>
    </row>
    <row r="423" spans="2:8" ht="15.75">
      <c r="B423" s="674" t="s">
        <v>469</v>
      </c>
      <c r="C423" s="544">
        <v>5355.75</v>
      </c>
      <c r="D423">
        <f t="shared" si="12"/>
        <v>-4.57243104027438E-4</v>
      </c>
      <c r="E423">
        <v>-4.57243104027438E-4</v>
      </c>
      <c r="G423">
        <v>413</v>
      </c>
      <c r="H423">
        <f t="shared" ca="1" si="13"/>
        <v>-2.0183179636676641E-2</v>
      </c>
    </row>
    <row r="424" spans="2:8" ht="15.75">
      <c r="B424" s="674">
        <v>45363</v>
      </c>
      <c r="C424" s="544">
        <v>5358.2</v>
      </c>
      <c r="D424">
        <f t="shared" si="12"/>
        <v>2.0016942538144438E-2</v>
      </c>
      <c r="E424">
        <v>2.0016942538144438E-2</v>
      </c>
      <c r="G424">
        <v>414</v>
      </c>
      <c r="H424">
        <f t="shared" ca="1" si="13"/>
        <v>2.4103199833863068E-2</v>
      </c>
    </row>
    <row r="425" spans="2:8" ht="15.75">
      <c r="B425" s="674">
        <v>45334</v>
      </c>
      <c r="C425" s="544">
        <v>5253.05</v>
      </c>
      <c r="D425">
        <f t="shared" si="12"/>
        <v>4.6236730466649514E-2</v>
      </c>
      <c r="E425">
        <v>4.6236730466649514E-2</v>
      </c>
      <c r="G425">
        <v>415</v>
      </c>
      <c r="H425">
        <f t="shared" ca="1" si="13"/>
        <v>1.0095368671840618E-2</v>
      </c>
    </row>
    <row r="426" spans="2:8" ht="15.75">
      <c r="B426" s="674">
        <v>45754</v>
      </c>
      <c r="C426" s="544">
        <v>5020.8999999999996</v>
      </c>
      <c r="D426">
        <f t="shared" si="12"/>
        <v>-1.2134473841257935E-3</v>
      </c>
      <c r="E426">
        <v>-1.2134473841257935E-3</v>
      </c>
      <c r="G426">
        <v>416</v>
      </c>
      <c r="H426">
        <f t="shared" ca="1" si="13"/>
        <v>3.8332614188609858E-2</v>
      </c>
    </row>
    <row r="427" spans="2:8" ht="15.75">
      <c r="B427" s="674" t="s">
        <v>432</v>
      </c>
      <c r="C427" s="544">
        <v>5027</v>
      </c>
      <c r="D427">
        <f t="shared" si="12"/>
        <v>2.5552098740245832E-2</v>
      </c>
      <c r="E427">
        <v>2.5552098740245832E-2</v>
      </c>
      <c r="G427">
        <v>417</v>
      </c>
      <c r="H427">
        <f t="shared" ca="1" si="13"/>
        <v>6.9763081859734429E-3</v>
      </c>
    </row>
    <row r="428" spans="2:8" ht="15.75">
      <c r="B428" s="674" t="s">
        <v>475</v>
      </c>
      <c r="C428" s="544">
        <v>4901.75</v>
      </c>
      <c r="D428">
        <f t="shared" si="12"/>
        <v>-1.1903322044831514E-2</v>
      </c>
      <c r="E428">
        <v>-1.1903322044831514E-2</v>
      </c>
      <c r="G428">
        <v>418</v>
      </c>
      <c r="H428">
        <f t="shared" ca="1" si="13"/>
        <v>2.5000376801881694E-2</v>
      </c>
    </row>
    <row r="429" spans="2:8" ht="15.75">
      <c r="B429" s="674">
        <v>45689</v>
      </c>
      <c r="C429" s="544">
        <v>4960.8</v>
      </c>
      <c r="D429">
        <f t="shared" si="12"/>
        <v>-2.0619386246366459E-3</v>
      </c>
      <c r="E429">
        <v>-2.0619386246366459E-3</v>
      </c>
      <c r="G429">
        <v>419</v>
      </c>
      <c r="H429">
        <f t="shared" ca="1" si="13"/>
        <v>1.847726131061098E-2</v>
      </c>
    </row>
    <row r="430" spans="2:8" ht="15.75">
      <c r="B430" s="674">
        <v>45394</v>
      </c>
      <c r="C430" s="544">
        <v>4971.05</v>
      </c>
      <c r="D430">
        <f t="shared" si="12"/>
        <v>2.0152477502898676E-2</v>
      </c>
      <c r="E430">
        <v>2.0152477502898676E-2</v>
      </c>
      <c r="G430">
        <v>420</v>
      </c>
      <c r="H430">
        <f t="shared" ca="1" si="13"/>
        <v>-8.9968313493396304E-3</v>
      </c>
    </row>
    <row r="431" spans="2:8" ht="15.75">
      <c r="B431" s="674" t="s">
        <v>464</v>
      </c>
      <c r="C431" s="544">
        <v>4872.8500000000004</v>
      </c>
      <c r="D431">
        <f t="shared" si="12"/>
        <v>-6.3519575856442979E-3</v>
      </c>
      <c r="E431">
        <v>-6.3519575856442979E-3</v>
      </c>
      <c r="G431">
        <v>421</v>
      </c>
      <c r="H431">
        <f t="shared" ca="1" si="13"/>
        <v>-2.2865637411832972E-2</v>
      </c>
    </row>
    <row r="432" spans="2:8" ht="15.75">
      <c r="B432" s="674" t="s">
        <v>472</v>
      </c>
      <c r="C432" s="544">
        <v>4904</v>
      </c>
      <c r="D432">
        <f t="shared" si="12"/>
        <v>7.9664916394218688E-2</v>
      </c>
      <c r="E432">
        <v>7.9664916394218688E-2</v>
      </c>
      <c r="G432">
        <v>422</v>
      </c>
      <c r="H432">
        <f t="shared" ca="1" si="13"/>
        <v>-9.6781427325742363E-3</v>
      </c>
    </row>
    <row r="433" spans="2:8" ht="15.75">
      <c r="B433" s="674">
        <v>45514</v>
      </c>
      <c r="C433" s="544">
        <v>4542.1499999999996</v>
      </c>
      <c r="D433">
        <f t="shared" si="12"/>
        <v>-2.6094321215305107E-2</v>
      </c>
      <c r="E433">
        <v>-2.6094321215305107E-2</v>
      </c>
      <c r="G433">
        <v>423</v>
      </c>
      <c r="H433">
        <f t="shared" ca="1" si="13"/>
        <v>1.7851556468155394E-2</v>
      </c>
    </row>
    <row r="434" spans="2:8" ht="15.75">
      <c r="B434" s="674">
        <v>45455</v>
      </c>
      <c r="C434" s="544">
        <v>4663.8500000000004</v>
      </c>
      <c r="D434">
        <f t="shared" si="12"/>
        <v>2.4672913622831822E-2</v>
      </c>
      <c r="E434">
        <v>2.4672913622831822E-2</v>
      </c>
      <c r="G434">
        <v>424</v>
      </c>
      <c r="H434">
        <f t="shared" ca="1" si="13"/>
        <v>-1.0112994601534142E-2</v>
      </c>
    </row>
    <row r="435" spans="2:8" ht="15.75">
      <c r="B435" s="674">
        <v>45391</v>
      </c>
      <c r="C435" s="544">
        <v>4551.55</v>
      </c>
      <c r="D435">
        <f t="shared" si="12"/>
        <v>-2.1235189127583164E-2</v>
      </c>
      <c r="E435">
        <v>-2.1235189127583164E-2</v>
      </c>
      <c r="G435">
        <v>425</v>
      </c>
      <c r="H435">
        <f t="shared" ca="1" si="13"/>
        <v>3.7573526096130426E-2</v>
      </c>
    </row>
    <row r="436" spans="2:8" ht="15.75">
      <c r="B436" s="674" t="s">
        <v>473</v>
      </c>
      <c r="C436" s="544">
        <v>4650.3</v>
      </c>
      <c r="D436">
        <f t="shared" si="12"/>
        <v>-3.7490895068340545E-3</v>
      </c>
      <c r="E436">
        <v>-3.7490895068340545E-3</v>
      </c>
      <c r="G436">
        <v>426</v>
      </c>
      <c r="H436">
        <f t="shared" ca="1" si="13"/>
        <v>1.1511051529256779E-2</v>
      </c>
    </row>
    <row r="437" spans="2:8" ht="15.75">
      <c r="B437" s="674" t="s">
        <v>476</v>
      </c>
      <c r="C437" s="544">
        <v>4667.8</v>
      </c>
      <c r="D437">
        <f t="shared" si="12"/>
        <v>1.1232790649812145E-2</v>
      </c>
      <c r="E437">
        <v>1.1232790649812145E-2</v>
      </c>
      <c r="G437">
        <v>427</v>
      </c>
      <c r="H437">
        <f t="shared" ca="1" si="13"/>
        <v>-5.0757581902675045E-3</v>
      </c>
    </row>
    <row r="438" spans="2:8" ht="15.75">
      <c r="B438" s="674" t="s">
        <v>466</v>
      </c>
      <c r="C438" s="544">
        <v>4615.95</v>
      </c>
      <c r="D438">
        <f t="shared" si="12"/>
        <v>-1.3454016969800557E-2</v>
      </c>
      <c r="E438">
        <v>-1.3454016969800557E-2</v>
      </c>
      <c r="G438">
        <v>428</v>
      </c>
      <c r="H438">
        <f t="shared" ca="1" si="13"/>
        <v>-4.3660149200453358E-2</v>
      </c>
    </row>
    <row r="439" spans="2:8" ht="15.75">
      <c r="B439" s="674" t="s">
        <v>435</v>
      </c>
      <c r="C439" s="544">
        <v>4678.8999999999996</v>
      </c>
      <c r="D439">
        <f t="shared" si="12"/>
        <v>-9.4736062155324815E-3</v>
      </c>
      <c r="E439">
        <v>-9.4736062155324815E-3</v>
      </c>
      <c r="G439">
        <v>429</v>
      </c>
      <c r="H439">
        <f t="shared" ca="1" si="13"/>
        <v>-1.7868451057842304E-2</v>
      </c>
    </row>
    <row r="440" spans="2:8" ht="15.75">
      <c r="B440" s="674" t="s">
        <v>434</v>
      </c>
      <c r="C440" s="544">
        <v>4723.6499999999996</v>
      </c>
      <c r="D440">
        <f t="shared" si="12"/>
        <v>5.1816227948842282E-3</v>
      </c>
      <c r="E440">
        <v>5.1816227948842282E-3</v>
      </c>
      <c r="G440">
        <v>430</v>
      </c>
      <c r="H440">
        <f t="shared" ca="1" si="13"/>
        <v>5.529800696425335E-6</v>
      </c>
    </row>
    <row r="441" spans="2:8" ht="15.75">
      <c r="B441" s="674">
        <v>45454</v>
      </c>
      <c r="C441" s="544">
        <v>4699.3</v>
      </c>
      <c r="D441">
        <f t="shared" si="12"/>
        <v>1.1483119706411039E-2</v>
      </c>
      <c r="E441">
        <v>1.1483119706411039E-2</v>
      </c>
      <c r="G441">
        <v>431</v>
      </c>
      <c r="H441">
        <f t="shared" ca="1" si="13"/>
        <v>1.0041849055389689E-3</v>
      </c>
    </row>
    <row r="442" spans="2:8" ht="15.75">
      <c r="B442" s="674" t="s">
        <v>467</v>
      </c>
      <c r="C442" s="544">
        <v>4645.95</v>
      </c>
      <c r="D442">
        <f t="shared" si="12"/>
        <v>-4.5423866813793902E-3</v>
      </c>
      <c r="E442">
        <v>-4.5423866813793902E-3</v>
      </c>
      <c r="G442">
        <v>432</v>
      </c>
      <c r="H442">
        <f t="shared" ca="1" si="13"/>
        <v>6.8840898493997002E-3</v>
      </c>
    </row>
    <row r="443" spans="2:8" ht="15.75">
      <c r="B443" s="674" t="s">
        <v>187</v>
      </c>
      <c r="C443" s="544">
        <v>4667.1499999999996</v>
      </c>
      <c r="D443">
        <f t="shared" si="12"/>
        <v>7.0558534453926186E-3</v>
      </c>
      <c r="E443">
        <v>7.0558534453926186E-3</v>
      </c>
      <c r="G443">
        <v>433</v>
      </c>
      <c r="H443">
        <f t="shared" ca="1" si="13"/>
        <v>2.7110349676483417E-2</v>
      </c>
    </row>
    <row r="444" spans="2:8" ht="15.75">
      <c r="B444" s="674">
        <v>45577</v>
      </c>
      <c r="C444" s="544">
        <v>4634.45</v>
      </c>
      <c r="D444">
        <f t="shared" si="12"/>
        <v>8.936735315888053E-3</v>
      </c>
      <c r="E444">
        <v>8.936735315888053E-3</v>
      </c>
      <c r="G444">
        <v>434</v>
      </c>
      <c r="H444">
        <f t="shared" ca="1" si="13"/>
        <v>1.9671093569472421E-2</v>
      </c>
    </row>
    <row r="445" spans="2:8" ht="15.75">
      <c r="B445" s="674" t="s">
        <v>189</v>
      </c>
      <c r="C445" s="544">
        <v>4593.3999999999996</v>
      </c>
      <c r="D445">
        <f t="shared" si="12"/>
        <v>1.5093589091953607E-2</v>
      </c>
      <c r="E445">
        <v>1.5093589091953607E-2</v>
      </c>
      <c r="G445">
        <v>435</v>
      </c>
      <c r="H445">
        <f t="shared" ca="1" si="13"/>
        <v>-3.7739707109053125E-2</v>
      </c>
    </row>
    <row r="446" spans="2:8" ht="15.75">
      <c r="B446" s="674" t="s">
        <v>199</v>
      </c>
      <c r="C446" s="544">
        <v>4525.1000000000004</v>
      </c>
      <c r="D446">
        <f t="shared" si="12"/>
        <v>-3.1501960611532965E-3</v>
      </c>
      <c r="E446">
        <v>-3.1501960611532965E-3</v>
      </c>
      <c r="G446">
        <v>436</v>
      </c>
      <c r="H446">
        <f t="shared" ca="1" si="13"/>
        <v>-2.3535467762222997E-2</v>
      </c>
    </row>
    <row r="447" spans="2:8" ht="15.75">
      <c r="B447" s="674" t="s">
        <v>468</v>
      </c>
      <c r="C447" s="544">
        <v>4539.3999999999996</v>
      </c>
      <c r="D447">
        <f t="shared" si="12"/>
        <v>1.489000178858868E-2</v>
      </c>
      <c r="E447">
        <v>1.489000178858868E-2</v>
      </c>
      <c r="G447">
        <v>437</v>
      </c>
      <c r="H447">
        <f t="shared" ca="1" si="13"/>
        <v>-1.5486806885845316E-2</v>
      </c>
    </row>
    <row r="448" spans="2:8" ht="15.75">
      <c r="B448" s="674">
        <v>45544</v>
      </c>
      <c r="C448" s="544">
        <v>4472.8</v>
      </c>
      <c r="D448">
        <f t="shared" si="12"/>
        <v>3.9140694020420259E-4</v>
      </c>
      <c r="E448">
        <v>3.9140694020420259E-4</v>
      </c>
      <c r="G448">
        <v>438</v>
      </c>
      <c r="H448">
        <f t="shared" ca="1" si="13"/>
        <v>3.1948217937447204E-2</v>
      </c>
    </row>
    <row r="449" spans="2:8" ht="15.75">
      <c r="B449" s="674">
        <v>45547</v>
      </c>
      <c r="C449" s="544">
        <v>4471.05</v>
      </c>
      <c r="D449">
        <f t="shared" si="12"/>
        <v>1.455671787424279E-2</v>
      </c>
      <c r="E449">
        <v>1.455671787424279E-2</v>
      </c>
      <c r="G449">
        <v>439</v>
      </c>
      <c r="H449">
        <f t="shared" ca="1" si="13"/>
        <v>-1.0412115404666078E-2</v>
      </c>
    </row>
    <row r="450" spans="2:8" ht="15.75">
      <c r="B450" s="674">
        <v>45870</v>
      </c>
      <c r="C450" s="544">
        <v>4406.8999999999996</v>
      </c>
      <c r="D450">
        <f t="shared" si="12"/>
        <v>-2.0580064451605814E-2</v>
      </c>
      <c r="E450">
        <v>-2.0580064451605814E-2</v>
      </c>
      <c r="G450">
        <v>440</v>
      </c>
      <c r="H450">
        <f t="shared" ca="1" si="13"/>
        <v>-1.5647817378691638E-2</v>
      </c>
    </row>
    <row r="451" spans="2:8" ht="15.75">
      <c r="B451" s="674">
        <v>45635</v>
      </c>
      <c r="C451" s="544">
        <v>4499.5</v>
      </c>
      <c r="D451">
        <f t="shared" si="12"/>
        <v>-3.8878089419605664E-4</v>
      </c>
      <c r="E451">
        <v>-3.8878089419605664E-4</v>
      </c>
      <c r="G451">
        <v>441</v>
      </c>
      <c r="H451">
        <f t="shared" ca="1" si="13"/>
        <v>8.2046046026728516E-3</v>
      </c>
    </row>
    <row r="452" spans="2:8" ht="15.75">
      <c r="B452" s="674">
        <v>45638</v>
      </c>
      <c r="C452" s="544">
        <v>4501.25</v>
      </c>
      <c r="D452">
        <f t="shared" si="12"/>
        <v>-1.5305613167262927E-3</v>
      </c>
      <c r="E452">
        <v>-1.5305613167262927E-3</v>
      </c>
      <c r="G452">
        <v>442</v>
      </c>
      <c r="H452">
        <f t="shared" ca="1" si="13"/>
        <v>5.2963465524517063E-2</v>
      </c>
    </row>
    <row r="453" spans="2:8" ht="15.75">
      <c r="B453" s="674">
        <v>45302</v>
      </c>
      <c r="C453" s="544">
        <v>4508.1499999999996</v>
      </c>
      <c r="D453">
        <f t="shared" si="12"/>
        <v>-3.2942372956302817E-3</v>
      </c>
      <c r="E453">
        <v>-3.2942372956302817E-3</v>
      </c>
      <c r="G453">
        <v>443</v>
      </c>
      <c r="H453">
        <f t="shared" ca="1" si="13"/>
        <v>-1.8550083346809243E-2</v>
      </c>
    </row>
    <row r="454" spans="2:8" ht="15.75">
      <c r="B454" s="674">
        <v>45421</v>
      </c>
      <c r="C454" s="544">
        <v>4523.05</v>
      </c>
      <c r="D454">
        <f t="shared" si="12"/>
        <v>-2.6411236075983387E-2</v>
      </c>
      <c r="E454">
        <v>-2.6411236075983387E-2</v>
      </c>
      <c r="G454">
        <v>444</v>
      </c>
      <c r="H454">
        <f t="shared" ca="1" si="13"/>
        <v>-6.0137914051068145E-3</v>
      </c>
    </row>
    <row r="455" spans="2:8" ht="15.75">
      <c r="B455" s="674">
        <v>45605</v>
      </c>
      <c r="C455" s="544">
        <v>4645.75</v>
      </c>
      <c r="D455">
        <f t="shared" si="12"/>
        <v>5.3613344370485358E-2</v>
      </c>
      <c r="E455">
        <v>5.3613344370485358E-2</v>
      </c>
      <c r="G455">
        <v>445</v>
      </c>
      <c r="H455">
        <f t="shared" ca="1" si="13"/>
        <v>1.2607799249787277E-2</v>
      </c>
    </row>
    <row r="456" spans="2:8" ht="15.75">
      <c r="B456" s="674">
        <v>45839</v>
      </c>
      <c r="C456" s="544">
        <v>4409.3500000000004</v>
      </c>
      <c r="D456">
        <f t="shared" si="12"/>
        <v>1.3305909524411529E-2</v>
      </c>
      <c r="E456">
        <v>1.3305909524411529E-2</v>
      </c>
      <c r="G456">
        <v>446</v>
      </c>
      <c r="H456">
        <f t="shared" ca="1" si="13"/>
        <v>-1.4868847097909374E-2</v>
      </c>
    </row>
    <row r="457" spans="2:8" ht="15.75">
      <c r="B457" s="674" t="s">
        <v>438</v>
      </c>
      <c r="C457" s="544">
        <v>4351.45</v>
      </c>
      <c r="D457">
        <f t="shared" si="12"/>
        <v>1.0848481328764694E-2</v>
      </c>
      <c r="E457">
        <v>1.0848481328764694E-2</v>
      </c>
      <c r="G457">
        <v>447</v>
      </c>
      <c r="H457">
        <f t="shared" ca="1" si="13"/>
        <v>6.7762690346855504E-4</v>
      </c>
    </row>
    <row r="458" spans="2:8" ht="15.75">
      <c r="B458" s="674" t="s">
        <v>470</v>
      </c>
      <c r="C458" s="544">
        <v>4304.75</v>
      </c>
      <c r="D458">
        <f t="shared" si="12"/>
        <v>-4.3828202696763923E-3</v>
      </c>
      <c r="E458">
        <v>-4.3828202696763923E-3</v>
      </c>
      <c r="G458">
        <v>448</v>
      </c>
      <c r="H458">
        <f t="shared" ca="1" si="13"/>
        <v>9.4929660463052585E-3</v>
      </c>
    </row>
    <row r="459" spans="2:8" ht="15.75">
      <c r="B459" s="674">
        <v>45574</v>
      </c>
      <c r="C459" s="544">
        <v>4323.7</v>
      </c>
      <c r="D459">
        <f t="shared" si="12"/>
        <v>2.4342861204231275E-2</v>
      </c>
      <c r="E459">
        <v>2.4342861204231275E-2</v>
      </c>
      <c r="G459">
        <v>449</v>
      </c>
      <c r="H459">
        <f t="shared" ca="1" si="13"/>
        <v>-1.9506582233035117E-2</v>
      </c>
    </row>
    <row r="460" spans="2:8" ht="15.75">
      <c r="B460" s="674">
        <v>45658</v>
      </c>
      <c r="C460" s="544">
        <v>4220.95</v>
      </c>
      <c r="D460">
        <f t="shared" ref="D460:D504" si="14">(C460-C461)/C461</f>
        <v>1.538369016117388E-2</v>
      </c>
      <c r="E460">
        <v>1.538369016117388E-2</v>
      </c>
      <c r="G460">
        <v>450</v>
      </c>
      <c r="H460">
        <f t="shared" ref="H460:H523" ca="1" si="15">_xlfn.NORM.INV(RAND(),N$13,N$14)</f>
        <v>4.5360810528464982E-2</v>
      </c>
    </row>
    <row r="461" spans="2:8" ht="15.75">
      <c r="B461" s="674" t="s">
        <v>198</v>
      </c>
      <c r="C461" s="544">
        <v>4157</v>
      </c>
      <c r="D461">
        <f t="shared" si="14"/>
        <v>-2.698974389731902E-3</v>
      </c>
      <c r="E461">
        <v>-2.698974389731902E-3</v>
      </c>
      <c r="G461">
        <v>451</v>
      </c>
      <c r="H461">
        <f t="shared" ca="1" si="15"/>
        <v>8.4540162088903303E-3</v>
      </c>
    </row>
    <row r="462" spans="2:8" ht="15.75">
      <c r="B462" s="674">
        <v>45423</v>
      </c>
      <c r="C462" s="544">
        <v>4168.25</v>
      </c>
      <c r="D462">
        <f t="shared" si="14"/>
        <v>3.7808093821868052E-3</v>
      </c>
      <c r="E462">
        <v>3.7808093821868052E-3</v>
      </c>
      <c r="G462">
        <v>452</v>
      </c>
      <c r="H462">
        <f t="shared" ca="1" si="15"/>
        <v>4.7768461870152462E-2</v>
      </c>
    </row>
    <row r="463" spans="2:8" ht="15.75">
      <c r="B463" s="674" t="s">
        <v>196</v>
      </c>
      <c r="C463" s="544">
        <v>4152.55</v>
      </c>
      <c r="D463">
        <f t="shared" si="14"/>
        <v>1.4499657969315051E-2</v>
      </c>
      <c r="E463">
        <v>1.4499657969315051E-2</v>
      </c>
      <c r="G463">
        <v>453</v>
      </c>
      <c r="H463">
        <f t="shared" ca="1" si="15"/>
        <v>-1.0246153311919073E-2</v>
      </c>
    </row>
    <row r="464" spans="2:8" ht="15.75">
      <c r="B464" s="674" t="s">
        <v>456</v>
      </c>
      <c r="C464" s="544">
        <v>4093.2</v>
      </c>
      <c r="D464">
        <f t="shared" si="14"/>
        <v>2.621187619871378E-2</v>
      </c>
      <c r="E464">
        <v>2.621187619871378E-2</v>
      </c>
      <c r="G464">
        <v>454</v>
      </c>
      <c r="H464">
        <f t="shared" ca="1" si="15"/>
        <v>-1.0193336497895038E-2</v>
      </c>
    </row>
    <row r="465" spans="2:8" ht="15.75">
      <c r="B465" s="674">
        <v>45331</v>
      </c>
      <c r="C465" s="544">
        <v>3988.65</v>
      </c>
      <c r="D465">
        <f t="shared" si="14"/>
        <v>6.6120708147737574E-3</v>
      </c>
      <c r="E465">
        <v>6.6120708147737574E-3</v>
      </c>
      <c r="G465">
        <v>455</v>
      </c>
      <c r="H465">
        <f t="shared" ca="1" si="15"/>
        <v>3.3143228268030046E-2</v>
      </c>
    </row>
    <row r="466" spans="2:8" ht="15.75">
      <c r="B466" s="674" t="s">
        <v>197</v>
      </c>
      <c r="C466" s="544">
        <v>3962.45</v>
      </c>
      <c r="D466">
        <f t="shared" si="14"/>
        <v>-2.2763425611936661E-2</v>
      </c>
      <c r="E466">
        <v>-2.2763425611936661E-2</v>
      </c>
      <c r="G466">
        <v>456</v>
      </c>
      <c r="H466">
        <f t="shared" ca="1" si="15"/>
        <v>-3.161632604482256E-4</v>
      </c>
    </row>
    <row r="467" spans="2:8" ht="15.75">
      <c r="B467" s="674">
        <v>45393</v>
      </c>
      <c r="C467" s="544">
        <v>4054.75</v>
      </c>
      <c r="D467">
        <f t="shared" si="14"/>
        <v>7.4413635460146635E-3</v>
      </c>
      <c r="E467">
        <v>7.4413635460146635E-3</v>
      </c>
      <c r="G467">
        <v>457</v>
      </c>
      <c r="H467">
        <f t="shared" ca="1" si="15"/>
        <v>9.8840731606905131E-3</v>
      </c>
    </row>
    <row r="468" spans="2:8" ht="15.75">
      <c r="B468" s="674">
        <v>45452</v>
      </c>
      <c r="C468" s="544">
        <v>4024.8</v>
      </c>
      <c r="D468">
        <f t="shared" si="14"/>
        <v>3.2317636195752536E-2</v>
      </c>
      <c r="E468">
        <v>3.2317636195752536E-2</v>
      </c>
      <c r="G468">
        <v>458</v>
      </c>
      <c r="H468">
        <f t="shared" ca="1" si="15"/>
        <v>-4.3089287093597745E-2</v>
      </c>
    </row>
    <row r="469" spans="2:8" ht="15.75">
      <c r="B469" s="674">
        <v>45360</v>
      </c>
      <c r="C469" s="544">
        <v>3898.8</v>
      </c>
      <c r="D469">
        <f t="shared" si="14"/>
        <v>-8.2795986111640352E-3</v>
      </c>
      <c r="E469">
        <v>-8.2795986111640352E-3</v>
      </c>
      <c r="G469">
        <v>459</v>
      </c>
      <c r="H469">
        <f t="shared" ca="1" si="15"/>
        <v>-4.954081530123969E-3</v>
      </c>
    </row>
    <row r="470" spans="2:8" ht="15.75">
      <c r="B470" s="674" t="s">
        <v>439</v>
      </c>
      <c r="C470" s="544">
        <v>3931.35</v>
      </c>
      <c r="D470">
        <f t="shared" si="14"/>
        <v>-1.726699084595605E-3</v>
      </c>
      <c r="E470">
        <v>-1.726699084595605E-3</v>
      </c>
      <c r="G470">
        <v>460</v>
      </c>
      <c r="H470">
        <f t="shared" ca="1" si="15"/>
        <v>5.6174029571447605E-2</v>
      </c>
    </row>
    <row r="471" spans="2:8" ht="15.75">
      <c r="B471" s="674">
        <v>45483</v>
      </c>
      <c r="C471" s="544">
        <v>3938.15</v>
      </c>
      <c r="D471">
        <f t="shared" si="14"/>
        <v>-1.5770071852546058E-2</v>
      </c>
      <c r="E471">
        <v>-1.5770071852546058E-2</v>
      </c>
      <c r="G471">
        <v>461</v>
      </c>
      <c r="H471">
        <f t="shared" ca="1" si="15"/>
        <v>-1.8900714373435684E-2</v>
      </c>
    </row>
    <row r="472" spans="2:8" ht="15.75">
      <c r="B472" s="674" t="s">
        <v>474</v>
      </c>
      <c r="C472" s="544">
        <v>4001.25</v>
      </c>
      <c r="D472">
        <f t="shared" si="14"/>
        <v>1.8959458082917342E-2</v>
      </c>
      <c r="E472">
        <v>1.8959458082917342E-2</v>
      </c>
      <c r="G472">
        <v>462</v>
      </c>
      <c r="H472">
        <f t="shared" ca="1" si="15"/>
        <v>8.5256863133934355E-3</v>
      </c>
    </row>
    <row r="473" spans="2:8" ht="15.75">
      <c r="B473" s="674" t="s">
        <v>437</v>
      </c>
      <c r="C473" s="544">
        <v>3926.8</v>
      </c>
      <c r="D473">
        <f t="shared" si="14"/>
        <v>9.5769433482022336E-3</v>
      </c>
      <c r="E473">
        <v>9.5769433482022336E-3</v>
      </c>
      <c r="G473">
        <v>463</v>
      </c>
      <c r="H473">
        <f t="shared" ca="1" si="15"/>
        <v>1.1087093876090489E-2</v>
      </c>
    </row>
    <row r="474" spans="2:8" ht="15.75">
      <c r="B474" s="674">
        <v>45717</v>
      </c>
      <c r="C474" s="544">
        <v>3889.55</v>
      </c>
      <c r="D474">
        <f t="shared" si="14"/>
        <v>9.7793218812331764E-4</v>
      </c>
      <c r="E474">
        <v>9.7793218812331764E-4</v>
      </c>
      <c r="G474">
        <v>464</v>
      </c>
      <c r="H474">
        <f t="shared" ca="1" si="15"/>
        <v>-5.215757773615904E-2</v>
      </c>
    </row>
    <row r="475" spans="2:8" ht="15.75">
      <c r="B475" s="674" t="s">
        <v>441</v>
      </c>
      <c r="C475" s="544">
        <v>3885.75</v>
      </c>
      <c r="D475">
        <f t="shared" si="14"/>
        <v>-1.587964897618048E-2</v>
      </c>
      <c r="E475">
        <v>-1.587964897618048E-2</v>
      </c>
      <c r="G475">
        <v>465</v>
      </c>
      <c r="H475">
        <f t="shared" ca="1" si="15"/>
        <v>4.6197712285358282E-3</v>
      </c>
    </row>
    <row r="476" spans="2:8" ht="15.75">
      <c r="B476" s="674" t="s">
        <v>442</v>
      </c>
      <c r="C476" s="544">
        <v>3948.45</v>
      </c>
      <c r="D476">
        <f t="shared" si="14"/>
        <v>1.93757422419579E-2</v>
      </c>
      <c r="E476">
        <v>1.93757422419579E-2</v>
      </c>
      <c r="G476">
        <v>466</v>
      </c>
      <c r="H476">
        <f t="shared" ca="1" si="15"/>
        <v>1.2567405459852453E-2</v>
      </c>
    </row>
    <row r="477" spans="2:8" ht="15.75">
      <c r="B477" s="674" t="s">
        <v>188</v>
      </c>
      <c r="C477" s="544">
        <v>3873.4</v>
      </c>
      <c r="D477">
        <f t="shared" si="14"/>
        <v>-2.2539056965856547E-3</v>
      </c>
      <c r="E477">
        <v>-2.2539056965856547E-3</v>
      </c>
      <c r="G477">
        <v>467</v>
      </c>
      <c r="H477">
        <f t="shared" ca="1" si="15"/>
        <v>-1.4277190082070115E-2</v>
      </c>
    </row>
    <row r="478" spans="2:8" ht="15.75">
      <c r="B478" s="674" t="s">
        <v>445</v>
      </c>
      <c r="C478" s="544">
        <v>3882.15</v>
      </c>
      <c r="D478">
        <f t="shared" si="14"/>
        <v>-1.6791399156631016E-2</v>
      </c>
      <c r="E478">
        <v>-1.6791399156631016E-2</v>
      </c>
      <c r="G478">
        <v>468</v>
      </c>
      <c r="H478">
        <f t="shared" ca="1" si="15"/>
        <v>-1.5271116489628155E-2</v>
      </c>
    </row>
    <row r="479" spans="2:8" ht="15.75">
      <c r="B479" s="674" t="s">
        <v>458</v>
      </c>
      <c r="C479" s="544">
        <v>3948.45</v>
      </c>
      <c r="D479">
        <f t="shared" si="14"/>
        <v>-1.2245459548706728E-2</v>
      </c>
      <c r="E479">
        <v>-1.2245459548706728E-2</v>
      </c>
      <c r="G479">
        <v>469</v>
      </c>
      <c r="H479">
        <f t="shared" ca="1" si="15"/>
        <v>-1.6071854452657391E-2</v>
      </c>
    </row>
    <row r="480" spans="2:8" ht="15.75">
      <c r="B480" s="674" t="s">
        <v>455</v>
      </c>
      <c r="C480" s="544">
        <v>3997.4</v>
      </c>
      <c r="D480">
        <f t="shared" si="14"/>
        <v>8.3368017455573255E-3</v>
      </c>
      <c r="E480">
        <v>8.3368017455573255E-3</v>
      </c>
      <c r="G480">
        <v>470</v>
      </c>
      <c r="H480">
        <f t="shared" ca="1" si="15"/>
        <v>-4.6127387134908125E-2</v>
      </c>
    </row>
    <row r="481" spans="2:8" ht="15.75">
      <c r="B481" s="674">
        <v>45484</v>
      </c>
      <c r="C481" s="544">
        <v>3964.35</v>
      </c>
      <c r="D481">
        <f t="shared" si="14"/>
        <v>1.7308907138344684E-3</v>
      </c>
      <c r="E481">
        <v>1.7308907138344684E-3</v>
      </c>
      <c r="G481">
        <v>471</v>
      </c>
      <c r="H481">
        <f t="shared" ca="1" si="15"/>
        <v>4.6368887170267881E-2</v>
      </c>
    </row>
    <row r="482" spans="2:8" ht="15.75">
      <c r="B482" s="674" t="s">
        <v>440</v>
      </c>
      <c r="C482" s="544">
        <v>3957.5</v>
      </c>
      <c r="D482">
        <f t="shared" si="14"/>
        <v>-2.758154677805762E-2</v>
      </c>
      <c r="E482">
        <v>-2.758154677805762E-2</v>
      </c>
      <c r="G482">
        <v>472</v>
      </c>
      <c r="H482">
        <f t="shared" ca="1" si="15"/>
        <v>2.0591561546845986E-2</v>
      </c>
    </row>
    <row r="483" spans="2:8" ht="15.75">
      <c r="B483" s="674" t="s">
        <v>453</v>
      </c>
      <c r="C483" s="544">
        <v>4069.75</v>
      </c>
      <c r="D483">
        <f t="shared" si="14"/>
        <v>2.3397574041007325E-3</v>
      </c>
      <c r="E483">
        <v>2.3397574041007325E-3</v>
      </c>
      <c r="G483">
        <v>473</v>
      </c>
      <c r="H483">
        <f t="shared" ca="1" si="15"/>
        <v>-6.4965447353162939E-2</v>
      </c>
    </row>
    <row r="484" spans="2:8" ht="15.75">
      <c r="B484" s="674" t="s">
        <v>454</v>
      </c>
      <c r="C484" s="544">
        <v>4060.25</v>
      </c>
      <c r="D484">
        <f t="shared" si="14"/>
        <v>-6.5329891483868951E-3</v>
      </c>
      <c r="E484">
        <v>-6.5329891483868951E-3</v>
      </c>
      <c r="G484">
        <v>474</v>
      </c>
      <c r="H484">
        <f t="shared" ca="1" si="15"/>
        <v>2.5869863923912325E-2</v>
      </c>
    </row>
    <row r="485" spans="2:8" ht="15.75">
      <c r="B485" s="674">
        <v>45301</v>
      </c>
      <c r="C485" s="544">
        <v>4086.95</v>
      </c>
      <c r="D485">
        <f t="shared" si="14"/>
        <v>3.579846415084776E-2</v>
      </c>
      <c r="E485">
        <v>3.579846415084776E-2</v>
      </c>
      <c r="G485">
        <v>475</v>
      </c>
      <c r="H485">
        <f t="shared" ca="1" si="15"/>
        <v>-3.0969982838481468E-2</v>
      </c>
    </row>
    <row r="486" spans="2:8" ht="15.75">
      <c r="B486" s="674" t="s">
        <v>457</v>
      </c>
      <c r="C486" s="544">
        <v>3945.7</v>
      </c>
      <c r="D486">
        <f t="shared" si="14"/>
        <v>-1.5949022982055857E-2</v>
      </c>
      <c r="E486">
        <v>-1.5949022982055857E-2</v>
      </c>
      <c r="G486">
        <v>476</v>
      </c>
      <c r="H486">
        <f t="shared" ca="1" si="15"/>
        <v>6.5535638888344107E-3</v>
      </c>
    </row>
    <row r="487" spans="2:8" ht="15.75">
      <c r="B487" s="674">
        <v>45392</v>
      </c>
      <c r="C487" s="544">
        <v>4009.65</v>
      </c>
      <c r="D487">
        <f t="shared" si="14"/>
        <v>1.4110889110889339E-3</v>
      </c>
      <c r="E487">
        <v>1.4110889110889339E-3</v>
      </c>
      <c r="G487">
        <v>477</v>
      </c>
      <c r="H487">
        <f t="shared" ca="1" si="15"/>
        <v>-5.5811555035720412E-2</v>
      </c>
    </row>
    <row r="488" spans="2:8" ht="15.75">
      <c r="B488" s="674" t="s">
        <v>444</v>
      </c>
      <c r="C488" s="544">
        <v>4004</v>
      </c>
      <c r="D488">
        <f t="shared" si="14"/>
        <v>1.3337382633563591E-2</v>
      </c>
      <c r="E488">
        <v>1.3337382633563591E-2</v>
      </c>
      <c r="G488">
        <v>478</v>
      </c>
      <c r="H488">
        <f t="shared" ca="1" si="15"/>
        <v>4.0531384332539045E-3</v>
      </c>
    </row>
    <row r="489" spans="2:8" ht="15.75">
      <c r="B489" s="674">
        <v>45809</v>
      </c>
      <c r="C489" s="544">
        <v>3951.3</v>
      </c>
      <c r="D489">
        <f t="shared" si="14"/>
        <v>2.1152877023866538E-2</v>
      </c>
      <c r="E489">
        <v>2.1152877023866538E-2</v>
      </c>
      <c r="G489">
        <v>479</v>
      </c>
      <c r="H489">
        <f t="shared" ca="1" si="15"/>
        <v>-3.8317363491869268E-2</v>
      </c>
    </row>
    <row r="490" spans="2:8" ht="15.75">
      <c r="B490" s="674" t="s">
        <v>193</v>
      </c>
      <c r="C490" s="544">
        <v>3869.45</v>
      </c>
      <c r="D490">
        <f t="shared" si="14"/>
        <v>4.7518273762381952E-3</v>
      </c>
      <c r="E490">
        <v>4.7518273762381952E-3</v>
      </c>
      <c r="G490">
        <v>480</v>
      </c>
      <c r="H490">
        <f t="shared" ca="1" si="15"/>
        <v>6.12664263639447E-3</v>
      </c>
    </row>
    <row r="491" spans="2:8" ht="15.75">
      <c r="B491" s="674" t="s">
        <v>443</v>
      </c>
      <c r="C491" s="544">
        <v>3851.15</v>
      </c>
      <c r="D491">
        <f t="shared" si="14"/>
        <v>-1.6761131535947736E-2</v>
      </c>
      <c r="E491">
        <v>-1.6761131535947736E-2</v>
      </c>
      <c r="G491">
        <v>481</v>
      </c>
      <c r="H491">
        <f t="shared" ca="1" si="15"/>
        <v>7.5129583587174127E-3</v>
      </c>
    </row>
    <row r="492" spans="2:8" ht="15.75">
      <c r="B492" s="674" t="s">
        <v>194</v>
      </c>
      <c r="C492" s="544">
        <v>3916.8</v>
      </c>
      <c r="D492">
        <f t="shared" si="14"/>
        <v>4.0631128314898585E-3</v>
      </c>
      <c r="E492">
        <v>4.0631128314898585E-3</v>
      </c>
      <c r="G492">
        <v>482</v>
      </c>
      <c r="H492">
        <f t="shared" ca="1" si="15"/>
        <v>-3.453691192656861E-2</v>
      </c>
    </row>
    <row r="493" spans="2:8" ht="15.75">
      <c r="B493" s="674" t="s">
        <v>452</v>
      </c>
      <c r="C493" s="544">
        <v>3900.95</v>
      </c>
      <c r="D493">
        <f t="shared" si="14"/>
        <v>3.9375651435409071E-3</v>
      </c>
      <c r="E493">
        <v>3.9375651435409071E-3</v>
      </c>
      <c r="G493">
        <v>483</v>
      </c>
      <c r="H493">
        <f t="shared" ca="1" si="15"/>
        <v>-3.4292193010976323E-2</v>
      </c>
    </row>
    <row r="494" spans="2:8" ht="15.75">
      <c r="B494" s="674">
        <v>45361</v>
      </c>
      <c r="C494" s="544">
        <v>3885.65</v>
      </c>
      <c r="D494">
        <f t="shared" si="14"/>
        <v>-9.3566356903386546E-3</v>
      </c>
      <c r="E494">
        <v>-9.3566356903386546E-3</v>
      </c>
      <c r="G494">
        <v>484</v>
      </c>
      <c r="H494">
        <f t="shared" ca="1" si="15"/>
        <v>-1.9185640022087662E-2</v>
      </c>
    </row>
    <row r="495" spans="2:8" ht="15.75">
      <c r="B495" s="674">
        <v>45606</v>
      </c>
      <c r="C495" s="544">
        <v>3922.35</v>
      </c>
      <c r="D495">
        <f t="shared" si="14"/>
        <v>-3.9993905690561436E-3</v>
      </c>
      <c r="E495">
        <v>-3.9993905690561436E-3</v>
      </c>
      <c r="G495">
        <v>485</v>
      </c>
      <c r="H495">
        <f t="shared" ca="1" si="15"/>
        <v>3.070849464267281E-2</v>
      </c>
    </row>
    <row r="496" spans="2:8" ht="15.75">
      <c r="B496" s="674" t="s">
        <v>195</v>
      </c>
      <c r="C496" s="544">
        <v>3938.1</v>
      </c>
      <c r="D496">
        <f t="shared" si="14"/>
        <v>2.451968729268832E-2</v>
      </c>
      <c r="E496">
        <v>2.451968729268832E-2</v>
      </c>
      <c r="G496">
        <v>486</v>
      </c>
      <c r="H496">
        <f t="shared" ca="1" si="15"/>
        <v>1.9224249194797847E-2</v>
      </c>
    </row>
    <row r="497" spans="2:8" ht="15.75">
      <c r="B497" s="674">
        <v>45545</v>
      </c>
      <c r="C497" s="544">
        <v>3843.85</v>
      </c>
      <c r="D497">
        <f t="shared" si="14"/>
        <v>-1.0910260533933765E-2</v>
      </c>
      <c r="E497">
        <v>-1.0910260533933765E-2</v>
      </c>
      <c r="G497">
        <v>487</v>
      </c>
      <c r="H497">
        <f t="shared" ca="1" si="15"/>
        <v>-2.3963216024290437E-2</v>
      </c>
    </row>
    <row r="498" spans="2:8" ht="15.75">
      <c r="B498" s="674" t="s">
        <v>450</v>
      </c>
      <c r="C498" s="544">
        <v>3886.25</v>
      </c>
      <c r="D498">
        <f t="shared" si="14"/>
        <v>-1.6674468327366139E-2</v>
      </c>
      <c r="E498">
        <v>-1.6674468327366139E-2</v>
      </c>
      <c r="G498">
        <v>488</v>
      </c>
      <c r="H498">
        <f t="shared" ca="1" si="15"/>
        <v>3.2971289896400781E-2</v>
      </c>
    </row>
    <row r="499" spans="2:8" ht="15.75">
      <c r="B499" s="674" t="s">
        <v>451</v>
      </c>
      <c r="C499" s="544">
        <v>3952.15</v>
      </c>
      <c r="D499">
        <f t="shared" si="14"/>
        <v>1.4998394863563426E-2</v>
      </c>
      <c r="E499">
        <v>1.4998394863563426E-2</v>
      </c>
      <c r="G499">
        <v>489</v>
      </c>
      <c r="H499">
        <f t="shared" ca="1" si="15"/>
        <v>-1.3896139518816622E-2</v>
      </c>
    </row>
    <row r="500" spans="2:8" ht="15.75">
      <c r="B500" s="674" t="s">
        <v>446</v>
      </c>
      <c r="C500" s="544">
        <v>3893.75</v>
      </c>
      <c r="D500">
        <f t="shared" si="14"/>
        <v>-3.2800933975855776E-2</v>
      </c>
      <c r="E500">
        <v>-3.2800933975855776E-2</v>
      </c>
      <c r="G500">
        <v>490</v>
      </c>
      <c r="H500">
        <f t="shared" ca="1" si="15"/>
        <v>9.4988778615818243E-3</v>
      </c>
    </row>
    <row r="501" spans="2:8" ht="15.75">
      <c r="B501" s="674" t="s">
        <v>448</v>
      </c>
      <c r="C501" s="544">
        <v>4025.8</v>
      </c>
      <c r="D501">
        <f t="shared" si="14"/>
        <v>-5.1032386412780675E-3</v>
      </c>
      <c r="E501">
        <v>-5.1032386412780675E-3</v>
      </c>
      <c r="G501">
        <v>491</v>
      </c>
      <c r="H501">
        <f t="shared" ca="1" si="15"/>
        <v>-3.8706006155826971E-2</v>
      </c>
    </row>
    <row r="502" spans="2:8" ht="15.75">
      <c r="B502" s="674" t="s">
        <v>447</v>
      </c>
      <c r="C502" s="544">
        <v>4046.45</v>
      </c>
      <c r="D502">
        <f t="shared" si="14"/>
        <v>6.1290964244864578E-3</v>
      </c>
      <c r="E502">
        <v>6.1290964244864578E-3</v>
      </c>
      <c r="G502">
        <v>492</v>
      </c>
      <c r="H502">
        <f t="shared" ca="1" si="15"/>
        <v>5.0449763162748254E-3</v>
      </c>
    </row>
    <row r="503" spans="2:8" ht="15.75">
      <c r="B503" s="674">
        <v>45575</v>
      </c>
      <c r="C503" s="544">
        <v>4021.8</v>
      </c>
      <c r="D503">
        <f t="shared" si="14"/>
        <v>1.7262966194938726E-2</v>
      </c>
      <c r="E503">
        <v>1.7262966194938726E-2</v>
      </c>
      <c r="G503">
        <v>493</v>
      </c>
      <c r="H503">
        <f t="shared" ca="1" si="15"/>
        <v>-3.4059537206986727E-2</v>
      </c>
    </row>
    <row r="504" spans="2:8" ht="15.75">
      <c r="B504" s="674" t="s">
        <v>449</v>
      </c>
      <c r="C504" s="544">
        <v>3953.55</v>
      </c>
      <c r="D504">
        <f t="shared" si="14"/>
        <v>4.8034768022568947E-3</v>
      </c>
      <c r="E504">
        <v>4.8034768022568947E-3</v>
      </c>
      <c r="G504">
        <v>494</v>
      </c>
      <c r="H504">
        <f t="shared" ca="1" si="15"/>
        <v>-9.7268973214787984E-3</v>
      </c>
    </row>
    <row r="505" spans="2:8" ht="15.75">
      <c r="B505" s="674" t="s">
        <v>371</v>
      </c>
      <c r="C505" s="544">
        <v>3934.65</v>
      </c>
      <c r="G505">
        <v>495</v>
      </c>
      <c r="H505">
        <f t="shared" ca="1" si="15"/>
        <v>-1.8231237108559225E-2</v>
      </c>
    </row>
    <row r="506" spans="2:8">
      <c r="G506">
        <v>496</v>
      </c>
      <c r="H506">
        <f t="shared" ca="1" si="15"/>
        <v>-1.5566956551954014E-2</v>
      </c>
    </row>
    <row r="507" spans="2:8">
      <c r="G507">
        <v>497</v>
      </c>
      <c r="H507">
        <f t="shared" ca="1" si="15"/>
        <v>2.4630207288512604E-2</v>
      </c>
    </row>
    <row r="508" spans="2:8">
      <c r="G508">
        <v>498</v>
      </c>
      <c r="H508">
        <f t="shared" ca="1" si="15"/>
        <v>-1.6959768715169368E-2</v>
      </c>
    </row>
    <row r="509" spans="2:8">
      <c r="G509">
        <v>499</v>
      </c>
      <c r="H509">
        <f t="shared" ca="1" si="15"/>
        <v>4.1633265054257171E-2</v>
      </c>
    </row>
    <row r="510" spans="2:8">
      <c r="G510">
        <v>500</v>
      </c>
      <c r="H510">
        <f t="shared" ca="1" si="15"/>
        <v>-1.7940445125274464E-2</v>
      </c>
    </row>
    <row r="511" spans="2:8">
      <c r="G511">
        <v>501</v>
      </c>
      <c r="H511">
        <f t="shared" ca="1" si="15"/>
        <v>1.9464156173500481E-2</v>
      </c>
    </row>
    <row r="512" spans="2:8">
      <c r="G512">
        <v>502</v>
      </c>
      <c r="H512">
        <f t="shared" ca="1" si="15"/>
        <v>1.101760347178291E-2</v>
      </c>
    </row>
    <row r="513" spans="7:8">
      <c r="G513">
        <v>503</v>
      </c>
      <c r="H513">
        <f t="shared" ca="1" si="15"/>
        <v>1.4418651115296111E-2</v>
      </c>
    </row>
    <row r="514" spans="7:8">
      <c r="G514">
        <v>504</v>
      </c>
      <c r="H514">
        <f t="shared" ca="1" si="15"/>
        <v>2.1953169849767747E-2</v>
      </c>
    </row>
    <row r="515" spans="7:8">
      <c r="G515">
        <v>505</v>
      </c>
      <c r="H515">
        <f t="shared" ca="1" si="15"/>
        <v>3.6372011674666922E-2</v>
      </c>
    </row>
    <row r="516" spans="7:8">
      <c r="G516">
        <v>506</v>
      </c>
      <c r="H516">
        <f t="shared" ca="1" si="15"/>
        <v>-1.3209293805701169E-3</v>
      </c>
    </row>
    <row r="517" spans="7:8">
      <c r="G517">
        <v>507</v>
      </c>
      <c r="H517">
        <f t="shared" ca="1" si="15"/>
        <v>-4.5198394426233099E-3</v>
      </c>
    </row>
    <row r="518" spans="7:8">
      <c r="G518">
        <v>508</v>
      </c>
      <c r="H518">
        <f t="shared" ca="1" si="15"/>
        <v>2.7008478078970201E-2</v>
      </c>
    </row>
    <row r="519" spans="7:8">
      <c r="G519">
        <v>509</v>
      </c>
      <c r="H519">
        <f t="shared" ca="1" si="15"/>
        <v>2.8136766132686397E-2</v>
      </c>
    </row>
    <row r="520" spans="7:8">
      <c r="G520">
        <v>510</v>
      </c>
      <c r="H520">
        <f t="shared" ca="1" si="15"/>
        <v>-6.5566581661117918E-3</v>
      </c>
    </row>
    <row r="521" spans="7:8">
      <c r="G521">
        <v>511</v>
      </c>
      <c r="H521">
        <f t="shared" ca="1" si="15"/>
        <v>-2.7148283153353842E-2</v>
      </c>
    </row>
    <row r="522" spans="7:8">
      <c r="G522">
        <v>512</v>
      </c>
      <c r="H522">
        <f t="shared" ca="1" si="15"/>
        <v>1.4250390428431614E-3</v>
      </c>
    </row>
    <row r="523" spans="7:8">
      <c r="G523">
        <v>513</v>
      </c>
      <c r="H523">
        <f t="shared" ca="1" si="15"/>
        <v>4.6493161120568687E-3</v>
      </c>
    </row>
    <row r="524" spans="7:8">
      <c r="G524">
        <v>514</v>
      </c>
      <c r="H524">
        <f t="shared" ref="H524:H587" ca="1" si="16">_xlfn.NORM.INV(RAND(),N$13,N$14)</f>
        <v>4.3092389603108482E-2</v>
      </c>
    </row>
    <row r="525" spans="7:8">
      <c r="G525">
        <v>515</v>
      </c>
      <c r="H525">
        <f t="shared" ca="1" si="16"/>
        <v>3.125994161019531E-2</v>
      </c>
    </row>
    <row r="526" spans="7:8">
      <c r="G526">
        <v>516</v>
      </c>
      <c r="H526">
        <f t="shared" ca="1" si="16"/>
        <v>-3.6363324886193746E-2</v>
      </c>
    </row>
    <row r="527" spans="7:8">
      <c r="G527">
        <v>517</v>
      </c>
      <c r="H527">
        <f t="shared" ca="1" si="16"/>
        <v>-1.8150183474779938E-2</v>
      </c>
    </row>
    <row r="528" spans="7:8">
      <c r="G528">
        <v>518</v>
      </c>
      <c r="H528">
        <f t="shared" ca="1" si="16"/>
        <v>-2.1515116056978884E-2</v>
      </c>
    </row>
    <row r="529" spans="7:8">
      <c r="G529">
        <v>519</v>
      </c>
      <c r="H529">
        <f t="shared" ca="1" si="16"/>
        <v>1.1941379301182151E-2</v>
      </c>
    </row>
    <row r="530" spans="7:8">
      <c r="G530">
        <v>520</v>
      </c>
      <c r="H530">
        <f t="shared" ca="1" si="16"/>
        <v>4.1555962239905216E-3</v>
      </c>
    </row>
    <row r="531" spans="7:8">
      <c r="G531">
        <v>521</v>
      </c>
      <c r="H531">
        <f t="shared" ca="1" si="16"/>
        <v>-1.1377141194286509E-2</v>
      </c>
    </row>
    <row r="532" spans="7:8">
      <c r="G532">
        <v>522</v>
      </c>
      <c r="H532">
        <f t="shared" ca="1" si="16"/>
        <v>-1.0835146990460232E-2</v>
      </c>
    </row>
    <row r="533" spans="7:8">
      <c r="G533">
        <v>523</v>
      </c>
      <c r="H533">
        <f t="shared" ca="1" si="16"/>
        <v>1.8803141964436478E-2</v>
      </c>
    </row>
    <row r="534" spans="7:8">
      <c r="G534">
        <v>524</v>
      </c>
      <c r="H534">
        <f t="shared" ca="1" si="16"/>
        <v>-1.9799447962486491E-2</v>
      </c>
    </row>
    <row r="535" spans="7:8">
      <c r="G535">
        <v>525</v>
      </c>
      <c r="H535">
        <f t="shared" ca="1" si="16"/>
        <v>-4.2655080143805015E-2</v>
      </c>
    </row>
    <row r="536" spans="7:8">
      <c r="G536">
        <v>526</v>
      </c>
      <c r="H536">
        <f t="shared" ca="1" si="16"/>
        <v>-2.4019366521589789E-2</v>
      </c>
    </row>
    <row r="537" spans="7:8">
      <c r="G537">
        <v>527</v>
      </c>
      <c r="H537">
        <f t="shared" ca="1" si="16"/>
        <v>1.2006925162867775E-2</v>
      </c>
    </row>
    <row r="538" spans="7:8">
      <c r="G538">
        <v>528</v>
      </c>
      <c r="H538">
        <f t="shared" ca="1" si="16"/>
        <v>-1.7324715084840733E-2</v>
      </c>
    </row>
    <row r="539" spans="7:8">
      <c r="G539">
        <v>529</v>
      </c>
      <c r="H539">
        <f t="shared" ca="1" si="16"/>
        <v>-3.6818324391233004E-2</v>
      </c>
    </row>
    <row r="540" spans="7:8">
      <c r="G540">
        <v>530</v>
      </c>
      <c r="H540">
        <f t="shared" ca="1" si="16"/>
        <v>2.4588667283495302E-2</v>
      </c>
    </row>
    <row r="541" spans="7:8">
      <c r="G541">
        <v>531</v>
      </c>
      <c r="H541">
        <f t="shared" ca="1" si="16"/>
        <v>3.8422897582320037E-2</v>
      </c>
    </row>
    <row r="542" spans="7:8">
      <c r="G542">
        <v>532</v>
      </c>
      <c r="H542">
        <f t="shared" ca="1" si="16"/>
        <v>-3.3008000668151384E-2</v>
      </c>
    </row>
    <row r="543" spans="7:8">
      <c r="G543">
        <v>533</v>
      </c>
      <c r="H543">
        <f t="shared" ca="1" si="16"/>
        <v>1.797518731256759E-2</v>
      </c>
    </row>
    <row r="544" spans="7:8">
      <c r="G544">
        <v>534</v>
      </c>
      <c r="H544">
        <f t="shared" ca="1" si="16"/>
        <v>-1.985167990414204E-2</v>
      </c>
    </row>
    <row r="545" spans="7:8">
      <c r="G545">
        <v>535</v>
      </c>
      <c r="H545">
        <f t="shared" ca="1" si="16"/>
        <v>-9.3570103966586016E-4</v>
      </c>
    </row>
    <row r="546" spans="7:8">
      <c r="G546">
        <v>536</v>
      </c>
      <c r="H546">
        <f t="shared" ca="1" si="16"/>
        <v>4.4192738390306651E-4</v>
      </c>
    </row>
    <row r="547" spans="7:8">
      <c r="G547">
        <v>537</v>
      </c>
      <c r="H547">
        <f t="shared" ca="1" si="16"/>
        <v>-2.8186426617058204E-2</v>
      </c>
    </row>
    <row r="548" spans="7:8">
      <c r="G548">
        <v>538</v>
      </c>
      <c r="H548">
        <f t="shared" ca="1" si="16"/>
        <v>-1.8055831096509296E-4</v>
      </c>
    </row>
    <row r="549" spans="7:8">
      <c r="G549">
        <v>539</v>
      </c>
      <c r="H549">
        <f t="shared" ca="1" si="16"/>
        <v>-8.5991062399577971E-3</v>
      </c>
    </row>
    <row r="550" spans="7:8">
      <c r="G550">
        <v>540</v>
      </c>
      <c r="H550">
        <f t="shared" ca="1" si="16"/>
        <v>-1.3671319879601922E-2</v>
      </c>
    </row>
    <row r="551" spans="7:8">
      <c r="G551">
        <v>541</v>
      </c>
      <c r="H551">
        <f t="shared" ca="1" si="16"/>
        <v>3.6658244674234695E-2</v>
      </c>
    </row>
    <row r="552" spans="7:8">
      <c r="G552">
        <v>542</v>
      </c>
      <c r="H552">
        <f t="shared" ca="1" si="16"/>
        <v>3.0224331772009404E-2</v>
      </c>
    </row>
    <row r="553" spans="7:8">
      <c r="G553">
        <v>543</v>
      </c>
      <c r="H553">
        <f t="shared" ca="1" si="16"/>
        <v>-1.6945374367751006E-2</v>
      </c>
    </row>
    <row r="554" spans="7:8">
      <c r="G554">
        <v>544</v>
      </c>
      <c r="H554">
        <f t="shared" ca="1" si="16"/>
        <v>1.0060855907665365E-2</v>
      </c>
    </row>
    <row r="555" spans="7:8">
      <c r="G555">
        <v>545</v>
      </c>
      <c r="H555">
        <f t="shared" ca="1" si="16"/>
        <v>-2.9354147197931606E-2</v>
      </c>
    </row>
    <row r="556" spans="7:8">
      <c r="G556">
        <v>546</v>
      </c>
      <c r="H556">
        <f t="shared" ca="1" si="16"/>
        <v>4.0284615988313226E-2</v>
      </c>
    </row>
    <row r="557" spans="7:8">
      <c r="G557">
        <v>547</v>
      </c>
      <c r="H557">
        <f t="shared" ca="1" si="16"/>
        <v>2.1394115401681294E-2</v>
      </c>
    </row>
    <row r="558" spans="7:8">
      <c r="G558">
        <v>548</v>
      </c>
      <c r="H558">
        <f t="shared" ca="1" si="16"/>
        <v>-8.7219169217252254E-3</v>
      </c>
    </row>
    <row r="559" spans="7:8">
      <c r="G559">
        <v>549</v>
      </c>
      <c r="H559">
        <f t="shared" ca="1" si="16"/>
        <v>3.8142792499076254E-2</v>
      </c>
    </row>
    <row r="560" spans="7:8">
      <c r="G560">
        <v>550</v>
      </c>
      <c r="H560">
        <f t="shared" ca="1" si="16"/>
        <v>2.5360691070486378E-2</v>
      </c>
    </row>
    <row r="561" spans="7:8">
      <c r="G561">
        <v>551</v>
      </c>
      <c r="H561">
        <f t="shared" ca="1" si="16"/>
        <v>-5.7290826599980188E-3</v>
      </c>
    </row>
    <row r="562" spans="7:8">
      <c r="G562">
        <v>552</v>
      </c>
      <c r="H562">
        <f t="shared" ca="1" si="16"/>
        <v>1.0539881250732542E-2</v>
      </c>
    </row>
    <row r="563" spans="7:8">
      <c r="G563">
        <v>553</v>
      </c>
      <c r="H563">
        <f t="shared" ca="1" si="16"/>
        <v>1.8616956517203121E-2</v>
      </c>
    </row>
    <row r="564" spans="7:8">
      <c r="G564">
        <v>554</v>
      </c>
      <c r="H564">
        <f t="shared" ca="1" si="16"/>
        <v>-1.2685740137996964E-2</v>
      </c>
    </row>
    <row r="565" spans="7:8">
      <c r="G565">
        <v>555</v>
      </c>
      <c r="H565">
        <f t="shared" ca="1" si="16"/>
        <v>8.4614243088779306E-3</v>
      </c>
    </row>
    <row r="566" spans="7:8">
      <c r="G566">
        <v>556</v>
      </c>
      <c r="H566">
        <f t="shared" ca="1" si="16"/>
        <v>-2.2234359368880043E-2</v>
      </c>
    </row>
    <row r="567" spans="7:8">
      <c r="G567">
        <v>557</v>
      </c>
      <c r="H567">
        <f t="shared" ca="1" si="16"/>
        <v>-1.5714560524361876E-2</v>
      </c>
    </row>
    <row r="568" spans="7:8">
      <c r="G568">
        <v>558</v>
      </c>
      <c r="H568">
        <f t="shared" ca="1" si="16"/>
        <v>-2.2715590133091251E-2</v>
      </c>
    </row>
    <row r="569" spans="7:8">
      <c r="G569">
        <v>559</v>
      </c>
      <c r="H569">
        <f t="shared" ca="1" si="16"/>
        <v>-1.411228569761265E-2</v>
      </c>
    </row>
    <row r="570" spans="7:8">
      <c r="G570">
        <v>560</v>
      </c>
      <c r="H570">
        <f t="shared" ca="1" si="16"/>
        <v>1.3081495384828036E-2</v>
      </c>
    </row>
    <row r="571" spans="7:8">
      <c r="G571">
        <v>561</v>
      </c>
      <c r="H571">
        <f t="shared" ca="1" si="16"/>
        <v>2.3277503043547334E-2</v>
      </c>
    </row>
    <row r="572" spans="7:8">
      <c r="G572">
        <v>562</v>
      </c>
      <c r="H572">
        <f t="shared" ca="1" si="16"/>
        <v>1.4678244296799349E-2</v>
      </c>
    </row>
    <row r="573" spans="7:8">
      <c r="G573">
        <v>563</v>
      </c>
      <c r="H573">
        <f t="shared" ca="1" si="16"/>
        <v>-1.292286584883688E-2</v>
      </c>
    </row>
    <row r="574" spans="7:8">
      <c r="G574">
        <v>564</v>
      </c>
      <c r="H574">
        <f t="shared" ca="1" si="16"/>
        <v>7.3328235935365572E-3</v>
      </c>
    </row>
    <row r="575" spans="7:8">
      <c r="G575">
        <v>565</v>
      </c>
      <c r="H575">
        <f t="shared" ca="1" si="16"/>
        <v>-3.3249767231027056E-3</v>
      </c>
    </row>
    <row r="576" spans="7:8">
      <c r="G576">
        <v>566</v>
      </c>
      <c r="H576">
        <f t="shared" ca="1" si="16"/>
        <v>2.4745815358857424E-2</v>
      </c>
    </row>
    <row r="577" spans="7:8">
      <c r="G577">
        <v>567</v>
      </c>
      <c r="H577">
        <f t="shared" ca="1" si="16"/>
        <v>-2.7163635402885373E-2</v>
      </c>
    </row>
    <row r="578" spans="7:8">
      <c r="G578">
        <v>568</v>
      </c>
      <c r="H578">
        <f t="shared" ca="1" si="16"/>
        <v>7.4831194959999459E-3</v>
      </c>
    </row>
    <row r="579" spans="7:8">
      <c r="G579">
        <v>569</v>
      </c>
      <c r="H579">
        <f t="shared" ca="1" si="16"/>
        <v>-3.4459823651973999E-3</v>
      </c>
    </row>
    <row r="580" spans="7:8">
      <c r="G580">
        <v>570</v>
      </c>
      <c r="H580">
        <f t="shared" ca="1" si="16"/>
        <v>1.06280440637633E-2</v>
      </c>
    </row>
    <row r="581" spans="7:8">
      <c r="G581">
        <v>571</v>
      </c>
      <c r="H581">
        <f t="shared" ca="1" si="16"/>
        <v>1.9939327903010307E-3</v>
      </c>
    </row>
    <row r="582" spans="7:8">
      <c r="G582">
        <v>572</v>
      </c>
      <c r="H582">
        <f t="shared" ca="1" si="16"/>
        <v>-6.8704011036639506E-3</v>
      </c>
    </row>
    <row r="583" spans="7:8">
      <c r="G583">
        <v>573</v>
      </c>
      <c r="H583">
        <f t="shared" ca="1" si="16"/>
        <v>1.0103856808440774E-2</v>
      </c>
    </row>
    <row r="584" spans="7:8">
      <c r="G584">
        <v>574</v>
      </c>
      <c r="H584">
        <f t="shared" ca="1" si="16"/>
        <v>9.5883474371009523E-4</v>
      </c>
    </row>
    <row r="585" spans="7:8">
      <c r="G585">
        <v>575</v>
      </c>
      <c r="H585">
        <f t="shared" ca="1" si="16"/>
        <v>-7.6881667816384126E-3</v>
      </c>
    </row>
    <row r="586" spans="7:8">
      <c r="G586">
        <v>576</v>
      </c>
      <c r="H586">
        <f t="shared" ca="1" si="16"/>
        <v>-4.2198016441849631E-2</v>
      </c>
    </row>
    <row r="587" spans="7:8">
      <c r="G587">
        <v>577</v>
      </c>
      <c r="H587">
        <f t="shared" ca="1" si="16"/>
        <v>1.6511777812590334E-2</v>
      </c>
    </row>
    <row r="588" spans="7:8">
      <c r="G588">
        <v>578</v>
      </c>
      <c r="H588">
        <f t="shared" ref="H588:H651" ca="1" si="17">_xlfn.NORM.INV(RAND(),N$13,N$14)</f>
        <v>2.6273575106612419E-3</v>
      </c>
    </row>
    <row r="589" spans="7:8">
      <c r="G589">
        <v>579</v>
      </c>
      <c r="H589">
        <f t="shared" ca="1" si="17"/>
        <v>-4.9914609867189397E-3</v>
      </c>
    </row>
    <row r="590" spans="7:8">
      <c r="G590">
        <v>580</v>
      </c>
      <c r="H590">
        <f t="shared" ca="1" si="17"/>
        <v>3.1538193177819084E-3</v>
      </c>
    </row>
    <row r="591" spans="7:8">
      <c r="G591">
        <v>581</v>
      </c>
      <c r="H591">
        <f t="shared" ca="1" si="17"/>
        <v>-1.3050061106184965E-2</v>
      </c>
    </row>
    <row r="592" spans="7:8">
      <c r="G592">
        <v>582</v>
      </c>
      <c r="H592">
        <f t="shared" ca="1" si="17"/>
        <v>-3.1562734859752146E-2</v>
      </c>
    </row>
    <row r="593" spans="7:8">
      <c r="G593">
        <v>583</v>
      </c>
      <c r="H593">
        <f t="shared" ca="1" si="17"/>
        <v>-1.4515589851943496E-2</v>
      </c>
    </row>
    <row r="594" spans="7:8">
      <c r="G594">
        <v>584</v>
      </c>
      <c r="H594">
        <f t="shared" ca="1" si="17"/>
        <v>4.8184146301683047E-3</v>
      </c>
    </row>
    <row r="595" spans="7:8">
      <c r="G595">
        <v>585</v>
      </c>
      <c r="H595">
        <f t="shared" ca="1" si="17"/>
        <v>7.5652269223865712E-2</v>
      </c>
    </row>
    <row r="596" spans="7:8">
      <c r="G596">
        <v>586</v>
      </c>
      <c r="H596">
        <f t="shared" ca="1" si="17"/>
        <v>-3.6917768948984152E-2</v>
      </c>
    </row>
    <row r="597" spans="7:8">
      <c r="G597">
        <v>587</v>
      </c>
      <c r="H597">
        <f t="shared" ca="1" si="17"/>
        <v>3.4958363908500253E-2</v>
      </c>
    </row>
    <row r="598" spans="7:8">
      <c r="G598">
        <v>588</v>
      </c>
      <c r="H598">
        <f t="shared" ca="1" si="17"/>
        <v>-2.6154684438214677E-2</v>
      </c>
    </row>
    <row r="599" spans="7:8">
      <c r="G599">
        <v>589</v>
      </c>
      <c r="H599">
        <f t="shared" ca="1" si="17"/>
        <v>-1.8951255613539861E-2</v>
      </c>
    </row>
    <row r="600" spans="7:8">
      <c r="G600">
        <v>590</v>
      </c>
      <c r="H600">
        <f t="shared" ca="1" si="17"/>
        <v>1.38673263746603E-2</v>
      </c>
    </row>
    <row r="601" spans="7:8">
      <c r="G601">
        <v>591</v>
      </c>
      <c r="H601">
        <f t="shared" ca="1" si="17"/>
        <v>-2.6990072519518953E-2</v>
      </c>
    </row>
    <row r="602" spans="7:8">
      <c r="G602">
        <v>592</v>
      </c>
      <c r="H602">
        <f t="shared" ca="1" si="17"/>
        <v>2.523989555551592E-2</v>
      </c>
    </row>
    <row r="603" spans="7:8">
      <c r="G603">
        <v>593</v>
      </c>
      <c r="H603">
        <f t="shared" ca="1" si="17"/>
        <v>-4.1024777131330875E-2</v>
      </c>
    </row>
    <row r="604" spans="7:8">
      <c r="G604">
        <v>594</v>
      </c>
      <c r="H604">
        <f t="shared" ca="1" si="17"/>
        <v>-2.4830506997563805E-2</v>
      </c>
    </row>
    <row r="605" spans="7:8">
      <c r="G605">
        <v>595</v>
      </c>
      <c r="H605">
        <f t="shared" ca="1" si="17"/>
        <v>-9.049981400645694E-3</v>
      </c>
    </row>
    <row r="606" spans="7:8">
      <c r="G606">
        <v>596</v>
      </c>
      <c r="H606">
        <f t="shared" ca="1" si="17"/>
        <v>-5.6367564394438508E-3</v>
      </c>
    </row>
    <row r="607" spans="7:8">
      <c r="G607">
        <v>597</v>
      </c>
      <c r="H607">
        <f t="shared" ca="1" si="17"/>
        <v>-9.4838773915696378E-3</v>
      </c>
    </row>
    <row r="608" spans="7:8">
      <c r="G608">
        <v>598</v>
      </c>
      <c r="H608">
        <f t="shared" ca="1" si="17"/>
        <v>-1.5391254958130804E-2</v>
      </c>
    </row>
    <row r="609" spans="7:8">
      <c r="G609">
        <v>599</v>
      </c>
      <c r="H609">
        <f t="shared" ca="1" si="17"/>
        <v>2.2631296890597608E-2</v>
      </c>
    </row>
    <row r="610" spans="7:8">
      <c r="G610">
        <v>600</v>
      </c>
      <c r="H610">
        <f t="shared" ca="1" si="17"/>
        <v>5.2325806280087107E-3</v>
      </c>
    </row>
    <row r="611" spans="7:8">
      <c r="G611">
        <v>601</v>
      </c>
      <c r="H611">
        <f t="shared" ca="1" si="17"/>
        <v>1.9096839809260382E-2</v>
      </c>
    </row>
    <row r="612" spans="7:8">
      <c r="G612">
        <v>602</v>
      </c>
      <c r="H612">
        <f t="shared" ca="1" si="17"/>
        <v>-1.4038675525583298E-2</v>
      </c>
    </row>
    <row r="613" spans="7:8">
      <c r="G613">
        <v>603</v>
      </c>
      <c r="H613">
        <f t="shared" ca="1" si="17"/>
        <v>-2.4627605420086334E-2</v>
      </c>
    </row>
    <row r="614" spans="7:8">
      <c r="G614">
        <v>604</v>
      </c>
      <c r="H614">
        <f t="shared" ca="1" si="17"/>
        <v>2.6973619978614454E-2</v>
      </c>
    </row>
    <row r="615" spans="7:8">
      <c r="G615">
        <v>605</v>
      </c>
      <c r="H615">
        <f t="shared" ca="1" si="17"/>
        <v>2.2405128790147673E-3</v>
      </c>
    </row>
    <row r="616" spans="7:8">
      <c r="G616">
        <v>606</v>
      </c>
      <c r="H616">
        <f t="shared" ca="1" si="17"/>
        <v>2.448261268275265E-2</v>
      </c>
    </row>
    <row r="617" spans="7:8">
      <c r="G617">
        <v>607</v>
      </c>
      <c r="H617">
        <f t="shared" ca="1" si="17"/>
        <v>2.0107416047864243E-2</v>
      </c>
    </row>
    <row r="618" spans="7:8">
      <c r="G618">
        <v>608</v>
      </c>
      <c r="H618">
        <f t="shared" ca="1" si="17"/>
        <v>3.4363757307104809E-2</v>
      </c>
    </row>
    <row r="619" spans="7:8">
      <c r="G619">
        <v>609</v>
      </c>
      <c r="H619">
        <f t="shared" ca="1" si="17"/>
        <v>6.3462927829853735E-3</v>
      </c>
    </row>
    <row r="620" spans="7:8">
      <c r="G620">
        <v>610</v>
      </c>
      <c r="H620">
        <f t="shared" ca="1" si="17"/>
        <v>-1.7778487268845455E-2</v>
      </c>
    </row>
    <row r="621" spans="7:8">
      <c r="G621">
        <v>611</v>
      </c>
      <c r="H621">
        <f t="shared" ca="1" si="17"/>
        <v>-6.6484210055137681E-3</v>
      </c>
    </row>
    <row r="622" spans="7:8">
      <c r="G622">
        <v>612</v>
      </c>
      <c r="H622">
        <f t="shared" ca="1" si="17"/>
        <v>4.6360562227162434E-3</v>
      </c>
    </row>
    <row r="623" spans="7:8">
      <c r="G623">
        <v>613</v>
      </c>
      <c r="H623">
        <f t="shared" ca="1" si="17"/>
        <v>1.8943032539615445E-2</v>
      </c>
    </row>
    <row r="624" spans="7:8">
      <c r="G624">
        <v>614</v>
      </c>
      <c r="H624">
        <f t="shared" ca="1" si="17"/>
        <v>4.9552594550160787E-3</v>
      </c>
    </row>
    <row r="625" spans="7:8">
      <c r="G625">
        <v>615</v>
      </c>
      <c r="H625">
        <f t="shared" ca="1" si="17"/>
        <v>-8.0718656936795046E-4</v>
      </c>
    </row>
    <row r="626" spans="7:8">
      <c r="G626">
        <v>616</v>
      </c>
      <c r="H626">
        <f t="shared" ca="1" si="17"/>
        <v>-2.5247323315635808E-2</v>
      </c>
    </row>
    <row r="627" spans="7:8">
      <c r="G627">
        <v>617</v>
      </c>
      <c r="H627">
        <f t="shared" ca="1" si="17"/>
        <v>1.6413171032799198E-2</v>
      </c>
    </row>
    <row r="628" spans="7:8">
      <c r="G628">
        <v>618</v>
      </c>
      <c r="H628">
        <f t="shared" ca="1" si="17"/>
        <v>3.6837061626238267E-2</v>
      </c>
    </row>
    <row r="629" spans="7:8">
      <c r="G629">
        <v>619</v>
      </c>
      <c r="H629">
        <f t="shared" ca="1" si="17"/>
        <v>1.1932843169331712E-2</v>
      </c>
    </row>
    <row r="630" spans="7:8">
      <c r="G630">
        <v>620</v>
      </c>
      <c r="H630">
        <f t="shared" ca="1" si="17"/>
        <v>-3.2894403975988204E-3</v>
      </c>
    </row>
    <row r="631" spans="7:8">
      <c r="G631">
        <v>621</v>
      </c>
      <c r="H631">
        <f t="shared" ca="1" si="17"/>
        <v>-2.3186533308191933E-2</v>
      </c>
    </row>
    <row r="632" spans="7:8">
      <c r="G632">
        <v>622</v>
      </c>
      <c r="H632">
        <f t="shared" ca="1" si="17"/>
        <v>1.3079907118969459E-2</v>
      </c>
    </row>
    <row r="633" spans="7:8">
      <c r="G633">
        <v>623</v>
      </c>
      <c r="H633">
        <f t="shared" ca="1" si="17"/>
        <v>-1.089538910496581E-2</v>
      </c>
    </row>
    <row r="634" spans="7:8">
      <c r="G634">
        <v>624</v>
      </c>
      <c r="H634">
        <f t="shared" ca="1" si="17"/>
        <v>5.8549051105653137E-2</v>
      </c>
    </row>
    <row r="635" spans="7:8">
      <c r="G635">
        <v>625</v>
      </c>
      <c r="H635">
        <f t="shared" ca="1" si="17"/>
        <v>2.7022677257027301E-2</v>
      </c>
    </row>
    <row r="636" spans="7:8">
      <c r="G636">
        <v>626</v>
      </c>
      <c r="H636">
        <f t="shared" ca="1" si="17"/>
        <v>1.7483801738786664E-2</v>
      </c>
    </row>
    <row r="637" spans="7:8">
      <c r="G637">
        <v>627</v>
      </c>
      <c r="H637">
        <f t="shared" ca="1" si="17"/>
        <v>-3.3898099963583242E-2</v>
      </c>
    </row>
    <row r="638" spans="7:8">
      <c r="G638">
        <v>628</v>
      </c>
      <c r="H638">
        <f t="shared" ca="1" si="17"/>
        <v>-2.7597498358555461E-2</v>
      </c>
    </row>
    <row r="639" spans="7:8">
      <c r="G639">
        <v>629</v>
      </c>
      <c r="H639">
        <f t="shared" ca="1" si="17"/>
        <v>-1.6379235854878119E-2</v>
      </c>
    </row>
    <row r="640" spans="7:8">
      <c r="G640">
        <v>630</v>
      </c>
      <c r="H640">
        <f t="shared" ca="1" si="17"/>
        <v>-1.1200580815267243E-2</v>
      </c>
    </row>
    <row r="641" spans="7:8">
      <c r="G641">
        <v>631</v>
      </c>
      <c r="H641">
        <f t="shared" ca="1" si="17"/>
        <v>-8.2775870698376542E-3</v>
      </c>
    </row>
    <row r="642" spans="7:8">
      <c r="G642">
        <v>632</v>
      </c>
      <c r="H642">
        <f t="shared" ca="1" si="17"/>
        <v>1.7587259236786921E-2</v>
      </c>
    </row>
    <row r="643" spans="7:8">
      <c r="G643">
        <v>633</v>
      </c>
      <c r="H643">
        <f t="shared" ca="1" si="17"/>
        <v>-4.1260107907580817E-3</v>
      </c>
    </row>
    <row r="644" spans="7:8">
      <c r="G644">
        <v>634</v>
      </c>
      <c r="H644">
        <f t="shared" ca="1" si="17"/>
        <v>8.8882136785813446E-3</v>
      </c>
    </row>
    <row r="645" spans="7:8">
      <c r="G645">
        <v>635</v>
      </c>
      <c r="H645">
        <f t="shared" ca="1" si="17"/>
        <v>-1.6640569665989716E-2</v>
      </c>
    </row>
    <row r="646" spans="7:8">
      <c r="G646">
        <v>636</v>
      </c>
      <c r="H646">
        <f t="shared" ca="1" si="17"/>
        <v>-3.7241449702553539E-2</v>
      </c>
    </row>
    <row r="647" spans="7:8">
      <c r="G647">
        <v>637</v>
      </c>
      <c r="H647">
        <f t="shared" ca="1" si="17"/>
        <v>5.2240603392567066E-2</v>
      </c>
    </row>
    <row r="648" spans="7:8">
      <c r="G648">
        <v>638</v>
      </c>
      <c r="H648">
        <f t="shared" ca="1" si="17"/>
        <v>-4.7713847520934353E-3</v>
      </c>
    </row>
    <row r="649" spans="7:8">
      <c r="G649">
        <v>639</v>
      </c>
      <c r="H649">
        <f t="shared" ca="1" si="17"/>
        <v>6.239094453918315E-3</v>
      </c>
    </row>
    <row r="650" spans="7:8">
      <c r="G650">
        <v>640</v>
      </c>
      <c r="H650">
        <f t="shared" ca="1" si="17"/>
        <v>-1.7619143631202282E-3</v>
      </c>
    </row>
    <row r="651" spans="7:8">
      <c r="G651">
        <v>641</v>
      </c>
      <c r="H651">
        <f t="shared" ca="1" si="17"/>
        <v>-1.7322021516054179E-2</v>
      </c>
    </row>
    <row r="652" spans="7:8">
      <c r="G652">
        <v>642</v>
      </c>
      <c r="H652">
        <f t="shared" ref="H652:H715" ca="1" si="18">_xlfn.NORM.INV(RAND(),N$13,N$14)</f>
        <v>-3.0920305694861861E-2</v>
      </c>
    </row>
    <row r="653" spans="7:8">
      <c r="G653">
        <v>643</v>
      </c>
      <c r="H653">
        <f t="shared" ca="1" si="18"/>
        <v>-1.178200532733443E-3</v>
      </c>
    </row>
    <row r="654" spans="7:8">
      <c r="G654">
        <v>644</v>
      </c>
      <c r="H654">
        <f t="shared" ca="1" si="18"/>
        <v>-3.4118699136629783E-3</v>
      </c>
    </row>
    <row r="655" spans="7:8">
      <c r="G655">
        <v>645</v>
      </c>
      <c r="H655">
        <f t="shared" ca="1" si="18"/>
        <v>-2.7460594791175335E-2</v>
      </c>
    </row>
    <row r="656" spans="7:8">
      <c r="G656">
        <v>646</v>
      </c>
      <c r="H656">
        <f t="shared" ca="1" si="18"/>
        <v>-6.5191219855344068E-3</v>
      </c>
    </row>
    <row r="657" spans="7:8">
      <c r="G657">
        <v>647</v>
      </c>
      <c r="H657">
        <f t="shared" ca="1" si="18"/>
        <v>1.6546950281075692E-2</v>
      </c>
    </row>
    <row r="658" spans="7:8">
      <c r="G658">
        <v>648</v>
      </c>
      <c r="H658">
        <f t="shared" ca="1" si="18"/>
        <v>8.7770569686801865E-3</v>
      </c>
    </row>
    <row r="659" spans="7:8">
      <c r="G659">
        <v>649</v>
      </c>
      <c r="H659">
        <f t="shared" ca="1" si="18"/>
        <v>-1.0998723042406866E-2</v>
      </c>
    </row>
    <row r="660" spans="7:8">
      <c r="G660">
        <v>650</v>
      </c>
      <c r="H660">
        <f t="shared" ca="1" si="18"/>
        <v>2.6347135792548319E-3</v>
      </c>
    </row>
    <row r="661" spans="7:8">
      <c r="G661">
        <v>651</v>
      </c>
      <c r="H661">
        <f t="shared" ca="1" si="18"/>
        <v>-2.0424153981481757E-2</v>
      </c>
    </row>
    <row r="662" spans="7:8">
      <c r="G662">
        <v>652</v>
      </c>
      <c r="H662">
        <f t="shared" ca="1" si="18"/>
        <v>1.9903303820044384E-2</v>
      </c>
    </row>
    <row r="663" spans="7:8">
      <c r="G663">
        <v>653</v>
      </c>
      <c r="H663">
        <f t="shared" ca="1" si="18"/>
        <v>3.7577782768360879E-2</v>
      </c>
    </row>
    <row r="664" spans="7:8">
      <c r="G664">
        <v>654</v>
      </c>
      <c r="H664">
        <f t="shared" ca="1" si="18"/>
        <v>4.0239476807600878E-2</v>
      </c>
    </row>
    <row r="665" spans="7:8">
      <c r="G665">
        <v>655</v>
      </c>
      <c r="H665">
        <f t="shared" ca="1" si="18"/>
        <v>9.039860502310702E-3</v>
      </c>
    </row>
    <row r="666" spans="7:8">
      <c r="G666">
        <v>656</v>
      </c>
      <c r="H666">
        <f t="shared" ca="1" si="18"/>
        <v>1.8425440237495225E-3</v>
      </c>
    </row>
    <row r="667" spans="7:8">
      <c r="G667">
        <v>657</v>
      </c>
      <c r="H667">
        <f t="shared" ca="1" si="18"/>
        <v>-1.2248105645927581E-2</v>
      </c>
    </row>
    <row r="668" spans="7:8">
      <c r="G668">
        <v>658</v>
      </c>
      <c r="H668">
        <f t="shared" ca="1" si="18"/>
        <v>-1.4400387077084239E-2</v>
      </c>
    </row>
    <row r="669" spans="7:8">
      <c r="G669">
        <v>659</v>
      </c>
      <c r="H669">
        <f t="shared" ca="1" si="18"/>
        <v>1.8146488238176241E-2</v>
      </c>
    </row>
    <row r="670" spans="7:8">
      <c r="G670">
        <v>660</v>
      </c>
      <c r="H670">
        <f t="shared" ca="1" si="18"/>
        <v>2.0429909832270715E-3</v>
      </c>
    </row>
    <row r="671" spans="7:8">
      <c r="G671">
        <v>661</v>
      </c>
      <c r="H671">
        <f t="shared" ca="1" si="18"/>
        <v>-3.8619572386460882E-2</v>
      </c>
    </row>
    <row r="672" spans="7:8">
      <c r="G672">
        <v>662</v>
      </c>
      <c r="H672">
        <f t="shared" ca="1" si="18"/>
        <v>1.8071128597402484E-2</v>
      </c>
    </row>
    <row r="673" spans="7:8">
      <c r="G673">
        <v>663</v>
      </c>
      <c r="H673">
        <f t="shared" ca="1" si="18"/>
        <v>-3.6116748671592078E-2</v>
      </c>
    </row>
    <row r="674" spans="7:8">
      <c r="G674">
        <v>664</v>
      </c>
      <c r="H674">
        <f t="shared" ca="1" si="18"/>
        <v>2.414474805163646E-3</v>
      </c>
    </row>
    <row r="675" spans="7:8">
      <c r="G675">
        <v>665</v>
      </c>
      <c r="H675">
        <f t="shared" ca="1" si="18"/>
        <v>1.2137186684086207E-2</v>
      </c>
    </row>
    <row r="676" spans="7:8">
      <c r="G676">
        <v>666</v>
      </c>
      <c r="H676">
        <f t="shared" ca="1" si="18"/>
        <v>-1.0083356296160492E-2</v>
      </c>
    </row>
    <row r="677" spans="7:8">
      <c r="G677">
        <v>667</v>
      </c>
      <c r="H677">
        <f t="shared" ca="1" si="18"/>
        <v>-3.4882943302267438E-3</v>
      </c>
    </row>
    <row r="678" spans="7:8">
      <c r="G678">
        <v>668</v>
      </c>
      <c r="H678">
        <f t="shared" ca="1" si="18"/>
        <v>-7.8424934792036844E-3</v>
      </c>
    </row>
    <row r="679" spans="7:8">
      <c r="G679">
        <v>669</v>
      </c>
      <c r="H679">
        <f t="shared" ca="1" si="18"/>
        <v>2.6435050707095634E-2</v>
      </c>
    </row>
    <row r="680" spans="7:8">
      <c r="G680">
        <v>670</v>
      </c>
      <c r="H680">
        <f t="shared" ca="1" si="18"/>
        <v>1.9180863376350978E-2</v>
      </c>
    </row>
    <row r="681" spans="7:8">
      <c r="G681">
        <v>671</v>
      </c>
      <c r="H681">
        <f t="shared" ca="1" si="18"/>
        <v>2.8009222393449106E-3</v>
      </c>
    </row>
    <row r="682" spans="7:8">
      <c r="G682">
        <v>672</v>
      </c>
      <c r="H682">
        <f t="shared" ca="1" si="18"/>
        <v>4.598583719743525E-3</v>
      </c>
    </row>
    <row r="683" spans="7:8">
      <c r="G683">
        <v>673</v>
      </c>
      <c r="H683">
        <f t="shared" ca="1" si="18"/>
        <v>3.2111603244693039E-2</v>
      </c>
    </row>
    <row r="684" spans="7:8">
      <c r="G684">
        <v>674</v>
      </c>
      <c r="H684">
        <f t="shared" ca="1" si="18"/>
        <v>-1.3701938759440353E-2</v>
      </c>
    </row>
    <row r="685" spans="7:8">
      <c r="G685">
        <v>675</v>
      </c>
      <c r="H685">
        <f t="shared" ca="1" si="18"/>
        <v>-1.1501120712896265E-2</v>
      </c>
    </row>
    <row r="686" spans="7:8">
      <c r="G686">
        <v>676</v>
      </c>
      <c r="H686">
        <f t="shared" ca="1" si="18"/>
        <v>-1.178169153346131E-2</v>
      </c>
    </row>
    <row r="687" spans="7:8">
      <c r="G687">
        <v>677</v>
      </c>
      <c r="H687">
        <f t="shared" ca="1" si="18"/>
        <v>-1.5769964586119491E-2</v>
      </c>
    </row>
    <row r="688" spans="7:8">
      <c r="G688">
        <v>678</v>
      </c>
      <c r="H688">
        <f t="shared" ca="1" si="18"/>
        <v>1.443678247160868E-2</v>
      </c>
    </row>
    <row r="689" spans="7:8">
      <c r="G689">
        <v>679</v>
      </c>
      <c r="H689">
        <f t="shared" ca="1" si="18"/>
        <v>-8.2886255209763983E-3</v>
      </c>
    </row>
    <row r="690" spans="7:8">
      <c r="G690">
        <v>680</v>
      </c>
      <c r="H690">
        <f t="shared" ca="1" si="18"/>
        <v>9.1049953638775629E-3</v>
      </c>
    </row>
    <row r="691" spans="7:8">
      <c r="G691">
        <v>681</v>
      </c>
      <c r="H691">
        <f t="shared" ca="1" si="18"/>
        <v>-1.8925361740862911E-2</v>
      </c>
    </row>
    <row r="692" spans="7:8">
      <c r="G692">
        <v>682</v>
      </c>
      <c r="H692">
        <f t="shared" ca="1" si="18"/>
        <v>-2.6971268541675281E-2</v>
      </c>
    </row>
    <row r="693" spans="7:8">
      <c r="G693">
        <v>683</v>
      </c>
      <c r="H693">
        <f t="shared" ca="1" si="18"/>
        <v>-4.105863729679568E-2</v>
      </c>
    </row>
    <row r="694" spans="7:8">
      <c r="G694">
        <v>684</v>
      </c>
      <c r="H694">
        <f t="shared" ca="1" si="18"/>
        <v>-2.4565296785835607E-3</v>
      </c>
    </row>
    <row r="695" spans="7:8">
      <c r="G695">
        <v>685</v>
      </c>
      <c r="H695">
        <f t="shared" ca="1" si="18"/>
        <v>-3.2647877205834057E-2</v>
      </c>
    </row>
    <row r="696" spans="7:8">
      <c r="G696">
        <v>686</v>
      </c>
      <c r="H696">
        <f t="shared" ca="1" si="18"/>
        <v>-2.1855816976809047E-2</v>
      </c>
    </row>
    <row r="697" spans="7:8">
      <c r="G697">
        <v>687</v>
      </c>
      <c r="H697">
        <f t="shared" ca="1" si="18"/>
        <v>2.3509666225075554E-2</v>
      </c>
    </row>
    <row r="698" spans="7:8">
      <c r="G698">
        <v>688</v>
      </c>
      <c r="H698">
        <f t="shared" ca="1" si="18"/>
        <v>-4.3604563350428654E-3</v>
      </c>
    </row>
    <row r="699" spans="7:8">
      <c r="G699">
        <v>689</v>
      </c>
      <c r="H699">
        <f t="shared" ca="1" si="18"/>
        <v>-4.4716501451487834E-3</v>
      </c>
    </row>
    <row r="700" spans="7:8">
      <c r="G700">
        <v>690</v>
      </c>
      <c r="H700">
        <f t="shared" ca="1" si="18"/>
        <v>-1.9696976548694844E-2</v>
      </c>
    </row>
    <row r="701" spans="7:8">
      <c r="G701">
        <v>691</v>
      </c>
      <c r="H701">
        <f t="shared" ca="1" si="18"/>
        <v>-1.140190598239609E-2</v>
      </c>
    </row>
    <row r="702" spans="7:8">
      <c r="G702">
        <v>692</v>
      </c>
      <c r="H702">
        <f t="shared" ca="1" si="18"/>
        <v>-3.4529942882214851E-2</v>
      </c>
    </row>
    <row r="703" spans="7:8">
      <c r="G703">
        <v>693</v>
      </c>
      <c r="H703">
        <f t="shared" ca="1" si="18"/>
        <v>-2.6009535158182718E-3</v>
      </c>
    </row>
    <row r="704" spans="7:8">
      <c r="G704">
        <v>694</v>
      </c>
      <c r="H704">
        <f t="shared" ca="1" si="18"/>
        <v>-2.3723230704908792E-2</v>
      </c>
    </row>
    <row r="705" spans="7:8">
      <c r="G705">
        <v>695</v>
      </c>
      <c r="H705">
        <f t="shared" ca="1" si="18"/>
        <v>8.5403551628420397E-3</v>
      </c>
    </row>
    <row r="706" spans="7:8">
      <c r="G706">
        <v>696</v>
      </c>
      <c r="H706">
        <f t="shared" ca="1" si="18"/>
        <v>-1.3898759556188372E-2</v>
      </c>
    </row>
    <row r="707" spans="7:8">
      <c r="G707">
        <v>697</v>
      </c>
      <c r="H707">
        <f t="shared" ca="1" si="18"/>
        <v>7.4375037621200154E-3</v>
      </c>
    </row>
    <row r="708" spans="7:8">
      <c r="G708">
        <v>698</v>
      </c>
      <c r="H708">
        <f t="shared" ca="1" si="18"/>
        <v>7.9741892030063943E-3</v>
      </c>
    </row>
    <row r="709" spans="7:8">
      <c r="G709">
        <v>699</v>
      </c>
      <c r="H709">
        <f t="shared" ca="1" si="18"/>
        <v>-1.5607684625732452E-2</v>
      </c>
    </row>
    <row r="710" spans="7:8">
      <c r="G710">
        <v>700</v>
      </c>
      <c r="H710">
        <f t="shared" ca="1" si="18"/>
        <v>-1.5397570561040758E-2</v>
      </c>
    </row>
    <row r="711" spans="7:8">
      <c r="G711">
        <v>701</v>
      </c>
      <c r="H711">
        <f t="shared" ca="1" si="18"/>
        <v>2.960498911392696E-2</v>
      </c>
    </row>
    <row r="712" spans="7:8">
      <c r="G712">
        <v>702</v>
      </c>
      <c r="H712">
        <f t="shared" ca="1" si="18"/>
        <v>1.3275931302286797E-4</v>
      </c>
    </row>
    <row r="713" spans="7:8">
      <c r="G713">
        <v>703</v>
      </c>
      <c r="H713">
        <f t="shared" ca="1" si="18"/>
        <v>-1.8112047919829448E-2</v>
      </c>
    </row>
    <row r="714" spans="7:8">
      <c r="G714">
        <v>704</v>
      </c>
      <c r="H714">
        <f t="shared" ca="1" si="18"/>
        <v>-1.6423206102545388E-2</v>
      </c>
    </row>
    <row r="715" spans="7:8">
      <c r="G715">
        <v>705</v>
      </c>
      <c r="H715">
        <f t="shared" ca="1" si="18"/>
        <v>1.5903552011638218E-3</v>
      </c>
    </row>
    <row r="716" spans="7:8">
      <c r="G716">
        <v>706</v>
      </c>
      <c r="H716">
        <f t="shared" ref="H716:H779" ca="1" si="19">_xlfn.NORM.INV(RAND(),N$13,N$14)</f>
        <v>-1.0529958510159345E-3</v>
      </c>
    </row>
    <row r="717" spans="7:8">
      <c r="G717">
        <v>707</v>
      </c>
      <c r="H717">
        <f t="shared" ca="1" si="19"/>
        <v>1.7146596927202169E-2</v>
      </c>
    </row>
    <row r="718" spans="7:8">
      <c r="G718">
        <v>708</v>
      </c>
      <c r="H718">
        <f t="shared" ca="1" si="19"/>
        <v>1.9490964140500482E-2</v>
      </c>
    </row>
    <row r="719" spans="7:8">
      <c r="G719">
        <v>709</v>
      </c>
      <c r="H719">
        <f t="shared" ca="1" si="19"/>
        <v>1.9283711881389245E-2</v>
      </c>
    </row>
    <row r="720" spans="7:8">
      <c r="G720">
        <v>710</v>
      </c>
      <c r="H720">
        <f t="shared" ca="1" si="19"/>
        <v>1.0518466559981212E-3</v>
      </c>
    </row>
    <row r="721" spans="7:8">
      <c r="G721">
        <v>711</v>
      </c>
      <c r="H721">
        <f t="shared" ca="1" si="19"/>
        <v>-3.5056835539382547E-2</v>
      </c>
    </row>
    <row r="722" spans="7:8">
      <c r="G722">
        <v>712</v>
      </c>
      <c r="H722">
        <f t="shared" ca="1" si="19"/>
        <v>-8.6765944622620942E-3</v>
      </c>
    </row>
    <row r="723" spans="7:8">
      <c r="G723">
        <v>713</v>
      </c>
      <c r="H723">
        <f t="shared" ca="1" si="19"/>
        <v>1.4576123912528853E-2</v>
      </c>
    </row>
    <row r="724" spans="7:8">
      <c r="G724">
        <v>714</v>
      </c>
      <c r="H724">
        <f t="shared" ca="1" si="19"/>
        <v>2.9455206423510606E-2</v>
      </c>
    </row>
    <row r="725" spans="7:8">
      <c r="G725">
        <v>715</v>
      </c>
      <c r="H725">
        <f t="shared" ca="1" si="19"/>
        <v>3.1388359376844158E-2</v>
      </c>
    </row>
    <row r="726" spans="7:8">
      <c r="G726">
        <v>716</v>
      </c>
      <c r="H726">
        <f t="shared" ca="1" si="19"/>
        <v>-1.2613287825583122E-2</v>
      </c>
    </row>
    <row r="727" spans="7:8">
      <c r="G727">
        <v>717</v>
      </c>
      <c r="H727">
        <f t="shared" ca="1" si="19"/>
        <v>9.605363880870384E-3</v>
      </c>
    </row>
    <row r="728" spans="7:8">
      <c r="G728">
        <v>718</v>
      </c>
      <c r="H728">
        <f t="shared" ca="1" si="19"/>
        <v>-5.6554553474654726E-2</v>
      </c>
    </row>
    <row r="729" spans="7:8">
      <c r="G729">
        <v>719</v>
      </c>
      <c r="H729">
        <f t="shared" ca="1" si="19"/>
        <v>3.2057232730362852E-2</v>
      </c>
    </row>
    <row r="730" spans="7:8">
      <c r="G730">
        <v>720</v>
      </c>
      <c r="H730">
        <f t="shared" ca="1" si="19"/>
        <v>1.3360250669721768E-2</v>
      </c>
    </row>
    <row r="731" spans="7:8">
      <c r="G731">
        <v>721</v>
      </c>
      <c r="H731">
        <f t="shared" ca="1" si="19"/>
        <v>-2.0586739487087818E-2</v>
      </c>
    </row>
    <row r="732" spans="7:8">
      <c r="G732">
        <v>722</v>
      </c>
      <c r="H732">
        <f t="shared" ca="1" si="19"/>
        <v>-2.2515615827737968E-2</v>
      </c>
    </row>
    <row r="733" spans="7:8">
      <c r="G733">
        <v>723</v>
      </c>
      <c r="H733">
        <f t="shared" ca="1" si="19"/>
        <v>6.5367597042774173E-3</v>
      </c>
    </row>
    <row r="734" spans="7:8">
      <c r="G734">
        <v>724</v>
      </c>
      <c r="H734">
        <f t="shared" ca="1" si="19"/>
        <v>-4.0567210857225776E-2</v>
      </c>
    </row>
    <row r="735" spans="7:8">
      <c r="G735">
        <v>725</v>
      </c>
      <c r="H735">
        <f t="shared" ca="1" si="19"/>
        <v>6.1008071883693095E-3</v>
      </c>
    </row>
    <row r="736" spans="7:8">
      <c r="G736">
        <v>726</v>
      </c>
      <c r="H736">
        <f t="shared" ca="1" si="19"/>
        <v>3.0283178962205243E-2</v>
      </c>
    </row>
    <row r="737" spans="7:8">
      <c r="G737">
        <v>727</v>
      </c>
      <c r="H737">
        <f t="shared" ca="1" si="19"/>
        <v>-3.6102625816772163E-2</v>
      </c>
    </row>
    <row r="738" spans="7:8">
      <c r="G738">
        <v>728</v>
      </c>
      <c r="H738">
        <f t="shared" ca="1" si="19"/>
        <v>-1.1750842121598869E-2</v>
      </c>
    </row>
    <row r="739" spans="7:8">
      <c r="G739">
        <v>729</v>
      </c>
      <c r="H739">
        <f t="shared" ca="1" si="19"/>
        <v>5.767675669618751E-3</v>
      </c>
    </row>
    <row r="740" spans="7:8">
      <c r="G740">
        <v>730</v>
      </c>
      <c r="H740">
        <f t="shared" ca="1" si="19"/>
        <v>4.4436694424825384E-3</v>
      </c>
    </row>
    <row r="741" spans="7:8">
      <c r="G741">
        <v>731</v>
      </c>
      <c r="H741">
        <f t="shared" ca="1" si="19"/>
        <v>2.8081976214888765E-2</v>
      </c>
    </row>
    <row r="742" spans="7:8">
      <c r="G742">
        <v>732</v>
      </c>
      <c r="H742">
        <f t="shared" ca="1" si="19"/>
        <v>1.6052436570305813E-2</v>
      </c>
    </row>
    <row r="743" spans="7:8">
      <c r="G743">
        <v>733</v>
      </c>
      <c r="H743">
        <f t="shared" ca="1" si="19"/>
        <v>5.2768995676677713E-2</v>
      </c>
    </row>
    <row r="744" spans="7:8">
      <c r="G744">
        <v>734</v>
      </c>
      <c r="H744">
        <f t="shared" ca="1" si="19"/>
        <v>-2.561711619576499E-2</v>
      </c>
    </row>
    <row r="745" spans="7:8">
      <c r="G745">
        <v>735</v>
      </c>
      <c r="H745">
        <f t="shared" ca="1" si="19"/>
        <v>3.1288564415111166E-2</v>
      </c>
    </row>
    <row r="746" spans="7:8">
      <c r="G746">
        <v>736</v>
      </c>
      <c r="H746">
        <f t="shared" ca="1" si="19"/>
        <v>2.0346076953605411E-2</v>
      </c>
    </row>
    <row r="747" spans="7:8">
      <c r="G747">
        <v>737</v>
      </c>
      <c r="H747">
        <f t="shared" ca="1" si="19"/>
        <v>-2.5389294434748685E-3</v>
      </c>
    </row>
    <row r="748" spans="7:8">
      <c r="G748">
        <v>738</v>
      </c>
      <c r="H748">
        <f t="shared" ca="1" si="19"/>
        <v>-2.672621479470939E-2</v>
      </c>
    </row>
    <row r="749" spans="7:8">
      <c r="G749">
        <v>739</v>
      </c>
      <c r="H749">
        <f t="shared" ca="1" si="19"/>
        <v>1.1475326455320619E-2</v>
      </c>
    </row>
    <row r="750" spans="7:8">
      <c r="G750">
        <v>740</v>
      </c>
      <c r="H750">
        <f t="shared" ca="1" si="19"/>
        <v>-4.4076395425353765E-3</v>
      </c>
    </row>
    <row r="751" spans="7:8">
      <c r="G751">
        <v>741</v>
      </c>
      <c r="H751">
        <f t="shared" ca="1" si="19"/>
        <v>-1.8096990783681131E-2</v>
      </c>
    </row>
    <row r="752" spans="7:8">
      <c r="G752">
        <v>742</v>
      </c>
      <c r="H752">
        <f t="shared" ca="1" si="19"/>
        <v>-4.6695285367466375E-4</v>
      </c>
    </row>
    <row r="753" spans="7:8">
      <c r="G753">
        <v>743</v>
      </c>
      <c r="H753">
        <f t="shared" ca="1" si="19"/>
        <v>-1.0497494167223411E-3</v>
      </c>
    </row>
    <row r="754" spans="7:8">
      <c r="G754">
        <v>744</v>
      </c>
      <c r="H754">
        <f t="shared" ca="1" si="19"/>
        <v>1.7356486783394787E-2</v>
      </c>
    </row>
    <row r="755" spans="7:8">
      <c r="G755">
        <v>745</v>
      </c>
      <c r="H755">
        <f t="shared" ca="1" si="19"/>
        <v>3.4775362967347512E-2</v>
      </c>
    </row>
    <row r="756" spans="7:8">
      <c r="G756">
        <v>746</v>
      </c>
      <c r="H756">
        <f t="shared" ca="1" si="19"/>
        <v>-7.9155198456823499E-3</v>
      </c>
    </row>
    <row r="757" spans="7:8">
      <c r="G757">
        <v>747</v>
      </c>
      <c r="H757">
        <f t="shared" ca="1" si="19"/>
        <v>-4.7079323997711642E-2</v>
      </c>
    </row>
    <row r="758" spans="7:8">
      <c r="G758">
        <v>748</v>
      </c>
      <c r="H758">
        <f t="shared" ca="1" si="19"/>
        <v>1.0156526852047491E-2</v>
      </c>
    </row>
    <row r="759" spans="7:8">
      <c r="G759">
        <v>749</v>
      </c>
      <c r="H759">
        <f t="shared" ca="1" si="19"/>
        <v>-2.3329603382562522E-3</v>
      </c>
    </row>
    <row r="760" spans="7:8">
      <c r="G760">
        <v>750</v>
      </c>
      <c r="H760">
        <f t="shared" ca="1" si="19"/>
        <v>2.2059501024437652E-3</v>
      </c>
    </row>
    <row r="761" spans="7:8">
      <c r="G761">
        <v>751</v>
      </c>
      <c r="H761">
        <f t="shared" ca="1" si="19"/>
        <v>2.6369863568837887E-2</v>
      </c>
    </row>
    <row r="762" spans="7:8">
      <c r="G762">
        <v>752</v>
      </c>
      <c r="H762">
        <f t="shared" ca="1" si="19"/>
        <v>1.7053540731361876E-2</v>
      </c>
    </row>
    <row r="763" spans="7:8">
      <c r="G763">
        <v>753</v>
      </c>
      <c r="H763">
        <f t="shared" ca="1" si="19"/>
        <v>-8.9027956987468848E-3</v>
      </c>
    </row>
    <row r="764" spans="7:8">
      <c r="G764">
        <v>754</v>
      </c>
      <c r="H764">
        <f t="shared" ca="1" si="19"/>
        <v>-1.7074774447369479E-2</v>
      </c>
    </row>
    <row r="765" spans="7:8">
      <c r="G765">
        <v>755</v>
      </c>
      <c r="H765">
        <f t="shared" ca="1" si="19"/>
        <v>3.3195627354126165E-3</v>
      </c>
    </row>
    <row r="766" spans="7:8">
      <c r="G766">
        <v>756</v>
      </c>
      <c r="H766">
        <f t="shared" ca="1" si="19"/>
        <v>-8.6146958322461421E-3</v>
      </c>
    </row>
    <row r="767" spans="7:8">
      <c r="G767">
        <v>757</v>
      </c>
      <c r="H767">
        <f t="shared" ca="1" si="19"/>
        <v>-3.8019198493085327E-2</v>
      </c>
    </row>
    <row r="768" spans="7:8">
      <c r="G768">
        <v>758</v>
      </c>
      <c r="H768">
        <f t="shared" ca="1" si="19"/>
        <v>-9.2445724244769288E-3</v>
      </c>
    </row>
    <row r="769" spans="7:8">
      <c r="G769">
        <v>759</v>
      </c>
      <c r="H769">
        <f t="shared" ca="1" si="19"/>
        <v>-5.6559554748712758E-3</v>
      </c>
    </row>
    <row r="770" spans="7:8">
      <c r="G770">
        <v>760</v>
      </c>
      <c r="H770">
        <f t="shared" ca="1" si="19"/>
        <v>-3.7418102213085502E-2</v>
      </c>
    </row>
    <row r="771" spans="7:8">
      <c r="G771">
        <v>761</v>
      </c>
      <c r="H771">
        <f t="shared" ca="1" si="19"/>
        <v>3.1631242348274677E-2</v>
      </c>
    </row>
    <row r="772" spans="7:8">
      <c r="G772">
        <v>762</v>
      </c>
      <c r="H772">
        <f t="shared" ca="1" si="19"/>
        <v>-5.0442624148433861E-2</v>
      </c>
    </row>
    <row r="773" spans="7:8">
      <c r="G773">
        <v>763</v>
      </c>
      <c r="H773">
        <f t="shared" ca="1" si="19"/>
        <v>-1.6209869628931072E-2</v>
      </c>
    </row>
    <row r="774" spans="7:8">
      <c r="G774">
        <v>764</v>
      </c>
      <c r="H774">
        <f t="shared" ca="1" si="19"/>
        <v>-2.041589425512625E-2</v>
      </c>
    </row>
    <row r="775" spans="7:8">
      <c r="G775">
        <v>765</v>
      </c>
      <c r="H775">
        <f t="shared" ca="1" si="19"/>
        <v>-1.9811431947922731E-2</v>
      </c>
    </row>
    <row r="776" spans="7:8">
      <c r="G776">
        <v>766</v>
      </c>
      <c r="H776">
        <f t="shared" ca="1" si="19"/>
        <v>-4.2631690276034112E-2</v>
      </c>
    </row>
    <row r="777" spans="7:8">
      <c r="G777">
        <v>767</v>
      </c>
      <c r="H777">
        <f t="shared" ca="1" si="19"/>
        <v>-6.4877512276289755E-3</v>
      </c>
    </row>
    <row r="778" spans="7:8">
      <c r="G778">
        <v>768</v>
      </c>
      <c r="H778">
        <f t="shared" ca="1" si="19"/>
        <v>-3.1946499167739241E-3</v>
      </c>
    </row>
    <row r="779" spans="7:8">
      <c r="G779">
        <v>769</v>
      </c>
      <c r="H779">
        <f t="shared" ca="1" si="19"/>
        <v>-1.2302173020518514E-3</v>
      </c>
    </row>
    <row r="780" spans="7:8">
      <c r="G780">
        <v>770</v>
      </c>
      <c r="H780">
        <f t="shared" ref="H780:H843" ca="1" si="20">_xlfn.NORM.INV(RAND(),N$13,N$14)</f>
        <v>1.5830163739576368E-3</v>
      </c>
    </row>
    <row r="781" spans="7:8">
      <c r="G781">
        <v>771</v>
      </c>
      <c r="H781">
        <f t="shared" ca="1" si="20"/>
        <v>6.4571458438527811E-3</v>
      </c>
    </row>
    <row r="782" spans="7:8">
      <c r="G782">
        <v>772</v>
      </c>
      <c r="H782">
        <f t="shared" ca="1" si="20"/>
        <v>-2.5268061684014007E-2</v>
      </c>
    </row>
    <row r="783" spans="7:8">
      <c r="G783">
        <v>773</v>
      </c>
      <c r="H783">
        <f t="shared" ca="1" si="20"/>
        <v>-1.6008348821946374E-2</v>
      </c>
    </row>
    <row r="784" spans="7:8">
      <c r="G784">
        <v>774</v>
      </c>
      <c r="H784">
        <f t="shared" ca="1" si="20"/>
        <v>2.9670172895206945E-2</v>
      </c>
    </row>
    <row r="785" spans="7:8">
      <c r="G785">
        <v>775</v>
      </c>
      <c r="H785">
        <f t="shared" ca="1" si="20"/>
        <v>9.2252717574024985E-3</v>
      </c>
    </row>
    <row r="786" spans="7:8">
      <c r="G786">
        <v>776</v>
      </c>
      <c r="H786">
        <f t="shared" ca="1" si="20"/>
        <v>-3.1252008721452708E-2</v>
      </c>
    </row>
    <row r="787" spans="7:8">
      <c r="G787">
        <v>777</v>
      </c>
      <c r="H787">
        <f t="shared" ca="1" si="20"/>
        <v>4.2153298726902962E-3</v>
      </c>
    </row>
    <row r="788" spans="7:8">
      <c r="G788">
        <v>778</v>
      </c>
      <c r="H788">
        <f t="shared" ca="1" si="20"/>
        <v>-1.9005971093386264E-2</v>
      </c>
    </row>
    <row r="789" spans="7:8">
      <c r="G789">
        <v>779</v>
      </c>
      <c r="H789">
        <f t="shared" ca="1" si="20"/>
        <v>2.796823692479472E-2</v>
      </c>
    </row>
    <row r="790" spans="7:8">
      <c r="G790">
        <v>780</v>
      </c>
      <c r="H790">
        <f t="shared" ca="1" si="20"/>
        <v>1.2725842970569431E-2</v>
      </c>
    </row>
    <row r="791" spans="7:8">
      <c r="G791">
        <v>781</v>
      </c>
      <c r="H791">
        <f t="shared" ca="1" si="20"/>
        <v>1.3101949211760191E-2</v>
      </c>
    </row>
    <row r="792" spans="7:8">
      <c r="G792">
        <v>782</v>
      </c>
      <c r="H792">
        <f t="shared" ca="1" si="20"/>
        <v>2.219182664098545E-2</v>
      </c>
    </row>
    <row r="793" spans="7:8">
      <c r="G793">
        <v>783</v>
      </c>
      <c r="H793">
        <f t="shared" ca="1" si="20"/>
        <v>-1.4545074142565334E-2</v>
      </c>
    </row>
    <row r="794" spans="7:8">
      <c r="G794">
        <v>784</v>
      </c>
      <c r="H794">
        <f t="shared" ca="1" si="20"/>
        <v>-1.3895248550503832E-2</v>
      </c>
    </row>
    <row r="795" spans="7:8">
      <c r="G795">
        <v>785</v>
      </c>
      <c r="H795">
        <f t="shared" ca="1" si="20"/>
        <v>-5.7301301471003034E-2</v>
      </c>
    </row>
    <row r="796" spans="7:8">
      <c r="G796">
        <v>786</v>
      </c>
      <c r="H796">
        <f t="shared" ca="1" si="20"/>
        <v>-3.3076140381531387E-2</v>
      </c>
    </row>
    <row r="797" spans="7:8">
      <c r="G797">
        <v>787</v>
      </c>
      <c r="H797">
        <f t="shared" ca="1" si="20"/>
        <v>-1.9538943552132545E-3</v>
      </c>
    </row>
    <row r="798" spans="7:8">
      <c r="G798">
        <v>788</v>
      </c>
      <c r="H798">
        <f t="shared" ca="1" si="20"/>
        <v>-6.5963914548370908E-3</v>
      </c>
    </row>
    <row r="799" spans="7:8">
      <c r="G799">
        <v>789</v>
      </c>
      <c r="H799">
        <f t="shared" ca="1" si="20"/>
        <v>-8.2085420503529016E-3</v>
      </c>
    </row>
    <row r="800" spans="7:8">
      <c r="G800">
        <v>790</v>
      </c>
      <c r="H800">
        <f t="shared" ca="1" si="20"/>
        <v>-7.0038278579685155E-3</v>
      </c>
    </row>
    <row r="801" spans="7:8">
      <c r="G801">
        <v>791</v>
      </c>
      <c r="H801">
        <f t="shared" ca="1" si="20"/>
        <v>3.4890936858674004E-2</v>
      </c>
    </row>
    <row r="802" spans="7:8">
      <c r="G802">
        <v>792</v>
      </c>
      <c r="H802">
        <f t="shared" ca="1" si="20"/>
        <v>-9.1733902249189134E-3</v>
      </c>
    </row>
    <row r="803" spans="7:8">
      <c r="G803">
        <v>793</v>
      </c>
      <c r="H803">
        <f t="shared" ca="1" si="20"/>
        <v>-2.2546243446553583E-2</v>
      </c>
    </row>
    <row r="804" spans="7:8">
      <c r="G804">
        <v>794</v>
      </c>
      <c r="H804">
        <f t="shared" ca="1" si="20"/>
        <v>3.4514455082677427E-2</v>
      </c>
    </row>
    <row r="805" spans="7:8">
      <c r="G805">
        <v>795</v>
      </c>
      <c r="H805">
        <f t="shared" ca="1" si="20"/>
        <v>7.3566718351754969E-3</v>
      </c>
    </row>
    <row r="806" spans="7:8">
      <c r="G806">
        <v>796</v>
      </c>
      <c r="H806">
        <f t="shared" ca="1" si="20"/>
        <v>1.4246702628066014E-2</v>
      </c>
    </row>
    <row r="807" spans="7:8">
      <c r="G807">
        <v>797</v>
      </c>
      <c r="H807">
        <f t="shared" ca="1" si="20"/>
        <v>3.331611582090515E-2</v>
      </c>
    </row>
    <row r="808" spans="7:8">
      <c r="G808">
        <v>798</v>
      </c>
      <c r="H808">
        <f t="shared" ca="1" si="20"/>
        <v>1.696834916691204E-2</v>
      </c>
    </row>
    <row r="809" spans="7:8">
      <c r="G809">
        <v>799</v>
      </c>
      <c r="H809">
        <f t="shared" ca="1" si="20"/>
        <v>-9.2838604190867424E-4</v>
      </c>
    </row>
    <row r="810" spans="7:8">
      <c r="G810">
        <v>800</v>
      </c>
      <c r="H810">
        <f t="shared" ca="1" si="20"/>
        <v>5.4129714363044821E-3</v>
      </c>
    </row>
    <row r="811" spans="7:8">
      <c r="G811">
        <v>801</v>
      </c>
      <c r="H811">
        <f t="shared" ca="1" si="20"/>
        <v>4.0899534800696281E-2</v>
      </c>
    </row>
    <row r="812" spans="7:8">
      <c r="G812">
        <v>802</v>
      </c>
      <c r="H812">
        <f t="shared" ca="1" si="20"/>
        <v>3.0730283260369813E-2</v>
      </c>
    </row>
    <row r="813" spans="7:8">
      <c r="G813">
        <v>803</v>
      </c>
      <c r="H813">
        <f t="shared" ca="1" si="20"/>
        <v>2.9910112532621786E-2</v>
      </c>
    </row>
    <row r="814" spans="7:8">
      <c r="G814">
        <v>804</v>
      </c>
      <c r="H814">
        <f t="shared" ca="1" si="20"/>
        <v>1.745896326888435E-2</v>
      </c>
    </row>
    <row r="815" spans="7:8">
      <c r="G815">
        <v>805</v>
      </c>
      <c r="H815">
        <f t="shared" ca="1" si="20"/>
        <v>-1.0797390215070807E-2</v>
      </c>
    </row>
    <row r="816" spans="7:8">
      <c r="G816">
        <v>806</v>
      </c>
      <c r="H816">
        <f t="shared" ca="1" si="20"/>
        <v>-3.397093951467374E-2</v>
      </c>
    </row>
    <row r="817" spans="7:8">
      <c r="G817">
        <v>807</v>
      </c>
      <c r="H817">
        <f t="shared" ca="1" si="20"/>
        <v>1.0066378971379963E-2</v>
      </c>
    </row>
    <row r="818" spans="7:8">
      <c r="G818">
        <v>808</v>
      </c>
      <c r="H818">
        <f t="shared" ca="1" si="20"/>
        <v>1.4450100780022002E-2</v>
      </c>
    </row>
    <row r="819" spans="7:8">
      <c r="G819">
        <v>809</v>
      </c>
      <c r="H819">
        <f t="shared" ca="1" si="20"/>
        <v>7.1190232733438124E-3</v>
      </c>
    </row>
    <row r="820" spans="7:8">
      <c r="G820">
        <v>810</v>
      </c>
      <c r="H820">
        <f t="shared" ca="1" si="20"/>
        <v>-2.4973935155810322E-2</v>
      </c>
    </row>
    <row r="821" spans="7:8">
      <c r="G821">
        <v>811</v>
      </c>
      <c r="H821">
        <f t="shared" ca="1" si="20"/>
        <v>6.229044646551362E-2</v>
      </c>
    </row>
    <row r="822" spans="7:8">
      <c r="G822">
        <v>812</v>
      </c>
      <c r="H822">
        <f t="shared" ca="1" si="20"/>
        <v>2.6927236128003011E-2</v>
      </c>
    </row>
    <row r="823" spans="7:8">
      <c r="G823">
        <v>813</v>
      </c>
      <c r="H823">
        <f t="shared" ca="1" si="20"/>
        <v>2.2424491707706103E-2</v>
      </c>
    </row>
    <row r="824" spans="7:8">
      <c r="G824">
        <v>814</v>
      </c>
      <c r="H824">
        <f t="shared" ca="1" si="20"/>
        <v>-2.4060086804480414E-2</v>
      </c>
    </row>
    <row r="825" spans="7:8">
      <c r="G825">
        <v>815</v>
      </c>
      <c r="H825">
        <f t="shared" ca="1" si="20"/>
        <v>-1.1910569305503532E-2</v>
      </c>
    </row>
    <row r="826" spans="7:8">
      <c r="G826">
        <v>816</v>
      </c>
      <c r="H826">
        <f t="shared" ca="1" si="20"/>
        <v>-4.7038133160078634E-2</v>
      </c>
    </row>
    <row r="827" spans="7:8">
      <c r="G827">
        <v>817</v>
      </c>
      <c r="H827">
        <f t="shared" ca="1" si="20"/>
        <v>-4.0101220053465982E-2</v>
      </c>
    </row>
    <row r="828" spans="7:8">
      <c r="G828">
        <v>818</v>
      </c>
      <c r="H828">
        <f t="shared" ca="1" si="20"/>
        <v>6.952533600741201E-3</v>
      </c>
    </row>
    <row r="829" spans="7:8">
      <c r="G829">
        <v>819</v>
      </c>
      <c r="H829">
        <f t="shared" ca="1" si="20"/>
        <v>1.3067579426053419E-2</v>
      </c>
    </row>
    <row r="830" spans="7:8">
      <c r="G830">
        <v>820</v>
      </c>
      <c r="H830">
        <f t="shared" ca="1" si="20"/>
        <v>3.3039945526911405E-2</v>
      </c>
    </row>
    <row r="831" spans="7:8">
      <c r="G831">
        <v>821</v>
      </c>
      <c r="H831">
        <f t="shared" ca="1" si="20"/>
        <v>2.2783158709851277E-3</v>
      </c>
    </row>
    <row r="832" spans="7:8">
      <c r="G832">
        <v>822</v>
      </c>
      <c r="H832">
        <f t="shared" ca="1" si="20"/>
        <v>-1.3469566747963546E-2</v>
      </c>
    </row>
    <row r="833" spans="7:8">
      <c r="G833">
        <v>823</v>
      </c>
      <c r="H833">
        <f t="shared" ca="1" si="20"/>
        <v>-2.7053452563219525E-2</v>
      </c>
    </row>
    <row r="834" spans="7:8">
      <c r="G834">
        <v>824</v>
      </c>
      <c r="H834">
        <f t="shared" ca="1" si="20"/>
        <v>1.1215924385723632E-2</v>
      </c>
    </row>
    <row r="835" spans="7:8">
      <c r="G835">
        <v>825</v>
      </c>
      <c r="H835">
        <f t="shared" ca="1" si="20"/>
        <v>-1.3254570959680604E-2</v>
      </c>
    </row>
    <row r="836" spans="7:8">
      <c r="G836">
        <v>826</v>
      </c>
      <c r="H836">
        <f t="shared" ca="1" si="20"/>
        <v>1.0637283240994003E-2</v>
      </c>
    </row>
    <row r="837" spans="7:8">
      <c r="G837">
        <v>827</v>
      </c>
      <c r="H837">
        <f t="shared" ca="1" si="20"/>
        <v>2.2024947606855583E-2</v>
      </c>
    </row>
    <row r="838" spans="7:8">
      <c r="G838">
        <v>828</v>
      </c>
      <c r="H838">
        <f t="shared" ca="1" si="20"/>
        <v>3.7436268013977314E-2</v>
      </c>
    </row>
    <row r="839" spans="7:8">
      <c r="G839">
        <v>829</v>
      </c>
      <c r="H839">
        <f t="shared" ca="1" si="20"/>
        <v>-3.9684084125516097E-3</v>
      </c>
    </row>
    <row r="840" spans="7:8">
      <c r="G840">
        <v>830</v>
      </c>
      <c r="H840">
        <f t="shared" ca="1" si="20"/>
        <v>7.0088905535457156E-3</v>
      </c>
    </row>
    <row r="841" spans="7:8">
      <c r="G841">
        <v>831</v>
      </c>
      <c r="H841">
        <f t="shared" ca="1" si="20"/>
        <v>1.5410465825296276E-2</v>
      </c>
    </row>
    <row r="842" spans="7:8">
      <c r="G842">
        <v>832</v>
      </c>
      <c r="H842">
        <f t="shared" ca="1" si="20"/>
        <v>1.5747241669894028E-2</v>
      </c>
    </row>
    <row r="843" spans="7:8">
      <c r="G843">
        <v>833</v>
      </c>
      <c r="H843">
        <f t="shared" ca="1" si="20"/>
        <v>-2.513035872418553E-3</v>
      </c>
    </row>
    <row r="844" spans="7:8">
      <c r="G844">
        <v>834</v>
      </c>
      <c r="H844">
        <f t="shared" ref="H844:H907" ca="1" si="21">_xlfn.NORM.INV(RAND(),N$13,N$14)</f>
        <v>-2.0905380307025274E-2</v>
      </c>
    </row>
    <row r="845" spans="7:8">
      <c r="G845">
        <v>835</v>
      </c>
      <c r="H845">
        <f t="shared" ca="1" si="21"/>
        <v>-1.8639588501768084E-2</v>
      </c>
    </row>
    <row r="846" spans="7:8">
      <c r="G846">
        <v>836</v>
      </c>
      <c r="H846">
        <f t="shared" ca="1" si="21"/>
        <v>5.8697062590693759E-3</v>
      </c>
    </row>
    <row r="847" spans="7:8">
      <c r="G847">
        <v>837</v>
      </c>
      <c r="H847">
        <f t="shared" ca="1" si="21"/>
        <v>8.4976948266494486E-3</v>
      </c>
    </row>
    <row r="848" spans="7:8">
      <c r="G848">
        <v>838</v>
      </c>
      <c r="H848">
        <f t="shared" ca="1" si="21"/>
        <v>1.2046073607399621E-3</v>
      </c>
    </row>
    <row r="849" spans="7:8">
      <c r="G849">
        <v>839</v>
      </c>
      <c r="H849">
        <f t="shared" ca="1" si="21"/>
        <v>3.5322220782586676E-3</v>
      </c>
    </row>
    <row r="850" spans="7:8">
      <c r="G850">
        <v>840</v>
      </c>
      <c r="H850">
        <f t="shared" ca="1" si="21"/>
        <v>-9.5597628390105185E-3</v>
      </c>
    </row>
    <row r="851" spans="7:8">
      <c r="G851">
        <v>841</v>
      </c>
      <c r="H851">
        <f t="shared" ca="1" si="21"/>
        <v>3.441882238057871E-4</v>
      </c>
    </row>
    <row r="852" spans="7:8">
      <c r="G852">
        <v>842</v>
      </c>
      <c r="H852">
        <f t="shared" ca="1" si="21"/>
        <v>-2.5398304413496386E-3</v>
      </c>
    </row>
    <row r="853" spans="7:8">
      <c r="G853">
        <v>843</v>
      </c>
      <c r="H853">
        <f t="shared" ca="1" si="21"/>
        <v>-5.5074915187058714E-3</v>
      </c>
    </row>
    <row r="854" spans="7:8">
      <c r="G854">
        <v>844</v>
      </c>
      <c r="H854">
        <f t="shared" ca="1" si="21"/>
        <v>6.0466239029579082E-3</v>
      </c>
    </row>
    <row r="855" spans="7:8">
      <c r="G855">
        <v>845</v>
      </c>
      <c r="H855">
        <f t="shared" ca="1" si="21"/>
        <v>-3.3971645131100854E-2</v>
      </c>
    </row>
    <row r="856" spans="7:8">
      <c r="G856">
        <v>846</v>
      </c>
      <c r="H856">
        <f t="shared" ca="1" si="21"/>
        <v>-2.1903711218321239E-2</v>
      </c>
    </row>
    <row r="857" spans="7:8">
      <c r="G857">
        <v>847</v>
      </c>
      <c r="H857">
        <f t="shared" ca="1" si="21"/>
        <v>6.4452825057727649E-3</v>
      </c>
    </row>
    <row r="858" spans="7:8">
      <c r="G858">
        <v>848</v>
      </c>
      <c r="H858">
        <f t="shared" ca="1" si="21"/>
        <v>-8.6235404132138423E-3</v>
      </c>
    </row>
    <row r="859" spans="7:8">
      <c r="G859">
        <v>849</v>
      </c>
      <c r="H859">
        <f t="shared" ca="1" si="21"/>
        <v>2.0946296951001888E-2</v>
      </c>
    </row>
    <row r="860" spans="7:8">
      <c r="G860">
        <v>850</v>
      </c>
      <c r="H860">
        <f t="shared" ca="1" si="21"/>
        <v>4.135849611141923E-2</v>
      </c>
    </row>
    <row r="861" spans="7:8">
      <c r="G861">
        <v>851</v>
      </c>
      <c r="H861">
        <f t="shared" ca="1" si="21"/>
        <v>2.4568975872753855E-2</v>
      </c>
    </row>
    <row r="862" spans="7:8">
      <c r="G862">
        <v>852</v>
      </c>
      <c r="H862">
        <f t="shared" ca="1" si="21"/>
        <v>1.2369204466860645E-3</v>
      </c>
    </row>
    <row r="863" spans="7:8">
      <c r="G863">
        <v>853</v>
      </c>
      <c r="H863">
        <f t="shared" ca="1" si="21"/>
        <v>1.7725709948319606E-2</v>
      </c>
    </row>
    <row r="864" spans="7:8">
      <c r="G864">
        <v>854</v>
      </c>
      <c r="H864">
        <f t="shared" ca="1" si="21"/>
        <v>8.7039828402838606E-3</v>
      </c>
    </row>
    <row r="865" spans="7:8">
      <c r="G865">
        <v>855</v>
      </c>
      <c r="H865">
        <f t="shared" ca="1" si="21"/>
        <v>-3.6183185327011229E-3</v>
      </c>
    </row>
    <row r="866" spans="7:8">
      <c r="G866">
        <v>856</v>
      </c>
      <c r="H866">
        <f t="shared" ca="1" si="21"/>
        <v>1.5177407145912402E-2</v>
      </c>
    </row>
    <row r="867" spans="7:8">
      <c r="G867">
        <v>857</v>
      </c>
      <c r="H867">
        <f t="shared" ca="1" si="21"/>
        <v>-8.7498140884938978E-3</v>
      </c>
    </row>
    <row r="868" spans="7:8">
      <c r="G868">
        <v>858</v>
      </c>
      <c r="H868">
        <f t="shared" ca="1" si="21"/>
        <v>2.1679068128731025E-2</v>
      </c>
    </row>
    <row r="869" spans="7:8">
      <c r="G869">
        <v>859</v>
      </c>
      <c r="H869">
        <f t="shared" ca="1" si="21"/>
        <v>3.7376875238138642E-3</v>
      </c>
    </row>
    <row r="870" spans="7:8">
      <c r="G870">
        <v>860</v>
      </c>
      <c r="H870">
        <f t="shared" ca="1" si="21"/>
        <v>-2.3330710459254007E-2</v>
      </c>
    </row>
    <row r="871" spans="7:8">
      <c r="G871">
        <v>861</v>
      </c>
      <c r="H871">
        <f t="shared" ca="1" si="21"/>
        <v>3.4580262614524078E-2</v>
      </c>
    </row>
    <row r="872" spans="7:8">
      <c r="G872">
        <v>862</v>
      </c>
      <c r="H872">
        <f t="shared" ca="1" si="21"/>
        <v>1.1031974233324108E-2</v>
      </c>
    </row>
    <row r="873" spans="7:8">
      <c r="G873">
        <v>863</v>
      </c>
      <c r="H873">
        <f t="shared" ca="1" si="21"/>
        <v>3.0428131924740885E-2</v>
      </c>
    </row>
    <row r="874" spans="7:8">
      <c r="G874">
        <v>864</v>
      </c>
      <c r="H874">
        <f t="shared" ca="1" si="21"/>
        <v>1.1763411547708201E-2</v>
      </c>
    </row>
    <row r="875" spans="7:8">
      <c r="G875">
        <v>865</v>
      </c>
      <c r="H875">
        <f t="shared" ca="1" si="21"/>
        <v>-8.2837979553923441E-3</v>
      </c>
    </row>
    <row r="876" spans="7:8">
      <c r="G876">
        <v>866</v>
      </c>
      <c r="H876">
        <f t="shared" ca="1" si="21"/>
        <v>-2.2239071815042789E-2</v>
      </c>
    </row>
    <row r="877" spans="7:8">
      <c r="G877">
        <v>867</v>
      </c>
      <c r="H877">
        <f t="shared" ca="1" si="21"/>
        <v>-2.0355045234558174E-2</v>
      </c>
    </row>
    <row r="878" spans="7:8">
      <c r="G878">
        <v>868</v>
      </c>
      <c r="H878">
        <f t="shared" ca="1" si="21"/>
        <v>-3.831600223556967E-2</v>
      </c>
    </row>
    <row r="879" spans="7:8">
      <c r="G879">
        <v>869</v>
      </c>
      <c r="H879">
        <f t="shared" ca="1" si="21"/>
        <v>-3.5354488333031842E-2</v>
      </c>
    </row>
    <row r="880" spans="7:8">
      <c r="G880">
        <v>870</v>
      </c>
      <c r="H880">
        <f t="shared" ca="1" si="21"/>
        <v>1.9634089758691492E-3</v>
      </c>
    </row>
    <row r="881" spans="7:8">
      <c r="G881">
        <v>871</v>
      </c>
      <c r="H881">
        <f t="shared" ca="1" si="21"/>
        <v>4.1023983669245603E-2</v>
      </c>
    </row>
    <row r="882" spans="7:8">
      <c r="G882">
        <v>872</v>
      </c>
      <c r="H882">
        <f t="shared" ca="1" si="21"/>
        <v>5.5865972402260157E-3</v>
      </c>
    </row>
    <row r="883" spans="7:8">
      <c r="G883">
        <v>873</v>
      </c>
      <c r="H883">
        <f t="shared" ca="1" si="21"/>
        <v>-2.2824829864141704E-2</v>
      </c>
    </row>
    <row r="884" spans="7:8">
      <c r="G884">
        <v>874</v>
      </c>
      <c r="H884">
        <f t="shared" ca="1" si="21"/>
        <v>1.8915156652614177E-2</v>
      </c>
    </row>
    <row r="885" spans="7:8">
      <c r="G885">
        <v>875</v>
      </c>
      <c r="H885">
        <f t="shared" ca="1" si="21"/>
        <v>1.1474468878735719E-2</v>
      </c>
    </row>
    <row r="886" spans="7:8">
      <c r="G886">
        <v>876</v>
      </c>
      <c r="H886">
        <f t="shared" ca="1" si="21"/>
        <v>2.5525187311159314E-3</v>
      </c>
    </row>
    <row r="887" spans="7:8">
      <c r="G887">
        <v>877</v>
      </c>
      <c r="H887">
        <f t="shared" ca="1" si="21"/>
        <v>-3.5375611381222048E-2</v>
      </c>
    </row>
    <row r="888" spans="7:8">
      <c r="G888">
        <v>878</v>
      </c>
      <c r="H888">
        <f t="shared" ca="1" si="21"/>
        <v>-1.0404122465122772E-2</v>
      </c>
    </row>
    <row r="889" spans="7:8">
      <c r="G889">
        <v>879</v>
      </c>
      <c r="H889">
        <f t="shared" ca="1" si="21"/>
        <v>-4.7213944843193974E-3</v>
      </c>
    </row>
    <row r="890" spans="7:8">
      <c r="G890">
        <v>880</v>
      </c>
      <c r="H890">
        <f t="shared" ca="1" si="21"/>
        <v>4.5505953518438183E-2</v>
      </c>
    </row>
    <row r="891" spans="7:8">
      <c r="G891">
        <v>881</v>
      </c>
      <c r="H891">
        <f t="shared" ca="1" si="21"/>
        <v>1.5180615691611598E-2</v>
      </c>
    </row>
    <row r="892" spans="7:8">
      <c r="G892">
        <v>882</v>
      </c>
      <c r="H892">
        <f t="shared" ca="1" si="21"/>
        <v>-2.1089172515773619E-3</v>
      </c>
    </row>
    <row r="893" spans="7:8">
      <c r="G893">
        <v>883</v>
      </c>
      <c r="H893">
        <f t="shared" ca="1" si="21"/>
        <v>-1.7918071209193323E-2</v>
      </c>
    </row>
    <row r="894" spans="7:8">
      <c r="G894">
        <v>884</v>
      </c>
      <c r="H894">
        <f t="shared" ca="1" si="21"/>
        <v>8.4475302504049572E-3</v>
      </c>
    </row>
    <row r="895" spans="7:8">
      <c r="G895">
        <v>885</v>
      </c>
      <c r="H895">
        <f t="shared" ca="1" si="21"/>
        <v>-1.9765621693595224E-2</v>
      </c>
    </row>
    <row r="896" spans="7:8">
      <c r="G896">
        <v>886</v>
      </c>
      <c r="H896">
        <f t="shared" ca="1" si="21"/>
        <v>-2.9920333817087439E-3</v>
      </c>
    </row>
    <row r="897" spans="7:8">
      <c r="G897">
        <v>887</v>
      </c>
      <c r="H897">
        <f t="shared" ca="1" si="21"/>
        <v>-2.2454691639556091E-2</v>
      </c>
    </row>
    <row r="898" spans="7:8">
      <c r="G898">
        <v>888</v>
      </c>
      <c r="H898">
        <f t="shared" ca="1" si="21"/>
        <v>2.0005200494080722E-2</v>
      </c>
    </row>
    <row r="899" spans="7:8">
      <c r="G899">
        <v>889</v>
      </c>
      <c r="H899">
        <f t="shared" ca="1" si="21"/>
        <v>-1.5480011723982855E-2</v>
      </c>
    </row>
    <row r="900" spans="7:8">
      <c r="G900">
        <v>890</v>
      </c>
      <c r="H900">
        <f t="shared" ca="1" si="21"/>
        <v>-1.0650621445890253E-2</v>
      </c>
    </row>
    <row r="901" spans="7:8">
      <c r="G901">
        <v>891</v>
      </c>
      <c r="H901">
        <f t="shared" ca="1" si="21"/>
        <v>-3.9658085275590532E-3</v>
      </c>
    </row>
    <row r="902" spans="7:8">
      <c r="G902">
        <v>892</v>
      </c>
      <c r="H902">
        <f t="shared" ca="1" si="21"/>
        <v>1.0149183323621974E-2</v>
      </c>
    </row>
    <row r="903" spans="7:8">
      <c r="G903">
        <v>893</v>
      </c>
      <c r="H903">
        <f t="shared" ca="1" si="21"/>
        <v>-1.5653339128852233E-2</v>
      </c>
    </row>
    <row r="904" spans="7:8">
      <c r="G904">
        <v>894</v>
      </c>
      <c r="H904">
        <f t="shared" ca="1" si="21"/>
        <v>-1.6874650154984072E-3</v>
      </c>
    </row>
    <row r="905" spans="7:8">
      <c r="G905">
        <v>895</v>
      </c>
      <c r="H905">
        <f t="shared" ca="1" si="21"/>
        <v>8.2389992489012727E-5</v>
      </c>
    </row>
    <row r="906" spans="7:8">
      <c r="G906">
        <v>896</v>
      </c>
      <c r="H906">
        <f t="shared" ca="1" si="21"/>
        <v>-3.8899789413387398E-2</v>
      </c>
    </row>
    <row r="907" spans="7:8">
      <c r="G907">
        <v>897</v>
      </c>
      <c r="H907">
        <f t="shared" ca="1" si="21"/>
        <v>-2.4454674547195747E-3</v>
      </c>
    </row>
    <row r="908" spans="7:8">
      <c r="G908">
        <v>898</v>
      </c>
      <c r="H908">
        <f t="shared" ref="H908:H971" ca="1" si="22">_xlfn.NORM.INV(RAND(),N$13,N$14)</f>
        <v>-2.4565297374143532E-2</v>
      </c>
    </row>
    <row r="909" spans="7:8">
      <c r="G909">
        <v>899</v>
      </c>
      <c r="H909">
        <f t="shared" ca="1" si="22"/>
        <v>-1.8750906872677324E-2</v>
      </c>
    </row>
    <row r="910" spans="7:8">
      <c r="G910">
        <v>900</v>
      </c>
      <c r="H910">
        <f t="shared" ca="1" si="22"/>
        <v>-2.6406820699549863E-2</v>
      </c>
    </row>
    <row r="911" spans="7:8">
      <c r="G911">
        <v>901</v>
      </c>
      <c r="H911">
        <f t="shared" ca="1" si="22"/>
        <v>-2.4636110908851695E-2</v>
      </c>
    </row>
    <row r="912" spans="7:8">
      <c r="G912">
        <v>902</v>
      </c>
      <c r="H912">
        <f t="shared" ca="1" si="22"/>
        <v>2.5196245833281554E-2</v>
      </c>
    </row>
    <row r="913" spans="7:8">
      <c r="G913">
        <v>903</v>
      </c>
      <c r="H913">
        <f t="shared" ca="1" si="22"/>
        <v>-1.1137644620878786E-2</v>
      </c>
    </row>
    <row r="914" spans="7:8">
      <c r="G914">
        <v>904</v>
      </c>
      <c r="H914">
        <f t="shared" ca="1" si="22"/>
        <v>-2.5197257801361284E-2</v>
      </c>
    </row>
    <row r="915" spans="7:8">
      <c r="G915">
        <v>905</v>
      </c>
      <c r="H915">
        <f t="shared" ca="1" si="22"/>
        <v>1.6936398048130408E-2</v>
      </c>
    </row>
    <row r="916" spans="7:8">
      <c r="G916">
        <v>906</v>
      </c>
      <c r="H916">
        <f t="shared" ca="1" si="22"/>
        <v>-6.4706322135013233E-2</v>
      </c>
    </row>
    <row r="917" spans="7:8">
      <c r="G917">
        <v>907</v>
      </c>
      <c r="H917">
        <f t="shared" ca="1" si="22"/>
        <v>-6.8706281862803101E-2</v>
      </c>
    </row>
    <row r="918" spans="7:8">
      <c r="G918">
        <v>908</v>
      </c>
      <c r="H918">
        <f t="shared" ca="1" si="22"/>
        <v>8.1903420432185361E-3</v>
      </c>
    </row>
    <row r="919" spans="7:8">
      <c r="G919">
        <v>909</v>
      </c>
      <c r="H919">
        <f t="shared" ca="1" si="22"/>
        <v>5.7845741020671852E-3</v>
      </c>
    </row>
    <row r="920" spans="7:8">
      <c r="G920">
        <v>910</v>
      </c>
      <c r="H920">
        <f t="shared" ca="1" si="22"/>
        <v>1.1758353681234394E-3</v>
      </c>
    </row>
    <row r="921" spans="7:8">
      <c r="G921">
        <v>911</v>
      </c>
      <c r="H921">
        <f t="shared" ca="1" si="22"/>
        <v>-1.7761915091205997E-2</v>
      </c>
    </row>
    <row r="922" spans="7:8">
      <c r="G922">
        <v>912</v>
      </c>
      <c r="H922">
        <f t="shared" ca="1" si="22"/>
        <v>9.5137525280333621E-3</v>
      </c>
    </row>
    <row r="923" spans="7:8">
      <c r="G923">
        <v>913</v>
      </c>
      <c r="H923">
        <f t="shared" ca="1" si="22"/>
        <v>-1.8301756930680521E-2</v>
      </c>
    </row>
    <row r="924" spans="7:8">
      <c r="G924">
        <v>914</v>
      </c>
      <c r="H924">
        <f t="shared" ca="1" si="22"/>
        <v>-3.7189484300607277E-4</v>
      </c>
    </row>
    <row r="925" spans="7:8">
      <c r="G925">
        <v>915</v>
      </c>
      <c r="H925">
        <f t="shared" ca="1" si="22"/>
        <v>5.3961437877559698E-3</v>
      </c>
    </row>
    <row r="926" spans="7:8">
      <c r="G926">
        <v>916</v>
      </c>
      <c r="H926">
        <f t="shared" ca="1" si="22"/>
        <v>-1.5022498955550644E-2</v>
      </c>
    </row>
    <row r="927" spans="7:8">
      <c r="G927">
        <v>917</v>
      </c>
      <c r="H927">
        <f t="shared" ca="1" si="22"/>
        <v>-2.6237557245550359E-2</v>
      </c>
    </row>
    <row r="928" spans="7:8">
      <c r="G928">
        <v>918</v>
      </c>
      <c r="H928">
        <f t="shared" ca="1" si="22"/>
        <v>1.7706252986318071E-2</v>
      </c>
    </row>
    <row r="929" spans="7:8">
      <c r="G929">
        <v>919</v>
      </c>
      <c r="H929">
        <f t="shared" ca="1" si="22"/>
        <v>-1.1852134547454096E-2</v>
      </c>
    </row>
    <row r="930" spans="7:8">
      <c r="G930">
        <v>920</v>
      </c>
      <c r="H930">
        <f t="shared" ca="1" si="22"/>
        <v>6.9738283769396857E-3</v>
      </c>
    </row>
    <row r="931" spans="7:8">
      <c r="G931">
        <v>921</v>
      </c>
      <c r="H931">
        <f t="shared" ca="1" si="22"/>
        <v>2.7516755800352892E-3</v>
      </c>
    </row>
    <row r="932" spans="7:8">
      <c r="G932">
        <v>922</v>
      </c>
      <c r="H932">
        <f t="shared" ca="1" si="22"/>
        <v>1.9125490459381174E-2</v>
      </c>
    </row>
    <row r="933" spans="7:8">
      <c r="G933">
        <v>923</v>
      </c>
      <c r="H933">
        <f t="shared" ca="1" si="22"/>
        <v>-1.8051415361646513E-2</v>
      </c>
    </row>
    <row r="934" spans="7:8">
      <c r="G934">
        <v>924</v>
      </c>
      <c r="H934">
        <f t="shared" ca="1" si="22"/>
        <v>2.4753346745587993E-2</v>
      </c>
    </row>
    <row r="935" spans="7:8">
      <c r="G935">
        <v>925</v>
      </c>
      <c r="H935">
        <f t="shared" ca="1" si="22"/>
        <v>-1.1174258382329619E-2</v>
      </c>
    </row>
    <row r="936" spans="7:8">
      <c r="G936">
        <v>926</v>
      </c>
      <c r="H936">
        <f t="shared" ca="1" si="22"/>
        <v>2.8702386774644769E-4</v>
      </c>
    </row>
    <row r="937" spans="7:8">
      <c r="G937">
        <v>927</v>
      </c>
      <c r="H937">
        <f t="shared" ca="1" si="22"/>
        <v>3.9301007078586933E-3</v>
      </c>
    </row>
    <row r="938" spans="7:8">
      <c r="G938">
        <v>928</v>
      </c>
      <c r="H938">
        <f t="shared" ca="1" si="22"/>
        <v>3.2791382858081641E-2</v>
      </c>
    </row>
    <row r="939" spans="7:8">
      <c r="G939">
        <v>929</v>
      </c>
      <c r="H939">
        <f t="shared" ca="1" si="22"/>
        <v>1.1059214186847825E-3</v>
      </c>
    </row>
    <row r="940" spans="7:8">
      <c r="G940">
        <v>930</v>
      </c>
      <c r="H940">
        <f t="shared" ca="1" si="22"/>
        <v>-3.4721016663157513E-3</v>
      </c>
    </row>
    <row r="941" spans="7:8">
      <c r="G941">
        <v>931</v>
      </c>
      <c r="H941">
        <f t="shared" ca="1" si="22"/>
        <v>3.0252970847340021E-3</v>
      </c>
    </row>
    <row r="942" spans="7:8">
      <c r="G942">
        <v>932</v>
      </c>
      <c r="H942">
        <f t="shared" ca="1" si="22"/>
        <v>1.4733040114347647E-2</v>
      </c>
    </row>
    <row r="943" spans="7:8">
      <c r="G943">
        <v>933</v>
      </c>
      <c r="H943">
        <f t="shared" ca="1" si="22"/>
        <v>7.9072027696392034E-3</v>
      </c>
    </row>
    <row r="944" spans="7:8">
      <c r="G944">
        <v>934</v>
      </c>
      <c r="H944">
        <f t="shared" ca="1" si="22"/>
        <v>8.7621689210136446E-3</v>
      </c>
    </row>
    <row r="945" spans="7:8">
      <c r="G945">
        <v>935</v>
      </c>
      <c r="H945">
        <f t="shared" ca="1" si="22"/>
        <v>-6.1537017781687069E-2</v>
      </c>
    </row>
    <row r="946" spans="7:8">
      <c r="G946">
        <v>936</v>
      </c>
      <c r="H946">
        <f t="shared" ca="1" si="22"/>
        <v>-2.5074190494185251E-2</v>
      </c>
    </row>
    <row r="947" spans="7:8">
      <c r="G947">
        <v>937</v>
      </c>
      <c r="H947">
        <f t="shared" ca="1" si="22"/>
        <v>-2.8828651019391267E-2</v>
      </c>
    </row>
    <row r="948" spans="7:8">
      <c r="G948">
        <v>938</v>
      </c>
      <c r="H948">
        <f t="shared" ca="1" si="22"/>
        <v>2.7463039438338142E-2</v>
      </c>
    </row>
    <row r="949" spans="7:8">
      <c r="G949">
        <v>939</v>
      </c>
      <c r="H949">
        <f t="shared" ca="1" si="22"/>
        <v>-2.9000874743011083E-2</v>
      </c>
    </row>
    <row r="950" spans="7:8">
      <c r="G950">
        <v>940</v>
      </c>
      <c r="H950">
        <f t="shared" ca="1" si="22"/>
        <v>-3.1994984407431218E-2</v>
      </c>
    </row>
    <row r="951" spans="7:8">
      <c r="G951">
        <v>941</v>
      </c>
      <c r="H951">
        <f t="shared" ca="1" si="22"/>
        <v>-3.2063432270746841E-3</v>
      </c>
    </row>
    <row r="952" spans="7:8">
      <c r="G952">
        <v>942</v>
      </c>
      <c r="H952">
        <f t="shared" ca="1" si="22"/>
        <v>-1.700248140800165E-2</v>
      </c>
    </row>
    <row r="953" spans="7:8">
      <c r="G953">
        <v>943</v>
      </c>
      <c r="H953">
        <f t="shared" ca="1" si="22"/>
        <v>5.0530768210006356E-3</v>
      </c>
    </row>
    <row r="954" spans="7:8">
      <c r="G954">
        <v>944</v>
      </c>
      <c r="H954">
        <f t="shared" ca="1" si="22"/>
        <v>-2.9017017805497376E-2</v>
      </c>
    </row>
    <row r="955" spans="7:8">
      <c r="G955">
        <v>945</v>
      </c>
      <c r="H955">
        <f t="shared" ca="1" si="22"/>
        <v>1.301755083328021E-2</v>
      </c>
    </row>
    <row r="956" spans="7:8">
      <c r="G956">
        <v>946</v>
      </c>
      <c r="H956">
        <f t="shared" ca="1" si="22"/>
        <v>-2.5669667103704313E-3</v>
      </c>
    </row>
    <row r="957" spans="7:8">
      <c r="G957">
        <v>947</v>
      </c>
      <c r="H957">
        <f t="shared" ca="1" si="22"/>
        <v>-2.4053088776804548E-2</v>
      </c>
    </row>
    <row r="958" spans="7:8">
      <c r="G958">
        <v>948</v>
      </c>
      <c r="H958">
        <f t="shared" ca="1" si="22"/>
        <v>-6.8159125093654512E-3</v>
      </c>
    </row>
    <row r="959" spans="7:8">
      <c r="G959">
        <v>949</v>
      </c>
      <c r="H959">
        <f t="shared" ca="1" si="22"/>
        <v>-3.3275700018613255E-2</v>
      </c>
    </row>
    <row r="960" spans="7:8">
      <c r="G960">
        <v>950</v>
      </c>
      <c r="H960">
        <f t="shared" ca="1" si="22"/>
        <v>-4.2868923806212537E-2</v>
      </c>
    </row>
    <row r="961" spans="7:8">
      <c r="G961">
        <v>951</v>
      </c>
      <c r="H961">
        <f t="shared" ca="1" si="22"/>
        <v>2.2277058078443365E-2</v>
      </c>
    </row>
    <row r="962" spans="7:8">
      <c r="G962">
        <v>952</v>
      </c>
      <c r="H962">
        <f t="shared" ca="1" si="22"/>
        <v>-1.1443559540119479E-2</v>
      </c>
    </row>
    <row r="963" spans="7:8">
      <c r="G963">
        <v>953</v>
      </c>
      <c r="H963">
        <f t="shared" ca="1" si="22"/>
        <v>2.7420875711794919E-2</v>
      </c>
    </row>
    <row r="964" spans="7:8">
      <c r="G964">
        <v>954</v>
      </c>
      <c r="H964">
        <f t="shared" ca="1" si="22"/>
        <v>-4.1398119093954697E-3</v>
      </c>
    </row>
    <row r="965" spans="7:8">
      <c r="G965">
        <v>955</v>
      </c>
      <c r="H965">
        <f t="shared" ca="1" si="22"/>
        <v>-9.1014761188807254E-3</v>
      </c>
    </row>
    <row r="966" spans="7:8">
      <c r="G966">
        <v>956</v>
      </c>
      <c r="H966">
        <f t="shared" ca="1" si="22"/>
        <v>-3.7749037213645593E-3</v>
      </c>
    </row>
    <row r="967" spans="7:8">
      <c r="G967">
        <v>957</v>
      </c>
      <c r="H967">
        <f t="shared" ca="1" si="22"/>
        <v>-4.824864604987366E-2</v>
      </c>
    </row>
    <row r="968" spans="7:8">
      <c r="G968">
        <v>958</v>
      </c>
      <c r="H968">
        <f t="shared" ca="1" si="22"/>
        <v>1.4854026457675798E-2</v>
      </c>
    </row>
    <row r="969" spans="7:8">
      <c r="G969">
        <v>959</v>
      </c>
      <c r="H969">
        <f t="shared" ca="1" si="22"/>
        <v>5.8405384064636216E-3</v>
      </c>
    </row>
    <row r="970" spans="7:8">
      <c r="G970">
        <v>960</v>
      </c>
      <c r="H970">
        <f t="shared" ca="1" si="22"/>
        <v>7.4355540719275807E-3</v>
      </c>
    </row>
    <row r="971" spans="7:8">
      <c r="G971">
        <v>961</v>
      </c>
      <c r="H971">
        <f t="shared" ca="1" si="22"/>
        <v>-7.3447077650184E-3</v>
      </c>
    </row>
    <row r="972" spans="7:8">
      <c r="G972">
        <v>962</v>
      </c>
      <c r="H972">
        <f t="shared" ref="H972:H1035" ca="1" si="23">_xlfn.NORM.INV(RAND(),N$13,N$14)</f>
        <v>2.3456385797593314E-2</v>
      </c>
    </row>
    <row r="973" spans="7:8">
      <c r="G973">
        <v>963</v>
      </c>
      <c r="H973">
        <f t="shared" ca="1" si="23"/>
        <v>1.5112380278471909E-2</v>
      </c>
    </row>
    <row r="974" spans="7:8">
      <c r="G974">
        <v>964</v>
      </c>
      <c r="H974">
        <f t="shared" ca="1" si="23"/>
        <v>3.6258213528416655E-2</v>
      </c>
    </row>
    <row r="975" spans="7:8">
      <c r="G975">
        <v>965</v>
      </c>
      <c r="H975">
        <f t="shared" ca="1" si="23"/>
        <v>8.6627738329193363E-3</v>
      </c>
    </row>
    <row r="976" spans="7:8">
      <c r="G976">
        <v>966</v>
      </c>
      <c r="H976">
        <f t="shared" ca="1" si="23"/>
        <v>-9.5043642526337468E-3</v>
      </c>
    </row>
    <row r="977" spans="7:8">
      <c r="G977">
        <v>967</v>
      </c>
      <c r="H977">
        <f t="shared" ca="1" si="23"/>
        <v>1.4132214163374493E-2</v>
      </c>
    </row>
    <row r="978" spans="7:8">
      <c r="G978">
        <v>968</v>
      </c>
      <c r="H978">
        <f t="shared" ca="1" si="23"/>
        <v>7.8799080097374536E-3</v>
      </c>
    </row>
    <row r="979" spans="7:8">
      <c r="G979">
        <v>969</v>
      </c>
      <c r="H979">
        <f t="shared" ca="1" si="23"/>
        <v>3.4185884482852529E-2</v>
      </c>
    </row>
    <row r="980" spans="7:8">
      <c r="G980">
        <v>970</v>
      </c>
      <c r="H980">
        <f t="shared" ca="1" si="23"/>
        <v>6.7865164798060216E-3</v>
      </c>
    </row>
    <row r="981" spans="7:8">
      <c r="G981">
        <v>971</v>
      </c>
      <c r="H981">
        <f t="shared" ca="1" si="23"/>
        <v>1.898916079454488E-3</v>
      </c>
    </row>
    <row r="982" spans="7:8">
      <c r="G982">
        <v>972</v>
      </c>
      <c r="H982">
        <f t="shared" ca="1" si="23"/>
        <v>4.4380453325300148E-2</v>
      </c>
    </row>
    <row r="983" spans="7:8">
      <c r="G983">
        <v>973</v>
      </c>
      <c r="H983">
        <f t="shared" ca="1" si="23"/>
        <v>-2.253357034481018E-2</v>
      </c>
    </row>
    <row r="984" spans="7:8">
      <c r="G984">
        <v>974</v>
      </c>
      <c r="H984">
        <f t="shared" ca="1" si="23"/>
        <v>2.3193989592150747E-2</v>
      </c>
    </row>
    <row r="985" spans="7:8">
      <c r="G985">
        <v>975</v>
      </c>
      <c r="H985">
        <f t="shared" ca="1" si="23"/>
        <v>-2.0891202182669387E-3</v>
      </c>
    </row>
    <row r="986" spans="7:8">
      <c r="G986">
        <v>976</v>
      </c>
      <c r="H986">
        <f t="shared" ca="1" si="23"/>
        <v>3.5047812345160169E-2</v>
      </c>
    </row>
    <row r="987" spans="7:8">
      <c r="G987">
        <v>977</v>
      </c>
      <c r="H987">
        <f t="shared" ca="1" si="23"/>
        <v>8.0717358853006297E-3</v>
      </c>
    </row>
    <row r="988" spans="7:8">
      <c r="G988">
        <v>978</v>
      </c>
      <c r="H988">
        <f t="shared" ca="1" si="23"/>
        <v>-2.036669946927764E-2</v>
      </c>
    </row>
    <row r="989" spans="7:8">
      <c r="G989">
        <v>979</v>
      </c>
      <c r="H989">
        <f t="shared" ca="1" si="23"/>
        <v>5.6756857116443453E-2</v>
      </c>
    </row>
    <row r="990" spans="7:8">
      <c r="G990">
        <v>980</v>
      </c>
      <c r="H990">
        <f t="shared" ca="1" si="23"/>
        <v>-2.3588797222561131E-2</v>
      </c>
    </row>
    <row r="991" spans="7:8">
      <c r="G991">
        <v>981</v>
      </c>
      <c r="H991">
        <f t="shared" ca="1" si="23"/>
        <v>-3.0013626867185449E-3</v>
      </c>
    </row>
    <row r="992" spans="7:8">
      <c r="G992">
        <v>982</v>
      </c>
      <c r="H992">
        <f t="shared" ca="1" si="23"/>
        <v>2.9341658228137064E-2</v>
      </c>
    </row>
    <row r="993" spans="7:8">
      <c r="G993">
        <v>983</v>
      </c>
      <c r="H993">
        <f t="shared" ca="1" si="23"/>
        <v>1.1418824018962919E-2</v>
      </c>
    </row>
    <row r="994" spans="7:8">
      <c r="G994">
        <v>984</v>
      </c>
      <c r="H994">
        <f t="shared" ca="1" si="23"/>
        <v>-1.2952823359272309E-2</v>
      </c>
    </row>
    <row r="995" spans="7:8">
      <c r="G995">
        <v>985</v>
      </c>
      <c r="H995">
        <f t="shared" ca="1" si="23"/>
        <v>9.0386307814112592E-3</v>
      </c>
    </row>
    <row r="996" spans="7:8">
      <c r="G996">
        <v>986</v>
      </c>
      <c r="H996">
        <f t="shared" ca="1" si="23"/>
        <v>-7.1537194034312157E-3</v>
      </c>
    </row>
    <row r="997" spans="7:8">
      <c r="G997">
        <v>987</v>
      </c>
      <c r="H997">
        <f t="shared" ca="1" si="23"/>
        <v>3.1738891243088775E-3</v>
      </c>
    </row>
    <row r="998" spans="7:8">
      <c r="G998">
        <v>988</v>
      </c>
      <c r="H998">
        <f t="shared" ca="1" si="23"/>
        <v>-1.966642419517968E-2</v>
      </c>
    </row>
    <row r="999" spans="7:8">
      <c r="G999">
        <v>989</v>
      </c>
      <c r="H999">
        <f t="shared" ca="1" si="23"/>
        <v>2.5761973457775665E-2</v>
      </c>
    </row>
    <row r="1000" spans="7:8">
      <c r="G1000">
        <v>990</v>
      </c>
      <c r="H1000">
        <f t="shared" ca="1" si="23"/>
        <v>-3.8111317527519235E-2</v>
      </c>
    </row>
    <row r="1001" spans="7:8">
      <c r="G1001">
        <v>991</v>
      </c>
      <c r="H1001">
        <f t="shared" ca="1" si="23"/>
        <v>-7.2001843211154598E-4</v>
      </c>
    </row>
    <row r="1002" spans="7:8">
      <c r="G1002">
        <v>992</v>
      </c>
      <c r="H1002">
        <f t="shared" ca="1" si="23"/>
        <v>-2.662568903944279E-2</v>
      </c>
    </row>
    <row r="1003" spans="7:8">
      <c r="G1003">
        <v>993</v>
      </c>
      <c r="H1003">
        <f t="shared" ca="1" si="23"/>
        <v>3.326973341246945E-2</v>
      </c>
    </row>
    <row r="1004" spans="7:8">
      <c r="G1004">
        <v>994</v>
      </c>
      <c r="H1004">
        <f t="shared" ca="1" si="23"/>
        <v>5.9580567204786869E-3</v>
      </c>
    </row>
    <row r="1005" spans="7:8">
      <c r="G1005">
        <v>995</v>
      </c>
      <c r="H1005">
        <f t="shared" ca="1" si="23"/>
        <v>-3.9174803545040555E-3</v>
      </c>
    </row>
    <row r="1006" spans="7:8">
      <c r="G1006">
        <v>996</v>
      </c>
      <c r="H1006">
        <f t="shared" ca="1" si="23"/>
        <v>-5.241019571832075E-2</v>
      </c>
    </row>
    <row r="1007" spans="7:8">
      <c r="G1007">
        <v>997</v>
      </c>
      <c r="H1007">
        <f t="shared" ca="1" si="23"/>
        <v>1.6999350164356736E-2</v>
      </c>
    </row>
    <row r="1008" spans="7:8">
      <c r="G1008">
        <v>998</v>
      </c>
      <c r="H1008">
        <f t="shared" ca="1" si="23"/>
        <v>-3.1619513741306849E-3</v>
      </c>
    </row>
    <row r="1009" spans="7:8">
      <c r="G1009">
        <v>999</v>
      </c>
      <c r="H1009">
        <f t="shared" ca="1" si="23"/>
        <v>1.7450656078973474E-4</v>
      </c>
    </row>
    <row r="1010" spans="7:8">
      <c r="G1010">
        <v>1000</v>
      </c>
      <c r="H1010">
        <f t="shared" ca="1" si="23"/>
        <v>-2.7820792168234562E-2</v>
      </c>
    </row>
    <row r="1011" spans="7:8">
      <c r="G1011">
        <v>1001</v>
      </c>
      <c r="H1011">
        <f t="shared" ca="1" si="23"/>
        <v>6.1077118914786609E-3</v>
      </c>
    </row>
    <row r="1012" spans="7:8">
      <c r="G1012">
        <v>1002</v>
      </c>
      <c r="H1012">
        <f t="shared" ca="1" si="23"/>
        <v>7.3724891111916265E-3</v>
      </c>
    </row>
    <row r="1013" spans="7:8">
      <c r="G1013">
        <v>1003</v>
      </c>
      <c r="H1013">
        <f t="shared" ca="1" si="23"/>
        <v>-7.6616257460880499E-3</v>
      </c>
    </row>
    <row r="1014" spans="7:8">
      <c r="G1014">
        <v>1004</v>
      </c>
      <c r="H1014">
        <f t="shared" ca="1" si="23"/>
        <v>1.5247709481440127E-2</v>
      </c>
    </row>
    <row r="1015" spans="7:8">
      <c r="G1015">
        <v>1005</v>
      </c>
      <c r="H1015">
        <f t="shared" ca="1" si="23"/>
        <v>-2.0304719424013937E-2</v>
      </c>
    </row>
    <row r="1016" spans="7:8">
      <c r="G1016">
        <v>1006</v>
      </c>
      <c r="H1016">
        <f t="shared" ca="1" si="23"/>
        <v>1.9397489907920052E-2</v>
      </c>
    </row>
    <row r="1017" spans="7:8">
      <c r="G1017">
        <v>1007</v>
      </c>
      <c r="H1017">
        <f t="shared" ca="1" si="23"/>
        <v>-3.1030332663642943E-2</v>
      </c>
    </row>
    <row r="1018" spans="7:8">
      <c r="G1018">
        <v>1008</v>
      </c>
      <c r="H1018">
        <f t="shared" ca="1" si="23"/>
        <v>2.9820485080595646E-3</v>
      </c>
    </row>
    <row r="1019" spans="7:8">
      <c r="G1019">
        <v>1009</v>
      </c>
      <c r="H1019">
        <f t="shared" ca="1" si="23"/>
        <v>-2.5581384724761368E-2</v>
      </c>
    </row>
    <row r="1020" spans="7:8">
      <c r="G1020">
        <v>1010</v>
      </c>
      <c r="H1020">
        <f t="shared" ca="1" si="23"/>
        <v>2.4165632113249853E-3</v>
      </c>
    </row>
    <row r="1021" spans="7:8">
      <c r="G1021">
        <v>1011</v>
      </c>
      <c r="H1021">
        <f t="shared" ca="1" si="23"/>
        <v>2.1436037274348736E-2</v>
      </c>
    </row>
    <row r="1022" spans="7:8">
      <c r="G1022">
        <v>1012</v>
      </c>
      <c r="H1022">
        <f t="shared" ca="1" si="23"/>
        <v>3.9174296473913801E-2</v>
      </c>
    </row>
    <row r="1023" spans="7:8">
      <c r="G1023">
        <v>1013</v>
      </c>
      <c r="H1023">
        <f t="shared" ca="1" si="23"/>
        <v>1.4926174672653794E-2</v>
      </c>
    </row>
    <row r="1024" spans="7:8">
      <c r="G1024">
        <v>1014</v>
      </c>
      <c r="H1024">
        <f t="shared" ca="1" si="23"/>
        <v>-1.5230748720365707E-2</v>
      </c>
    </row>
    <row r="1025" spans="7:8">
      <c r="G1025">
        <v>1015</v>
      </c>
      <c r="H1025">
        <f t="shared" ca="1" si="23"/>
        <v>-1.600871060014112E-2</v>
      </c>
    </row>
    <row r="1026" spans="7:8">
      <c r="G1026">
        <v>1016</v>
      </c>
      <c r="H1026">
        <f t="shared" ca="1" si="23"/>
        <v>3.5886641411209667E-2</v>
      </c>
    </row>
    <row r="1027" spans="7:8">
      <c r="G1027">
        <v>1017</v>
      </c>
      <c r="H1027">
        <f t="shared" ca="1" si="23"/>
        <v>-6.5251639648659758E-3</v>
      </c>
    </row>
    <row r="1028" spans="7:8">
      <c r="G1028">
        <v>1018</v>
      </c>
      <c r="H1028">
        <f t="shared" ca="1" si="23"/>
        <v>2.2395406979953271E-2</v>
      </c>
    </row>
    <row r="1029" spans="7:8">
      <c r="G1029">
        <v>1019</v>
      </c>
      <c r="H1029">
        <f t="shared" ca="1" si="23"/>
        <v>-1.9015095405050975E-2</v>
      </c>
    </row>
    <row r="1030" spans="7:8">
      <c r="G1030">
        <v>1020</v>
      </c>
      <c r="H1030">
        <f t="shared" ca="1" si="23"/>
        <v>-1.5217125450722589E-2</v>
      </c>
    </row>
    <row r="1031" spans="7:8">
      <c r="G1031">
        <v>1021</v>
      </c>
      <c r="H1031">
        <f t="shared" ca="1" si="23"/>
        <v>-1.905822565016944E-3</v>
      </c>
    </row>
    <row r="1032" spans="7:8">
      <c r="G1032">
        <v>1022</v>
      </c>
      <c r="H1032">
        <f t="shared" ca="1" si="23"/>
        <v>3.5388052376659476E-3</v>
      </c>
    </row>
    <row r="1033" spans="7:8">
      <c r="G1033">
        <v>1023</v>
      </c>
      <c r="H1033">
        <f t="shared" ca="1" si="23"/>
        <v>2.5293617950635735E-3</v>
      </c>
    </row>
    <row r="1034" spans="7:8">
      <c r="G1034">
        <v>1024</v>
      </c>
      <c r="H1034">
        <f t="shared" ca="1" si="23"/>
        <v>1.45416083948574E-2</v>
      </c>
    </row>
    <row r="1035" spans="7:8">
      <c r="G1035">
        <v>1025</v>
      </c>
      <c r="H1035">
        <f t="shared" ca="1" si="23"/>
        <v>-1.5020462684894119E-2</v>
      </c>
    </row>
    <row r="1036" spans="7:8">
      <c r="G1036">
        <v>1026</v>
      </c>
      <c r="H1036">
        <f t="shared" ref="H1036:H1099" ca="1" si="24">_xlfn.NORM.INV(RAND(),N$13,N$14)</f>
        <v>-1.4280208570660055E-2</v>
      </c>
    </row>
    <row r="1037" spans="7:8">
      <c r="G1037">
        <v>1027</v>
      </c>
      <c r="H1037">
        <f t="shared" ca="1" si="24"/>
        <v>1.0006869453537825E-2</v>
      </c>
    </row>
    <row r="1038" spans="7:8">
      <c r="G1038">
        <v>1028</v>
      </c>
      <c r="H1038">
        <f t="shared" ca="1" si="24"/>
        <v>1.836171647195366E-2</v>
      </c>
    </row>
    <row r="1039" spans="7:8">
      <c r="G1039">
        <v>1029</v>
      </c>
      <c r="H1039">
        <f t="shared" ca="1" si="24"/>
        <v>-1.4894201738812202E-2</v>
      </c>
    </row>
    <row r="1040" spans="7:8">
      <c r="G1040">
        <v>1030</v>
      </c>
      <c r="H1040">
        <f t="shared" ca="1" si="24"/>
        <v>1.0836253946004196E-2</v>
      </c>
    </row>
    <row r="1041" spans="7:8">
      <c r="G1041">
        <v>1031</v>
      </c>
      <c r="H1041">
        <f t="shared" ca="1" si="24"/>
        <v>1.2376170014418259E-2</v>
      </c>
    </row>
    <row r="1042" spans="7:8">
      <c r="G1042">
        <v>1032</v>
      </c>
      <c r="H1042">
        <f t="shared" ca="1" si="24"/>
        <v>-5.1848169588376736E-2</v>
      </c>
    </row>
    <row r="1043" spans="7:8">
      <c r="G1043">
        <v>1033</v>
      </c>
      <c r="H1043">
        <f t="shared" ca="1" si="24"/>
        <v>1.1036241010181665E-2</v>
      </c>
    </row>
    <row r="1044" spans="7:8">
      <c r="G1044">
        <v>1034</v>
      </c>
      <c r="H1044">
        <f t="shared" ca="1" si="24"/>
        <v>-4.7692074073718621E-3</v>
      </c>
    </row>
    <row r="1045" spans="7:8">
      <c r="G1045">
        <v>1035</v>
      </c>
      <c r="H1045">
        <f t="shared" ca="1" si="24"/>
        <v>2.9035983152885195E-2</v>
      </c>
    </row>
    <row r="1046" spans="7:8">
      <c r="G1046">
        <v>1036</v>
      </c>
      <c r="H1046">
        <f t="shared" ca="1" si="24"/>
        <v>3.0468795558963035E-2</v>
      </c>
    </row>
    <row r="1047" spans="7:8">
      <c r="G1047">
        <v>1037</v>
      </c>
      <c r="H1047">
        <f t="shared" ca="1" si="24"/>
        <v>-1.4536299011901999E-2</v>
      </c>
    </row>
    <row r="1048" spans="7:8">
      <c r="G1048">
        <v>1038</v>
      </c>
      <c r="H1048">
        <f t="shared" ca="1" si="24"/>
        <v>2.6705488691806485E-3</v>
      </c>
    </row>
    <row r="1049" spans="7:8">
      <c r="G1049">
        <v>1039</v>
      </c>
      <c r="H1049">
        <f t="shared" ca="1" si="24"/>
        <v>1.1168515691928067E-3</v>
      </c>
    </row>
    <row r="1050" spans="7:8">
      <c r="G1050">
        <v>1040</v>
      </c>
      <c r="H1050">
        <f t="shared" ca="1" si="24"/>
        <v>-3.9222932946724264E-2</v>
      </c>
    </row>
    <row r="1051" spans="7:8">
      <c r="G1051">
        <v>1041</v>
      </c>
      <c r="H1051">
        <f t="shared" ca="1" si="24"/>
        <v>2.6270869257450199E-2</v>
      </c>
    </row>
    <row r="1052" spans="7:8">
      <c r="G1052">
        <v>1042</v>
      </c>
      <c r="H1052">
        <f t="shared" ca="1" si="24"/>
        <v>3.7199238499412347E-2</v>
      </c>
    </row>
    <row r="1053" spans="7:8">
      <c r="G1053">
        <v>1043</v>
      </c>
      <c r="H1053">
        <f t="shared" ca="1" si="24"/>
        <v>5.9673633296269124E-3</v>
      </c>
    </row>
    <row r="1054" spans="7:8">
      <c r="G1054">
        <v>1044</v>
      </c>
      <c r="H1054">
        <f t="shared" ca="1" si="24"/>
        <v>-1.4196394975588385E-2</v>
      </c>
    </row>
    <row r="1055" spans="7:8">
      <c r="G1055">
        <v>1045</v>
      </c>
      <c r="H1055">
        <f t="shared" ca="1" si="24"/>
        <v>-1.0224236008504672E-2</v>
      </c>
    </row>
    <row r="1056" spans="7:8">
      <c r="G1056">
        <v>1046</v>
      </c>
      <c r="H1056">
        <f t="shared" ca="1" si="24"/>
        <v>-1.2437632979105115E-3</v>
      </c>
    </row>
    <row r="1057" spans="7:8">
      <c r="G1057">
        <v>1047</v>
      </c>
      <c r="H1057">
        <f t="shared" ca="1" si="24"/>
        <v>6.6775013640848341E-2</v>
      </c>
    </row>
    <row r="1058" spans="7:8">
      <c r="G1058">
        <v>1048</v>
      </c>
      <c r="H1058">
        <f t="shared" ca="1" si="24"/>
        <v>-1.9081788711359404E-2</v>
      </c>
    </row>
    <row r="1059" spans="7:8">
      <c r="G1059">
        <v>1049</v>
      </c>
      <c r="H1059">
        <f t="shared" ca="1" si="24"/>
        <v>2.3361556198694699E-3</v>
      </c>
    </row>
    <row r="1060" spans="7:8">
      <c r="G1060">
        <v>1050</v>
      </c>
      <c r="H1060">
        <f t="shared" ca="1" si="24"/>
        <v>2.0648699871005899E-2</v>
      </c>
    </row>
    <row r="1061" spans="7:8">
      <c r="G1061">
        <v>1051</v>
      </c>
      <c r="H1061">
        <f t="shared" ca="1" si="24"/>
        <v>-1.7532516809394692E-2</v>
      </c>
    </row>
    <row r="1062" spans="7:8">
      <c r="G1062">
        <v>1052</v>
      </c>
      <c r="H1062">
        <f t="shared" ca="1" si="24"/>
        <v>-1.1636466725135689E-3</v>
      </c>
    </row>
    <row r="1063" spans="7:8">
      <c r="G1063">
        <v>1053</v>
      </c>
      <c r="H1063">
        <f t="shared" ca="1" si="24"/>
        <v>-1.752488874715712E-2</v>
      </c>
    </row>
    <row r="1064" spans="7:8">
      <c r="G1064">
        <v>1054</v>
      </c>
      <c r="H1064">
        <f t="shared" ca="1" si="24"/>
        <v>-2.3905987552411412E-2</v>
      </c>
    </row>
    <row r="1065" spans="7:8">
      <c r="G1065">
        <v>1055</v>
      </c>
      <c r="H1065">
        <f t="shared" ca="1" si="24"/>
        <v>3.3685405043869486E-2</v>
      </c>
    </row>
    <row r="1066" spans="7:8">
      <c r="G1066">
        <v>1056</v>
      </c>
      <c r="H1066">
        <f t="shared" ca="1" si="24"/>
        <v>3.475291317350624E-2</v>
      </c>
    </row>
    <row r="1067" spans="7:8">
      <c r="G1067">
        <v>1057</v>
      </c>
      <c r="H1067">
        <f t="shared" ca="1" si="24"/>
        <v>5.4853009566193604E-3</v>
      </c>
    </row>
    <row r="1068" spans="7:8">
      <c r="G1068">
        <v>1058</v>
      </c>
      <c r="H1068">
        <f t="shared" ca="1" si="24"/>
        <v>8.0587961188469809E-3</v>
      </c>
    </row>
    <row r="1069" spans="7:8">
      <c r="G1069">
        <v>1059</v>
      </c>
      <c r="H1069">
        <f t="shared" ca="1" si="24"/>
        <v>-1.8461083493389301E-2</v>
      </c>
    </row>
    <row r="1070" spans="7:8">
      <c r="G1070">
        <v>1060</v>
      </c>
      <c r="H1070">
        <f t="shared" ca="1" si="24"/>
        <v>-1.3800267501217767E-3</v>
      </c>
    </row>
    <row r="1071" spans="7:8">
      <c r="G1071">
        <v>1061</v>
      </c>
      <c r="H1071">
        <f t="shared" ca="1" si="24"/>
        <v>-3.1135472338380626E-3</v>
      </c>
    </row>
    <row r="1072" spans="7:8">
      <c r="G1072">
        <v>1062</v>
      </c>
      <c r="H1072">
        <f t="shared" ca="1" si="24"/>
        <v>5.8685790182697066E-3</v>
      </c>
    </row>
    <row r="1073" spans="7:8">
      <c r="G1073">
        <v>1063</v>
      </c>
      <c r="H1073">
        <f t="shared" ca="1" si="24"/>
        <v>-5.1935180482862416E-3</v>
      </c>
    </row>
    <row r="1074" spans="7:8">
      <c r="G1074">
        <v>1064</v>
      </c>
      <c r="H1074">
        <f t="shared" ca="1" si="24"/>
        <v>5.3414799856807275E-4</v>
      </c>
    </row>
    <row r="1075" spans="7:8">
      <c r="G1075">
        <v>1065</v>
      </c>
      <c r="H1075">
        <f t="shared" ca="1" si="24"/>
        <v>1.3181441230327504E-2</v>
      </c>
    </row>
    <row r="1076" spans="7:8">
      <c r="G1076">
        <v>1066</v>
      </c>
      <c r="H1076">
        <f t="shared" ca="1" si="24"/>
        <v>3.0551906184363278E-2</v>
      </c>
    </row>
    <row r="1077" spans="7:8">
      <c r="G1077">
        <v>1067</v>
      </c>
      <c r="H1077">
        <f t="shared" ca="1" si="24"/>
        <v>-3.8717629815987864E-2</v>
      </c>
    </row>
    <row r="1078" spans="7:8">
      <c r="G1078">
        <v>1068</v>
      </c>
      <c r="H1078">
        <f t="shared" ca="1" si="24"/>
        <v>-1.9845936768030738E-2</v>
      </c>
    </row>
    <row r="1079" spans="7:8">
      <c r="G1079">
        <v>1069</v>
      </c>
      <c r="H1079">
        <f t="shared" ca="1" si="24"/>
        <v>2.5842249057079894E-2</v>
      </c>
    </row>
    <row r="1080" spans="7:8">
      <c r="G1080">
        <v>1070</v>
      </c>
      <c r="H1080">
        <f t="shared" ca="1" si="24"/>
        <v>-4.9272693397942637E-2</v>
      </c>
    </row>
    <row r="1081" spans="7:8">
      <c r="G1081">
        <v>1071</v>
      </c>
      <c r="H1081">
        <f t="shared" ca="1" si="24"/>
        <v>-2.2668128101550073E-2</v>
      </c>
    </row>
    <row r="1082" spans="7:8">
      <c r="G1082">
        <v>1072</v>
      </c>
      <c r="H1082">
        <f t="shared" ca="1" si="24"/>
        <v>-1.4655093473509583E-2</v>
      </c>
    </row>
    <row r="1083" spans="7:8">
      <c r="G1083">
        <v>1073</v>
      </c>
      <c r="H1083">
        <f t="shared" ca="1" si="24"/>
        <v>3.1036101535032265E-2</v>
      </c>
    </row>
    <row r="1084" spans="7:8">
      <c r="G1084">
        <v>1074</v>
      </c>
      <c r="H1084">
        <f t="shared" ca="1" si="24"/>
        <v>-1.9844272835310442E-2</v>
      </c>
    </row>
    <row r="1085" spans="7:8">
      <c r="G1085">
        <v>1075</v>
      </c>
      <c r="H1085">
        <f t="shared" ca="1" si="24"/>
        <v>2.5213045450550958E-2</v>
      </c>
    </row>
    <row r="1086" spans="7:8">
      <c r="G1086">
        <v>1076</v>
      </c>
      <c r="H1086">
        <f t="shared" ca="1" si="24"/>
        <v>-3.8503662651688405E-3</v>
      </c>
    </row>
    <row r="1087" spans="7:8">
      <c r="G1087">
        <v>1077</v>
      </c>
      <c r="H1087">
        <f t="shared" ca="1" si="24"/>
        <v>2.4728153409394427E-2</v>
      </c>
    </row>
    <row r="1088" spans="7:8">
      <c r="G1088">
        <v>1078</v>
      </c>
      <c r="H1088">
        <f t="shared" ca="1" si="24"/>
        <v>-4.3556647948714477E-3</v>
      </c>
    </row>
    <row r="1089" spans="7:8">
      <c r="G1089">
        <v>1079</v>
      </c>
      <c r="H1089">
        <f t="shared" ca="1" si="24"/>
        <v>1.79512250301328E-2</v>
      </c>
    </row>
    <row r="1090" spans="7:8">
      <c r="G1090">
        <v>1080</v>
      </c>
      <c r="H1090">
        <f t="shared" ca="1" si="24"/>
        <v>-2.4213992465175796E-3</v>
      </c>
    </row>
    <row r="1091" spans="7:8">
      <c r="G1091">
        <v>1081</v>
      </c>
      <c r="H1091">
        <f t="shared" ca="1" si="24"/>
        <v>3.6424126380596465E-2</v>
      </c>
    </row>
    <row r="1092" spans="7:8">
      <c r="G1092">
        <v>1082</v>
      </c>
      <c r="H1092">
        <f t="shared" ca="1" si="24"/>
        <v>-7.4815536407700821E-3</v>
      </c>
    </row>
    <row r="1093" spans="7:8">
      <c r="G1093">
        <v>1083</v>
      </c>
      <c r="H1093">
        <f t="shared" ca="1" si="24"/>
        <v>2.1272580734705154E-2</v>
      </c>
    </row>
    <row r="1094" spans="7:8">
      <c r="G1094">
        <v>1084</v>
      </c>
      <c r="H1094">
        <f t="shared" ca="1" si="24"/>
        <v>-2.5746660467115292E-2</v>
      </c>
    </row>
    <row r="1095" spans="7:8">
      <c r="G1095">
        <v>1085</v>
      </c>
      <c r="H1095">
        <f t="shared" ca="1" si="24"/>
        <v>-1.871356707821686E-2</v>
      </c>
    </row>
    <row r="1096" spans="7:8">
      <c r="G1096">
        <v>1086</v>
      </c>
      <c r="H1096">
        <f t="shared" ca="1" si="24"/>
        <v>-4.7632360273363048E-3</v>
      </c>
    </row>
    <row r="1097" spans="7:8">
      <c r="G1097">
        <v>1087</v>
      </c>
      <c r="H1097">
        <f t="shared" ca="1" si="24"/>
        <v>-6.1976575047703476E-3</v>
      </c>
    </row>
    <row r="1098" spans="7:8">
      <c r="G1098">
        <v>1088</v>
      </c>
      <c r="H1098">
        <f t="shared" ca="1" si="24"/>
        <v>1.8321403708295415E-2</v>
      </c>
    </row>
    <row r="1099" spans="7:8">
      <c r="G1099">
        <v>1089</v>
      </c>
      <c r="H1099">
        <f t="shared" ca="1" si="24"/>
        <v>-1.7092991868745494E-2</v>
      </c>
    </row>
    <row r="1100" spans="7:8">
      <c r="G1100">
        <v>1090</v>
      </c>
      <c r="H1100">
        <f t="shared" ref="H1100:H1163" ca="1" si="25">_xlfn.NORM.INV(RAND(),N$13,N$14)</f>
        <v>-1.628551387158143E-2</v>
      </c>
    </row>
    <row r="1101" spans="7:8">
      <c r="G1101">
        <v>1091</v>
      </c>
      <c r="H1101">
        <f t="shared" ca="1" si="25"/>
        <v>1.6703416705835496E-2</v>
      </c>
    </row>
    <row r="1102" spans="7:8">
      <c r="G1102">
        <v>1092</v>
      </c>
      <c r="H1102">
        <f t="shared" ca="1" si="25"/>
        <v>-8.3778662197029428E-3</v>
      </c>
    </row>
    <row r="1103" spans="7:8">
      <c r="G1103">
        <v>1093</v>
      </c>
      <c r="H1103">
        <f t="shared" ca="1" si="25"/>
        <v>-2.6061270412341735E-2</v>
      </c>
    </row>
    <row r="1104" spans="7:8">
      <c r="G1104">
        <v>1094</v>
      </c>
      <c r="H1104">
        <f t="shared" ca="1" si="25"/>
        <v>-1.1605817724257148E-2</v>
      </c>
    </row>
    <row r="1105" spans="7:8">
      <c r="G1105">
        <v>1095</v>
      </c>
      <c r="H1105">
        <f t="shared" ca="1" si="25"/>
        <v>2.6632846958455299E-2</v>
      </c>
    </row>
    <row r="1106" spans="7:8">
      <c r="G1106">
        <v>1096</v>
      </c>
      <c r="H1106">
        <f t="shared" ca="1" si="25"/>
        <v>-8.23142257056317E-3</v>
      </c>
    </row>
    <row r="1107" spans="7:8">
      <c r="G1107">
        <v>1097</v>
      </c>
      <c r="H1107">
        <f t="shared" ca="1" si="25"/>
        <v>1.1986470354559513E-2</v>
      </c>
    </row>
    <row r="1108" spans="7:8">
      <c r="G1108">
        <v>1098</v>
      </c>
      <c r="H1108">
        <f t="shared" ca="1" si="25"/>
        <v>8.4950570430515869E-3</v>
      </c>
    </row>
    <row r="1109" spans="7:8">
      <c r="G1109">
        <v>1099</v>
      </c>
      <c r="H1109">
        <f t="shared" ca="1" si="25"/>
        <v>-1.7908835849283013E-2</v>
      </c>
    </row>
    <row r="1110" spans="7:8">
      <c r="G1110">
        <v>1100</v>
      </c>
      <c r="H1110">
        <f t="shared" ca="1" si="25"/>
        <v>2.1071984062892093E-2</v>
      </c>
    </row>
    <row r="1111" spans="7:8">
      <c r="G1111">
        <v>1101</v>
      </c>
      <c r="H1111">
        <f t="shared" ca="1" si="25"/>
        <v>-6.9570377012679414E-4</v>
      </c>
    </row>
    <row r="1112" spans="7:8">
      <c r="G1112">
        <v>1102</v>
      </c>
      <c r="H1112">
        <f t="shared" ca="1" si="25"/>
        <v>2.6485698162978157E-2</v>
      </c>
    </row>
    <row r="1113" spans="7:8">
      <c r="G1113">
        <v>1103</v>
      </c>
      <c r="H1113">
        <f t="shared" ca="1" si="25"/>
        <v>-8.806259524082676E-4</v>
      </c>
    </row>
    <row r="1114" spans="7:8">
      <c r="G1114">
        <v>1104</v>
      </c>
      <c r="H1114">
        <f t="shared" ca="1" si="25"/>
        <v>-2.0818122359592711E-2</v>
      </c>
    </row>
    <row r="1115" spans="7:8">
      <c r="G1115">
        <v>1105</v>
      </c>
      <c r="H1115">
        <f t="shared" ca="1" si="25"/>
        <v>6.147805109620761E-2</v>
      </c>
    </row>
    <row r="1116" spans="7:8">
      <c r="G1116">
        <v>1106</v>
      </c>
      <c r="H1116">
        <f t="shared" ca="1" si="25"/>
        <v>1.7688875019387248E-2</v>
      </c>
    </row>
    <row r="1117" spans="7:8">
      <c r="G1117">
        <v>1107</v>
      </c>
      <c r="H1117">
        <f t="shared" ca="1" si="25"/>
        <v>-7.4790594667387923E-3</v>
      </c>
    </row>
    <row r="1118" spans="7:8">
      <c r="G1118">
        <v>1108</v>
      </c>
      <c r="H1118">
        <f t="shared" ca="1" si="25"/>
        <v>-3.5518191533268677E-2</v>
      </c>
    </row>
    <row r="1119" spans="7:8">
      <c r="G1119">
        <v>1109</v>
      </c>
      <c r="H1119">
        <f t="shared" ca="1" si="25"/>
        <v>-2.1095335593588515E-4</v>
      </c>
    </row>
    <row r="1120" spans="7:8">
      <c r="G1120">
        <v>1110</v>
      </c>
      <c r="H1120">
        <f t="shared" ca="1" si="25"/>
        <v>2.46505786909617E-2</v>
      </c>
    </row>
    <row r="1121" spans="7:8">
      <c r="G1121">
        <v>1111</v>
      </c>
      <c r="H1121">
        <f t="shared" ca="1" si="25"/>
        <v>5.032126301557855E-2</v>
      </c>
    </row>
    <row r="1122" spans="7:8">
      <c r="G1122">
        <v>1112</v>
      </c>
      <c r="H1122">
        <f t="shared" ca="1" si="25"/>
        <v>-3.205813550072957E-2</v>
      </c>
    </row>
    <row r="1123" spans="7:8">
      <c r="G1123">
        <v>1113</v>
      </c>
      <c r="H1123">
        <f t="shared" ca="1" si="25"/>
        <v>1.0511658023936953E-2</v>
      </c>
    </row>
    <row r="1124" spans="7:8">
      <c r="G1124">
        <v>1114</v>
      </c>
      <c r="H1124">
        <f t="shared" ca="1" si="25"/>
        <v>-2.2419329264751355E-2</v>
      </c>
    </row>
    <row r="1125" spans="7:8">
      <c r="G1125">
        <v>1115</v>
      </c>
      <c r="H1125">
        <f t="shared" ca="1" si="25"/>
        <v>-2.2891729010709416E-2</v>
      </c>
    </row>
    <row r="1126" spans="7:8">
      <c r="G1126">
        <v>1116</v>
      </c>
      <c r="H1126">
        <f t="shared" ca="1" si="25"/>
        <v>-6.9270930692462212E-3</v>
      </c>
    </row>
    <row r="1127" spans="7:8">
      <c r="G1127">
        <v>1117</v>
      </c>
      <c r="H1127">
        <f t="shared" ca="1" si="25"/>
        <v>1.2462649783927089E-2</v>
      </c>
    </row>
    <row r="1128" spans="7:8">
      <c r="G1128">
        <v>1118</v>
      </c>
      <c r="H1128">
        <f t="shared" ca="1" si="25"/>
        <v>-3.1524334653680229E-2</v>
      </c>
    </row>
    <row r="1129" spans="7:8">
      <c r="G1129">
        <v>1119</v>
      </c>
      <c r="H1129">
        <f t="shared" ca="1" si="25"/>
        <v>-1.1868889405351983E-2</v>
      </c>
    </row>
    <row r="1130" spans="7:8">
      <c r="G1130">
        <v>1120</v>
      </c>
      <c r="H1130">
        <f t="shared" ca="1" si="25"/>
        <v>-2.9817842289083466E-3</v>
      </c>
    </row>
    <row r="1131" spans="7:8">
      <c r="G1131">
        <v>1121</v>
      </c>
      <c r="H1131">
        <f t="shared" ca="1" si="25"/>
        <v>2.0615921282592979E-2</v>
      </c>
    </row>
    <row r="1132" spans="7:8">
      <c r="G1132">
        <v>1122</v>
      </c>
      <c r="H1132">
        <f t="shared" ca="1" si="25"/>
        <v>-2.3134540618299219E-2</v>
      </c>
    </row>
    <row r="1133" spans="7:8">
      <c r="G1133">
        <v>1123</v>
      </c>
      <c r="H1133">
        <f t="shared" ca="1" si="25"/>
        <v>3.8034243808218682E-2</v>
      </c>
    </row>
    <row r="1134" spans="7:8">
      <c r="G1134">
        <v>1124</v>
      </c>
      <c r="H1134">
        <f t="shared" ca="1" si="25"/>
        <v>6.1546889228157858E-3</v>
      </c>
    </row>
    <row r="1135" spans="7:8">
      <c r="G1135">
        <v>1125</v>
      </c>
      <c r="H1135">
        <f t="shared" ca="1" si="25"/>
        <v>-1.3159440499887421E-2</v>
      </c>
    </row>
    <row r="1136" spans="7:8">
      <c r="G1136">
        <v>1126</v>
      </c>
      <c r="H1136">
        <f t="shared" ca="1" si="25"/>
        <v>-2.3055130149995221E-2</v>
      </c>
    </row>
    <row r="1137" spans="7:8">
      <c r="G1137">
        <v>1127</v>
      </c>
      <c r="H1137">
        <f t="shared" ca="1" si="25"/>
        <v>-1.7771824944295661E-2</v>
      </c>
    </row>
    <row r="1138" spans="7:8">
      <c r="G1138">
        <v>1128</v>
      </c>
      <c r="H1138">
        <f t="shared" ca="1" si="25"/>
        <v>5.9021352451763031E-4</v>
      </c>
    </row>
    <row r="1139" spans="7:8">
      <c r="G1139">
        <v>1129</v>
      </c>
      <c r="H1139">
        <f t="shared" ca="1" si="25"/>
        <v>-2.4620431408166464E-2</v>
      </c>
    </row>
    <row r="1140" spans="7:8">
      <c r="G1140">
        <v>1130</v>
      </c>
      <c r="H1140">
        <f t="shared" ca="1" si="25"/>
        <v>4.3480687999285506E-3</v>
      </c>
    </row>
    <row r="1141" spans="7:8">
      <c r="G1141">
        <v>1131</v>
      </c>
      <c r="H1141">
        <f t="shared" ca="1" si="25"/>
        <v>-3.5525711073397278E-3</v>
      </c>
    </row>
    <row r="1142" spans="7:8">
      <c r="G1142">
        <v>1132</v>
      </c>
      <c r="H1142">
        <f t="shared" ca="1" si="25"/>
        <v>2.2098162418053003E-2</v>
      </c>
    </row>
    <row r="1143" spans="7:8">
      <c r="G1143">
        <v>1133</v>
      </c>
      <c r="H1143">
        <f t="shared" ca="1" si="25"/>
        <v>1.8054259052341461E-2</v>
      </c>
    </row>
    <row r="1144" spans="7:8">
      <c r="G1144">
        <v>1134</v>
      </c>
      <c r="H1144">
        <f t="shared" ca="1" si="25"/>
        <v>1.8730021907290034E-2</v>
      </c>
    </row>
    <row r="1145" spans="7:8">
      <c r="G1145">
        <v>1135</v>
      </c>
      <c r="H1145">
        <f t="shared" ca="1" si="25"/>
        <v>1.1774913960541594E-2</v>
      </c>
    </row>
    <row r="1146" spans="7:8">
      <c r="G1146">
        <v>1136</v>
      </c>
      <c r="H1146">
        <f t="shared" ca="1" si="25"/>
        <v>-1.5650891566212712E-2</v>
      </c>
    </row>
    <row r="1147" spans="7:8">
      <c r="G1147">
        <v>1137</v>
      </c>
      <c r="H1147">
        <f t="shared" ca="1" si="25"/>
        <v>2.1145967342028008E-3</v>
      </c>
    </row>
    <row r="1148" spans="7:8">
      <c r="G1148">
        <v>1138</v>
      </c>
      <c r="H1148">
        <f t="shared" ca="1" si="25"/>
        <v>-1.8081563101726639E-2</v>
      </c>
    </row>
    <row r="1149" spans="7:8">
      <c r="G1149">
        <v>1139</v>
      </c>
      <c r="H1149">
        <f t="shared" ca="1" si="25"/>
        <v>1.2941071530799068E-2</v>
      </c>
    </row>
    <row r="1150" spans="7:8">
      <c r="G1150">
        <v>1140</v>
      </c>
      <c r="H1150">
        <f t="shared" ca="1" si="25"/>
        <v>-5.5285535412992531E-3</v>
      </c>
    </row>
    <row r="1151" spans="7:8">
      <c r="G1151">
        <v>1141</v>
      </c>
      <c r="H1151">
        <f t="shared" ca="1" si="25"/>
        <v>2.7307548447844745E-2</v>
      </c>
    </row>
    <row r="1152" spans="7:8">
      <c r="G1152">
        <v>1142</v>
      </c>
      <c r="H1152">
        <f t="shared" ca="1" si="25"/>
        <v>3.4721657098336606E-2</v>
      </c>
    </row>
    <row r="1153" spans="7:8">
      <c r="G1153">
        <v>1143</v>
      </c>
      <c r="H1153">
        <f t="shared" ca="1" si="25"/>
        <v>-3.9356030708746249E-2</v>
      </c>
    </row>
    <row r="1154" spans="7:8">
      <c r="G1154">
        <v>1144</v>
      </c>
      <c r="H1154">
        <f t="shared" ca="1" si="25"/>
        <v>1.4462225967158203E-2</v>
      </c>
    </row>
    <row r="1155" spans="7:8">
      <c r="G1155">
        <v>1145</v>
      </c>
      <c r="H1155">
        <f t="shared" ca="1" si="25"/>
        <v>2.7419161476140277E-2</v>
      </c>
    </row>
    <row r="1156" spans="7:8">
      <c r="G1156">
        <v>1146</v>
      </c>
      <c r="H1156">
        <f t="shared" ca="1" si="25"/>
        <v>-2.0786615448884793E-3</v>
      </c>
    </row>
    <row r="1157" spans="7:8">
      <c r="G1157">
        <v>1147</v>
      </c>
      <c r="H1157">
        <f t="shared" ca="1" si="25"/>
        <v>-2.7002157855352628E-2</v>
      </c>
    </row>
    <row r="1158" spans="7:8">
      <c r="G1158">
        <v>1148</v>
      </c>
      <c r="H1158">
        <f t="shared" ca="1" si="25"/>
        <v>-2.4443977984150655E-2</v>
      </c>
    </row>
    <row r="1159" spans="7:8">
      <c r="G1159">
        <v>1149</v>
      </c>
      <c r="H1159">
        <f t="shared" ca="1" si="25"/>
        <v>-8.8616027770794803E-3</v>
      </c>
    </row>
    <row r="1160" spans="7:8">
      <c r="G1160">
        <v>1150</v>
      </c>
      <c r="H1160">
        <f t="shared" ca="1" si="25"/>
        <v>-2.4397590113764623E-2</v>
      </c>
    </row>
    <row r="1161" spans="7:8">
      <c r="G1161">
        <v>1151</v>
      </c>
      <c r="H1161">
        <f t="shared" ca="1" si="25"/>
        <v>-6.3312365887256694E-3</v>
      </c>
    </row>
    <row r="1162" spans="7:8">
      <c r="G1162">
        <v>1152</v>
      </c>
      <c r="H1162">
        <f t="shared" ca="1" si="25"/>
        <v>2.0871155976942259E-2</v>
      </c>
    </row>
    <row r="1163" spans="7:8">
      <c r="G1163">
        <v>1153</v>
      </c>
      <c r="H1163">
        <f t="shared" ca="1" si="25"/>
        <v>5.3960257853783063E-3</v>
      </c>
    </row>
    <row r="1164" spans="7:8">
      <c r="G1164">
        <v>1154</v>
      </c>
      <c r="H1164">
        <f t="shared" ref="H1164:H1227" ca="1" si="26">_xlfn.NORM.INV(RAND(),N$13,N$14)</f>
        <v>9.8073910839974379E-3</v>
      </c>
    </row>
    <row r="1165" spans="7:8">
      <c r="G1165">
        <v>1155</v>
      </c>
      <c r="H1165">
        <f t="shared" ca="1" si="26"/>
        <v>1.1756508411865896E-2</v>
      </c>
    </row>
    <row r="1166" spans="7:8">
      <c r="G1166">
        <v>1156</v>
      </c>
      <c r="H1166">
        <f t="shared" ca="1" si="26"/>
        <v>-6.7694576381239786E-4</v>
      </c>
    </row>
    <row r="1167" spans="7:8">
      <c r="G1167">
        <v>1157</v>
      </c>
      <c r="H1167">
        <f t="shared" ca="1" si="26"/>
        <v>-1.4327119477908375E-2</v>
      </c>
    </row>
    <row r="1168" spans="7:8">
      <c r="G1168">
        <v>1158</v>
      </c>
      <c r="H1168">
        <f t="shared" ca="1" si="26"/>
        <v>1.6498984884987921E-2</v>
      </c>
    </row>
    <row r="1169" spans="7:8">
      <c r="G1169">
        <v>1159</v>
      </c>
      <c r="H1169">
        <f t="shared" ca="1" si="26"/>
        <v>-3.0120447439420654E-2</v>
      </c>
    </row>
    <row r="1170" spans="7:8">
      <c r="G1170">
        <v>1160</v>
      </c>
      <c r="H1170">
        <f t="shared" ca="1" si="26"/>
        <v>-2.1691218232055172E-2</v>
      </c>
    </row>
    <row r="1171" spans="7:8">
      <c r="G1171">
        <v>1161</v>
      </c>
      <c r="H1171">
        <f t="shared" ca="1" si="26"/>
        <v>-6.6529003370146677E-3</v>
      </c>
    </row>
    <row r="1172" spans="7:8">
      <c r="G1172">
        <v>1162</v>
      </c>
      <c r="H1172">
        <f t="shared" ca="1" si="26"/>
        <v>7.0399558257593616E-3</v>
      </c>
    </row>
    <row r="1173" spans="7:8">
      <c r="G1173">
        <v>1163</v>
      </c>
      <c r="H1173">
        <f t="shared" ca="1" si="26"/>
        <v>-1.5546067118843668E-2</v>
      </c>
    </row>
    <row r="1174" spans="7:8">
      <c r="G1174">
        <v>1164</v>
      </c>
      <c r="H1174">
        <f t="shared" ca="1" si="26"/>
        <v>-2.6790446462956977E-2</v>
      </c>
    </row>
    <row r="1175" spans="7:8">
      <c r="G1175">
        <v>1165</v>
      </c>
      <c r="H1175">
        <f t="shared" ca="1" si="26"/>
        <v>-1.716062680341399E-2</v>
      </c>
    </row>
    <row r="1176" spans="7:8">
      <c r="G1176">
        <v>1166</v>
      </c>
      <c r="H1176">
        <f t="shared" ca="1" si="26"/>
        <v>-1.7611563121794172E-2</v>
      </c>
    </row>
    <row r="1177" spans="7:8">
      <c r="G1177">
        <v>1167</v>
      </c>
      <c r="H1177">
        <f t="shared" ca="1" si="26"/>
        <v>-4.7803165100970919E-3</v>
      </c>
    </row>
    <row r="1178" spans="7:8">
      <c r="G1178">
        <v>1168</v>
      </c>
      <c r="H1178">
        <f t="shared" ca="1" si="26"/>
        <v>1.2373007814820165E-2</v>
      </c>
    </row>
    <row r="1179" spans="7:8">
      <c r="G1179">
        <v>1169</v>
      </c>
      <c r="H1179">
        <f t="shared" ca="1" si="26"/>
        <v>4.0717698254491112E-3</v>
      </c>
    </row>
    <row r="1180" spans="7:8">
      <c r="G1180">
        <v>1170</v>
      </c>
      <c r="H1180">
        <f t="shared" ca="1" si="26"/>
        <v>-1.9905536913902254E-2</v>
      </c>
    </row>
    <row r="1181" spans="7:8">
      <c r="G1181">
        <v>1171</v>
      </c>
      <c r="H1181">
        <f t="shared" ca="1" si="26"/>
        <v>1.9730667766923893E-2</v>
      </c>
    </row>
    <row r="1182" spans="7:8">
      <c r="G1182">
        <v>1172</v>
      </c>
      <c r="H1182">
        <f t="shared" ca="1" si="26"/>
        <v>5.1561483828198806E-2</v>
      </c>
    </row>
    <row r="1183" spans="7:8">
      <c r="G1183">
        <v>1173</v>
      </c>
      <c r="H1183">
        <f t="shared" ca="1" si="26"/>
        <v>-2.736961495755684E-2</v>
      </c>
    </row>
    <row r="1184" spans="7:8">
      <c r="G1184">
        <v>1174</v>
      </c>
      <c r="H1184">
        <f t="shared" ca="1" si="26"/>
        <v>-4.1821465063382286E-3</v>
      </c>
    </row>
    <row r="1185" spans="7:8">
      <c r="G1185">
        <v>1175</v>
      </c>
      <c r="H1185">
        <f t="shared" ca="1" si="26"/>
        <v>1.9893179583640318E-3</v>
      </c>
    </row>
    <row r="1186" spans="7:8">
      <c r="G1186">
        <v>1176</v>
      </c>
      <c r="H1186">
        <f t="shared" ca="1" si="26"/>
        <v>2.6183414164077493E-2</v>
      </c>
    </row>
    <row r="1187" spans="7:8">
      <c r="G1187">
        <v>1177</v>
      </c>
      <c r="H1187">
        <f t="shared" ca="1" si="26"/>
        <v>8.2160124342418091E-3</v>
      </c>
    </row>
    <row r="1188" spans="7:8">
      <c r="G1188">
        <v>1178</v>
      </c>
      <c r="H1188">
        <f t="shared" ca="1" si="26"/>
        <v>-4.5552097842386896E-2</v>
      </c>
    </row>
    <row r="1189" spans="7:8">
      <c r="G1189">
        <v>1179</v>
      </c>
      <c r="H1189">
        <f t="shared" ca="1" si="26"/>
        <v>-1.7944391713766224E-2</v>
      </c>
    </row>
    <row r="1190" spans="7:8">
      <c r="G1190">
        <v>1180</v>
      </c>
      <c r="H1190">
        <f t="shared" ca="1" si="26"/>
        <v>-2.7515428476915689E-2</v>
      </c>
    </row>
    <row r="1191" spans="7:8">
      <c r="G1191">
        <v>1181</v>
      </c>
      <c r="H1191">
        <f t="shared" ca="1" si="26"/>
        <v>-2.6212089379954978E-2</v>
      </c>
    </row>
    <row r="1192" spans="7:8">
      <c r="G1192">
        <v>1182</v>
      </c>
      <c r="H1192">
        <f t="shared" ca="1" si="26"/>
        <v>1.4647456239374296E-2</v>
      </c>
    </row>
    <row r="1193" spans="7:8">
      <c r="G1193">
        <v>1183</v>
      </c>
      <c r="H1193">
        <f t="shared" ca="1" si="26"/>
        <v>-6.9528401102839305E-4</v>
      </c>
    </row>
    <row r="1194" spans="7:8">
      <c r="G1194">
        <v>1184</v>
      </c>
      <c r="H1194">
        <f t="shared" ca="1" si="26"/>
        <v>3.4398028291035082E-2</v>
      </c>
    </row>
    <row r="1195" spans="7:8">
      <c r="G1195">
        <v>1185</v>
      </c>
      <c r="H1195">
        <f t="shared" ca="1" si="26"/>
        <v>1.9771000817525614E-2</v>
      </c>
    </row>
    <row r="1196" spans="7:8">
      <c r="G1196">
        <v>1186</v>
      </c>
      <c r="H1196">
        <f t="shared" ca="1" si="26"/>
        <v>-4.0111840036716542E-2</v>
      </c>
    </row>
    <row r="1197" spans="7:8">
      <c r="G1197">
        <v>1187</v>
      </c>
      <c r="H1197">
        <f t="shared" ca="1" si="26"/>
        <v>2.5208057761060155E-2</v>
      </c>
    </row>
    <row r="1198" spans="7:8">
      <c r="G1198">
        <v>1188</v>
      </c>
      <c r="H1198">
        <f t="shared" ca="1" si="26"/>
        <v>3.3872577562536171E-2</v>
      </c>
    </row>
    <row r="1199" spans="7:8">
      <c r="G1199">
        <v>1189</v>
      </c>
      <c r="H1199">
        <f t="shared" ca="1" si="26"/>
        <v>7.1465412024187798E-3</v>
      </c>
    </row>
    <row r="1200" spans="7:8">
      <c r="G1200">
        <v>1190</v>
      </c>
      <c r="H1200">
        <f t="shared" ca="1" si="26"/>
        <v>4.4093020584746933E-3</v>
      </c>
    </row>
    <row r="1201" spans="7:8">
      <c r="G1201">
        <v>1191</v>
      </c>
      <c r="H1201">
        <f t="shared" ca="1" si="26"/>
        <v>9.625384550907494E-3</v>
      </c>
    </row>
    <row r="1202" spans="7:8">
      <c r="G1202">
        <v>1192</v>
      </c>
      <c r="H1202">
        <f t="shared" ca="1" si="26"/>
        <v>9.9627102148630645E-3</v>
      </c>
    </row>
    <row r="1203" spans="7:8">
      <c r="G1203">
        <v>1193</v>
      </c>
      <c r="H1203">
        <f t="shared" ca="1" si="26"/>
        <v>3.9996372741829128E-2</v>
      </c>
    </row>
    <row r="1204" spans="7:8">
      <c r="G1204">
        <v>1194</v>
      </c>
      <c r="H1204">
        <f t="shared" ca="1" si="26"/>
        <v>5.109850012344852E-2</v>
      </c>
    </row>
    <row r="1205" spans="7:8">
      <c r="G1205">
        <v>1195</v>
      </c>
      <c r="H1205">
        <f t="shared" ca="1" si="26"/>
        <v>3.9655479602953648E-3</v>
      </c>
    </row>
    <row r="1206" spans="7:8">
      <c r="G1206">
        <v>1196</v>
      </c>
      <c r="H1206">
        <f t="shared" ca="1" si="26"/>
        <v>1.4993132130047269E-2</v>
      </c>
    </row>
    <row r="1207" spans="7:8">
      <c r="G1207">
        <v>1197</v>
      </c>
      <c r="H1207">
        <f t="shared" ca="1" si="26"/>
        <v>-2.3227985591251214E-2</v>
      </c>
    </row>
    <row r="1208" spans="7:8">
      <c r="G1208">
        <v>1198</v>
      </c>
      <c r="H1208">
        <f t="shared" ca="1" si="26"/>
        <v>-3.4205317978102015E-2</v>
      </c>
    </row>
    <row r="1209" spans="7:8">
      <c r="G1209">
        <v>1199</v>
      </c>
      <c r="H1209">
        <f t="shared" ca="1" si="26"/>
        <v>1.0170270671344449E-2</v>
      </c>
    </row>
    <row r="1210" spans="7:8">
      <c r="G1210">
        <v>1200</v>
      </c>
      <c r="H1210">
        <f t="shared" ca="1" si="26"/>
        <v>-7.0986036484450236E-3</v>
      </c>
    </row>
    <row r="1211" spans="7:8">
      <c r="G1211">
        <v>1201</v>
      </c>
      <c r="H1211">
        <f t="shared" ca="1" si="26"/>
        <v>5.9833831828350129E-3</v>
      </c>
    </row>
    <row r="1212" spans="7:8">
      <c r="G1212">
        <v>1202</v>
      </c>
      <c r="H1212">
        <f t="shared" ca="1" si="26"/>
        <v>-3.7107904838460243E-2</v>
      </c>
    </row>
    <row r="1213" spans="7:8">
      <c r="G1213">
        <v>1203</v>
      </c>
      <c r="H1213">
        <f t="shared" ca="1" si="26"/>
        <v>2.7320510039519939E-2</v>
      </c>
    </row>
    <row r="1214" spans="7:8">
      <c r="G1214">
        <v>1204</v>
      </c>
      <c r="H1214">
        <f t="shared" ca="1" si="26"/>
        <v>1.2560717960697019E-2</v>
      </c>
    </row>
    <row r="1215" spans="7:8">
      <c r="G1215">
        <v>1205</v>
      </c>
      <c r="H1215">
        <f t="shared" ca="1" si="26"/>
        <v>1.7056699276036969E-3</v>
      </c>
    </row>
    <row r="1216" spans="7:8">
      <c r="G1216">
        <v>1206</v>
      </c>
      <c r="H1216">
        <f t="shared" ca="1" si="26"/>
        <v>-2.1716958958950729E-2</v>
      </c>
    </row>
    <row r="1217" spans="7:8">
      <c r="G1217">
        <v>1207</v>
      </c>
      <c r="H1217">
        <f t="shared" ca="1" si="26"/>
        <v>2.8913770243734597E-2</v>
      </c>
    </row>
    <row r="1218" spans="7:8">
      <c r="G1218">
        <v>1208</v>
      </c>
      <c r="H1218">
        <f t="shared" ca="1" si="26"/>
        <v>-3.58152484478629E-3</v>
      </c>
    </row>
    <row r="1219" spans="7:8">
      <c r="G1219">
        <v>1209</v>
      </c>
      <c r="H1219">
        <f t="shared" ca="1" si="26"/>
        <v>-1.1917213418760546E-3</v>
      </c>
    </row>
    <row r="1220" spans="7:8">
      <c r="G1220">
        <v>1210</v>
      </c>
      <c r="H1220">
        <f t="shared" ca="1" si="26"/>
        <v>8.2649590770785177E-3</v>
      </c>
    </row>
    <row r="1221" spans="7:8">
      <c r="G1221">
        <v>1211</v>
      </c>
      <c r="H1221">
        <f t="shared" ca="1" si="26"/>
        <v>2.8399121443406988E-2</v>
      </c>
    </row>
    <row r="1222" spans="7:8">
      <c r="G1222">
        <v>1212</v>
      </c>
      <c r="H1222">
        <f t="shared" ca="1" si="26"/>
        <v>-5.7169294536853297E-3</v>
      </c>
    </row>
    <row r="1223" spans="7:8">
      <c r="G1223">
        <v>1213</v>
      </c>
      <c r="H1223">
        <f t="shared" ca="1" si="26"/>
        <v>-1.3633325356106108E-2</v>
      </c>
    </row>
    <row r="1224" spans="7:8">
      <c r="G1224">
        <v>1214</v>
      </c>
      <c r="H1224">
        <f t="shared" ca="1" si="26"/>
        <v>-1.0924619405159756E-2</v>
      </c>
    </row>
    <row r="1225" spans="7:8">
      <c r="G1225">
        <v>1215</v>
      </c>
      <c r="H1225">
        <f t="shared" ca="1" si="26"/>
        <v>-4.8488511330946919E-3</v>
      </c>
    </row>
    <row r="1226" spans="7:8">
      <c r="G1226">
        <v>1216</v>
      </c>
      <c r="H1226">
        <f t="shared" ca="1" si="26"/>
        <v>-3.1382607094080597E-2</v>
      </c>
    </row>
    <row r="1227" spans="7:8">
      <c r="G1227">
        <v>1217</v>
      </c>
      <c r="H1227">
        <f t="shared" ca="1" si="26"/>
        <v>-1.042294534284325E-2</v>
      </c>
    </row>
    <row r="1228" spans="7:8">
      <c r="G1228">
        <v>1218</v>
      </c>
      <c r="H1228">
        <f t="shared" ref="H1228:H1291" ca="1" si="27">_xlfn.NORM.INV(RAND(),N$13,N$14)</f>
        <v>-2.8882992789772272E-2</v>
      </c>
    </row>
    <row r="1229" spans="7:8">
      <c r="G1229">
        <v>1219</v>
      </c>
      <c r="H1229">
        <f t="shared" ca="1" si="27"/>
        <v>-2.5214584924492189E-2</v>
      </c>
    </row>
    <row r="1230" spans="7:8">
      <c r="G1230">
        <v>1220</v>
      </c>
      <c r="H1230">
        <f t="shared" ca="1" si="27"/>
        <v>-4.0047483904174352E-3</v>
      </c>
    </row>
    <row r="1231" spans="7:8">
      <c r="G1231">
        <v>1221</v>
      </c>
      <c r="H1231">
        <f t="shared" ca="1" si="27"/>
        <v>-3.1816553395853479E-2</v>
      </c>
    </row>
    <row r="1232" spans="7:8">
      <c r="G1232">
        <v>1222</v>
      </c>
      <c r="H1232">
        <f t="shared" ca="1" si="27"/>
        <v>-4.3240896906576398E-2</v>
      </c>
    </row>
    <row r="1233" spans="7:8">
      <c r="G1233">
        <v>1223</v>
      </c>
      <c r="H1233">
        <f t="shared" ca="1" si="27"/>
        <v>-9.9091151968944188E-3</v>
      </c>
    </row>
    <row r="1234" spans="7:8">
      <c r="G1234">
        <v>1224</v>
      </c>
      <c r="H1234">
        <f t="shared" ca="1" si="27"/>
        <v>1.9262895677462519E-2</v>
      </c>
    </row>
    <row r="1235" spans="7:8">
      <c r="G1235">
        <v>1225</v>
      </c>
      <c r="H1235">
        <f t="shared" ca="1" si="27"/>
        <v>-2.4595434285602327E-3</v>
      </c>
    </row>
    <row r="1236" spans="7:8">
      <c r="G1236">
        <v>1226</v>
      </c>
      <c r="H1236">
        <f t="shared" ca="1" si="27"/>
        <v>9.919795648048492E-4</v>
      </c>
    </row>
    <row r="1237" spans="7:8">
      <c r="G1237">
        <v>1227</v>
      </c>
      <c r="H1237">
        <f t="shared" ca="1" si="27"/>
        <v>-4.2737564381222053E-3</v>
      </c>
    </row>
    <row r="1238" spans="7:8">
      <c r="G1238">
        <v>1228</v>
      </c>
      <c r="H1238">
        <f t="shared" ca="1" si="27"/>
        <v>-4.2428220725488353E-3</v>
      </c>
    </row>
    <row r="1239" spans="7:8">
      <c r="G1239">
        <v>1229</v>
      </c>
      <c r="H1239">
        <f t="shared" ca="1" si="27"/>
        <v>1.5221411650692433E-2</v>
      </c>
    </row>
    <row r="1240" spans="7:8">
      <c r="G1240">
        <v>1230</v>
      </c>
      <c r="H1240">
        <f t="shared" ca="1" si="27"/>
        <v>1.149747379776039E-3</v>
      </c>
    </row>
    <row r="1241" spans="7:8">
      <c r="G1241">
        <v>1231</v>
      </c>
      <c r="H1241">
        <f t="shared" ca="1" si="27"/>
        <v>9.5247189366335742E-3</v>
      </c>
    </row>
    <row r="1242" spans="7:8">
      <c r="G1242">
        <v>1232</v>
      </c>
      <c r="H1242">
        <f t="shared" ca="1" si="27"/>
        <v>1.1550139304430161E-3</v>
      </c>
    </row>
    <row r="1243" spans="7:8">
      <c r="G1243">
        <v>1233</v>
      </c>
      <c r="H1243">
        <f t="shared" ca="1" si="27"/>
        <v>8.823098016725605E-3</v>
      </c>
    </row>
    <row r="1244" spans="7:8">
      <c r="G1244">
        <v>1234</v>
      </c>
      <c r="H1244">
        <f t="shared" ca="1" si="27"/>
        <v>-7.8273302721133045E-3</v>
      </c>
    </row>
    <row r="1245" spans="7:8">
      <c r="G1245">
        <v>1235</v>
      </c>
      <c r="H1245">
        <f t="shared" ca="1" si="27"/>
        <v>-1.5919382465463081E-2</v>
      </c>
    </row>
    <row r="1246" spans="7:8">
      <c r="G1246">
        <v>1236</v>
      </c>
      <c r="H1246">
        <f t="shared" ca="1" si="27"/>
        <v>3.2043888052497103E-2</v>
      </c>
    </row>
    <row r="1247" spans="7:8">
      <c r="G1247">
        <v>1237</v>
      </c>
      <c r="H1247">
        <f t="shared" ca="1" si="27"/>
        <v>-2.8937741912312748E-4</v>
      </c>
    </row>
    <row r="1248" spans="7:8">
      <c r="G1248">
        <v>1238</v>
      </c>
      <c r="H1248">
        <f t="shared" ca="1" si="27"/>
        <v>-1.4829597598262779E-3</v>
      </c>
    </row>
    <row r="1249" spans="7:8">
      <c r="G1249">
        <v>1239</v>
      </c>
      <c r="H1249">
        <f t="shared" ca="1" si="27"/>
        <v>9.3199609498946026E-3</v>
      </c>
    </row>
    <row r="1250" spans="7:8">
      <c r="G1250">
        <v>1240</v>
      </c>
      <c r="H1250">
        <f t="shared" ca="1" si="27"/>
        <v>4.0011558916475242E-3</v>
      </c>
    </row>
    <row r="1251" spans="7:8">
      <c r="G1251">
        <v>1241</v>
      </c>
      <c r="H1251">
        <f t="shared" ca="1" si="27"/>
        <v>-2.7129858414280231E-2</v>
      </c>
    </row>
    <row r="1252" spans="7:8">
      <c r="G1252">
        <v>1242</v>
      </c>
      <c r="H1252">
        <f t="shared" ca="1" si="27"/>
        <v>-3.0635856533225883E-2</v>
      </c>
    </row>
    <row r="1253" spans="7:8">
      <c r="G1253">
        <v>1243</v>
      </c>
      <c r="H1253">
        <f t="shared" ca="1" si="27"/>
        <v>1.1272747428803199E-2</v>
      </c>
    </row>
    <row r="1254" spans="7:8">
      <c r="G1254">
        <v>1244</v>
      </c>
      <c r="H1254">
        <f t="shared" ca="1" si="27"/>
        <v>9.5686958610790279E-3</v>
      </c>
    </row>
    <row r="1255" spans="7:8">
      <c r="G1255">
        <v>1245</v>
      </c>
      <c r="H1255">
        <f t="shared" ca="1" si="27"/>
        <v>-1.8221712400992837E-2</v>
      </c>
    </row>
    <row r="1256" spans="7:8">
      <c r="G1256">
        <v>1246</v>
      </c>
      <c r="H1256">
        <f t="shared" ca="1" si="27"/>
        <v>6.1018283187473772E-2</v>
      </c>
    </row>
    <row r="1257" spans="7:8">
      <c r="G1257">
        <v>1247</v>
      </c>
      <c r="H1257">
        <f t="shared" ca="1" si="27"/>
        <v>-9.0719371591954923E-3</v>
      </c>
    </row>
    <row r="1258" spans="7:8">
      <c r="G1258">
        <v>1248</v>
      </c>
      <c r="H1258">
        <f t="shared" ca="1" si="27"/>
        <v>1.3354047632866073E-2</v>
      </c>
    </row>
    <row r="1259" spans="7:8">
      <c r="G1259">
        <v>1249</v>
      </c>
      <c r="H1259">
        <f t="shared" ca="1" si="27"/>
        <v>1.3068875261611762E-2</v>
      </c>
    </row>
    <row r="1260" spans="7:8">
      <c r="G1260">
        <v>1250</v>
      </c>
      <c r="H1260">
        <f t="shared" ca="1" si="27"/>
        <v>-4.3366822585490395E-3</v>
      </c>
    </row>
    <row r="1261" spans="7:8">
      <c r="G1261">
        <v>1251</v>
      </c>
      <c r="H1261">
        <f t="shared" ca="1" si="27"/>
        <v>-1.2444334209751448E-2</v>
      </c>
    </row>
    <row r="1262" spans="7:8">
      <c r="G1262">
        <v>1252</v>
      </c>
      <c r="H1262">
        <f t="shared" ca="1" si="27"/>
        <v>2.9610055361006807E-2</v>
      </c>
    </row>
    <row r="1263" spans="7:8">
      <c r="G1263">
        <v>1253</v>
      </c>
      <c r="H1263">
        <f t="shared" ca="1" si="27"/>
        <v>-1.320315665272646E-2</v>
      </c>
    </row>
    <row r="1264" spans="7:8">
      <c r="G1264">
        <v>1254</v>
      </c>
      <c r="H1264">
        <f t="shared" ca="1" si="27"/>
        <v>1.6852122525241466E-2</v>
      </c>
    </row>
    <row r="1265" spans="7:8">
      <c r="G1265">
        <v>1255</v>
      </c>
      <c r="H1265">
        <f t="shared" ca="1" si="27"/>
        <v>1.1929145597079754E-2</v>
      </c>
    </row>
    <row r="1266" spans="7:8">
      <c r="G1266">
        <v>1256</v>
      </c>
      <c r="H1266">
        <f t="shared" ca="1" si="27"/>
        <v>3.4680488230988293E-2</v>
      </c>
    </row>
    <row r="1267" spans="7:8">
      <c r="G1267">
        <v>1257</v>
      </c>
      <c r="H1267">
        <f t="shared" ca="1" si="27"/>
        <v>2.0495575926058524E-2</v>
      </c>
    </row>
    <row r="1268" spans="7:8">
      <c r="G1268">
        <v>1258</v>
      </c>
      <c r="H1268">
        <f t="shared" ca="1" si="27"/>
        <v>-5.6390895336284356E-3</v>
      </c>
    </row>
    <row r="1269" spans="7:8">
      <c r="G1269">
        <v>1259</v>
      </c>
      <c r="H1269">
        <f t="shared" ca="1" si="27"/>
        <v>1.2012448612750385E-2</v>
      </c>
    </row>
    <row r="1270" spans="7:8">
      <c r="G1270">
        <v>1260</v>
      </c>
      <c r="H1270">
        <f t="shared" ca="1" si="27"/>
        <v>-1.7386666927282093E-2</v>
      </c>
    </row>
    <row r="1271" spans="7:8">
      <c r="G1271">
        <v>1261</v>
      </c>
      <c r="H1271">
        <f t="shared" ca="1" si="27"/>
        <v>-9.0511447086370073E-4</v>
      </c>
    </row>
    <row r="1272" spans="7:8">
      <c r="G1272">
        <v>1262</v>
      </c>
      <c r="H1272">
        <f t="shared" ca="1" si="27"/>
        <v>2.6180219259263268E-2</v>
      </c>
    </row>
    <row r="1273" spans="7:8">
      <c r="G1273">
        <v>1263</v>
      </c>
      <c r="H1273">
        <f t="shared" ca="1" si="27"/>
        <v>6.5785802939405461E-3</v>
      </c>
    </row>
    <row r="1274" spans="7:8">
      <c r="G1274">
        <v>1264</v>
      </c>
      <c r="H1274">
        <f t="shared" ca="1" si="27"/>
        <v>1.4094230706726156E-2</v>
      </c>
    </row>
    <row r="1275" spans="7:8">
      <c r="G1275">
        <v>1265</v>
      </c>
      <c r="H1275">
        <f t="shared" ca="1" si="27"/>
        <v>-2.5869761874810153E-2</v>
      </c>
    </row>
    <row r="1276" spans="7:8">
      <c r="G1276">
        <v>1266</v>
      </c>
      <c r="H1276">
        <f t="shared" ca="1" si="27"/>
        <v>1.7443051070586326E-2</v>
      </c>
    </row>
    <row r="1277" spans="7:8">
      <c r="G1277">
        <v>1267</v>
      </c>
      <c r="H1277">
        <f t="shared" ca="1" si="27"/>
        <v>-8.4709194796525329E-4</v>
      </c>
    </row>
    <row r="1278" spans="7:8">
      <c r="G1278">
        <v>1268</v>
      </c>
      <c r="H1278">
        <f t="shared" ca="1" si="27"/>
        <v>-2.9810955664115471E-2</v>
      </c>
    </row>
    <row r="1279" spans="7:8">
      <c r="G1279">
        <v>1269</v>
      </c>
      <c r="H1279">
        <f t="shared" ca="1" si="27"/>
        <v>-6.1376277388176708E-3</v>
      </c>
    </row>
    <row r="1280" spans="7:8">
      <c r="G1280">
        <v>1270</v>
      </c>
      <c r="H1280">
        <f t="shared" ca="1" si="27"/>
        <v>-1.2325026461788657E-2</v>
      </c>
    </row>
    <row r="1281" spans="7:8">
      <c r="G1281">
        <v>1271</v>
      </c>
      <c r="H1281">
        <f t="shared" ca="1" si="27"/>
        <v>-7.4435765817511702E-5</v>
      </c>
    </row>
    <row r="1282" spans="7:8">
      <c r="G1282">
        <v>1272</v>
      </c>
      <c r="H1282">
        <f t="shared" ca="1" si="27"/>
        <v>1.0050679573685774E-2</v>
      </c>
    </row>
    <row r="1283" spans="7:8">
      <c r="G1283">
        <v>1273</v>
      </c>
      <c r="H1283">
        <f t="shared" ca="1" si="27"/>
        <v>8.8563457665845544E-3</v>
      </c>
    </row>
    <row r="1284" spans="7:8">
      <c r="G1284">
        <v>1274</v>
      </c>
      <c r="H1284">
        <f t="shared" ca="1" si="27"/>
        <v>1.6913787662974789E-2</v>
      </c>
    </row>
    <row r="1285" spans="7:8">
      <c r="G1285">
        <v>1275</v>
      </c>
      <c r="H1285">
        <f t="shared" ca="1" si="27"/>
        <v>-3.0224247489865266E-2</v>
      </c>
    </row>
    <row r="1286" spans="7:8">
      <c r="G1286">
        <v>1276</v>
      </c>
      <c r="H1286">
        <f t="shared" ca="1" si="27"/>
        <v>-1.280191869505225E-3</v>
      </c>
    </row>
    <row r="1287" spans="7:8">
      <c r="G1287">
        <v>1277</v>
      </c>
      <c r="H1287">
        <f t="shared" ca="1" si="27"/>
        <v>-1.7103967643160679E-2</v>
      </c>
    </row>
    <row r="1288" spans="7:8">
      <c r="G1288">
        <v>1278</v>
      </c>
      <c r="H1288">
        <f t="shared" ca="1" si="27"/>
        <v>-3.9976482245226239E-3</v>
      </c>
    </row>
    <row r="1289" spans="7:8">
      <c r="G1289">
        <v>1279</v>
      </c>
      <c r="H1289">
        <f t="shared" ca="1" si="27"/>
        <v>-1.3631599461871221E-2</v>
      </c>
    </row>
    <row r="1290" spans="7:8">
      <c r="G1290">
        <v>1280</v>
      </c>
      <c r="H1290">
        <f t="shared" ca="1" si="27"/>
        <v>1.0927840412388933E-2</v>
      </c>
    </row>
    <row r="1291" spans="7:8">
      <c r="G1291">
        <v>1281</v>
      </c>
      <c r="H1291">
        <f t="shared" ca="1" si="27"/>
        <v>1.5553439362757552E-2</v>
      </c>
    </row>
    <row r="1292" spans="7:8">
      <c r="G1292">
        <v>1282</v>
      </c>
      <c r="H1292">
        <f t="shared" ref="H1292:H1355" ca="1" si="28">_xlfn.NORM.INV(RAND(),N$13,N$14)</f>
        <v>2.6407468492957227E-2</v>
      </c>
    </row>
    <row r="1293" spans="7:8">
      <c r="G1293">
        <v>1283</v>
      </c>
      <c r="H1293">
        <f t="shared" ca="1" si="28"/>
        <v>-1.8875390416595826E-2</v>
      </c>
    </row>
    <row r="1294" spans="7:8">
      <c r="G1294">
        <v>1284</v>
      </c>
      <c r="H1294">
        <f t="shared" ca="1" si="28"/>
        <v>8.5029810099593022E-3</v>
      </c>
    </row>
    <row r="1295" spans="7:8">
      <c r="G1295">
        <v>1285</v>
      </c>
      <c r="H1295">
        <f t="shared" ca="1" si="28"/>
        <v>1.4084156120164984E-2</v>
      </c>
    </row>
    <row r="1296" spans="7:8">
      <c r="G1296">
        <v>1286</v>
      </c>
      <c r="H1296">
        <f t="shared" ca="1" si="28"/>
        <v>2.8400681910487433E-2</v>
      </c>
    </row>
    <row r="1297" spans="7:8">
      <c r="G1297">
        <v>1287</v>
      </c>
      <c r="H1297">
        <f t="shared" ca="1" si="28"/>
        <v>2.0277472331092915E-2</v>
      </c>
    </row>
    <row r="1298" spans="7:8">
      <c r="G1298">
        <v>1288</v>
      </c>
      <c r="H1298">
        <f t="shared" ca="1" si="28"/>
        <v>-5.234865572033804E-3</v>
      </c>
    </row>
    <row r="1299" spans="7:8">
      <c r="G1299">
        <v>1289</v>
      </c>
      <c r="H1299">
        <f t="shared" ca="1" si="28"/>
        <v>7.7838382139589343E-3</v>
      </c>
    </row>
    <row r="1300" spans="7:8">
      <c r="G1300">
        <v>1290</v>
      </c>
      <c r="H1300">
        <f t="shared" ca="1" si="28"/>
        <v>-2.4902830225338558E-2</v>
      </c>
    </row>
    <row r="1301" spans="7:8">
      <c r="G1301">
        <v>1291</v>
      </c>
      <c r="H1301">
        <f t="shared" ca="1" si="28"/>
        <v>2.237673251984432E-2</v>
      </c>
    </row>
    <row r="1302" spans="7:8">
      <c r="G1302">
        <v>1292</v>
      </c>
      <c r="H1302">
        <f t="shared" ca="1" si="28"/>
        <v>9.3444346254351676E-3</v>
      </c>
    </row>
    <row r="1303" spans="7:8">
      <c r="G1303">
        <v>1293</v>
      </c>
      <c r="H1303">
        <f t="shared" ca="1" si="28"/>
        <v>6.4342590055083259E-3</v>
      </c>
    </row>
    <row r="1304" spans="7:8">
      <c r="G1304">
        <v>1294</v>
      </c>
      <c r="H1304">
        <f t="shared" ca="1" si="28"/>
        <v>-2.0868483305625456E-2</v>
      </c>
    </row>
    <row r="1305" spans="7:8">
      <c r="G1305">
        <v>1295</v>
      </c>
      <c r="H1305">
        <f t="shared" ca="1" si="28"/>
        <v>2.9189538400696811E-3</v>
      </c>
    </row>
    <row r="1306" spans="7:8">
      <c r="G1306">
        <v>1296</v>
      </c>
      <c r="H1306">
        <f t="shared" ca="1" si="28"/>
        <v>-2.8978238259433863E-2</v>
      </c>
    </row>
    <row r="1307" spans="7:8">
      <c r="G1307">
        <v>1297</v>
      </c>
      <c r="H1307">
        <f t="shared" ca="1" si="28"/>
        <v>3.7786591856367506E-2</v>
      </c>
    </row>
    <row r="1308" spans="7:8">
      <c r="G1308">
        <v>1298</v>
      </c>
      <c r="H1308">
        <f t="shared" ca="1" si="28"/>
        <v>-1.2772297741485068E-2</v>
      </c>
    </row>
    <row r="1309" spans="7:8">
      <c r="G1309">
        <v>1299</v>
      </c>
      <c r="H1309">
        <f t="shared" ca="1" si="28"/>
        <v>5.3669385219788632E-2</v>
      </c>
    </row>
    <row r="1310" spans="7:8">
      <c r="G1310">
        <v>1300</v>
      </c>
      <c r="H1310">
        <f t="shared" ca="1" si="28"/>
        <v>1.4105531998100555E-2</v>
      </c>
    </row>
    <row r="1311" spans="7:8">
      <c r="G1311">
        <v>1301</v>
      </c>
      <c r="H1311">
        <f t="shared" ca="1" si="28"/>
        <v>-3.9080230811812097E-2</v>
      </c>
    </row>
    <row r="1312" spans="7:8">
      <c r="G1312">
        <v>1302</v>
      </c>
      <c r="H1312">
        <f t="shared" ca="1" si="28"/>
        <v>-2.4830974809275094E-2</v>
      </c>
    </row>
    <row r="1313" spans="7:8">
      <c r="G1313">
        <v>1303</v>
      </c>
      <c r="H1313">
        <f t="shared" ca="1" si="28"/>
        <v>-1.699744824572923E-2</v>
      </c>
    </row>
    <row r="1314" spans="7:8">
      <c r="G1314">
        <v>1304</v>
      </c>
      <c r="H1314">
        <f t="shared" ca="1" si="28"/>
        <v>9.4937662881545877E-3</v>
      </c>
    </row>
    <row r="1315" spans="7:8">
      <c r="G1315">
        <v>1305</v>
      </c>
      <c r="H1315">
        <f t="shared" ca="1" si="28"/>
        <v>4.4011428275462436E-2</v>
      </c>
    </row>
    <row r="1316" spans="7:8">
      <c r="G1316">
        <v>1306</v>
      </c>
      <c r="H1316">
        <f t="shared" ca="1" si="28"/>
        <v>1.1589873940932711E-2</v>
      </c>
    </row>
    <row r="1317" spans="7:8">
      <c r="G1317">
        <v>1307</v>
      </c>
      <c r="H1317">
        <f t="shared" ca="1" si="28"/>
        <v>-3.7856703564995019E-3</v>
      </c>
    </row>
    <row r="1318" spans="7:8">
      <c r="G1318">
        <v>1308</v>
      </c>
      <c r="H1318">
        <f t="shared" ca="1" si="28"/>
        <v>-4.2136251973689871E-2</v>
      </c>
    </row>
    <row r="1319" spans="7:8">
      <c r="G1319">
        <v>1309</v>
      </c>
      <c r="H1319">
        <f t="shared" ca="1" si="28"/>
        <v>-4.3890000797347145E-2</v>
      </c>
    </row>
    <row r="1320" spans="7:8">
      <c r="G1320">
        <v>1310</v>
      </c>
      <c r="H1320">
        <f t="shared" ca="1" si="28"/>
        <v>1.0944559268000611E-2</v>
      </c>
    </row>
    <row r="1321" spans="7:8">
      <c r="G1321">
        <v>1311</v>
      </c>
      <c r="H1321">
        <f t="shared" ca="1" si="28"/>
        <v>3.8887409795835728E-2</v>
      </c>
    </row>
    <row r="1322" spans="7:8">
      <c r="G1322">
        <v>1312</v>
      </c>
      <c r="H1322">
        <f t="shared" ca="1" si="28"/>
        <v>2.9377791794043439E-4</v>
      </c>
    </row>
    <row r="1323" spans="7:8">
      <c r="G1323">
        <v>1313</v>
      </c>
      <c r="H1323">
        <f t="shared" ca="1" si="28"/>
        <v>-1.8285977640929318E-2</v>
      </c>
    </row>
    <row r="1324" spans="7:8">
      <c r="G1324">
        <v>1314</v>
      </c>
      <c r="H1324">
        <f t="shared" ca="1" si="28"/>
        <v>1.4991751948925451E-2</v>
      </c>
    </row>
    <row r="1325" spans="7:8">
      <c r="G1325">
        <v>1315</v>
      </c>
      <c r="H1325">
        <f t="shared" ca="1" si="28"/>
        <v>-1.2698483140183956E-3</v>
      </c>
    </row>
    <row r="1326" spans="7:8">
      <c r="G1326">
        <v>1316</v>
      </c>
      <c r="H1326">
        <f t="shared" ca="1" si="28"/>
        <v>4.3049026931955775E-3</v>
      </c>
    </row>
    <row r="1327" spans="7:8">
      <c r="G1327">
        <v>1317</v>
      </c>
      <c r="H1327">
        <f t="shared" ca="1" si="28"/>
        <v>-1.2292339062541138E-2</v>
      </c>
    </row>
    <row r="1328" spans="7:8">
      <c r="G1328">
        <v>1318</v>
      </c>
      <c r="H1328">
        <f t="shared" ca="1" si="28"/>
        <v>-3.1295978496994732E-2</v>
      </c>
    </row>
    <row r="1329" spans="7:8">
      <c r="G1329">
        <v>1319</v>
      </c>
      <c r="H1329">
        <f t="shared" ca="1" si="28"/>
        <v>6.5549855475796406E-3</v>
      </c>
    </row>
    <row r="1330" spans="7:8">
      <c r="G1330">
        <v>1320</v>
      </c>
      <c r="H1330">
        <f t="shared" ca="1" si="28"/>
        <v>-9.6225869439604331E-3</v>
      </c>
    </row>
    <row r="1331" spans="7:8">
      <c r="G1331">
        <v>1321</v>
      </c>
      <c r="H1331">
        <f t="shared" ca="1" si="28"/>
        <v>-3.7018075533545171E-2</v>
      </c>
    </row>
    <row r="1332" spans="7:8">
      <c r="G1332">
        <v>1322</v>
      </c>
      <c r="H1332">
        <f t="shared" ca="1" si="28"/>
        <v>8.6860248819797259E-3</v>
      </c>
    </row>
    <row r="1333" spans="7:8">
      <c r="G1333">
        <v>1323</v>
      </c>
      <c r="H1333">
        <f t="shared" ca="1" si="28"/>
        <v>-8.551278608663255E-4</v>
      </c>
    </row>
    <row r="1334" spans="7:8">
      <c r="G1334">
        <v>1324</v>
      </c>
      <c r="H1334">
        <f t="shared" ca="1" si="28"/>
        <v>5.9492686883755169E-3</v>
      </c>
    </row>
    <row r="1335" spans="7:8">
      <c r="G1335">
        <v>1325</v>
      </c>
      <c r="H1335">
        <f t="shared" ca="1" si="28"/>
        <v>7.0717876015572948E-3</v>
      </c>
    </row>
    <row r="1336" spans="7:8">
      <c r="G1336">
        <v>1326</v>
      </c>
      <c r="H1336">
        <f t="shared" ca="1" si="28"/>
        <v>2.2015457862254634E-2</v>
      </c>
    </row>
    <row r="1337" spans="7:8">
      <c r="G1337">
        <v>1327</v>
      </c>
      <c r="H1337">
        <f t="shared" ca="1" si="28"/>
        <v>5.0492060073411706E-2</v>
      </c>
    </row>
    <row r="1338" spans="7:8">
      <c r="G1338">
        <v>1328</v>
      </c>
      <c r="H1338">
        <f t="shared" ca="1" si="28"/>
        <v>-2.9592978722061173E-3</v>
      </c>
    </row>
    <row r="1339" spans="7:8">
      <c r="G1339">
        <v>1329</v>
      </c>
      <c r="H1339">
        <f t="shared" ca="1" si="28"/>
        <v>1.6684914283182636E-2</v>
      </c>
    </row>
    <row r="1340" spans="7:8">
      <c r="G1340">
        <v>1330</v>
      </c>
      <c r="H1340">
        <f t="shared" ca="1" si="28"/>
        <v>-1.0201364864336234E-2</v>
      </c>
    </row>
    <row r="1341" spans="7:8">
      <c r="G1341">
        <v>1331</v>
      </c>
      <c r="H1341">
        <f t="shared" ca="1" si="28"/>
        <v>2.836645857771249E-2</v>
      </c>
    </row>
    <row r="1342" spans="7:8">
      <c r="G1342">
        <v>1332</v>
      </c>
      <c r="H1342">
        <f t="shared" ca="1" si="28"/>
        <v>9.5796847107459428E-3</v>
      </c>
    </row>
    <row r="1343" spans="7:8">
      <c r="G1343">
        <v>1333</v>
      </c>
      <c r="H1343">
        <f t="shared" ca="1" si="28"/>
        <v>-2.897907732451719E-2</v>
      </c>
    </row>
    <row r="1344" spans="7:8">
      <c r="G1344">
        <v>1334</v>
      </c>
      <c r="H1344">
        <f t="shared" ca="1" si="28"/>
        <v>-2.329966435659974E-3</v>
      </c>
    </row>
    <row r="1345" spans="7:8">
      <c r="G1345">
        <v>1335</v>
      </c>
      <c r="H1345">
        <f t="shared" ca="1" si="28"/>
        <v>5.256084517141487E-3</v>
      </c>
    </row>
    <row r="1346" spans="7:8">
      <c r="G1346">
        <v>1336</v>
      </c>
      <c r="H1346">
        <f t="shared" ca="1" si="28"/>
        <v>7.3782598040308283E-4</v>
      </c>
    </row>
    <row r="1347" spans="7:8">
      <c r="G1347">
        <v>1337</v>
      </c>
      <c r="H1347">
        <f t="shared" ca="1" si="28"/>
        <v>2.633564301233083E-2</v>
      </c>
    </row>
    <row r="1348" spans="7:8">
      <c r="G1348">
        <v>1338</v>
      </c>
      <c r="H1348">
        <f t="shared" ca="1" si="28"/>
        <v>-2.8423053504392903E-2</v>
      </c>
    </row>
    <row r="1349" spans="7:8">
      <c r="G1349">
        <v>1339</v>
      </c>
      <c r="H1349">
        <f t="shared" ca="1" si="28"/>
        <v>3.736301254387757E-3</v>
      </c>
    </row>
    <row r="1350" spans="7:8">
      <c r="G1350">
        <v>1340</v>
      </c>
      <c r="H1350">
        <f t="shared" ca="1" si="28"/>
        <v>-7.3082081585646743E-5</v>
      </c>
    </row>
    <row r="1351" spans="7:8">
      <c r="G1351">
        <v>1341</v>
      </c>
      <c r="H1351">
        <f t="shared" ca="1" si="28"/>
        <v>2.7393902921734804E-2</v>
      </c>
    </row>
    <row r="1352" spans="7:8">
      <c r="G1352">
        <v>1342</v>
      </c>
      <c r="H1352">
        <f t="shared" ca="1" si="28"/>
        <v>-1.7026655226520235E-2</v>
      </c>
    </row>
    <row r="1353" spans="7:8">
      <c r="G1353">
        <v>1343</v>
      </c>
      <c r="H1353">
        <f t="shared" ca="1" si="28"/>
        <v>1.2857286902638465E-2</v>
      </c>
    </row>
    <row r="1354" spans="7:8">
      <c r="G1354">
        <v>1344</v>
      </c>
      <c r="H1354">
        <f t="shared" ca="1" si="28"/>
        <v>1.7413339403747195E-2</v>
      </c>
    </row>
    <row r="1355" spans="7:8">
      <c r="G1355">
        <v>1345</v>
      </c>
      <c r="H1355">
        <f t="shared" ca="1" si="28"/>
        <v>-6.640783568836516E-3</v>
      </c>
    </row>
    <row r="1356" spans="7:8">
      <c r="G1356">
        <v>1346</v>
      </c>
      <c r="H1356">
        <f t="shared" ref="H1356:H1419" ca="1" si="29">_xlfn.NORM.INV(RAND(),N$13,N$14)</f>
        <v>2.6388228181599135E-2</v>
      </c>
    </row>
    <row r="1357" spans="7:8">
      <c r="G1357">
        <v>1347</v>
      </c>
      <c r="H1357">
        <f t="shared" ca="1" si="29"/>
        <v>-1.7346683041336845E-2</v>
      </c>
    </row>
    <row r="1358" spans="7:8">
      <c r="G1358">
        <v>1348</v>
      </c>
      <c r="H1358">
        <f t="shared" ca="1" si="29"/>
        <v>-2.2143928641631769E-2</v>
      </c>
    </row>
    <row r="1359" spans="7:8">
      <c r="G1359">
        <v>1349</v>
      </c>
      <c r="H1359">
        <f t="shared" ca="1" si="29"/>
        <v>4.5940743218453456E-2</v>
      </c>
    </row>
    <row r="1360" spans="7:8">
      <c r="G1360">
        <v>1350</v>
      </c>
      <c r="H1360">
        <f t="shared" ca="1" si="29"/>
        <v>-2.1259170863272496E-2</v>
      </c>
    </row>
    <row r="1361" spans="7:8">
      <c r="G1361">
        <v>1351</v>
      </c>
      <c r="H1361">
        <f t="shared" ca="1" si="29"/>
        <v>4.8725096155670604E-2</v>
      </c>
    </row>
    <row r="1362" spans="7:8">
      <c r="G1362">
        <v>1352</v>
      </c>
      <c r="H1362">
        <f t="shared" ca="1" si="29"/>
        <v>3.1327180671217612E-2</v>
      </c>
    </row>
    <row r="1363" spans="7:8">
      <c r="G1363">
        <v>1353</v>
      </c>
      <c r="H1363">
        <f t="shared" ca="1" si="29"/>
        <v>1.2556607446081244E-2</v>
      </c>
    </row>
    <row r="1364" spans="7:8">
      <c r="G1364">
        <v>1354</v>
      </c>
      <c r="H1364">
        <f t="shared" ca="1" si="29"/>
        <v>9.2632296069084068E-3</v>
      </c>
    </row>
    <row r="1365" spans="7:8">
      <c r="G1365">
        <v>1355</v>
      </c>
      <c r="H1365">
        <f t="shared" ca="1" si="29"/>
        <v>4.0375704481401806E-2</v>
      </c>
    </row>
    <row r="1366" spans="7:8">
      <c r="G1366">
        <v>1356</v>
      </c>
      <c r="H1366">
        <f t="shared" ca="1" si="29"/>
        <v>-6.8493058211299973E-2</v>
      </c>
    </row>
    <row r="1367" spans="7:8">
      <c r="G1367">
        <v>1357</v>
      </c>
      <c r="H1367">
        <f t="shared" ca="1" si="29"/>
        <v>-1.7324909371785158E-2</v>
      </c>
    </row>
    <row r="1368" spans="7:8">
      <c r="G1368">
        <v>1358</v>
      </c>
      <c r="H1368">
        <f t="shared" ca="1" si="29"/>
        <v>-5.1013155368761047E-3</v>
      </c>
    </row>
    <row r="1369" spans="7:8">
      <c r="G1369">
        <v>1359</v>
      </c>
      <c r="H1369">
        <f t="shared" ca="1" si="29"/>
        <v>-5.4729538348233867E-2</v>
      </c>
    </row>
    <row r="1370" spans="7:8">
      <c r="G1370">
        <v>1360</v>
      </c>
      <c r="H1370">
        <f t="shared" ca="1" si="29"/>
        <v>-3.6061861494562264E-3</v>
      </c>
    </row>
    <row r="1371" spans="7:8">
      <c r="G1371">
        <v>1361</v>
      </c>
      <c r="H1371">
        <f t="shared" ca="1" si="29"/>
        <v>-4.1050621369251056E-2</v>
      </c>
    </row>
    <row r="1372" spans="7:8">
      <c r="G1372">
        <v>1362</v>
      </c>
      <c r="H1372">
        <f t="shared" ca="1" si="29"/>
        <v>-4.313987110744974E-2</v>
      </c>
    </row>
    <row r="1373" spans="7:8">
      <c r="G1373">
        <v>1363</v>
      </c>
      <c r="H1373">
        <f t="shared" ca="1" si="29"/>
        <v>-7.173408958814958E-3</v>
      </c>
    </row>
    <row r="1374" spans="7:8">
      <c r="G1374">
        <v>1364</v>
      </c>
      <c r="H1374">
        <f t="shared" ca="1" si="29"/>
        <v>-2.1897678318854731E-2</v>
      </c>
    </row>
    <row r="1375" spans="7:8">
      <c r="G1375">
        <v>1365</v>
      </c>
      <c r="H1375">
        <f t="shared" ca="1" si="29"/>
        <v>3.0990116084616378E-2</v>
      </c>
    </row>
    <row r="1376" spans="7:8">
      <c r="G1376">
        <v>1366</v>
      </c>
      <c r="H1376">
        <f t="shared" ca="1" si="29"/>
        <v>1.3079717145789375E-3</v>
      </c>
    </row>
    <row r="1377" spans="7:8">
      <c r="G1377">
        <v>1367</v>
      </c>
      <c r="H1377">
        <f t="shared" ca="1" si="29"/>
        <v>7.5485890519157725E-3</v>
      </c>
    </row>
    <row r="1378" spans="7:8">
      <c r="G1378">
        <v>1368</v>
      </c>
      <c r="H1378">
        <f t="shared" ca="1" si="29"/>
        <v>2.1051287225785115E-2</v>
      </c>
    </row>
    <row r="1379" spans="7:8">
      <c r="G1379">
        <v>1369</v>
      </c>
      <c r="H1379">
        <f t="shared" ca="1" si="29"/>
        <v>2.4388036662852924E-2</v>
      </c>
    </row>
    <row r="1380" spans="7:8">
      <c r="G1380">
        <v>1370</v>
      </c>
      <c r="H1380">
        <f t="shared" ca="1" si="29"/>
        <v>1.2379903667251965E-2</v>
      </c>
    </row>
    <row r="1381" spans="7:8">
      <c r="G1381">
        <v>1371</v>
      </c>
      <c r="H1381">
        <f t="shared" ca="1" si="29"/>
        <v>-3.1055274863128316E-2</v>
      </c>
    </row>
    <row r="1382" spans="7:8">
      <c r="G1382">
        <v>1372</v>
      </c>
      <c r="H1382">
        <f t="shared" ca="1" si="29"/>
        <v>-1.1703627046586777E-2</v>
      </c>
    </row>
    <row r="1383" spans="7:8">
      <c r="G1383">
        <v>1373</v>
      </c>
      <c r="H1383">
        <f t="shared" ca="1" si="29"/>
        <v>-7.9621270310355641E-3</v>
      </c>
    </row>
    <row r="1384" spans="7:8">
      <c r="G1384">
        <v>1374</v>
      </c>
      <c r="H1384">
        <f t="shared" ca="1" si="29"/>
        <v>-1.234803765322718E-2</v>
      </c>
    </row>
    <row r="1385" spans="7:8">
      <c r="G1385">
        <v>1375</v>
      </c>
      <c r="H1385">
        <f t="shared" ca="1" si="29"/>
        <v>1.3279744480237348E-2</v>
      </c>
    </row>
    <row r="1386" spans="7:8">
      <c r="G1386">
        <v>1376</v>
      </c>
      <c r="H1386">
        <f t="shared" ca="1" si="29"/>
        <v>2.5232857892965151E-2</v>
      </c>
    </row>
    <row r="1387" spans="7:8">
      <c r="G1387">
        <v>1377</v>
      </c>
      <c r="H1387">
        <f t="shared" ca="1" si="29"/>
        <v>-1.0259813668915008E-2</v>
      </c>
    </row>
    <row r="1388" spans="7:8">
      <c r="G1388">
        <v>1378</v>
      </c>
      <c r="H1388">
        <f t="shared" ca="1" si="29"/>
        <v>6.2905988145678287E-3</v>
      </c>
    </row>
    <row r="1389" spans="7:8">
      <c r="G1389">
        <v>1379</v>
      </c>
      <c r="H1389">
        <f t="shared" ca="1" si="29"/>
        <v>6.6913428761536664E-3</v>
      </c>
    </row>
    <row r="1390" spans="7:8">
      <c r="G1390">
        <v>1380</v>
      </c>
      <c r="H1390">
        <f t="shared" ca="1" si="29"/>
        <v>-2.2345950726518186E-2</v>
      </c>
    </row>
    <row r="1391" spans="7:8">
      <c r="G1391">
        <v>1381</v>
      </c>
      <c r="H1391">
        <f t="shared" ca="1" si="29"/>
        <v>2.3667534219016878E-2</v>
      </c>
    </row>
    <row r="1392" spans="7:8">
      <c r="G1392">
        <v>1382</v>
      </c>
      <c r="H1392">
        <f t="shared" ca="1" si="29"/>
        <v>9.4088398706027605E-3</v>
      </c>
    </row>
    <row r="1393" spans="7:8">
      <c r="G1393">
        <v>1383</v>
      </c>
      <c r="H1393">
        <f t="shared" ca="1" si="29"/>
        <v>9.6299025972739812E-3</v>
      </c>
    </row>
    <row r="1394" spans="7:8">
      <c r="G1394">
        <v>1384</v>
      </c>
      <c r="H1394">
        <f t="shared" ca="1" si="29"/>
        <v>-1.287077687765511E-2</v>
      </c>
    </row>
    <row r="1395" spans="7:8">
      <c r="G1395">
        <v>1385</v>
      </c>
      <c r="H1395">
        <f t="shared" ca="1" si="29"/>
        <v>1.6307047509677326E-2</v>
      </c>
    </row>
    <row r="1396" spans="7:8">
      <c r="G1396">
        <v>1386</v>
      </c>
      <c r="H1396">
        <f t="shared" ca="1" si="29"/>
        <v>1.2987109361136406E-2</v>
      </c>
    </row>
    <row r="1397" spans="7:8">
      <c r="G1397">
        <v>1387</v>
      </c>
      <c r="H1397">
        <f t="shared" ca="1" si="29"/>
        <v>-2.8602347522054495E-3</v>
      </c>
    </row>
    <row r="1398" spans="7:8">
      <c r="G1398">
        <v>1388</v>
      </c>
      <c r="H1398">
        <f t="shared" ca="1" si="29"/>
        <v>1.8747827496249987E-2</v>
      </c>
    </row>
    <row r="1399" spans="7:8">
      <c r="G1399">
        <v>1389</v>
      </c>
      <c r="H1399">
        <f t="shared" ca="1" si="29"/>
        <v>1.5556629463495153E-2</v>
      </c>
    </row>
    <row r="1400" spans="7:8">
      <c r="G1400">
        <v>1390</v>
      </c>
      <c r="H1400">
        <f t="shared" ca="1" si="29"/>
        <v>-8.1240924347104528E-3</v>
      </c>
    </row>
    <row r="1401" spans="7:8">
      <c r="G1401">
        <v>1391</v>
      </c>
      <c r="H1401">
        <f t="shared" ca="1" si="29"/>
        <v>4.8484008316189379E-3</v>
      </c>
    </row>
    <row r="1402" spans="7:8">
      <c r="G1402">
        <v>1392</v>
      </c>
      <c r="H1402">
        <f t="shared" ca="1" si="29"/>
        <v>1.3936630724338926E-2</v>
      </c>
    </row>
    <row r="1403" spans="7:8">
      <c r="G1403">
        <v>1393</v>
      </c>
      <c r="H1403">
        <f t="shared" ca="1" si="29"/>
        <v>-6.8976295001233548E-3</v>
      </c>
    </row>
    <row r="1404" spans="7:8">
      <c r="G1404">
        <v>1394</v>
      </c>
      <c r="H1404">
        <f t="shared" ca="1" si="29"/>
        <v>-3.7855043788947329E-2</v>
      </c>
    </row>
    <row r="1405" spans="7:8">
      <c r="G1405">
        <v>1395</v>
      </c>
      <c r="H1405">
        <f t="shared" ca="1" si="29"/>
        <v>3.4062144574894419E-2</v>
      </c>
    </row>
    <row r="1406" spans="7:8">
      <c r="G1406">
        <v>1396</v>
      </c>
      <c r="H1406">
        <f t="shared" ca="1" si="29"/>
        <v>1.9258294312455168E-2</v>
      </c>
    </row>
    <row r="1407" spans="7:8">
      <c r="G1407">
        <v>1397</v>
      </c>
      <c r="H1407">
        <f t="shared" ca="1" si="29"/>
        <v>-2.7298165001130543E-2</v>
      </c>
    </row>
    <row r="1408" spans="7:8">
      <c r="G1408">
        <v>1398</v>
      </c>
      <c r="H1408">
        <f t="shared" ca="1" si="29"/>
        <v>-8.1735353946958897E-3</v>
      </c>
    </row>
    <row r="1409" spans="7:8">
      <c r="G1409">
        <v>1399</v>
      </c>
      <c r="H1409">
        <f t="shared" ca="1" si="29"/>
        <v>2.9054968390772585E-2</v>
      </c>
    </row>
    <row r="1410" spans="7:8">
      <c r="G1410">
        <v>1400</v>
      </c>
      <c r="H1410">
        <f t="shared" ca="1" si="29"/>
        <v>-1.7461953646200158E-2</v>
      </c>
    </row>
    <row r="1411" spans="7:8">
      <c r="G1411">
        <v>1401</v>
      </c>
      <c r="H1411">
        <f t="shared" ca="1" si="29"/>
        <v>-4.9223076570916752E-3</v>
      </c>
    </row>
    <row r="1412" spans="7:8">
      <c r="G1412">
        <v>1402</v>
      </c>
      <c r="H1412">
        <f t="shared" ca="1" si="29"/>
        <v>-1.0223683361386609E-2</v>
      </c>
    </row>
    <row r="1413" spans="7:8">
      <c r="G1413">
        <v>1403</v>
      </c>
      <c r="H1413">
        <f t="shared" ca="1" si="29"/>
        <v>5.3169027544418629E-2</v>
      </c>
    </row>
    <row r="1414" spans="7:8">
      <c r="G1414">
        <v>1404</v>
      </c>
      <c r="H1414">
        <f t="shared" ca="1" si="29"/>
        <v>-2.561773981764524E-2</v>
      </c>
    </row>
    <row r="1415" spans="7:8">
      <c r="G1415">
        <v>1405</v>
      </c>
      <c r="H1415">
        <f t="shared" ca="1" si="29"/>
        <v>2.0879894141874532E-2</v>
      </c>
    </row>
    <row r="1416" spans="7:8">
      <c r="G1416">
        <v>1406</v>
      </c>
      <c r="H1416">
        <f t="shared" ca="1" si="29"/>
        <v>3.0213346514122739E-2</v>
      </c>
    </row>
    <row r="1417" spans="7:8">
      <c r="G1417">
        <v>1407</v>
      </c>
      <c r="H1417">
        <f t="shared" ca="1" si="29"/>
        <v>-3.0445291200630342E-2</v>
      </c>
    </row>
    <row r="1418" spans="7:8">
      <c r="G1418">
        <v>1408</v>
      </c>
      <c r="H1418">
        <f t="shared" ca="1" si="29"/>
        <v>8.8144906471052976E-3</v>
      </c>
    </row>
    <row r="1419" spans="7:8">
      <c r="G1419">
        <v>1409</v>
      </c>
      <c r="H1419">
        <f t="shared" ca="1" si="29"/>
        <v>-1.8954683621556299E-2</v>
      </c>
    </row>
    <row r="1420" spans="7:8">
      <c r="G1420">
        <v>1410</v>
      </c>
      <c r="H1420">
        <f t="shared" ref="H1420:H1483" ca="1" si="30">_xlfn.NORM.INV(RAND(),N$13,N$14)</f>
        <v>5.8403923945964074E-3</v>
      </c>
    </row>
    <row r="1421" spans="7:8">
      <c r="G1421">
        <v>1411</v>
      </c>
      <c r="H1421">
        <f t="shared" ca="1" si="30"/>
        <v>1.8601651596342344E-2</v>
      </c>
    </row>
    <row r="1422" spans="7:8">
      <c r="G1422">
        <v>1412</v>
      </c>
      <c r="H1422">
        <f t="shared" ca="1" si="30"/>
        <v>-5.3095779792871707E-3</v>
      </c>
    </row>
    <row r="1423" spans="7:8">
      <c r="G1423">
        <v>1413</v>
      </c>
      <c r="H1423">
        <f t="shared" ca="1" si="30"/>
        <v>-1.3780670583445604E-2</v>
      </c>
    </row>
    <row r="1424" spans="7:8">
      <c r="G1424">
        <v>1414</v>
      </c>
      <c r="H1424">
        <f t="shared" ca="1" si="30"/>
        <v>9.5717682329891206E-3</v>
      </c>
    </row>
    <row r="1425" spans="7:8">
      <c r="G1425">
        <v>1415</v>
      </c>
      <c r="H1425">
        <f t="shared" ca="1" si="30"/>
        <v>-1.8470206588393351E-3</v>
      </c>
    </row>
    <row r="1426" spans="7:8">
      <c r="G1426">
        <v>1416</v>
      </c>
      <c r="H1426">
        <f t="shared" ca="1" si="30"/>
        <v>-3.2186981124726892E-2</v>
      </c>
    </row>
    <row r="1427" spans="7:8">
      <c r="G1427">
        <v>1417</v>
      </c>
      <c r="H1427">
        <f t="shared" ca="1" si="30"/>
        <v>2.9568835944378497E-2</v>
      </c>
    </row>
    <row r="1428" spans="7:8">
      <c r="G1428">
        <v>1418</v>
      </c>
      <c r="H1428">
        <f t="shared" ca="1" si="30"/>
        <v>1.7038044635764272E-3</v>
      </c>
    </row>
    <row r="1429" spans="7:8">
      <c r="G1429">
        <v>1419</v>
      </c>
      <c r="H1429">
        <f t="shared" ca="1" si="30"/>
        <v>-2.4494381959810945E-2</v>
      </c>
    </row>
    <row r="1430" spans="7:8">
      <c r="G1430">
        <v>1420</v>
      </c>
      <c r="H1430">
        <f t="shared" ca="1" si="30"/>
        <v>-2.9984550300918386E-2</v>
      </c>
    </row>
    <row r="1431" spans="7:8">
      <c r="G1431">
        <v>1421</v>
      </c>
      <c r="H1431">
        <f t="shared" ca="1" si="30"/>
        <v>-1.5350543005777786E-2</v>
      </c>
    </row>
    <row r="1432" spans="7:8">
      <c r="G1432">
        <v>1422</v>
      </c>
      <c r="H1432">
        <f t="shared" ca="1" si="30"/>
        <v>-2.2183888585262193E-3</v>
      </c>
    </row>
    <row r="1433" spans="7:8">
      <c r="G1433">
        <v>1423</v>
      </c>
      <c r="H1433">
        <f t="shared" ca="1" si="30"/>
        <v>-1.2599491951539761E-3</v>
      </c>
    </row>
    <row r="1434" spans="7:8">
      <c r="G1434">
        <v>1424</v>
      </c>
      <c r="H1434">
        <f t="shared" ca="1" si="30"/>
        <v>8.7284669663699327E-3</v>
      </c>
    </row>
    <row r="1435" spans="7:8">
      <c r="G1435">
        <v>1425</v>
      </c>
      <c r="H1435">
        <f t="shared" ca="1" si="30"/>
        <v>1.5847398363793327E-2</v>
      </c>
    </row>
    <row r="1436" spans="7:8">
      <c r="G1436">
        <v>1426</v>
      </c>
      <c r="H1436">
        <f t="shared" ca="1" si="30"/>
        <v>6.8071545873069376E-3</v>
      </c>
    </row>
    <row r="1437" spans="7:8">
      <c r="G1437">
        <v>1427</v>
      </c>
      <c r="H1437">
        <f t="shared" ca="1" si="30"/>
        <v>5.0757162520580767E-3</v>
      </c>
    </row>
    <row r="1438" spans="7:8">
      <c r="G1438">
        <v>1428</v>
      </c>
      <c r="H1438">
        <f t="shared" ca="1" si="30"/>
        <v>-2.7892222614246481E-2</v>
      </c>
    </row>
    <row r="1439" spans="7:8">
      <c r="G1439">
        <v>1429</v>
      </c>
      <c r="H1439">
        <f t="shared" ca="1" si="30"/>
        <v>-1.2848358129299648E-2</v>
      </c>
    </row>
    <row r="1440" spans="7:8">
      <c r="G1440">
        <v>1430</v>
      </c>
      <c r="H1440">
        <f t="shared" ca="1" si="30"/>
        <v>2.1959594390153561E-2</v>
      </c>
    </row>
    <row r="1441" spans="7:8">
      <c r="G1441">
        <v>1431</v>
      </c>
      <c r="H1441">
        <f t="shared" ca="1" si="30"/>
        <v>-2.2413329653863057E-2</v>
      </c>
    </row>
    <row r="1442" spans="7:8">
      <c r="G1442">
        <v>1432</v>
      </c>
      <c r="H1442">
        <f t="shared" ca="1" si="30"/>
        <v>-5.2165042849621618E-2</v>
      </c>
    </row>
    <row r="1443" spans="7:8">
      <c r="G1443">
        <v>1433</v>
      </c>
      <c r="H1443">
        <f t="shared" ca="1" si="30"/>
        <v>-8.355569737542012E-3</v>
      </c>
    </row>
    <row r="1444" spans="7:8">
      <c r="G1444">
        <v>1434</v>
      </c>
      <c r="H1444">
        <f t="shared" ca="1" si="30"/>
        <v>1.4799554199071112E-2</v>
      </c>
    </row>
    <row r="1445" spans="7:8">
      <c r="G1445">
        <v>1435</v>
      </c>
      <c r="H1445">
        <f t="shared" ca="1" si="30"/>
        <v>1.4635386127034163E-2</v>
      </c>
    </row>
    <row r="1446" spans="7:8">
      <c r="G1446">
        <v>1436</v>
      </c>
      <c r="H1446">
        <f t="shared" ca="1" si="30"/>
        <v>1.9552639667097874E-2</v>
      </c>
    </row>
    <row r="1447" spans="7:8">
      <c r="G1447">
        <v>1437</v>
      </c>
      <c r="H1447">
        <f t="shared" ca="1" si="30"/>
        <v>-1.4745109918401016E-2</v>
      </c>
    </row>
    <row r="1448" spans="7:8">
      <c r="G1448">
        <v>1438</v>
      </c>
      <c r="H1448">
        <f t="shared" ca="1" si="30"/>
        <v>1.043733590446152E-2</v>
      </c>
    </row>
    <row r="1449" spans="7:8">
      <c r="G1449">
        <v>1439</v>
      </c>
      <c r="H1449">
        <f t="shared" ca="1" si="30"/>
        <v>4.0754316693397297E-2</v>
      </c>
    </row>
    <row r="1450" spans="7:8">
      <c r="G1450">
        <v>1440</v>
      </c>
      <c r="H1450">
        <f t="shared" ca="1" si="30"/>
        <v>1.9652452209884567E-3</v>
      </c>
    </row>
    <row r="1451" spans="7:8">
      <c r="G1451">
        <v>1441</v>
      </c>
      <c r="H1451">
        <f t="shared" ca="1" si="30"/>
        <v>2.183164337495842E-2</v>
      </c>
    </row>
    <row r="1452" spans="7:8">
      <c r="G1452">
        <v>1442</v>
      </c>
      <c r="H1452">
        <f t="shared" ca="1" si="30"/>
        <v>5.0594247470385066E-2</v>
      </c>
    </row>
    <row r="1453" spans="7:8">
      <c r="G1453">
        <v>1443</v>
      </c>
      <c r="H1453">
        <f t="shared" ca="1" si="30"/>
        <v>-2.1804352942141666E-2</v>
      </c>
    </row>
    <row r="1454" spans="7:8">
      <c r="G1454">
        <v>1444</v>
      </c>
      <c r="H1454">
        <f t="shared" ca="1" si="30"/>
        <v>-8.631663497420226E-3</v>
      </c>
    </row>
    <row r="1455" spans="7:8">
      <c r="G1455">
        <v>1445</v>
      </c>
      <c r="H1455">
        <f t="shared" ca="1" si="30"/>
        <v>-6.9369227583828477E-3</v>
      </c>
    </row>
    <row r="1456" spans="7:8">
      <c r="G1456">
        <v>1446</v>
      </c>
      <c r="H1456">
        <f t="shared" ca="1" si="30"/>
        <v>-5.5421500339408189E-3</v>
      </c>
    </row>
    <row r="1457" spans="7:8">
      <c r="G1457">
        <v>1447</v>
      </c>
      <c r="H1457">
        <f t="shared" ca="1" si="30"/>
        <v>-5.3646780497989413E-3</v>
      </c>
    </row>
    <row r="1458" spans="7:8">
      <c r="G1458">
        <v>1448</v>
      </c>
      <c r="H1458">
        <f t="shared" ca="1" si="30"/>
        <v>4.4470669676803564E-3</v>
      </c>
    </row>
    <row r="1459" spans="7:8">
      <c r="G1459">
        <v>1449</v>
      </c>
      <c r="H1459">
        <f t="shared" ca="1" si="30"/>
        <v>5.5585503471796026E-3</v>
      </c>
    </row>
    <row r="1460" spans="7:8">
      <c r="G1460">
        <v>1450</v>
      </c>
      <c r="H1460">
        <f t="shared" ca="1" si="30"/>
        <v>1.9777722135941991E-2</v>
      </c>
    </row>
    <row r="1461" spans="7:8">
      <c r="G1461">
        <v>1451</v>
      </c>
      <c r="H1461">
        <f t="shared" ca="1" si="30"/>
        <v>-3.342126327351453E-2</v>
      </c>
    </row>
    <row r="1462" spans="7:8">
      <c r="G1462">
        <v>1452</v>
      </c>
      <c r="H1462">
        <f t="shared" ca="1" si="30"/>
        <v>-6.3228523509476324E-3</v>
      </c>
    </row>
    <row r="1463" spans="7:8">
      <c r="G1463">
        <v>1453</v>
      </c>
      <c r="H1463">
        <f t="shared" ca="1" si="30"/>
        <v>2.3481914777392088E-2</v>
      </c>
    </row>
    <row r="1464" spans="7:8">
      <c r="G1464">
        <v>1454</v>
      </c>
      <c r="H1464">
        <f t="shared" ca="1" si="30"/>
        <v>1.0166371705347059E-3</v>
      </c>
    </row>
    <row r="1465" spans="7:8">
      <c r="G1465">
        <v>1455</v>
      </c>
      <c r="H1465">
        <f t="shared" ca="1" si="30"/>
        <v>2.2994531516189829E-3</v>
      </c>
    </row>
    <row r="1466" spans="7:8">
      <c r="G1466">
        <v>1456</v>
      </c>
      <c r="H1466">
        <f t="shared" ca="1" si="30"/>
        <v>2.1046766328347635E-2</v>
      </c>
    </row>
    <row r="1467" spans="7:8">
      <c r="G1467">
        <v>1457</v>
      </c>
      <c r="H1467">
        <f t="shared" ca="1" si="30"/>
        <v>-1.5428700142711992E-2</v>
      </c>
    </row>
    <row r="1468" spans="7:8">
      <c r="G1468">
        <v>1458</v>
      </c>
      <c r="H1468">
        <f t="shared" ca="1" si="30"/>
        <v>2.755462725323098E-2</v>
      </c>
    </row>
    <row r="1469" spans="7:8">
      <c r="G1469">
        <v>1459</v>
      </c>
      <c r="H1469">
        <f t="shared" ca="1" si="30"/>
        <v>3.0606499458012745E-2</v>
      </c>
    </row>
    <row r="1470" spans="7:8">
      <c r="G1470">
        <v>1460</v>
      </c>
      <c r="H1470">
        <f t="shared" ca="1" si="30"/>
        <v>2.6496234831716484E-2</v>
      </c>
    </row>
    <row r="1471" spans="7:8">
      <c r="G1471">
        <v>1461</v>
      </c>
      <c r="H1471">
        <f t="shared" ca="1" si="30"/>
        <v>-9.3046816005718687E-3</v>
      </c>
    </row>
    <row r="1472" spans="7:8">
      <c r="G1472">
        <v>1462</v>
      </c>
      <c r="H1472">
        <f t="shared" ca="1" si="30"/>
        <v>1.6420040875114107E-2</v>
      </c>
    </row>
    <row r="1473" spans="7:8">
      <c r="G1473">
        <v>1463</v>
      </c>
      <c r="H1473">
        <f t="shared" ca="1" si="30"/>
        <v>3.3627493415734379E-2</v>
      </c>
    </row>
    <row r="1474" spans="7:8">
      <c r="G1474">
        <v>1464</v>
      </c>
      <c r="H1474">
        <f t="shared" ca="1" si="30"/>
        <v>3.9210131782184514E-2</v>
      </c>
    </row>
    <row r="1475" spans="7:8">
      <c r="G1475">
        <v>1465</v>
      </c>
      <c r="H1475">
        <f t="shared" ca="1" si="30"/>
        <v>-4.3318094390102976E-3</v>
      </c>
    </row>
    <row r="1476" spans="7:8">
      <c r="G1476">
        <v>1466</v>
      </c>
      <c r="H1476">
        <f t="shared" ca="1" si="30"/>
        <v>-2.3272659500719873E-2</v>
      </c>
    </row>
    <row r="1477" spans="7:8">
      <c r="G1477">
        <v>1467</v>
      </c>
      <c r="H1477">
        <f t="shared" ca="1" si="30"/>
        <v>-9.4633817219356335E-4</v>
      </c>
    </row>
    <row r="1478" spans="7:8">
      <c r="G1478">
        <v>1468</v>
      </c>
      <c r="H1478">
        <f t="shared" ca="1" si="30"/>
        <v>-8.187682947177935E-3</v>
      </c>
    </row>
    <row r="1479" spans="7:8">
      <c r="G1479">
        <v>1469</v>
      </c>
      <c r="H1479">
        <f t="shared" ca="1" si="30"/>
        <v>2.9386429054557243E-2</v>
      </c>
    </row>
    <row r="1480" spans="7:8">
      <c r="G1480">
        <v>1470</v>
      </c>
      <c r="H1480">
        <f t="shared" ca="1" si="30"/>
        <v>9.2316645724235423E-5</v>
      </c>
    </row>
    <row r="1481" spans="7:8">
      <c r="G1481">
        <v>1471</v>
      </c>
      <c r="H1481">
        <f t="shared" ca="1" si="30"/>
        <v>-1.3581816964235591E-2</v>
      </c>
    </row>
    <row r="1482" spans="7:8">
      <c r="G1482">
        <v>1472</v>
      </c>
      <c r="H1482">
        <f t="shared" ca="1" si="30"/>
        <v>-1.6594519489479802E-2</v>
      </c>
    </row>
    <row r="1483" spans="7:8">
      <c r="G1483">
        <v>1473</v>
      </c>
      <c r="H1483">
        <f t="shared" ca="1" si="30"/>
        <v>2.7306029739281458E-2</v>
      </c>
    </row>
    <row r="1484" spans="7:8">
      <c r="G1484">
        <v>1474</v>
      </c>
      <c r="H1484">
        <f t="shared" ref="H1484:H1547" ca="1" si="31">_xlfn.NORM.INV(RAND(),N$13,N$14)</f>
        <v>-2.9169972394978375E-3</v>
      </c>
    </row>
    <row r="1485" spans="7:8">
      <c r="G1485">
        <v>1475</v>
      </c>
      <c r="H1485">
        <f t="shared" ca="1" si="31"/>
        <v>6.9827152504805612E-3</v>
      </c>
    </row>
    <row r="1486" spans="7:8">
      <c r="G1486">
        <v>1476</v>
      </c>
      <c r="H1486">
        <f t="shared" ca="1" si="31"/>
        <v>7.0359566041679908E-2</v>
      </c>
    </row>
    <row r="1487" spans="7:8">
      <c r="G1487">
        <v>1477</v>
      </c>
      <c r="H1487">
        <f t="shared" ca="1" si="31"/>
        <v>2.5727713298648227E-2</v>
      </c>
    </row>
    <row r="1488" spans="7:8">
      <c r="G1488">
        <v>1478</v>
      </c>
      <c r="H1488">
        <f t="shared" ca="1" si="31"/>
        <v>-3.5733515784264398E-3</v>
      </c>
    </row>
    <row r="1489" spans="7:8">
      <c r="G1489">
        <v>1479</v>
      </c>
      <c r="H1489">
        <f t="shared" ca="1" si="31"/>
        <v>-1.152977112996754E-2</v>
      </c>
    </row>
    <row r="1490" spans="7:8">
      <c r="G1490">
        <v>1480</v>
      </c>
      <c r="H1490">
        <f t="shared" ca="1" si="31"/>
        <v>-2.1776311496792297E-3</v>
      </c>
    </row>
    <row r="1491" spans="7:8">
      <c r="G1491">
        <v>1481</v>
      </c>
      <c r="H1491">
        <f t="shared" ca="1" si="31"/>
        <v>3.3431859691686799E-2</v>
      </c>
    </row>
    <row r="1492" spans="7:8">
      <c r="G1492">
        <v>1482</v>
      </c>
      <c r="H1492">
        <f t="shared" ca="1" si="31"/>
        <v>1.0997393754765362E-2</v>
      </c>
    </row>
    <row r="1493" spans="7:8">
      <c r="G1493">
        <v>1483</v>
      </c>
      <c r="H1493">
        <f t="shared" ca="1" si="31"/>
        <v>1.4536439900299248E-2</v>
      </c>
    </row>
    <row r="1494" spans="7:8">
      <c r="G1494">
        <v>1484</v>
      </c>
      <c r="H1494">
        <f t="shared" ca="1" si="31"/>
        <v>1.7510528093069133E-4</v>
      </c>
    </row>
    <row r="1495" spans="7:8">
      <c r="G1495">
        <v>1485</v>
      </c>
      <c r="H1495">
        <f t="shared" ca="1" si="31"/>
        <v>-2.0997829129783173E-2</v>
      </c>
    </row>
    <row r="1496" spans="7:8">
      <c r="G1496">
        <v>1486</v>
      </c>
      <c r="H1496">
        <f t="shared" ca="1" si="31"/>
        <v>7.006038709981355E-3</v>
      </c>
    </row>
    <row r="1497" spans="7:8">
      <c r="G1497">
        <v>1487</v>
      </c>
      <c r="H1497">
        <f t="shared" ca="1" si="31"/>
        <v>-1.3830272227078583E-2</v>
      </c>
    </row>
    <row r="1498" spans="7:8">
      <c r="G1498">
        <v>1488</v>
      </c>
      <c r="H1498">
        <f t="shared" ca="1" si="31"/>
        <v>1.6111070852761249E-2</v>
      </c>
    </row>
    <row r="1499" spans="7:8">
      <c r="G1499">
        <v>1489</v>
      </c>
      <c r="H1499">
        <f t="shared" ca="1" si="31"/>
        <v>-1.2107937947752084E-2</v>
      </c>
    </row>
    <row r="1500" spans="7:8">
      <c r="G1500">
        <v>1490</v>
      </c>
      <c r="H1500">
        <f t="shared" ca="1" si="31"/>
        <v>-9.3610998274584415E-3</v>
      </c>
    </row>
    <row r="1501" spans="7:8">
      <c r="G1501">
        <v>1491</v>
      </c>
      <c r="H1501">
        <f t="shared" ca="1" si="31"/>
        <v>2.1455286332595119E-3</v>
      </c>
    </row>
    <row r="1502" spans="7:8">
      <c r="G1502">
        <v>1492</v>
      </c>
      <c r="H1502">
        <f t="shared" ca="1" si="31"/>
        <v>1.6442839644757797E-2</v>
      </c>
    </row>
    <row r="1503" spans="7:8">
      <c r="G1503">
        <v>1493</v>
      </c>
      <c r="H1503">
        <f t="shared" ca="1" si="31"/>
        <v>8.2717431578195298E-3</v>
      </c>
    </row>
    <row r="1504" spans="7:8">
      <c r="G1504">
        <v>1494</v>
      </c>
      <c r="H1504">
        <f t="shared" ca="1" si="31"/>
        <v>-3.685734157473642E-2</v>
      </c>
    </row>
    <row r="1505" spans="7:8">
      <c r="G1505">
        <v>1495</v>
      </c>
      <c r="H1505">
        <f t="shared" ca="1" si="31"/>
        <v>8.7021077509075E-3</v>
      </c>
    </row>
    <row r="1506" spans="7:8">
      <c r="G1506">
        <v>1496</v>
      </c>
      <c r="H1506">
        <f t="shared" ca="1" si="31"/>
        <v>9.4039418216703887E-3</v>
      </c>
    </row>
    <row r="1507" spans="7:8">
      <c r="G1507">
        <v>1497</v>
      </c>
      <c r="H1507">
        <f t="shared" ca="1" si="31"/>
        <v>2.1226984227397262E-2</v>
      </c>
    </row>
    <row r="1508" spans="7:8">
      <c r="G1508">
        <v>1498</v>
      </c>
      <c r="H1508">
        <f t="shared" ca="1" si="31"/>
        <v>1.679100566301038E-2</v>
      </c>
    </row>
    <row r="1509" spans="7:8">
      <c r="G1509">
        <v>1499</v>
      </c>
      <c r="H1509">
        <f t="shared" ca="1" si="31"/>
        <v>2.0404387772370521E-2</v>
      </c>
    </row>
    <row r="1510" spans="7:8">
      <c r="G1510">
        <v>1500</v>
      </c>
      <c r="H1510">
        <f t="shared" ca="1" si="31"/>
        <v>6.1621948917379744E-3</v>
      </c>
    </row>
    <row r="1511" spans="7:8">
      <c r="G1511">
        <v>1501</v>
      </c>
      <c r="H1511">
        <f t="shared" ca="1" si="31"/>
        <v>5.3938863694000652E-2</v>
      </c>
    </row>
    <row r="1512" spans="7:8">
      <c r="G1512">
        <v>1502</v>
      </c>
      <c r="H1512">
        <f t="shared" ca="1" si="31"/>
        <v>4.6779165430817001E-3</v>
      </c>
    </row>
    <row r="1513" spans="7:8">
      <c r="G1513">
        <v>1503</v>
      </c>
      <c r="H1513">
        <f t="shared" ca="1" si="31"/>
        <v>7.6595023739331443E-3</v>
      </c>
    </row>
    <row r="1514" spans="7:8">
      <c r="G1514">
        <v>1504</v>
      </c>
      <c r="H1514">
        <f t="shared" ca="1" si="31"/>
        <v>-9.2745241436756228E-3</v>
      </c>
    </row>
    <row r="1515" spans="7:8">
      <c r="G1515">
        <v>1505</v>
      </c>
      <c r="H1515">
        <f t="shared" ca="1" si="31"/>
        <v>1.0672726388122646E-3</v>
      </c>
    </row>
    <row r="1516" spans="7:8">
      <c r="G1516">
        <v>1506</v>
      </c>
      <c r="H1516">
        <f t="shared" ca="1" si="31"/>
        <v>9.3059776215522732E-3</v>
      </c>
    </row>
    <row r="1517" spans="7:8">
      <c r="G1517">
        <v>1507</v>
      </c>
      <c r="H1517">
        <f t="shared" ca="1" si="31"/>
        <v>3.7143812616819379E-2</v>
      </c>
    </row>
    <row r="1518" spans="7:8">
      <c r="G1518">
        <v>1508</v>
      </c>
      <c r="H1518">
        <f t="shared" ca="1" si="31"/>
        <v>-4.5617351379822722E-2</v>
      </c>
    </row>
    <row r="1519" spans="7:8">
      <c r="G1519">
        <v>1509</v>
      </c>
      <c r="H1519">
        <f t="shared" ca="1" si="31"/>
        <v>-5.7058836709787718E-3</v>
      </c>
    </row>
    <row r="1520" spans="7:8">
      <c r="G1520">
        <v>1510</v>
      </c>
      <c r="H1520">
        <f t="shared" ca="1" si="31"/>
        <v>-3.8819058632967175E-2</v>
      </c>
    </row>
    <row r="1521" spans="7:8">
      <c r="G1521">
        <v>1511</v>
      </c>
      <c r="H1521">
        <f t="shared" ca="1" si="31"/>
        <v>-7.4234531110665683E-3</v>
      </c>
    </row>
    <row r="1522" spans="7:8">
      <c r="G1522">
        <v>1512</v>
      </c>
      <c r="H1522">
        <f t="shared" ca="1" si="31"/>
        <v>-2.8631786655743813E-2</v>
      </c>
    </row>
    <row r="1523" spans="7:8">
      <c r="G1523">
        <v>1513</v>
      </c>
      <c r="H1523">
        <f t="shared" ca="1" si="31"/>
        <v>1.1666217266824278E-2</v>
      </c>
    </row>
    <row r="1524" spans="7:8">
      <c r="G1524">
        <v>1514</v>
      </c>
      <c r="H1524">
        <f t="shared" ca="1" si="31"/>
        <v>-4.2687037031229006E-3</v>
      </c>
    </row>
    <row r="1525" spans="7:8">
      <c r="G1525">
        <v>1515</v>
      </c>
      <c r="H1525">
        <f t="shared" ca="1" si="31"/>
        <v>-1.1319575740062094E-3</v>
      </c>
    </row>
    <row r="1526" spans="7:8">
      <c r="G1526">
        <v>1516</v>
      </c>
      <c r="H1526">
        <f t="shared" ca="1" si="31"/>
        <v>-2.245357472511145E-2</v>
      </c>
    </row>
    <row r="1527" spans="7:8">
      <c r="G1527">
        <v>1517</v>
      </c>
      <c r="H1527">
        <f t="shared" ca="1" si="31"/>
        <v>9.1783830973441293E-3</v>
      </c>
    </row>
    <row r="1528" spans="7:8">
      <c r="G1528">
        <v>1518</v>
      </c>
      <c r="H1528">
        <f t="shared" ca="1" si="31"/>
        <v>-7.3477110911693601E-3</v>
      </c>
    </row>
    <row r="1529" spans="7:8">
      <c r="G1529">
        <v>1519</v>
      </c>
      <c r="H1529">
        <f t="shared" ca="1" si="31"/>
        <v>-2.7407257745212018E-3</v>
      </c>
    </row>
    <row r="1530" spans="7:8">
      <c r="G1530">
        <v>1520</v>
      </c>
      <c r="H1530">
        <f t="shared" ca="1" si="31"/>
        <v>1.8675656043993391E-2</v>
      </c>
    </row>
    <row r="1531" spans="7:8">
      <c r="G1531">
        <v>1521</v>
      </c>
      <c r="H1531">
        <f t="shared" ca="1" si="31"/>
        <v>5.0289963323283029E-3</v>
      </c>
    </row>
    <row r="1532" spans="7:8">
      <c r="G1532">
        <v>1522</v>
      </c>
      <c r="H1532">
        <f t="shared" ca="1" si="31"/>
        <v>-2.6137995059276803E-2</v>
      </c>
    </row>
    <row r="1533" spans="7:8">
      <c r="G1533">
        <v>1523</v>
      </c>
      <c r="H1533">
        <f t="shared" ca="1" si="31"/>
        <v>-4.7066211266348973E-3</v>
      </c>
    </row>
    <row r="1534" spans="7:8">
      <c r="G1534">
        <v>1524</v>
      </c>
      <c r="H1534">
        <f t="shared" ca="1" si="31"/>
        <v>1.6150384018717206E-3</v>
      </c>
    </row>
    <row r="1535" spans="7:8">
      <c r="G1535">
        <v>1525</v>
      </c>
      <c r="H1535">
        <f t="shared" ca="1" si="31"/>
        <v>1.2253057322181923E-2</v>
      </c>
    </row>
    <row r="1536" spans="7:8">
      <c r="G1536">
        <v>1526</v>
      </c>
      <c r="H1536">
        <f t="shared" ca="1" si="31"/>
        <v>-2.1648488251558135E-3</v>
      </c>
    </row>
    <row r="1537" spans="7:8">
      <c r="G1537">
        <v>1527</v>
      </c>
      <c r="H1537">
        <f t="shared" ca="1" si="31"/>
        <v>-3.1987046185874439E-2</v>
      </c>
    </row>
    <row r="1538" spans="7:8">
      <c r="G1538">
        <v>1528</v>
      </c>
      <c r="H1538">
        <f t="shared" ca="1" si="31"/>
        <v>-7.3958812046518935E-3</v>
      </c>
    </row>
    <row r="1539" spans="7:8">
      <c r="G1539">
        <v>1529</v>
      </c>
      <c r="H1539">
        <f t="shared" ca="1" si="31"/>
        <v>-3.0169517676257765E-2</v>
      </c>
    </row>
    <row r="1540" spans="7:8">
      <c r="G1540">
        <v>1530</v>
      </c>
      <c r="H1540">
        <f t="shared" ca="1" si="31"/>
        <v>1.0114850867741045E-3</v>
      </c>
    </row>
    <row r="1541" spans="7:8">
      <c r="G1541">
        <v>1531</v>
      </c>
      <c r="H1541">
        <f t="shared" ca="1" si="31"/>
        <v>2.3985880013882716E-2</v>
      </c>
    </row>
    <row r="1542" spans="7:8">
      <c r="G1542">
        <v>1532</v>
      </c>
      <c r="H1542">
        <f t="shared" ca="1" si="31"/>
        <v>4.4140339194431187E-2</v>
      </c>
    </row>
    <row r="1543" spans="7:8">
      <c r="G1543">
        <v>1533</v>
      </c>
      <c r="H1543">
        <f t="shared" ca="1" si="31"/>
        <v>1.5244302456444059E-2</v>
      </c>
    </row>
    <row r="1544" spans="7:8">
      <c r="G1544">
        <v>1534</v>
      </c>
      <c r="H1544">
        <f t="shared" ca="1" si="31"/>
        <v>-2.6681749107347937E-3</v>
      </c>
    </row>
    <row r="1545" spans="7:8">
      <c r="G1545">
        <v>1535</v>
      </c>
      <c r="H1545">
        <f t="shared" ca="1" si="31"/>
        <v>-3.2157931105295225E-2</v>
      </c>
    </row>
    <row r="1546" spans="7:8">
      <c r="G1546">
        <v>1536</v>
      </c>
      <c r="H1546">
        <f t="shared" ca="1" si="31"/>
        <v>1.3799107503501554E-2</v>
      </c>
    </row>
    <row r="1547" spans="7:8">
      <c r="G1547">
        <v>1537</v>
      </c>
      <c r="H1547">
        <f t="shared" ca="1" si="31"/>
        <v>1.5022999325645161E-2</v>
      </c>
    </row>
    <row r="1548" spans="7:8">
      <c r="G1548">
        <v>1538</v>
      </c>
      <c r="H1548">
        <f t="shared" ref="H1548:H1611" ca="1" si="32">_xlfn.NORM.INV(RAND(),N$13,N$14)</f>
        <v>-4.2215424464742177E-2</v>
      </c>
    </row>
    <row r="1549" spans="7:8">
      <c r="G1549">
        <v>1539</v>
      </c>
      <c r="H1549">
        <f t="shared" ca="1" si="32"/>
        <v>1.0828988709852275E-4</v>
      </c>
    </row>
    <row r="1550" spans="7:8">
      <c r="G1550">
        <v>1540</v>
      </c>
      <c r="H1550">
        <f t="shared" ca="1" si="32"/>
        <v>2.3748894341146385E-2</v>
      </c>
    </row>
    <row r="1551" spans="7:8">
      <c r="G1551">
        <v>1541</v>
      </c>
      <c r="H1551">
        <f t="shared" ca="1" si="32"/>
        <v>9.6137362563289402E-3</v>
      </c>
    </row>
    <row r="1552" spans="7:8">
      <c r="G1552">
        <v>1542</v>
      </c>
      <c r="H1552">
        <f t="shared" ca="1" si="32"/>
        <v>-2.3647360385238399E-2</v>
      </c>
    </row>
    <row r="1553" spans="7:8">
      <c r="G1553">
        <v>1543</v>
      </c>
      <c r="H1553">
        <f t="shared" ca="1" si="32"/>
        <v>3.2311001812636367E-2</v>
      </c>
    </row>
    <row r="1554" spans="7:8">
      <c r="G1554">
        <v>1544</v>
      </c>
      <c r="H1554">
        <f t="shared" ca="1" si="32"/>
        <v>2.0413562812076928E-3</v>
      </c>
    </row>
    <row r="1555" spans="7:8">
      <c r="G1555">
        <v>1545</v>
      </c>
      <c r="H1555">
        <f t="shared" ca="1" si="32"/>
        <v>-3.09977670313626E-3</v>
      </c>
    </row>
    <row r="1556" spans="7:8">
      <c r="G1556">
        <v>1546</v>
      </c>
      <c r="H1556">
        <f t="shared" ca="1" si="32"/>
        <v>5.8916260454520246E-3</v>
      </c>
    </row>
    <row r="1557" spans="7:8">
      <c r="G1557">
        <v>1547</v>
      </c>
      <c r="H1557">
        <f t="shared" ca="1" si="32"/>
        <v>-1.1093769291766203E-2</v>
      </c>
    </row>
    <row r="1558" spans="7:8">
      <c r="G1558">
        <v>1548</v>
      </c>
      <c r="H1558">
        <f t="shared" ca="1" si="32"/>
        <v>-2.9427980539649498E-2</v>
      </c>
    </row>
    <row r="1559" spans="7:8">
      <c r="G1559">
        <v>1549</v>
      </c>
      <c r="H1559">
        <f t="shared" ca="1" si="32"/>
        <v>1.4927347275057288E-2</v>
      </c>
    </row>
    <row r="1560" spans="7:8">
      <c r="G1560">
        <v>1550</v>
      </c>
      <c r="H1560">
        <f t="shared" ca="1" si="32"/>
        <v>-1.3492084862334492E-2</v>
      </c>
    </row>
    <row r="1561" spans="7:8">
      <c r="G1561">
        <v>1551</v>
      </c>
      <c r="H1561">
        <f t="shared" ca="1" si="32"/>
        <v>-6.840528834092939E-3</v>
      </c>
    </row>
    <row r="1562" spans="7:8">
      <c r="G1562">
        <v>1552</v>
      </c>
      <c r="H1562">
        <f t="shared" ca="1" si="32"/>
        <v>-3.149474769154794E-2</v>
      </c>
    </row>
    <row r="1563" spans="7:8">
      <c r="G1563">
        <v>1553</v>
      </c>
      <c r="H1563">
        <f t="shared" ca="1" si="32"/>
        <v>-1.7942847015146829E-3</v>
      </c>
    </row>
    <row r="1564" spans="7:8">
      <c r="G1564">
        <v>1554</v>
      </c>
      <c r="H1564">
        <f t="shared" ca="1" si="32"/>
        <v>-5.8371828610474692E-2</v>
      </c>
    </row>
    <row r="1565" spans="7:8">
      <c r="G1565">
        <v>1555</v>
      </c>
      <c r="H1565">
        <f t="shared" ca="1" si="32"/>
        <v>7.8813966042649945E-3</v>
      </c>
    </row>
    <row r="1566" spans="7:8">
      <c r="G1566">
        <v>1556</v>
      </c>
      <c r="H1566">
        <f t="shared" ca="1" si="32"/>
        <v>-3.5095342459062796E-2</v>
      </c>
    </row>
    <row r="1567" spans="7:8">
      <c r="G1567">
        <v>1557</v>
      </c>
      <c r="H1567">
        <f t="shared" ca="1" si="32"/>
        <v>1.0309906267019997E-2</v>
      </c>
    </row>
    <row r="1568" spans="7:8">
      <c r="G1568">
        <v>1558</v>
      </c>
      <c r="H1568">
        <f t="shared" ca="1" si="32"/>
        <v>-2.351738938663759E-2</v>
      </c>
    </row>
    <row r="1569" spans="7:8">
      <c r="G1569">
        <v>1559</v>
      </c>
      <c r="H1569">
        <f t="shared" ca="1" si="32"/>
        <v>-1.0701317191030062E-2</v>
      </c>
    </row>
    <row r="1570" spans="7:8">
      <c r="G1570">
        <v>1560</v>
      </c>
      <c r="H1570">
        <f t="shared" ca="1" si="32"/>
        <v>-2.822680846014685E-2</v>
      </c>
    </row>
    <row r="1571" spans="7:8">
      <c r="G1571">
        <v>1561</v>
      </c>
      <c r="H1571">
        <f t="shared" ca="1" si="32"/>
        <v>4.8951732433056838E-2</v>
      </c>
    </row>
    <row r="1572" spans="7:8">
      <c r="G1572">
        <v>1562</v>
      </c>
      <c r="H1572">
        <f t="shared" ca="1" si="32"/>
        <v>1.6099521575790678E-3</v>
      </c>
    </row>
    <row r="1573" spans="7:8">
      <c r="G1573">
        <v>1563</v>
      </c>
      <c r="H1573">
        <f t="shared" ca="1" si="32"/>
        <v>-2.0804032870643794E-3</v>
      </c>
    </row>
    <row r="1574" spans="7:8">
      <c r="G1574">
        <v>1564</v>
      </c>
      <c r="H1574">
        <f t="shared" ca="1" si="32"/>
        <v>2.7118276984214444E-3</v>
      </c>
    </row>
    <row r="1575" spans="7:8">
      <c r="G1575">
        <v>1565</v>
      </c>
      <c r="H1575">
        <f t="shared" ca="1" si="32"/>
        <v>-3.6060274681067574E-2</v>
      </c>
    </row>
    <row r="1576" spans="7:8">
      <c r="G1576">
        <v>1566</v>
      </c>
      <c r="H1576">
        <f t="shared" ca="1" si="32"/>
        <v>2.1095026374879475E-3</v>
      </c>
    </row>
    <row r="1577" spans="7:8">
      <c r="G1577">
        <v>1567</v>
      </c>
      <c r="H1577">
        <f t="shared" ca="1" si="32"/>
        <v>-3.8492457854235576E-3</v>
      </c>
    </row>
    <row r="1578" spans="7:8">
      <c r="G1578">
        <v>1568</v>
      </c>
      <c r="H1578">
        <f t="shared" ca="1" si="32"/>
        <v>-1.8377265004800255E-3</v>
      </c>
    </row>
    <row r="1579" spans="7:8">
      <c r="G1579">
        <v>1569</v>
      </c>
      <c r="H1579">
        <f t="shared" ca="1" si="32"/>
        <v>2.4571780771872481E-2</v>
      </c>
    </row>
    <row r="1580" spans="7:8">
      <c r="G1580">
        <v>1570</v>
      </c>
      <c r="H1580">
        <f t="shared" ca="1" si="32"/>
        <v>-5.6015382824684407E-3</v>
      </c>
    </row>
    <row r="1581" spans="7:8">
      <c r="G1581">
        <v>1571</v>
      </c>
      <c r="H1581">
        <f t="shared" ca="1" si="32"/>
        <v>3.2794063190460521E-2</v>
      </c>
    </row>
    <row r="1582" spans="7:8">
      <c r="G1582">
        <v>1572</v>
      </c>
      <c r="H1582">
        <f t="shared" ca="1" si="32"/>
        <v>1.7383279110911757E-2</v>
      </c>
    </row>
    <row r="1583" spans="7:8">
      <c r="G1583">
        <v>1573</v>
      </c>
      <c r="H1583">
        <f t="shared" ca="1" si="32"/>
        <v>-2.9856669374762401E-2</v>
      </c>
    </row>
    <row r="1584" spans="7:8">
      <c r="G1584">
        <v>1574</v>
      </c>
      <c r="H1584">
        <f t="shared" ca="1" si="32"/>
        <v>-5.4166518648599482E-3</v>
      </c>
    </row>
    <row r="1585" spans="7:8">
      <c r="G1585">
        <v>1575</v>
      </c>
      <c r="H1585">
        <f t="shared" ca="1" si="32"/>
        <v>9.089299390356543E-4</v>
      </c>
    </row>
    <row r="1586" spans="7:8">
      <c r="G1586">
        <v>1576</v>
      </c>
      <c r="H1586">
        <f t="shared" ca="1" si="32"/>
        <v>1.0490930530384244E-2</v>
      </c>
    </row>
    <row r="1587" spans="7:8">
      <c r="G1587">
        <v>1577</v>
      </c>
      <c r="H1587">
        <f t="shared" ca="1" si="32"/>
        <v>1.7427147270222109E-2</v>
      </c>
    </row>
    <row r="1588" spans="7:8">
      <c r="G1588">
        <v>1578</v>
      </c>
      <c r="H1588">
        <f t="shared" ca="1" si="32"/>
        <v>3.7398129895197248E-3</v>
      </c>
    </row>
    <row r="1589" spans="7:8">
      <c r="G1589">
        <v>1579</v>
      </c>
      <c r="H1589">
        <f t="shared" ca="1" si="32"/>
        <v>2.4926751890503264E-3</v>
      </c>
    </row>
    <row r="1590" spans="7:8">
      <c r="G1590">
        <v>1580</v>
      </c>
      <c r="H1590">
        <f t="shared" ca="1" si="32"/>
        <v>-4.2630014460483673E-3</v>
      </c>
    </row>
    <row r="1591" spans="7:8">
      <c r="G1591">
        <v>1581</v>
      </c>
      <c r="H1591">
        <f t="shared" ca="1" si="32"/>
        <v>1.1810179655928005E-2</v>
      </c>
    </row>
    <row r="1592" spans="7:8">
      <c r="G1592">
        <v>1582</v>
      </c>
      <c r="H1592">
        <f t="shared" ca="1" si="32"/>
        <v>3.7254517408349616E-4</v>
      </c>
    </row>
    <row r="1593" spans="7:8">
      <c r="G1593">
        <v>1583</v>
      </c>
      <c r="H1593">
        <f t="shared" ca="1" si="32"/>
        <v>-8.0382296214018159E-4</v>
      </c>
    </row>
    <row r="1594" spans="7:8">
      <c r="G1594">
        <v>1584</v>
      </c>
      <c r="H1594">
        <f t="shared" ca="1" si="32"/>
        <v>-4.8639943388867242E-2</v>
      </c>
    </row>
    <row r="1595" spans="7:8">
      <c r="G1595">
        <v>1585</v>
      </c>
      <c r="H1595">
        <f t="shared" ca="1" si="32"/>
        <v>2.5062184732277813E-3</v>
      </c>
    </row>
    <row r="1596" spans="7:8">
      <c r="G1596">
        <v>1586</v>
      </c>
      <c r="H1596">
        <f t="shared" ca="1" si="32"/>
        <v>-3.0680958013950387E-2</v>
      </c>
    </row>
    <row r="1597" spans="7:8">
      <c r="G1597">
        <v>1587</v>
      </c>
      <c r="H1597">
        <f t="shared" ca="1" si="32"/>
        <v>1.131405054227244E-2</v>
      </c>
    </row>
    <row r="1598" spans="7:8">
      <c r="G1598">
        <v>1588</v>
      </c>
      <c r="H1598">
        <f t="shared" ca="1" si="32"/>
        <v>-2.1992144579438013E-2</v>
      </c>
    </row>
    <row r="1599" spans="7:8">
      <c r="G1599">
        <v>1589</v>
      </c>
      <c r="H1599">
        <f t="shared" ca="1" si="32"/>
        <v>1.1273934943543543E-2</v>
      </c>
    </row>
    <row r="1600" spans="7:8">
      <c r="G1600">
        <v>1590</v>
      </c>
      <c r="H1600">
        <f t="shared" ca="1" si="32"/>
        <v>-8.5715585988052623E-3</v>
      </c>
    </row>
    <row r="1601" spans="7:8">
      <c r="G1601">
        <v>1591</v>
      </c>
      <c r="H1601">
        <f t="shared" ca="1" si="32"/>
        <v>-6.8207512290561021E-3</v>
      </c>
    </row>
    <row r="1602" spans="7:8">
      <c r="G1602">
        <v>1592</v>
      </c>
      <c r="H1602">
        <f t="shared" ca="1" si="32"/>
        <v>-4.0842311712054238E-3</v>
      </c>
    </row>
    <row r="1603" spans="7:8">
      <c r="G1603">
        <v>1593</v>
      </c>
      <c r="H1603">
        <f t="shared" ca="1" si="32"/>
        <v>1.2011929219480678E-2</v>
      </c>
    </row>
    <row r="1604" spans="7:8">
      <c r="G1604">
        <v>1594</v>
      </c>
      <c r="H1604">
        <f t="shared" ca="1" si="32"/>
        <v>-1.314653183265172E-2</v>
      </c>
    </row>
    <row r="1605" spans="7:8">
      <c r="G1605">
        <v>1595</v>
      </c>
      <c r="H1605">
        <f t="shared" ca="1" si="32"/>
        <v>-1.5632297287586003E-2</v>
      </c>
    </row>
    <row r="1606" spans="7:8">
      <c r="G1606">
        <v>1596</v>
      </c>
      <c r="H1606">
        <f t="shared" ca="1" si="32"/>
        <v>1.4435734711934745E-3</v>
      </c>
    </row>
    <row r="1607" spans="7:8">
      <c r="G1607">
        <v>1597</v>
      </c>
      <c r="H1607">
        <f t="shared" ca="1" si="32"/>
        <v>1.8771679131419465E-2</v>
      </c>
    </row>
    <row r="1608" spans="7:8">
      <c r="G1608">
        <v>1598</v>
      </c>
      <c r="H1608">
        <f t="shared" ca="1" si="32"/>
        <v>-8.0451633254741105E-3</v>
      </c>
    </row>
    <row r="1609" spans="7:8">
      <c r="G1609">
        <v>1599</v>
      </c>
      <c r="H1609">
        <f t="shared" ca="1" si="32"/>
        <v>-9.7234084103879157E-3</v>
      </c>
    </row>
    <row r="1610" spans="7:8">
      <c r="G1610">
        <v>1600</v>
      </c>
      <c r="H1610">
        <f t="shared" ca="1" si="32"/>
        <v>6.1254291099727815E-4</v>
      </c>
    </row>
    <row r="1611" spans="7:8">
      <c r="G1611">
        <v>1601</v>
      </c>
      <c r="H1611">
        <f t="shared" ca="1" si="32"/>
        <v>5.72288360040373E-3</v>
      </c>
    </row>
    <row r="1612" spans="7:8">
      <c r="G1612">
        <v>1602</v>
      </c>
      <c r="H1612">
        <f t="shared" ref="H1612:H1675" ca="1" si="33">_xlfn.NORM.INV(RAND(),N$13,N$14)</f>
        <v>7.2981953844339928E-3</v>
      </c>
    </row>
    <row r="1613" spans="7:8">
      <c r="G1613">
        <v>1603</v>
      </c>
      <c r="H1613">
        <f t="shared" ca="1" si="33"/>
        <v>1.8209440706455683E-3</v>
      </c>
    </row>
    <row r="1614" spans="7:8">
      <c r="G1614">
        <v>1604</v>
      </c>
      <c r="H1614">
        <f t="shared" ca="1" si="33"/>
        <v>-1.7928107631655309E-3</v>
      </c>
    </row>
    <row r="1615" spans="7:8">
      <c r="G1615">
        <v>1605</v>
      </c>
      <c r="H1615">
        <f t="shared" ca="1" si="33"/>
        <v>-1.3839162579979884E-2</v>
      </c>
    </row>
    <row r="1616" spans="7:8">
      <c r="G1616">
        <v>1606</v>
      </c>
      <c r="H1616">
        <f t="shared" ca="1" si="33"/>
        <v>-2.8413199328541763E-2</v>
      </c>
    </row>
    <row r="1617" spans="7:8">
      <c r="G1617">
        <v>1607</v>
      </c>
      <c r="H1617">
        <f t="shared" ca="1" si="33"/>
        <v>-2.5746936658005786E-3</v>
      </c>
    </row>
    <row r="1618" spans="7:8">
      <c r="G1618">
        <v>1608</v>
      </c>
      <c r="H1618">
        <f t="shared" ca="1" si="33"/>
        <v>-1.6217762352299953E-2</v>
      </c>
    </row>
    <row r="1619" spans="7:8">
      <c r="G1619">
        <v>1609</v>
      </c>
      <c r="H1619">
        <f t="shared" ca="1" si="33"/>
        <v>1.3653155725122532E-2</v>
      </c>
    </row>
    <row r="1620" spans="7:8">
      <c r="G1620">
        <v>1610</v>
      </c>
      <c r="H1620">
        <f t="shared" ca="1" si="33"/>
        <v>-1.6292878197340675E-2</v>
      </c>
    </row>
    <row r="1621" spans="7:8">
      <c r="G1621">
        <v>1611</v>
      </c>
      <c r="H1621">
        <f t="shared" ca="1" si="33"/>
        <v>-3.0832292869667804E-2</v>
      </c>
    </row>
    <row r="1622" spans="7:8">
      <c r="G1622">
        <v>1612</v>
      </c>
      <c r="H1622">
        <f t="shared" ca="1" si="33"/>
        <v>-7.5050014056550927E-3</v>
      </c>
    </row>
    <row r="1623" spans="7:8">
      <c r="G1623">
        <v>1613</v>
      </c>
      <c r="H1623">
        <f t="shared" ca="1" si="33"/>
        <v>1.0997095679084062E-2</v>
      </c>
    </row>
    <row r="1624" spans="7:8">
      <c r="G1624">
        <v>1614</v>
      </c>
      <c r="H1624">
        <f t="shared" ca="1" si="33"/>
        <v>-1.3800961973827089E-2</v>
      </c>
    </row>
    <row r="1625" spans="7:8">
      <c r="G1625">
        <v>1615</v>
      </c>
      <c r="H1625">
        <f t="shared" ca="1" si="33"/>
        <v>1.0287044845627945E-3</v>
      </c>
    </row>
    <row r="1626" spans="7:8">
      <c r="G1626">
        <v>1616</v>
      </c>
      <c r="H1626">
        <f t="shared" ca="1" si="33"/>
        <v>-3.2675971424114471E-2</v>
      </c>
    </row>
    <row r="1627" spans="7:8">
      <c r="G1627">
        <v>1617</v>
      </c>
      <c r="H1627">
        <f t="shared" ca="1" si="33"/>
        <v>2.041957531314573E-2</v>
      </c>
    </row>
    <row r="1628" spans="7:8">
      <c r="G1628">
        <v>1618</v>
      </c>
      <c r="H1628">
        <f t="shared" ca="1" si="33"/>
        <v>2.7554727825229584E-2</v>
      </c>
    </row>
    <row r="1629" spans="7:8">
      <c r="G1629">
        <v>1619</v>
      </c>
      <c r="H1629">
        <f t="shared" ca="1" si="33"/>
        <v>2.8715911503220701E-2</v>
      </c>
    </row>
    <row r="1630" spans="7:8">
      <c r="G1630">
        <v>1620</v>
      </c>
      <c r="H1630">
        <f t="shared" ca="1" si="33"/>
        <v>-2.1287891762518187E-2</v>
      </c>
    </row>
    <row r="1631" spans="7:8">
      <c r="G1631">
        <v>1621</v>
      </c>
      <c r="H1631">
        <f t="shared" ca="1" si="33"/>
        <v>-1.552510610472917E-2</v>
      </c>
    </row>
    <row r="1632" spans="7:8">
      <c r="G1632">
        <v>1622</v>
      </c>
      <c r="H1632">
        <f t="shared" ca="1" si="33"/>
        <v>1.0862904909547399E-2</v>
      </c>
    </row>
    <row r="1633" spans="7:8">
      <c r="G1633">
        <v>1623</v>
      </c>
      <c r="H1633">
        <f t="shared" ca="1" si="33"/>
        <v>-2.0582785117341153E-2</v>
      </c>
    </row>
    <row r="1634" spans="7:8">
      <c r="G1634">
        <v>1624</v>
      </c>
      <c r="H1634">
        <f t="shared" ca="1" si="33"/>
        <v>-1.4978422326971347E-2</v>
      </c>
    </row>
    <row r="1635" spans="7:8">
      <c r="G1635">
        <v>1625</v>
      </c>
      <c r="H1635">
        <f t="shared" ca="1" si="33"/>
        <v>2.7012584185291403E-2</v>
      </c>
    </row>
    <row r="1636" spans="7:8">
      <c r="G1636">
        <v>1626</v>
      </c>
      <c r="H1636">
        <f t="shared" ca="1" si="33"/>
        <v>-3.79949275844233E-3</v>
      </c>
    </row>
    <row r="1637" spans="7:8">
      <c r="G1637">
        <v>1627</v>
      </c>
      <c r="H1637">
        <f t="shared" ca="1" si="33"/>
        <v>3.8352243363515273E-3</v>
      </c>
    </row>
    <row r="1638" spans="7:8">
      <c r="G1638">
        <v>1628</v>
      </c>
      <c r="H1638">
        <f t="shared" ca="1" si="33"/>
        <v>8.7104904821821566E-3</v>
      </c>
    </row>
    <row r="1639" spans="7:8">
      <c r="G1639">
        <v>1629</v>
      </c>
      <c r="H1639">
        <f t="shared" ca="1" si="33"/>
        <v>-1.1688171355523469E-2</v>
      </c>
    </row>
    <row r="1640" spans="7:8">
      <c r="G1640">
        <v>1630</v>
      </c>
      <c r="H1640">
        <f t="shared" ca="1" si="33"/>
        <v>-1.6506453868269745E-2</v>
      </c>
    </row>
    <row r="1641" spans="7:8">
      <c r="G1641">
        <v>1631</v>
      </c>
      <c r="H1641">
        <f t="shared" ca="1" si="33"/>
        <v>-1.5804554714478384E-3</v>
      </c>
    </row>
    <row r="1642" spans="7:8">
      <c r="G1642">
        <v>1632</v>
      </c>
      <c r="H1642">
        <f t="shared" ca="1" si="33"/>
        <v>-1.4316874032434133E-3</v>
      </c>
    </row>
    <row r="1643" spans="7:8">
      <c r="G1643">
        <v>1633</v>
      </c>
      <c r="H1643">
        <f t="shared" ca="1" si="33"/>
        <v>2.0528637849628772E-2</v>
      </c>
    </row>
    <row r="1644" spans="7:8">
      <c r="G1644">
        <v>1634</v>
      </c>
      <c r="H1644">
        <f t="shared" ca="1" si="33"/>
        <v>-1.2592124635749347E-2</v>
      </c>
    </row>
    <row r="1645" spans="7:8">
      <c r="G1645">
        <v>1635</v>
      </c>
      <c r="H1645">
        <f t="shared" ca="1" si="33"/>
        <v>3.6501251119915527E-2</v>
      </c>
    </row>
    <row r="1646" spans="7:8">
      <c r="G1646">
        <v>1636</v>
      </c>
      <c r="H1646">
        <f t="shared" ca="1" si="33"/>
        <v>9.7766358451764328E-3</v>
      </c>
    </row>
    <row r="1647" spans="7:8">
      <c r="G1647">
        <v>1637</v>
      </c>
      <c r="H1647">
        <f t="shared" ca="1" si="33"/>
        <v>-2.1302378174430504E-3</v>
      </c>
    </row>
    <row r="1648" spans="7:8">
      <c r="G1648">
        <v>1638</v>
      </c>
      <c r="H1648">
        <f t="shared" ca="1" si="33"/>
        <v>1.7658063522369288E-2</v>
      </c>
    </row>
    <row r="1649" spans="7:8">
      <c r="G1649">
        <v>1639</v>
      </c>
      <c r="H1649">
        <f t="shared" ca="1" si="33"/>
        <v>-6.81380013549853E-3</v>
      </c>
    </row>
    <row r="1650" spans="7:8">
      <c r="G1650">
        <v>1640</v>
      </c>
      <c r="H1650">
        <f t="shared" ca="1" si="33"/>
        <v>-2.1575235934166381E-2</v>
      </c>
    </row>
    <row r="1651" spans="7:8">
      <c r="G1651">
        <v>1641</v>
      </c>
      <c r="H1651">
        <f t="shared" ca="1" si="33"/>
        <v>1.8618230798657012E-2</v>
      </c>
    </row>
    <row r="1652" spans="7:8">
      <c r="G1652">
        <v>1642</v>
      </c>
      <c r="H1652">
        <f t="shared" ca="1" si="33"/>
        <v>-7.662745056181434E-3</v>
      </c>
    </row>
    <row r="1653" spans="7:8">
      <c r="G1653">
        <v>1643</v>
      </c>
      <c r="H1653">
        <f t="shared" ca="1" si="33"/>
        <v>-2.9972962837791741E-2</v>
      </c>
    </row>
    <row r="1654" spans="7:8">
      <c r="G1654">
        <v>1644</v>
      </c>
      <c r="H1654">
        <f t="shared" ca="1" si="33"/>
        <v>6.5739959160479528E-3</v>
      </c>
    </row>
    <row r="1655" spans="7:8">
      <c r="G1655">
        <v>1645</v>
      </c>
      <c r="H1655">
        <f t="shared" ca="1" si="33"/>
        <v>2.6057455162352444E-2</v>
      </c>
    </row>
    <row r="1656" spans="7:8">
      <c r="G1656">
        <v>1646</v>
      </c>
      <c r="H1656">
        <f t="shared" ca="1" si="33"/>
        <v>-1.0810777759310844E-2</v>
      </c>
    </row>
    <row r="1657" spans="7:8">
      <c r="G1657">
        <v>1647</v>
      </c>
      <c r="H1657">
        <f t="shared" ca="1" si="33"/>
        <v>2.8311331191966823E-2</v>
      </c>
    </row>
    <row r="1658" spans="7:8">
      <c r="G1658">
        <v>1648</v>
      </c>
      <c r="H1658">
        <f t="shared" ca="1" si="33"/>
        <v>2.3222629125479073E-2</v>
      </c>
    </row>
    <row r="1659" spans="7:8">
      <c r="G1659">
        <v>1649</v>
      </c>
      <c r="H1659">
        <f t="shared" ca="1" si="33"/>
        <v>3.9222116541805574E-2</v>
      </c>
    </row>
    <row r="1660" spans="7:8">
      <c r="G1660">
        <v>1650</v>
      </c>
      <c r="H1660">
        <f t="shared" ca="1" si="33"/>
        <v>3.9247131596836606E-2</v>
      </c>
    </row>
    <row r="1661" spans="7:8">
      <c r="G1661">
        <v>1651</v>
      </c>
      <c r="H1661">
        <f t="shared" ca="1" si="33"/>
        <v>-5.8693766118431802E-3</v>
      </c>
    </row>
    <row r="1662" spans="7:8">
      <c r="G1662">
        <v>1652</v>
      </c>
      <c r="H1662">
        <f t="shared" ca="1" si="33"/>
        <v>2.4370670249436718E-2</v>
      </c>
    </row>
    <row r="1663" spans="7:8">
      <c r="G1663">
        <v>1653</v>
      </c>
      <c r="H1663">
        <f t="shared" ca="1" si="33"/>
        <v>2.314646405464121E-2</v>
      </c>
    </row>
    <row r="1664" spans="7:8">
      <c r="G1664">
        <v>1654</v>
      </c>
      <c r="H1664">
        <f t="shared" ca="1" si="33"/>
        <v>-2.2188968692255642E-2</v>
      </c>
    </row>
    <row r="1665" spans="7:8">
      <c r="G1665">
        <v>1655</v>
      </c>
      <c r="H1665">
        <f t="shared" ca="1" si="33"/>
        <v>1.7349968123206796E-2</v>
      </c>
    </row>
    <row r="1666" spans="7:8">
      <c r="G1666">
        <v>1656</v>
      </c>
      <c r="H1666">
        <f t="shared" ca="1" si="33"/>
        <v>4.3222781832186793E-2</v>
      </c>
    </row>
    <row r="1667" spans="7:8">
      <c r="G1667">
        <v>1657</v>
      </c>
      <c r="H1667">
        <f t="shared" ca="1" si="33"/>
        <v>3.3516787135406893E-2</v>
      </c>
    </row>
    <row r="1668" spans="7:8">
      <c r="G1668">
        <v>1658</v>
      </c>
      <c r="H1668">
        <f t="shared" ca="1" si="33"/>
        <v>2.3286336449525963E-2</v>
      </c>
    </row>
    <row r="1669" spans="7:8">
      <c r="G1669">
        <v>1659</v>
      </c>
      <c r="H1669">
        <f t="shared" ca="1" si="33"/>
        <v>-2.7786351234227416E-2</v>
      </c>
    </row>
    <row r="1670" spans="7:8">
      <c r="G1670">
        <v>1660</v>
      </c>
      <c r="H1670">
        <f t="shared" ca="1" si="33"/>
        <v>2.3069913784969528E-2</v>
      </c>
    </row>
    <row r="1671" spans="7:8">
      <c r="G1671">
        <v>1661</v>
      </c>
      <c r="H1671">
        <f t="shared" ca="1" si="33"/>
        <v>1.8637569531707369E-2</v>
      </c>
    </row>
    <row r="1672" spans="7:8">
      <c r="G1672">
        <v>1662</v>
      </c>
      <c r="H1672">
        <f t="shared" ca="1" si="33"/>
        <v>-1.8781830699224625E-2</v>
      </c>
    </row>
    <row r="1673" spans="7:8">
      <c r="G1673">
        <v>1663</v>
      </c>
      <c r="H1673">
        <f t="shared" ca="1" si="33"/>
        <v>2.5115042116537409E-2</v>
      </c>
    </row>
    <row r="1674" spans="7:8">
      <c r="G1674">
        <v>1664</v>
      </c>
      <c r="H1674">
        <f t="shared" ca="1" si="33"/>
        <v>-1.1271038542731183E-2</v>
      </c>
    </row>
    <row r="1675" spans="7:8">
      <c r="G1675">
        <v>1665</v>
      </c>
      <c r="H1675">
        <f t="shared" ca="1" si="33"/>
        <v>-7.4349564915996442E-3</v>
      </c>
    </row>
    <row r="1676" spans="7:8">
      <c r="G1676">
        <v>1666</v>
      </c>
      <c r="H1676">
        <f t="shared" ref="H1676:H1739" ca="1" si="34">_xlfn.NORM.INV(RAND(),N$13,N$14)</f>
        <v>-2.5609908199284995E-2</v>
      </c>
    </row>
    <row r="1677" spans="7:8">
      <c r="G1677">
        <v>1667</v>
      </c>
      <c r="H1677">
        <f t="shared" ca="1" si="34"/>
        <v>4.1682299077862327E-2</v>
      </c>
    </row>
    <row r="1678" spans="7:8">
      <c r="G1678">
        <v>1668</v>
      </c>
      <c r="H1678">
        <f t="shared" ca="1" si="34"/>
        <v>2.1099084051826825E-2</v>
      </c>
    </row>
    <row r="1679" spans="7:8">
      <c r="G1679">
        <v>1669</v>
      </c>
      <c r="H1679">
        <f t="shared" ca="1" si="34"/>
        <v>1.0231228239136254E-2</v>
      </c>
    </row>
    <row r="1680" spans="7:8">
      <c r="G1680">
        <v>1670</v>
      </c>
      <c r="H1680">
        <f t="shared" ca="1" si="34"/>
        <v>3.9794096816388918E-3</v>
      </c>
    </row>
    <row r="1681" spans="7:8">
      <c r="G1681">
        <v>1671</v>
      </c>
      <c r="H1681">
        <f t="shared" ca="1" si="34"/>
        <v>-7.0720019719900922E-3</v>
      </c>
    </row>
    <row r="1682" spans="7:8">
      <c r="G1682">
        <v>1672</v>
      </c>
      <c r="H1682">
        <f t="shared" ca="1" si="34"/>
        <v>-2.3599290455989554E-2</v>
      </c>
    </row>
    <row r="1683" spans="7:8">
      <c r="G1683">
        <v>1673</v>
      </c>
      <c r="H1683">
        <f t="shared" ca="1" si="34"/>
        <v>9.0766491591715397E-3</v>
      </c>
    </row>
    <row r="1684" spans="7:8">
      <c r="G1684">
        <v>1674</v>
      </c>
      <c r="H1684">
        <f t="shared" ca="1" si="34"/>
        <v>2.0355593806339979E-2</v>
      </c>
    </row>
    <row r="1685" spans="7:8">
      <c r="G1685">
        <v>1675</v>
      </c>
      <c r="H1685">
        <f t="shared" ca="1" si="34"/>
        <v>-2.561401989704485E-2</v>
      </c>
    </row>
    <row r="1686" spans="7:8">
      <c r="G1686">
        <v>1676</v>
      </c>
      <c r="H1686">
        <f t="shared" ca="1" si="34"/>
        <v>-4.0406471150367787E-2</v>
      </c>
    </row>
    <row r="1687" spans="7:8">
      <c r="G1687">
        <v>1677</v>
      </c>
      <c r="H1687">
        <f t="shared" ca="1" si="34"/>
        <v>2.9064571327377348E-2</v>
      </c>
    </row>
    <row r="1688" spans="7:8">
      <c r="G1688">
        <v>1678</v>
      </c>
      <c r="H1688">
        <f t="shared" ca="1" si="34"/>
        <v>4.5076393946998743E-3</v>
      </c>
    </row>
    <row r="1689" spans="7:8">
      <c r="G1689">
        <v>1679</v>
      </c>
      <c r="H1689">
        <f t="shared" ca="1" si="34"/>
        <v>-1.5225054780559021E-3</v>
      </c>
    </row>
    <row r="1690" spans="7:8">
      <c r="G1690">
        <v>1680</v>
      </c>
      <c r="H1690">
        <f t="shared" ca="1" si="34"/>
        <v>-1.6643170158639128E-2</v>
      </c>
    </row>
    <row r="1691" spans="7:8">
      <c r="G1691">
        <v>1681</v>
      </c>
      <c r="H1691">
        <f t="shared" ca="1" si="34"/>
        <v>-1.5401190592716427E-2</v>
      </c>
    </row>
    <row r="1692" spans="7:8">
      <c r="G1692">
        <v>1682</v>
      </c>
      <c r="H1692">
        <f t="shared" ca="1" si="34"/>
        <v>-8.7542081427793052E-3</v>
      </c>
    </row>
    <row r="1693" spans="7:8">
      <c r="G1693">
        <v>1683</v>
      </c>
      <c r="H1693">
        <f t="shared" ca="1" si="34"/>
        <v>1.5719541718341206E-2</v>
      </c>
    </row>
    <row r="1694" spans="7:8">
      <c r="G1694">
        <v>1684</v>
      </c>
      <c r="H1694">
        <f t="shared" ca="1" si="34"/>
        <v>-8.3351318396990386E-3</v>
      </c>
    </row>
    <row r="1695" spans="7:8">
      <c r="G1695">
        <v>1685</v>
      </c>
      <c r="H1695">
        <f t="shared" ca="1" si="34"/>
        <v>3.9085403101014562E-2</v>
      </c>
    </row>
    <row r="1696" spans="7:8">
      <c r="G1696">
        <v>1686</v>
      </c>
      <c r="H1696">
        <f t="shared" ca="1" si="34"/>
        <v>-2.1887626606452267E-2</v>
      </c>
    </row>
    <row r="1697" spans="7:8">
      <c r="G1697">
        <v>1687</v>
      </c>
      <c r="H1697">
        <f t="shared" ca="1" si="34"/>
        <v>-3.61124677212264E-2</v>
      </c>
    </row>
    <row r="1698" spans="7:8">
      <c r="G1698">
        <v>1688</v>
      </c>
      <c r="H1698">
        <f t="shared" ca="1" si="34"/>
        <v>5.6508420701097996E-2</v>
      </c>
    </row>
    <row r="1699" spans="7:8">
      <c r="G1699">
        <v>1689</v>
      </c>
      <c r="H1699">
        <f t="shared" ca="1" si="34"/>
        <v>4.1111583905534682E-3</v>
      </c>
    </row>
    <row r="1700" spans="7:8">
      <c r="G1700">
        <v>1690</v>
      </c>
      <c r="H1700">
        <f t="shared" ca="1" si="34"/>
        <v>-2.3982768936886453E-4</v>
      </c>
    </row>
    <row r="1701" spans="7:8">
      <c r="G1701">
        <v>1691</v>
      </c>
      <c r="H1701">
        <f t="shared" ca="1" si="34"/>
        <v>-8.4204734508394451E-3</v>
      </c>
    </row>
    <row r="1702" spans="7:8">
      <c r="G1702">
        <v>1692</v>
      </c>
      <c r="H1702">
        <f t="shared" ca="1" si="34"/>
        <v>7.4418302166431227E-3</v>
      </c>
    </row>
    <row r="1703" spans="7:8">
      <c r="G1703">
        <v>1693</v>
      </c>
      <c r="H1703">
        <f t="shared" ca="1" si="34"/>
        <v>1.0687845583651816E-2</v>
      </c>
    </row>
    <row r="1704" spans="7:8">
      <c r="G1704">
        <v>1694</v>
      </c>
      <c r="H1704">
        <f t="shared" ca="1" si="34"/>
        <v>2.2187845595928211E-2</v>
      </c>
    </row>
    <row r="1705" spans="7:8">
      <c r="G1705">
        <v>1695</v>
      </c>
      <c r="H1705">
        <f t="shared" ca="1" si="34"/>
        <v>-1.9097221020517694E-3</v>
      </c>
    </row>
    <row r="1706" spans="7:8">
      <c r="G1706">
        <v>1696</v>
      </c>
      <c r="H1706">
        <f t="shared" ca="1" si="34"/>
        <v>1.8204082512826006E-3</v>
      </c>
    </row>
    <row r="1707" spans="7:8">
      <c r="G1707">
        <v>1697</v>
      </c>
      <c r="H1707">
        <f t="shared" ca="1" si="34"/>
        <v>3.2175182230234536E-2</v>
      </c>
    </row>
    <row r="1708" spans="7:8">
      <c r="G1708">
        <v>1698</v>
      </c>
      <c r="H1708">
        <f t="shared" ca="1" si="34"/>
        <v>1.0402403671348197E-2</v>
      </c>
    </row>
    <row r="1709" spans="7:8">
      <c r="G1709">
        <v>1699</v>
      </c>
      <c r="H1709">
        <f t="shared" ca="1" si="34"/>
        <v>-4.0052429103277385E-3</v>
      </c>
    </row>
    <row r="1710" spans="7:8">
      <c r="G1710">
        <v>1700</v>
      </c>
      <c r="H1710">
        <f t="shared" ca="1" si="34"/>
        <v>-5.3185909119511487E-2</v>
      </c>
    </row>
    <row r="1711" spans="7:8">
      <c r="G1711">
        <v>1701</v>
      </c>
      <c r="H1711">
        <f t="shared" ca="1" si="34"/>
        <v>-3.3426281894621934E-2</v>
      </c>
    </row>
    <row r="1712" spans="7:8">
      <c r="G1712">
        <v>1702</v>
      </c>
      <c r="H1712">
        <f t="shared" ca="1" si="34"/>
        <v>6.7357980306430067E-3</v>
      </c>
    </row>
    <row r="1713" spans="7:8">
      <c r="G1713">
        <v>1703</v>
      </c>
      <c r="H1713">
        <f t="shared" ca="1" si="34"/>
        <v>-1.4512919470433759E-2</v>
      </c>
    </row>
    <row r="1714" spans="7:8">
      <c r="G1714">
        <v>1704</v>
      </c>
      <c r="H1714">
        <f t="shared" ca="1" si="34"/>
        <v>9.1832622384943486E-3</v>
      </c>
    </row>
    <row r="1715" spans="7:8">
      <c r="G1715">
        <v>1705</v>
      </c>
      <c r="H1715">
        <f t="shared" ca="1" si="34"/>
        <v>-1.3022784505116026E-2</v>
      </c>
    </row>
    <row r="1716" spans="7:8">
      <c r="G1716">
        <v>1706</v>
      </c>
      <c r="H1716">
        <f t="shared" ca="1" si="34"/>
        <v>-1.66013707936804E-2</v>
      </c>
    </row>
    <row r="1717" spans="7:8">
      <c r="G1717">
        <v>1707</v>
      </c>
      <c r="H1717">
        <f t="shared" ca="1" si="34"/>
        <v>2.382133541914255E-2</v>
      </c>
    </row>
    <row r="1718" spans="7:8">
      <c r="G1718">
        <v>1708</v>
      </c>
      <c r="H1718">
        <f t="shared" ca="1" si="34"/>
        <v>1.8098056149055883E-2</v>
      </c>
    </row>
    <row r="1719" spans="7:8">
      <c r="G1719">
        <v>1709</v>
      </c>
      <c r="H1719">
        <f t="shared" ca="1" si="34"/>
        <v>2.2042552614346105E-4</v>
      </c>
    </row>
    <row r="1720" spans="7:8">
      <c r="G1720">
        <v>1710</v>
      </c>
      <c r="H1720">
        <f t="shared" ca="1" si="34"/>
        <v>-2.1741647141989756E-2</v>
      </c>
    </row>
    <row r="1721" spans="7:8">
      <c r="G1721">
        <v>1711</v>
      </c>
      <c r="H1721">
        <f t="shared" ca="1" si="34"/>
        <v>1.0974482784398985E-3</v>
      </c>
    </row>
    <row r="1722" spans="7:8">
      <c r="G1722">
        <v>1712</v>
      </c>
      <c r="H1722">
        <f t="shared" ca="1" si="34"/>
        <v>2.4783075041437752E-3</v>
      </c>
    </row>
    <row r="1723" spans="7:8">
      <c r="G1723">
        <v>1713</v>
      </c>
      <c r="H1723">
        <f t="shared" ca="1" si="34"/>
        <v>-1.035386415506743E-2</v>
      </c>
    </row>
    <row r="1724" spans="7:8">
      <c r="G1724">
        <v>1714</v>
      </c>
      <c r="H1724">
        <f t="shared" ca="1" si="34"/>
        <v>-2.4573382969435613E-2</v>
      </c>
    </row>
    <row r="1725" spans="7:8">
      <c r="G1725">
        <v>1715</v>
      </c>
      <c r="H1725">
        <f t="shared" ca="1" si="34"/>
        <v>-7.8794595634694119E-3</v>
      </c>
    </row>
    <row r="1726" spans="7:8">
      <c r="G1726">
        <v>1716</v>
      </c>
      <c r="H1726">
        <f t="shared" ca="1" si="34"/>
        <v>9.6472434573687763E-3</v>
      </c>
    </row>
    <row r="1727" spans="7:8">
      <c r="G1727">
        <v>1717</v>
      </c>
      <c r="H1727">
        <f t="shared" ca="1" si="34"/>
        <v>-1.4514733858437941E-2</v>
      </c>
    </row>
    <row r="1728" spans="7:8">
      <c r="G1728">
        <v>1718</v>
      </c>
      <c r="H1728">
        <f t="shared" ca="1" si="34"/>
        <v>-1.0692011070533006E-2</v>
      </c>
    </row>
    <row r="1729" spans="7:8">
      <c r="G1729">
        <v>1719</v>
      </c>
      <c r="H1729">
        <f t="shared" ca="1" si="34"/>
        <v>-9.7596901899572562E-3</v>
      </c>
    </row>
    <row r="1730" spans="7:8">
      <c r="G1730">
        <v>1720</v>
      </c>
      <c r="H1730">
        <f t="shared" ca="1" si="34"/>
        <v>6.2947813417922232E-3</v>
      </c>
    </row>
    <row r="1731" spans="7:8">
      <c r="G1731">
        <v>1721</v>
      </c>
      <c r="H1731">
        <f t="shared" ca="1" si="34"/>
        <v>2.4823712355945046E-2</v>
      </c>
    </row>
    <row r="1732" spans="7:8">
      <c r="G1732">
        <v>1722</v>
      </c>
      <c r="H1732">
        <f t="shared" ca="1" si="34"/>
        <v>1.7084908778035673E-2</v>
      </c>
    </row>
    <row r="1733" spans="7:8">
      <c r="G1733">
        <v>1723</v>
      </c>
      <c r="H1733">
        <f t="shared" ca="1" si="34"/>
        <v>5.487347766166337E-3</v>
      </c>
    </row>
    <row r="1734" spans="7:8">
      <c r="G1734">
        <v>1724</v>
      </c>
      <c r="H1734">
        <f t="shared" ca="1" si="34"/>
        <v>-8.8465337092890096E-3</v>
      </c>
    </row>
    <row r="1735" spans="7:8">
      <c r="G1735">
        <v>1725</v>
      </c>
      <c r="H1735">
        <f t="shared" ca="1" si="34"/>
        <v>3.2347899224792691E-2</v>
      </c>
    </row>
    <row r="1736" spans="7:8">
      <c r="G1736">
        <v>1726</v>
      </c>
      <c r="H1736">
        <f t="shared" ca="1" si="34"/>
        <v>-1.9057457023010746E-2</v>
      </c>
    </row>
    <row r="1737" spans="7:8">
      <c r="G1737">
        <v>1727</v>
      </c>
      <c r="H1737">
        <f t="shared" ca="1" si="34"/>
        <v>-3.0199899706659261E-2</v>
      </c>
    </row>
    <row r="1738" spans="7:8">
      <c r="G1738">
        <v>1728</v>
      </c>
      <c r="H1738">
        <f t="shared" ca="1" si="34"/>
        <v>3.1086980202478371E-2</v>
      </c>
    </row>
    <row r="1739" spans="7:8">
      <c r="G1739">
        <v>1729</v>
      </c>
      <c r="H1739">
        <f t="shared" ca="1" si="34"/>
        <v>-6.1449556565264143E-2</v>
      </c>
    </row>
    <row r="1740" spans="7:8">
      <c r="G1740">
        <v>1730</v>
      </c>
      <c r="H1740">
        <f t="shared" ref="H1740:H1803" ca="1" si="35">_xlfn.NORM.INV(RAND(),N$13,N$14)</f>
        <v>-1.2651831279229831E-2</v>
      </c>
    </row>
    <row r="1741" spans="7:8">
      <c r="G1741">
        <v>1731</v>
      </c>
      <c r="H1741">
        <f t="shared" ca="1" si="35"/>
        <v>2.2946718423164534E-3</v>
      </c>
    </row>
    <row r="1742" spans="7:8">
      <c r="G1742">
        <v>1732</v>
      </c>
      <c r="H1742">
        <f t="shared" ca="1" si="35"/>
        <v>1.5730516925800971E-2</v>
      </c>
    </row>
    <row r="1743" spans="7:8">
      <c r="G1743">
        <v>1733</v>
      </c>
      <c r="H1743">
        <f t="shared" ca="1" si="35"/>
        <v>5.4981338149318028E-2</v>
      </c>
    </row>
    <row r="1744" spans="7:8">
      <c r="G1744">
        <v>1734</v>
      </c>
      <c r="H1744">
        <f t="shared" ca="1" si="35"/>
        <v>-3.0335502799253805E-3</v>
      </c>
    </row>
    <row r="1745" spans="7:8">
      <c r="G1745">
        <v>1735</v>
      </c>
      <c r="H1745">
        <f t="shared" ca="1" si="35"/>
        <v>3.6189810984005741E-2</v>
      </c>
    </row>
    <row r="1746" spans="7:8">
      <c r="G1746">
        <v>1736</v>
      </c>
      <c r="H1746">
        <f t="shared" ca="1" si="35"/>
        <v>1.6249478544486603E-2</v>
      </c>
    </row>
    <row r="1747" spans="7:8">
      <c r="G1747">
        <v>1737</v>
      </c>
      <c r="H1747">
        <f t="shared" ca="1" si="35"/>
        <v>-1.8074140528151275E-2</v>
      </c>
    </row>
    <row r="1748" spans="7:8">
      <c r="G1748">
        <v>1738</v>
      </c>
      <c r="H1748">
        <f t="shared" ca="1" si="35"/>
        <v>-2.5578944922302903E-2</v>
      </c>
    </row>
    <row r="1749" spans="7:8">
      <c r="G1749">
        <v>1739</v>
      </c>
      <c r="H1749">
        <f t="shared" ca="1" si="35"/>
        <v>-4.1435389824408974E-4</v>
      </c>
    </row>
    <row r="1750" spans="7:8">
      <c r="G1750">
        <v>1740</v>
      </c>
      <c r="H1750">
        <f t="shared" ca="1" si="35"/>
        <v>2.1407939511758956E-3</v>
      </c>
    </row>
    <row r="1751" spans="7:8">
      <c r="G1751">
        <v>1741</v>
      </c>
      <c r="H1751">
        <f t="shared" ca="1" si="35"/>
        <v>-2.6299209619031705E-2</v>
      </c>
    </row>
    <row r="1752" spans="7:8">
      <c r="G1752">
        <v>1742</v>
      </c>
      <c r="H1752">
        <f t="shared" ca="1" si="35"/>
        <v>2.3557069710368833E-2</v>
      </c>
    </row>
    <row r="1753" spans="7:8">
      <c r="G1753">
        <v>1743</v>
      </c>
      <c r="H1753">
        <f t="shared" ca="1" si="35"/>
        <v>-3.7606592480603974E-2</v>
      </c>
    </row>
    <row r="1754" spans="7:8">
      <c r="G1754">
        <v>1744</v>
      </c>
      <c r="H1754">
        <f t="shared" ca="1" si="35"/>
        <v>-4.4424597114648889E-3</v>
      </c>
    </row>
    <row r="1755" spans="7:8">
      <c r="G1755">
        <v>1745</v>
      </c>
      <c r="H1755">
        <f t="shared" ca="1" si="35"/>
        <v>1.3840735702169503E-2</v>
      </c>
    </row>
    <row r="1756" spans="7:8">
      <c r="G1756">
        <v>1746</v>
      </c>
      <c r="H1756">
        <f t="shared" ca="1" si="35"/>
        <v>-6.3628568451778783E-3</v>
      </c>
    </row>
    <row r="1757" spans="7:8">
      <c r="G1757">
        <v>1747</v>
      </c>
      <c r="H1757">
        <f t="shared" ca="1" si="35"/>
        <v>7.7962141902791831E-3</v>
      </c>
    </row>
    <row r="1758" spans="7:8">
      <c r="G1758">
        <v>1748</v>
      </c>
      <c r="H1758">
        <f t="shared" ca="1" si="35"/>
        <v>-3.1923861046569573E-3</v>
      </c>
    </row>
    <row r="1759" spans="7:8">
      <c r="G1759">
        <v>1749</v>
      </c>
      <c r="H1759">
        <f t="shared" ca="1" si="35"/>
        <v>-3.5881969489050367E-3</v>
      </c>
    </row>
    <row r="1760" spans="7:8">
      <c r="G1760">
        <v>1750</v>
      </c>
      <c r="H1760">
        <f t="shared" ca="1" si="35"/>
        <v>4.3782374513637702E-3</v>
      </c>
    </row>
    <row r="1761" spans="7:8">
      <c r="G1761">
        <v>1751</v>
      </c>
      <c r="H1761">
        <f t="shared" ca="1" si="35"/>
        <v>-3.0434614387335444E-2</v>
      </c>
    </row>
    <row r="1762" spans="7:8">
      <c r="G1762">
        <v>1752</v>
      </c>
      <c r="H1762">
        <f t="shared" ca="1" si="35"/>
        <v>-8.6429125512440998E-3</v>
      </c>
    </row>
    <row r="1763" spans="7:8">
      <c r="G1763">
        <v>1753</v>
      </c>
      <c r="H1763">
        <f t="shared" ca="1" si="35"/>
        <v>1.6146905707807885E-2</v>
      </c>
    </row>
    <row r="1764" spans="7:8">
      <c r="G1764">
        <v>1754</v>
      </c>
      <c r="H1764">
        <f t="shared" ca="1" si="35"/>
        <v>-3.4926074670214288E-2</v>
      </c>
    </row>
    <row r="1765" spans="7:8">
      <c r="G1765">
        <v>1755</v>
      </c>
      <c r="H1765">
        <f t="shared" ca="1" si="35"/>
        <v>1.8029005579654229E-3</v>
      </c>
    </row>
    <row r="1766" spans="7:8">
      <c r="G1766">
        <v>1756</v>
      </c>
      <c r="H1766">
        <f t="shared" ca="1" si="35"/>
        <v>-2.1902464374177043E-2</v>
      </c>
    </row>
    <row r="1767" spans="7:8">
      <c r="G1767">
        <v>1757</v>
      </c>
      <c r="H1767">
        <f t="shared" ca="1" si="35"/>
        <v>-1.240458525770829E-2</v>
      </c>
    </row>
    <row r="1768" spans="7:8">
      <c r="G1768">
        <v>1758</v>
      </c>
      <c r="H1768">
        <f t="shared" ca="1" si="35"/>
        <v>-3.7769477179830604E-2</v>
      </c>
    </row>
    <row r="1769" spans="7:8">
      <c r="G1769">
        <v>1759</v>
      </c>
      <c r="H1769">
        <f t="shared" ca="1" si="35"/>
        <v>-9.4033569853774765E-4</v>
      </c>
    </row>
    <row r="1770" spans="7:8">
      <c r="G1770">
        <v>1760</v>
      </c>
      <c r="H1770">
        <f t="shared" ca="1" si="35"/>
        <v>-1.7578319526189063E-2</v>
      </c>
    </row>
    <row r="1771" spans="7:8">
      <c r="G1771">
        <v>1761</v>
      </c>
      <c r="H1771">
        <f t="shared" ca="1" si="35"/>
        <v>-3.5193306262337673E-3</v>
      </c>
    </row>
    <row r="1772" spans="7:8">
      <c r="G1772">
        <v>1762</v>
      </c>
      <c r="H1772">
        <f t="shared" ca="1" si="35"/>
        <v>5.1072533281364702E-3</v>
      </c>
    </row>
    <row r="1773" spans="7:8">
      <c r="G1773">
        <v>1763</v>
      </c>
      <c r="H1773">
        <f t="shared" ca="1" si="35"/>
        <v>-2.0787891281734097E-2</v>
      </c>
    </row>
    <row r="1774" spans="7:8">
      <c r="G1774">
        <v>1764</v>
      </c>
      <c r="H1774">
        <f t="shared" ca="1" si="35"/>
        <v>-2.8429119343649115E-2</v>
      </c>
    </row>
    <row r="1775" spans="7:8">
      <c r="G1775">
        <v>1765</v>
      </c>
      <c r="H1775">
        <f t="shared" ca="1" si="35"/>
        <v>2.0205087565710413E-2</v>
      </c>
    </row>
    <row r="1776" spans="7:8">
      <c r="G1776">
        <v>1766</v>
      </c>
      <c r="H1776">
        <f t="shared" ca="1" si="35"/>
        <v>-4.9904417992712429E-3</v>
      </c>
    </row>
    <row r="1777" spans="7:8">
      <c r="G1777">
        <v>1767</v>
      </c>
      <c r="H1777">
        <f t="shared" ca="1" si="35"/>
        <v>3.8379494997871098E-2</v>
      </c>
    </row>
    <row r="1778" spans="7:8">
      <c r="G1778">
        <v>1768</v>
      </c>
      <c r="H1778">
        <f t="shared" ca="1" si="35"/>
        <v>-1.5555596963216275E-3</v>
      </c>
    </row>
    <row r="1779" spans="7:8">
      <c r="G1779">
        <v>1769</v>
      </c>
      <c r="H1779">
        <f t="shared" ca="1" si="35"/>
        <v>-3.6274043747765071E-2</v>
      </c>
    </row>
    <row r="1780" spans="7:8">
      <c r="G1780">
        <v>1770</v>
      </c>
      <c r="H1780">
        <f t="shared" ca="1" si="35"/>
        <v>1.5810856684799427E-2</v>
      </c>
    </row>
    <row r="1781" spans="7:8">
      <c r="G1781">
        <v>1771</v>
      </c>
      <c r="H1781">
        <f t="shared" ca="1" si="35"/>
        <v>1.3665259560528536E-2</v>
      </c>
    </row>
    <row r="1782" spans="7:8">
      <c r="G1782">
        <v>1772</v>
      </c>
      <c r="H1782">
        <f t="shared" ca="1" si="35"/>
        <v>3.0264482438369456E-3</v>
      </c>
    </row>
    <row r="1783" spans="7:8">
      <c r="G1783">
        <v>1773</v>
      </c>
      <c r="H1783">
        <f t="shared" ca="1" si="35"/>
        <v>1.4296975080678414E-2</v>
      </c>
    </row>
    <row r="1784" spans="7:8">
      <c r="G1784">
        <v>1774</v>
      </c>
      <c r="H1784">
        <f t="shared" ca="1" si="35"/>
        <v>-1.6304717066806675E-2</v>
      </c>
    </row>
    <row r="1785" spans="7:8">
      <c r="G1785">
        <v>1775</v>
      </c>
      <c r="H1785">
        <f t="shared" ca="1" si="35"/>
        <v>3.9032148301277082E-2</v>
      </c>
    </row>
    <row r="1786" spans="7:8">
      <c r="G1786">
        <v>1776</v>
      </c>
      <c r="H1786">
        <f t="shared" ca="1" si="35"/>
        <v>-5.6579699013477432E-2</v>
      </c>
    </row>
    <row r="1787" spans="7:8">
      <c r="G1787">
        <v>1777</v>
      </c>
      <c r="H1787">
        <f t="shared" ca="1" si="35"/>
        <v>1.4566003751272944E-2</v>
      </c>
    </row>
    <row r="1788" spans="7:8">
      <c r="G1788">
        <v>1778</v>
      </c>
      <c r="H1788">
        <f t="shared" ca="1" si="35"/>
        <v>2.126434738258139E-2</v>
      </c>
    </row>
    <row r="1789" spans="7:8">
      <c r="G1789">
        <v>1779</v>
      </c>
      <c r="H1789">
        <f t="shared" ca="1" si="35"/>
        <v>-1.3431331336913857E-2</v>
      </c>
    </row>
    <row r="1790" spans="7:8">
      <c r="G1790">
        <v>1780</v>
      </c>
      <c r="H1790">
        <f t="shared" ca="1" si="35"/>
        <v>-6.1760097821585633E-3</v>
      </c>
    </row>
    <row r="1791" spans="7:8">
      <c r="G1791">
        <v>1781</v>
      </c>
      <c r="H1791">
        <f t="shared" ca="1" si="35"/>
        <v>7.0057283540811283E-3</v>
      </c>
    </row>
    <row r="1792" spans="7:8">
      <c r="G1792">
        <v>1782</v>
      </c>
      <c r="H1792">
        <f t="shared" ca="1" si="35"/>
        <v>-7.2761294047827395E-3</v>
      </c>
    </row>
    <row r="1793" spans="7:8">
      <c r="G1793">
        <v>1783</v>
      </c>
      <c r="H1793">
        <f t="shared" ca="1" si="35"/>
        <v>-2.7416095269861891E-2</v>
      </c>
    </row>
    <row r="1794" spans="7:8">
      <c r="G1794">
        <v>1784</v>
      </c>
      <c r="H1794">
        <f t="shared" ca="1" si="35"/>
        <v>1.9428133646672448E-2</v>
      </c>
    </row>
    <row r="1795" spans="7:8">
      <c r="G1795">
        <v>1785</v>
      </c>
      <c r="H1795">
        <f t="shared" ca="1" si="35"/>
        <v>-5.4041421263442316E-2</v>
      </c>
    </row>
    <row r="1796" spans="7:8">
      <c r="G1796">
        <v>1786</v>
      </c>
      <c r="H1796">
        <f t="shared" ca="1" si="35"/>
        <v>4.4822281977262128E-4</v>
      </c>
    </row>
    <row r="1797" spans="7:8">
      <c r="G1797">
        <v>1787</v>
      </c>
      <c r="H1797">
        <f t="shared" ca="1" si="35"/>
        <v>-2.5096348859302522E-2</v>
      </c>
    </row>
    <row r="1798" spans="7:8">
      <c r="G1798">
        <v>1788</v>
      </c>
      <c r="H1798">
        <f t="shared" ca="1" si="35"/>
        <v>2.8717584581206084E-2</v>
      </c>
    </row>
    <row r="1799" spans="7:8">
      <c r="G1799">
        <v>1789</v>
      </c>
      <c r="H1799">
        <f t="shared" ca="1" si="35"/>
        <v>1.2420376238727883E-2</v>
      </c>
    </row>
    <row r="1800" spans="7:8">
      <c r="G1800">
        <v>1790</v>
      </c>
      <c r="H1800">
        <f t="shared" ca="1" si="35"/>
        <v>-2.7225399981877104E-3</v>
      </c>
    </row>
    <row r="1801" spans="7:8">
      <c r="G1801">
        <v>1791</v>
      </c>
      <c r="H1801">
        <f t="shared" ca="1" si="35"/>
        <v>-9.8151352532447351E-3</v>
      </c>
    </row>
    <row r="1802" spans="7:8">
      <c r="G1802">
        <v>1792</v>
      </c>
      <c r="H1802">
        <f t="shared" ca="1" si="35"/>
        <v>-8.0765065548057003E-3</v>
      </c>
    </row>
    <row r="1803" spans="7:8">
      <c r="G1803">
        <v>1793</v>
      </c>
      <c r="H1803">
        <f t="shared" ca="1" si="35"/>
        <v>1.0603887027691781E-2</v>
      </c>
    </row>
    <row r="1804" spans="7:8">
      <c r="G1804">
        <v>1794</v>
      </c>
      <c r="H1804">
        <f t="shared" ref="H1804:H1867" ca="1" si="36">_xlfn.NORM.INV(RAND(),N$13,N$14)</f>
        <v>-3.6809023449952641E-2</v>
      </c>
    </row>
    <row r="1805" spans="7:8">
      <c r="G1805">
        <v>1795</v>
      </c>
      <c r="H1805">
        <f t="shared" ca="1" si="36"/>
        <v>3.4119295250119516E-2</v>
      </c>
    </row>
    <row r="1806" spans="7:8">
      <c r="G1806">
        <v>1796</v>
      </c>
      <c r="H1806">
        <f t="shared" ca="1" si="36"/>
        <v>1.1046704290629183E-2</v>
      </c>
    </row>
    <row r="1807" spans="7:8">
      <c r="G1807">
        <v>1797</v>
      </c>
      <c r="H1807">
        <f t="shared" ca="1" si="36"/>
        <v>1.8051916349698587E-2</v>
      </c>
    </row>
    <row r="1808" spans="7:8">
      <c r="G1808">
        <v>1798</v>
      </c>
      <c r="H1808">
        <f t="shared" ca="1" si="36"/>
        <v>-2.5164567067416686E-2</v>
      </c>
    </row>
    <row r="1809" spans="7:8">
      <c r="G1809">
        <v>1799</v>
      </c>
      <c r="H1809">
        <f t="shared" ca="1" si="36"/>
        <v>-1.5707684648594813E-2</v>
      </c>
    </row>
    <row r="1810" spans="7:8">
      <c r="G1810">
        <v>1800</v>
      </c>
      <c r="H1810">
        <f t="shared" ca="1" si="36"/>
        <v>-2.1595000273130903E-2</v>
      </c>
    </row>
    <row r="1811" spans="7:8">
      <c r="G1811">
        <v>1801</v>
      </c>
      <c r="H1811">
        <f t="shared" ca="1" si="36"/>
        <v>3.4583402983246261E-3</v>
      </c>
    </row>
    <row r="1812" spans="7:8">
      <c r="G1812">
        <v>1802</v>
      </c>
      <c r="H1812">
        <f t="shared" ca="1" si="36"/>
        <v>-6.1870052534715426E-4</v>
      </c>
    </row>
    <row r="1813" spans="7:8">
      <c r="G1813">
        <v>1803</v>
      </c>
      <c r="H1813">
        <f t="shared" ca="1" si="36"/>
        <v>1.3876595907685462E-2</v>
      </c>
    </row>
    <row r="1814" spans="7:8">
      <c r="G1814">
        <v>1804</v>
      </c>
      <c r="H1814">
        <f t="shared" ca="1" si="36"/>
        <v>-4.5411138057103513E-2</v>
      </c>
    </row>
    <row r="1815" spans="7:8">
      <c r="G1815">
        <v>1805</v>
      </c>
      <c r="H1815">
        <f t="shared" ca="1" si="36"/>
        <v>2.4821321526937879E-3</v>
      </c>
    </row>
    <row r="1816" spans="7:8">
      <c r="G1816">
        <v>1806</v>
      </c>
      <c r="H1816">
        <f t="shared" ca="1" si="36"/>
        <v>-3.9899301665170521E-2</v>
      </c>
    </row>
    <row r="1817" spans="7:8">
      <c r="G1817">
        <v>1807</v>
      </c>
      <c r="H1817">
        <f t="shared" ca="1" si="36"/>
        <v>2.8739713071734597E-3</v>
      </c>
    </row>
    <row r="1818" spans="7:8">
      <c r="G1818">
        <v>1808</v>
      </c>
      <c r="H1818">
        <f t="shared" ca="1" si="36"/>
        <v>-2.1472207207356431E-3</v>
      </c>
    </row>
    <row r="1819" spans="7:8">
      <c r="G1819">
        <v>1809</v>
      </c>
      <c r="H1819">
        <f t="shared" ca="1" si="36"/>
        <v>-5.5814194881988171E-3</v>
      </c>
    </row>
    <row r="1820" spans="7:8">
      <c r="G1820">
        <v>1810</v>
      </c>
      <c r="H1820">
        <f t="shared" ca="1" si="36"/>
        <v>1.7083142517516595E-2</v>
      </c>
    </row>
    <row r="1821" spans="7:8">
      <c r="G1821">
        <v>1811</v>
      </c>
      <c r="H1821">
        <f t="shared" ca="1" si="36"/>
        <v>2.7381989962938322E-2</v>
      </c>
    </row>
    <row r="1822" spans="7:8">
      <c r="G1822">
        <v>1812</v>
      </c>
      <c r="H1822">
        <f t="shared" ca="1" si="36"/>
        <v>-2.1654817887031833E-2</v>
      </c>
    </row>
    <row r="1823" spans="7:8">
      <c r="G1823">
        <v>1813</v>
      </c>
      <c r="H1823">
        <f t="shared" ca="1" si="36"/>
        <v>-1.0188018696180481E-2</v>
      </c>
    </row>
    <row r="1824" spans="7:8">
      <c r="G1824">
        <v>1814</v>
      </c>
      <c r="H1824">
        <f t="shared" ca="1" si="36"/>
        <v>4.0053625238225761E-2</v>
      </c>
    </row>
    <row r="1825" spans="7:8">
      <c r="G1825">
        <v>1815</v>
      </c>
      <c r="H1825">
        <f t="shared" ca="1" si="36"/>
        <v>9.5633770229090632E-3</v>
      </c>
    </row>
    <row r="1826" spans="7:8">
      <c r="G1826">
        <v>1816</v>
      </c>
      <c r="H1826">
        <f t="shared" ca="1" si="36"/>
        <v>-1.2123551467319386E-2</v>
      </c>
    </row>
    <row r="1827" spans="7:8">
      <c r="G1827">
        <v>1817</v>
      </c>
      <c r="H1827">
        <f t="shared" ca="1" si="36"/>
        <v>-4.9862235592760542E-5</v>
      </c>
    </row>
    <row r="1828" spans="7:8">
      <c r="G1828">
        <v>1818</v>
      </c>
      <c r="H1828">
        <f t="shared" ca="1" si="36"/>
        <v>5.2637547524508098E-3</v>
      </c>
    </row>
    <row r="1829" spans="7:8">
      <c r="G1829">
        <v>1819</v>
      </c>
      <c r="H1829">
        <f t="shared" ca="1" si="36"/>
        <v>3.3588895745299788E-2</v>
      </c>
    </row>
    <row r="1830" spans="7:8">
      <c r="G1830">
        <v>1820</v>
      </c>
      <c r="H1830">
        <f t="shared" ca="1" si="36"/>
        <v>-4.2806725155059983E-2</v>
      </c>
    </row>
    <row r="1831" spans="7:8">
      <c r="G1831">
        <v>1821</v>
      </c>
      <c r="H1831">
        <f t="shared" ca="1" si="36"/>
        <v>-1.0486548515861539E-2</v>
      </c>
    </row>
    <row r="1832" spans="7:8">
      <c r="G1832">
        <v>1822</v>
      </c>
      <c r="H1832">
        <f t="shared" ca="1" si="36"/>
        <v>2.253059667530663E-2</v>
      </c>
    </row>
    <row r="1833" spans="7:8">
      <c r="G1833">
        <v>1823</v>
      </c>
      <c r="H1833">
        <f t="shared" ca="1" si="36"/>
        <v>-7.7685197530713247E-3</v>
      </c>
    </row>
    <row r="1834" spans="7:8">
      <c r="G1834">
        <v>1824</v>
      </c>
      <c r="H1834">
        <f t="shared" ca="1" si="36"/>
        <v>-1.2672931252353905E-2</v>
      </c>
    </row>
    <row r="1835" spans="7:8">
      <c r="G1835">
        <v>1825</v>
      </c>
      <c r="H1835">
        <f t="shared" ca="1" si="36"/>
        <v>-1.4375244458678963E-2</v>
      </c>
    </row>
    <row r="1836" spans="7:8">
      <c r="G1836">
        <v>1826</v>
      </c>
      <c r="H1836">
        <f t="shared" ca="1" si="36"/>
        <v>1.790685484412749E-2</v>
      </c>
    </row>
    <row r="1837" spans="7:8">
      <c r="G1837">
        <v>1827</v>
      </c>
      <c r="H1837">
        <f t="shared" ca="1" si="36"/>
        <v>-2.4307563126099892E-3</v>
      </c>
    </row>
    <row r="1838" spans="7:8">
      <c r="G1838">
        <v>1828</v>
      </c>
      <c r="H1838">
        <f t="shared" ca="1" si="36"/>
        <v>-4.3151527557663834E-2</v>
      </c>
    </row>
    <row r="1839" spans="7:8">
      <c r="G1839">
        <v>1829</v>
      </c>
      <c r="H1839">
        <f t="shared" ca="1" si="36"/>
        <v>7.6857946096029134E-3</v>
      </c>
    </row>
    <row r="1840" spans="7:8">
      <c r="G1840">
        <v>1830</v>
      </c>
      <c r="H1840">
        <f t="shared" ca="1" si="36"/>
        <v>1.1130288308320906E-2</v>
      </c>
    </row>
    <row r="1841" spans="7:8">
      <c r="G1841">
        <v>1831</v>
      </c>
      <c r="H1841">
        <f t="shared" ca="1" si="36"/>
        <v>1.8634337382787435E-2</v>
      </c>
    </row>
    <row r="1842" spans="7:8">
      <c r="G1842">
        <v>1832</v>
      </c>
      <c r="H1842">
        <f t="shared" ca="1" si="36"/>
        <v>-3.0954563450439756E-2</v>
      </c>
    </row>
    <row r="1843" spans="7:8">
      <c r="G1843">
        <v>1833</v>
      </c>
      <c r="H1843">
        <f t="shared" ca="1" si="36"/>
        <v>3.1028446286491693E-2</v>
      </c>
    </row>
    <row r="1844" spans="7:8">
      <c r="G1844">
        <v>1834</v>
      </c>
      <c r="H1844">
        <f t="shared" ca="1" si="36"/>
        <v>2.9766664761408601E-2</v>
      </c>
    </row>
    <row r="1845" spans="7:8">
      <c r="G1845">
        <v>1835</v>
      </c>
      <c r="H1845">
        <f t="shared" ca="1" si="36"/>
        <v>-6.9702034056328558E-3</v>
      </c>
    </row>
    <row r="1846" spans="7:8">
      <c r="G1846">
        <v>1836</v>
      </c>
      <c r="H1846">
        <f t="shared" ca="1" si="36"/>
        <v>-3.737295721963857E-3</v>
      </c>
    </row>
    <row r="1847" spans="7:8">
      <c r="G1847">
        <v>1837</v>
      </c>
      <c r="H1847">
        <f t="shared" ca="1" si="36"/>
        <v>8.2246964254474499E-3</v>
      </c>
    </row>
    <row r="1848" spans="7:8">
      <c r="G1848">
        <v>1838</v>
      </c>
      <c r="H1848">
        <f t="shared" ca="1" si="36"/>
        <v>4.0118883409148813E-2</v>
      </c>
    </row>
    <row r="1849" spans="7:8">
      <c r="G1849">
        <v>1839</v>
      </c>
      <c r="H1849">
        <f t="shared" ca="1" si="36"/>
        <v>-2.0241449998144107E-2</v>
      </c>
    </row>
    <row r="1850" spans="7:8">
      <c r="G1850">
        <v>1840</v>
      </c>
      <c r="H1850">
        <f t="shared" ca="1" si="36"/>
        <v>-2.5941683168718935E-2</v>
      </c>
    </row>
    <row r="1851" spans="7:8">
      <c r="G1851">
        <v>1841</v>
      </c>
      <c r="H1851">
        <f t="shared" ca="1" si="36"/>
        <v>-1.519749319273053E-3</v>
      </c>
    </row>
    <row r="1852" spans="7:8">
      <c r="G1852">
        <v>1842</v>
      </c>
      <c r="H1852">
        <f t="shared" ca="1" si="36"/>
        <v>2.4307608565340652E-3</v>
      </c>
    </row>
    <row r="1853" spans="7:8">
      <c r="G1853">
        <v>1843</v>
      </c>
      <c r="H1853">
        <f t="shared" ca="1" si="36"/>
        <v>2.2703883787206147E-3</v>
      </c>
    </row>
    <row r="1854" spans="7:8">
      <c r="G1854">
        <v>1844</v>
      </c>
      <c r="H1854">
        <f t="shared" ca="1" si="36"/>
        <v>2.6008638681175401E-2</v>
      </c>
    </row>
    <row r="1855" spans="7:8">
      <c r="G1855">
        <v>1845</v>
      </c>
      <c r="H1855">
        <f t="shared" ca="1" si="36"/>
        <v>7.8431795248138873E-3</v>
      </c>
    </row>
    <row r="1856" spans="7:8">
      <c r="G1856">
        <v>1846</v>
      </c>
      <c r="H1856">
        <f t="shared" ca="1" si="36"/>
        <v>-5.4742106026339854E-3</v>
      </c>
    </row>
    <row r="1857" spans="7:8">
      <c r="G1857">
        <v>1847</v>
      </c>
      <c r="H1857">
        <f t="shared" ca="1" si="36"/>
        <v>9.7929190623634987E-3</v>
      </c>
    </row>
    <row r="1858" spans="7:8">
      <c r="G1858">
        <v>1848</v>
      </c>
      <c r="H1858">
        <f t="shared" ca="1" si="36"/>
        <v>-4.2905433799421834E-2</v>
      </c>
    </row>
    <row r="1859" spans="7:8">
      <c r="G1859">
        <v>1849</v>
      </c>
      <c r="H1859">
        <f t="shared" ca="1" si="36"/>
        <v>3.3536558806596221E-2</v>
      </c>
    </row>
    <row r="1860" spans="7:8">
      <c r="G1860">
        <v>1850</v>
      </c>
      <c r="H1860">
        <f t="shared" ca="1" si="36"/>
        <v>9.6377853789009985E-3</v>
      </c>
    </row>
    <row r="1861" spans="7:8">
      <c r="G1861">
        <v>1851</v>
      </c>
      <c r="H1861">
        <f t="shared" ca="1" si="36"/>
        <v>-9.7327021121642737E-3</v>
      </c>
    </row>
    <row r="1862" spans="7:8">
      <c r="G1862">
        <v>1852</v>
      </c>
      <c r="H1862">
        <f t="shared" ca="1" si="36"/>
        <v>-2.1013551673974725E-2</v>
      </c>
    </row>
    <row r="1863" spans="7:8">
      <c r="G1863">
        <v>1853</v>
      </c>
      <c r="H1863">
        <f t="shared" ca="1" si="36"/>
        <v>-3.1665209036328336E-2</v>
      </c>
    </row>
    <row r="1864" spans="7:8">
      <c r="G1864">
        <v>1854</v>
      </c>
      <c r="H1864">
        <f t="shared" ca="1" si="36"/>
        <v>-7.0918442888211836E-2</v>
      </c>
    </row>
    <row r="1865" spans="7:8">
      <c r="G1865">
        <v>1855</v>
      </c>
      <c r="H1865">
        <f t="shared" ca="1" si="36"/>
        <v>-3.4143103908812332E-2</v>
      </c>
    </row>
    <row r="1866" spans="7:8">
      <c r="G1866">
        <v>1856</v>
      </c>
      <c r="H1866">
        <f t="shared" ca="1" si="36"/>
        <v>-2.393426220578177E-3</v>
      </c>
    </row>
    <row r="1867" spans="7:8">
      <c r="G1867">
        <v>1857</v>
      </c>
      <c r="H1867">
        <f t="shared" ca="1" si="36"/>
        <v>9.7206643750477311E-3</v>
      </c>
    </row>
    <row r="1868" spans="7:8">
      <c r="G1868">
        <v>1858</v>
      </c>
      <c r="H1868">
        <f t="shared" ref="H1868:H1931" ca="1" si="37">_xlfn.NORM.INV(RAND(),N$13,N$14)</f>
        <v>-1.0110922396761198E-2</v>
      </c>
    </row>
    <row r="1869" spans="7:8">
      <c r="G1869">
        <v>1859</v>
      </c>
      <c r="H1869">
        <f t="shared" ca="1" si="37"/>
        <v>1.1306815850000734E-2</v>
      </c>
    </row>
    <row r="1870" spans="7:8">
      <c r="G1870">
        <v>1860</v>
      </c>
      <c r="H1870">
        <f t="shared" ca="1" si="37"/>
        <v>-1.7446124584010538E-2</v>
      </c>
    </row>
    <row r="1871" spans="7:8">
      <c r="G1871">
        <v>1861</v>
      </c>
      <c r="H1871">
        <f t="shared" ca="1" si="37"/>
        <v>3.0809553697853445E-2</v>
      </c>
    </row>
    <row r="1872" spans="7:8">
      <c r="G1872">
        <v>1862</v>
      </c>
      <c r="H1872">
        <f t="shared" ca="1" si="37"/>
        <v>-7.840889401736207E-3</v>
      </c>
    </row>
    <row r="1873" spans="7:8">
      <c r="G1873">
        <v>1863</v>
      </c>
      <c r="H1873">
        <f t="shared" ca="1" si="37"/>
        <v>-2.2440847633678696E-2</v>
      </c>
    </row>
    <row r="1874" spans="7:8">
      <c r="G1874">
        <v>1864</v>
      </c>
      <c r="H1874">
        <f t="shared" ca="1" si="37"/>
        <v>-2.8514710407530019E-2</v>
      </c>
    </row>
    <row r="1875" spans="7:8">
      <c r="G1875">
        <v>1865</v>
      </c>
      <c r="H1875">
        <f t="shared" ca="1" si="37"/>
        <v>-3.9784130515378879E-2</v>
      </c>
    </row>
    <row r="1876" spans="7:8">
      <c r="G1876">
        <v>1866</v>
      </c>
      <c r="H1876">
        <f t="shared" ca="1" si="37"/>
        <v>1.8384297086150792E-2</v>
      </c>
    </row>
    <row r="1877" spans="7:8">
      <c r="G1877">
        <v>1867</v>
      </c>
      <c r="H1877">
        <f t="shared" ca="1" si="37"/>
        <v>3.5631443525644291E-2</v>
      </c>
    </row>
    <row r="1878" spans="7:8">
      <c r="G1878">
        <v>1868</v>
      </c>
      <c r="H1878">
        <f t="shared" ca="1" si="37"/>
        <v>-2.1232818438924311E-2</v>
      </c>
    </row>
    <row r="1879" spans="7:8">
      <c r="G1879">
        <v>1869</v>
      </c>
      <c r="H1879">
        <f t="shared" ca="1" si="37"/>
        <v>8.1496969919418946E-3</v>
      </c>
    </row>
    <row r="1880" spans="7:8">
      <c r="G1880">
        <v>1870</v>
      </c>
      <c r="H1880">
        <f t="shared" ca="1" si="37"/>
        <v>-1.3580025858443709E-2</v>
      </c>
    </row>
    <row r="1881" spans="7:8">
      <c r="G1881">
        <v>1871</v>
      </c>
      <c r="H1881">
        <f t="shared" ca="1" si="37"/>
        <v>1.6732983730737262E-2</v>
      </c>
    </row>
    <row r="1882" spans="7:8">
      <c r="G1882">
        <v>1872</v>
      </c>
      <c r="H1882">
        <f t="shared" ca="1" si="37"/>
        <v>-1.5034563300550932E-2</v>
      </c>
    </row>
    <row r="1883" spans="7:8">
      <c r="G1883">
        <v>1873</v>
      </c>
      <c r="H1883">
        <f t="shared" ca="1" si="37"/>
        <v>1.4222771689551383E-2</v>
      </c>
    </row>
    <row r="1884" spans="7:8">
      <c r="G1884">
        <v>1874</v>
      </c>
      <c r="H1884">
        <f t="shared" ca="1" si="37"/>
        <v>-1.2262703623202914E-2</v>
      </c>
    </row>
    <row r="1885" spans="7:8">
      <c r="G1885">
        <v>1875</v>
      </c>
      <c r="H1885">
        <f t="shared" ca="1" si="37"/>
        <v>3.5615887691760738E-2</v>
      </c>
    </row>
    <row r="1886" spans="7:8">
      <c r="G1886">
        <v>1876</v>
      </c>
      <c r="H1886">
        <f t="shared" ca="1" si="37"/>
        <v>-1.4518852505972856E-2</v>
      </c>
    </row>
    <row r="1887" spans="7:8">
      <c r="G1887">
        <v>1877</v>
      </c>
      <c r="H1887">
        <f t="shared" ca="1" si="37"/>
        <v>1.2404567483352688E-3</v>
      </c>
    </row>
    <row r="1888" spans="7:8">
      <c r="G1888">
        <v>1878</v>
      </c>
      <c r="H1888">
        <f t="shared" ca="1" si="37"/>
        <v>2.7245240079423944E-2</v>
      </c>
    </row>
    <row r="1889" spans="7:8">
      <c r="G1889">
        <v>1879</v>
      </c>
      <c r="H1889">
        <f t="shared" ca="1" si="37"/>
        <v>2.9373756896159557E-2</v>
      </c>
    </row>
    <row r="1890" spans="7:8">
      <c r="G1890">
        <v>1880</v>
      </c>
      <c r="H1890">
        <f t="shared" ca="1" si="37"/>
        <v>-1.8615737682348713E-2</v>
      </c>
    </row>
    <row r="1891" spans="7:8">
      <c r="G1891">
        <v>1881</v>
      </c>
      <c r="H1891">
        <f t="shared" ca="1" si="37"/>
        <v>3.0286571988980206E-3</v>
      </c>
    </row>
    <row r="1892" spans="7:8">
      <c r="G1892">
        <v>1882</v>
      </c>
      <c r="H1892">
        <f t="shared" ca="1" si="37"/>
        <v>-5.4136522961535042E-4</v>
      </c>
    </row>
    <row r="1893" spans="7:8">
      <c r="G1893">
        <v>1883</v>
      </c>
      <c r="H1893">
        <f t="shared" ca="1" si="37"/>
        <v>5.9663099787124561E-4</v>
      </c>
    </row>
    <row r="1894" spans="7:8">
      <c r="G1894">
        <v>1884</v>
      </c>
      <c r="H1894">
        <f t="shared" ca="1" si="37"/>
        <v>1.2691027211248561E-2</v>
      </c>
    </row>
    <row r="1895" spans="7:8">
      <c r="G1895">
        <v>1885</v>
      </c>
      <c r="H1895">
        <f t="shared" ca="1" si="37"/>
        <v>1.2975979326780435E-2</v>
      </c>
    </row>
    <row r="1896" spans="7:8">
      <c r="G1896">
        <v>1886</v>
      </c>
      <c r="H1896">
        <f t="shared" ca="1" si="37"/>
        <v>-5.8175207041419154E-3</v>
      </c>
    </row>
    <row r="1897" spans="7:8">
      <c r="G1897">
        <v>1887</v>
      </c>
      <c r="H1897">
        <f t="shared" ca="1" si="37"/>
        <v>-2.064202108491358E-2</v>
      </c>
    </row>
    <row r="1898" spans="7:8">
      <c r="G1898">
        <v>1888</v>
      </c>
      <c r="H1898">
        <f t="shared" ca="1" si="37"/>
        <v>-1.6833390629404192E-2</v>
      </c>
    </row>
    <row r="1899" spans="7:8">
      <c r="G1899">
        <v>1889</v>
      </c>
      <c r="H1899">
        <f t="shared" ca="1" si="37"/>
        <v>-1.8669588062961723E-2</v>
      </c>
    </row>
    <row r="1900" spans="7:8">
      <c r="G1900">
        <v>1890</v>
      </c>
      <c r="H1900">
        <f t="shared" ca="1" si="37"/>
        <v>-6.8960933520982115E-3</v>
      </c>
    </row>
    <row r="1901" spans="7:8">
      <c r="G1901">
        <v>1891</v>
      </c>
      <c r="H1901">
        <f t="shared" ca="1" si="37"/>
        <v>5.2937770007549546E-2</v>
      </c>
    </row>
    <row r="1902" spans="7:8">
      <c r="G1902">
        <v>1892</v>
      </c>
      <c r="H1902">
        <f t="shared" ca="1" si="37"/>
        <v>-3.1021687141446434E-2</v>
      </c>
    </row>
    <row r="1903" spans="7:8">
      <c r="G1903">
        <v>1893</v>
      </c>
      <c r="H1903">
        <f t="shared" ca="1" si="37"/>
        <v>2.777049369583421E-2</v>
      </c>
    </row>
    <row r="1904" spans="7:8">
      <c r="G1904">
        <v>1894</v>
      </c>
      <c r="H1904">
        <f t="shared" ca="1" si="37"/>
        <v>-9.0299792110526455E-4</v>
      </c>
    </row>
    <row r="1905" spans="7:8">
      <c r="G1905">
        <v>1895</v>
      </c>
      <c r="H1905">
        <f t="shared" ca="1" si="37"/>
        <v>-3.00907687447582E-2</v>
      </c>
    </row>
    <row r="1906" spans="7:8">
      <c r="G1906">
        <v>1896</v>
      </c>
      <c r="H1906">
        <f t="shared" ca="1" si="37"/>
        <v>-1.412231216394173E-2</v>
      </c>
    </row>
    <row r="1907" spans="7:8">
      <c r="G1907">
        <v>1897</v>
      </c>
      <c r="H1907">
        <f t="shared" ca="1" si="37"/>
        <v>-2.4405568974665844E-2</v>
      </c>
    </row>
    <row r="1908" spans="7:8">
      <c r="G1908">
        <v>1898</v>
      </c>
      <c r="H1908">
        <f t="shared" ca="1" si="37"/>
        <v>2.4827910791861102E-3</v>
      </c>
    </row>
    <row r="1909" spans="7:8">
      <c r="G1909">
        <v>1899</v>
      </c>
      <c r="H1909">
        <f t="shared" ca="1" si="37"/>
        <v>7.2094372436809539E-3</v>
      </c>
    </row>
    <row r="1910" spans="7:8">
      <c r="G1910">
        <v>1900</v>
      </c>
      <c r="H1910">
        <f t="shared" ca="1" si="37"/>
        <v>1.2819592241855459E-2</v>
      </c>
    </row>
    <row r="1911" spans="7:8">
      <c r="G1911">
        <v>1901</v>
      </c>
      <c r="H1911">
        <f t="shared" ca="1" si="37"/>
        <v>-4.1831435558105602E-3</v>
      </c>
    </row>
    <row r="1912" spans="7:8">
      <c r="G1912">
        <v>1902</v>
      </c>
      <c r="H1912">
        <f t="shared" ca="1" si="37"/>
        <v>4.0890892104228936E-2</v>
      </c>
    </row>
    <row r="1913" spans="7:8">
      <c r="G1913">
        <v>1903</v>
      </c>
      <c r="H1913">
        <f t="shared" ca="1" si="37"/>
        <v>4.3598816793028197E-2</v>
      </c>
    </row>
    <row r="1914" spans="7:8">
      <c r="G1914">
        <v>1904</v>
      </c>
      <c r="H1914">
        <f t="shared" ca="1" si="37"/>
        <v>3.2567082999133398E-2</v>
      </c>
    </row>
    <row r="1915" spans="7:8">
      <c r="G1915">
        <v>1905</v>
      </c>
      <c r="H1915">
        <f t="shared" ca="1" si="37"/>
        <v>1.8063938332717692E-2</v>
      </c>
    </row>
    <row r="1916" spans="7:8">
      <c r="G1916">
        <v>1906</v>
      </c>
      <c r="H1916">
        <f t="shared" ca="1" si="37"/>
        <v>7.2051616589781601E-3</v>
      </c>
    </row>
    <row r="1917" spans="7:8">
      <c r="G1917">
        <v>1907</v>
      </c>
      <c r="H1917">
        <f t="shared" ca="1" si="37"/>
        <v>-4.011640135104742E-3</v>
      </c>
    </row>
    <row r="1918" spans="7:8">
      <c r="G1918">
        <v>1908</v>
      </c>
      <c r="H1918">
        <f t="shared" ca="1" si="37"/>
        <v>9.9768836705823351E-3</v>
      </c>
    </row>
    <row r="1919" spans="7:8">
      <c r="G1919">
        <v>1909</v>
      </c>
      <c r="H1919">
        <f t="shared" ca="1" si="37"/>
        <v>3.3732515680294471E-3</v>
      </c>
    </row>
    <row r="1920" spans="7:8">
      <c r="G1920">
        <v>1910</v>
      </c>
      <c r="H1920">
        <f t="shared" ca="1" si="37"/>
        <v>1.8529880974615141E-2</v>
      </c>
    </row>
    <row r="1921" spans="7:8">
      <c r="G1921">
        <v>1911</v>
      </c>
      <c r="H1921">
        <f t="shared" ca="1" si="37"/>
        <v>-2.4091977416898346E-2</v>
      </c>
    </row>
    <row r="1922" spans="7:8">
      <c r="G1922">
        <v>1912</v>
      </c>
      <c r="H1922">
        <f t="shared" ca="1" si="37"/>
        <v>-4.3010600202392338E-4</v>
      </c>
    </row>
    <row r="1923" spans="7:8">
      <c r="G1923">
        <v>1913</v>
      </c>
      <c r="H1923">
        <f t="shared" ca="1" si="37"/>
        <v>1.9373625462462157E-2</v>
      </c>
    </row>
    <row r="1924" spans="7:8">
      <c r="G1924">
        <v>1914</v>
      </c>
      <c r="H1924">
        <f t="shared" ca="1" si="37"/>
        <v>-1.0001364127206215E-2</v>
      </c>
    </row>
    <row r="1925" spans="7:8">
      <c r="G1925">
        <v>1915</v>
      </c>
      <c r="H1925">
        <f t="shared" ca="1" si="37"/>
        <v>-1.8357932404921E-2</v>
      </c>
    </row>
    <row r="1926" spans="7:8">
      <c r="G1926">
        <v>1916</v>
      </c>
      <c r="H1926">
        <f t="shared" ca="1" si="37"/>
        <v>5.1666204997678489E-3</v>
      </c>
    </row>
    <row r="1927" spans="7:8">
      <c r="G1927">
        <v>1917</v>
      </c>
      <c r="H1927">
        <f t="shared" ca="1" si="37"/>
        <v>-3.9693326384032106E-2</v>
      </c>
    </row>
    <row r="1928" spans="7:8">
      <c r="G1928">
        <v>1918</v>
      </c>
      <c r="H1928">
        <f t="shared" ca="1" si="37"/>
        <v>-7.2944870946615057E-3</v>
      </c>
    </row>
    <row r="1929" spans="7:8">
      <c r="G1929">
        <v>1919</v>
      </c>
      <c r="H1929">
        <f t="shared" ca="1" si="37"/>
        <v>-4.9705713550761343E-3</v>
      </c>
    </row>
    <row r="1930" spans="7:8">
      <c r="G1930">
        <v>1920</v>
      </c>
      <c r="H1930">
        <f t="shared" ca="1" si="37"/>
        <v>1.2429543269943281E-2</v>
      </c>
    </row>
    <row r="1931" spans="7:8">
      <c r="G1931">
        <v>1921</v>
      </c>
      <c r="H1931">
        <f t="shared" ca="1" si="37"/>
        <v>-2.4583651312620387E-3</v>
      </c>
    </row>
    <row r="1932" spans="7:8">
      <c r="G1932">
        <v>1922</v>
      </c>
      <c r="H1932">
        <f t="shared" ref="H1932:H1995" ca="1" si="38">_xlfn.NORM.INV(RAND(),N$13,N$14)</f>
        <v>-3.3107738872886892E-2</v>
      </c>
    </row>
    <row r="1933" spans="7:8">
      <c r="G1933">
        <v>1923</v>
      </c>
      <c r="H1933">
        <f t="shared" ca="1" si="38"/>
        <v>1.6954421515478924E-2</v>
      </c>
    </row>
    <row r="1934" spans="7:8">
      <c r="G1934">
        <v>1924</v>
      </c>
      <c r="H1934">
        <f t="shared" ca="1" si="38"/>
        <v>1.9577444791061115E-2</v>
      </c>
    </row>
    <row r="1935" spans="7:8">
      <c r="G1935">
        <v>1925</v>
      </c>
      <c r="H1935">
        <f t="shared" ca="1" si="38"/>
        <v>1.312007601811023E-2</v>
      </c>
    </row>
    <row r="1936" spans="7:8">
      <c r="G1936">
        <v>1926</v>
      </c>
      <c r="H1936">
        <f t="shared" ca="1" si="38"/>
        <v>1.0648833940085672E-4</v>
      </c>
    </row>
    <row r="1937" spans="7:8">
      <c r="G1937">
        <v>1927</v>
      </c>
      <c r="H1937">
        <f t="shared" ca="1" si="38"/>
        <v>1.7071778309166487E-2</v>
      </c>
    </row>
    <row r="1938" spans="7:8">
      <c r="G1938">
        <v>1928</v>
      </c>
      <c r="H1938">
        <f t="shared" ca="1" si="38"/>
        <v>-2.3633780666083618E-3</v>
      </c>
    </row>
    <row r="1939" spans="7:8">
      <c r="G1939">
        <v>1929</v>
      </c>
      <c r="H1939">
        <f t="shared" ca="1" si="38"/>
        <v>-7.6397005258442121E-3</v>
      </c>
    </row>
    <row r="1940" spans="7:8">
      <c r="G1940">
        <v>1930</v>
      </c>
      <c r="H1940">
        <f t="shared" ca="1" si="38"/>
        <v>2.0076072812194048E-2</v>
      </c>
    </row>
    <row r="1941" spans="7:8">
      <c r="G1941">
        <v>1931</v>
      </c>
      <c r="H1941">
        <f t="shared" ca="1" si="38"/>
        <v>1.1932730352628956E-2</v>
      </c>
    </row>
    <row r="1942" spans="7:8">
      <c r="G1942">
        <v>1932</v>
      </c>
      <c r="H1942">
        <f t="shared" ca="1" si="38"/>
        <v>-6.6128797121763894E-2</v>
      </c>
    </row>
    <row r="1943" spans="7:8">
      <c r="G1943">
        <v>1933</v>
      </c>
      <c r="H1943">
        <f t="shared" ca="1" si="38"/>
        <v>1.1232056598680153E-2</v>
      </c>
    </row>
    <row r="1944" spans="7:8">
      <c r="G1944">
        <v>1934</v>
      </c>
      <c r="H1944">
        <f t="shared" ca="1" si="38"/>
        <v>-9.6303073125595003E-3</v>
      </c>
    </row>
    <row r="1945" spans="7:8">
      <c r="G1945">
        <v>1935</v>
      </c>
      <c r="H1945">
        <f t="shared" ca="1" si="38"/>
        <v>1.7826725221357101E-2</v>
      </c>
    </row>
    <row r="1946" spans="7:8">
      <c r="G1946">
        <v>1936</v>
      </c>
      <c r="H1946">
        <f t="shared" ca="1" si="38"/>
        <v>2.3285964743415211E-2</v>
      </c>
    </row>
    <row r="1947" spans="7:8">
      <c r="G1947">
        <v>1937</v>
      </c>
      <c r="H1947">
        <f t="shared" ca="1" si="38"/>
        <v>2.6153027642730419E-3</v>
      </c>
    </row>
    <row r="1948" spans="7:8">
      <c r="G1948">
        <v>1938</v>
      </c>
      <c r="H1948">
        <f t="shared" ca="1" si="38"/>
        <v>4.7610712375309505E-2</v>
      </c>
    </row>
    <row r="1949" spans="7:8">
      <c r="G1949">
        <v>1939</v>
      </c>
      <c r="H1949">
        <f t="shared" ca="1" si="38"/>
        <v>-1.9591798296176952E-2</v>
      </c>
    </row>
    <row r="1950" spans="7:8">
      <c r="G1950">
        <v>1940</v>
      </c>
      <c r="H1950">
        <f t="shared" ca="1" si="38"/>
        <v>-1.810350505483925E-2</v>
      </c>
    </row>
    <row r="1951" spans="7:8">
      <c r="G1951">
        <v>1941</v>
      </c>
      <c r="H1951">
        <f t="shared" ca="1" si="38"/>
        <v>-3.0329409841156469E-2</v>
      </c>
    </row>
    <row r="1952" spans="7:8">
      <c r="G1952">
        <v>1942</v>
      </c>
      <c r="H1952">
        <f t="shared" ca="1" si="38"/>
        <v>-2.6046410643537691E-2</v>
      </c>
    </row>
    <row r="1953" spans="7:8">
      <c r="G1953">
        <v>1943</v>
      </c>
      <c r="H1953">
        <f t="shared" ca="1" si="38"/>
        <v>-4.6600936569561595E-2</v>
      </c>
    </row>
    <row r="1954" spans="7:8">
      <c r="G1954">
        <v>1944</v>
      </c>
      <c r="H1954">
        <f t="shared" ca="1" si="38"/>
        <v>-8.7605546673179247E-4</v>
      </c>
    </row>
    <row r="1955" spans="7:8">
      <c r="G1955">
        <v>1945</v>
      </c>
      <c r="H1955">
        <f t="shared" ca="1" si="38"/>
        <v>4.9676940621108364E-3</v>
      </c>
    </row>
    <row r="1956" spans="7:8">
      <c r="G1956">
        <v>1946</v>
      </c>
      <c r="H1956">
        <f t="shared" ca="1" si="38"/>
        <v>1.2283701428560195E-2</v>
      </c>
    </row>
    <row r="1957" spans="7:8">
      <c r="G1957">
        <v>1947</v>
      </c>
      <c r="H1957">
        <f t="shared" ca="1" si="38"/>
        <v>-8.7276692540709799E-3</v>
      </c>
    </row>
    <row r="1958" spans="7:8">
      <c r="G1958">
        <v>1948</v>
      </c>
      <c r="H1958">
        <f t="shared" ca="1" si="38"/>
        <v>9.051249445423782E-3</v>
      </c>
    </row>
    <row r="1959" spans="7:8">
      <c r="G1959">
        <v>1949</v>
      </c>
      <c r="H1959">
        <f t="shared" ca="1" si="38"/>
        <v>2.07630788078077E-2</v>
      </c>
    </row>
    <row r="1960" spans="7:8">
      <c r="G1960">
        <v>1950</v>
      </c>
      <c r="H1960">
        <f t="shared" ca="1" si="38"/>
        <v>1.775001562445859E-2</v>
      </c>
    </row>
    <row r="1961" spans="7:8">
      <c r="G1961">
        <v>1951</v>
      </c>
      <c r="H1961">
        <f t="shared" ca="1" si="38"/>
        <v>-1.3679710006175939E-2</v>
      </c>
    </row>
    <row r="1962" spans="7:8">
      <c r="G1962">
        <v>1952</v>
      </c>
      <c r="H1962">
        <f t="shared" ca="1" si="38"/>
        <v>2.1879052510521699E-3</v>
      </c>
    </row>
    <row r="1963" spans="7:8">
      <c r="G1963">
        <v>1953</v>
      </c>
      <c r="H1963">
        <f t="shared" ca="1" si="38"/>
        <v>1.0818751565722731E-2</v>
      </c>
    </row>
    <row r="1964" spans="7:8">
      <c r="G1964">
        <v>1954</v>
      </c>
      <c r="H1964">
        <f t="shared" ca="1" si="38"/>
        <v>-6.5519657720456929E-3</v>
      </c>
    </row>
    <row r="1965" spans="7:8">
      <c r="G1965">
        <v>1955</v>
      </c>
      <c r="H1965">
        <f t="shared" ca="1" si="38"/>
        <v>-1.0877741404729141E-2</v>
      </c>
    </row>
    <row r="1966" spans="7:8">
      <c r="G1966">
        <v>1956</v>
      </c>
      <c r="H1966">
        <f t="shared" ca="1" si="38"/>
        <v>5.0105104470216051E-2</v>
      </c>
    </row>
    <row r="1967" spans="7:8">
      <c r="G1967">
        <v>1957</v>
      </c>
      <c r="H1967">
        <f t="shared" ca="1" si="38"/>
        <v>1.0567486415038578E-3</v>
      </c>
    </row>
    <row r="1968" spans="7:8">
      <c r="G1968">
        <v>1958</v>
      </c>
      <c r="H1968">
        <f t="shared" ca="1" si="38"/>
        <v>-1.6687896657734253E-2</v>
      </c>
    </row>
    <row r="1969" spans="7:8">
      <c r="G1969">
        <v>1959</v>
      </c>
      <c r="H1969">
        <f t="shared" ca="1" si="38"/>
        <v>-2.161112577989825E-3</v>
      </c>
    </row>
    <row r="1970" spans="7:8">
      <c r="G1970">
        <v>1960</v>
      </c>
      <c r="H1970">
        <f t="shared" ca="1" si="38"/>
        <v>-1.2721986634788851E-2</v>
      </c>
    </row>
    <row r="1971" spans="7:8">
      <c r="G1971">
        <v>1961</v>
      </c>
      <c r="H1971">
        <f t="shared" ca="1" si="38"/>
        <v>-6.6834258569072477E-2</v>
      </c>
    </row>
    <row r="1972" spans="7:8">
      <c r="G1972">
        <v>1962</v>
      </c>
      <c r="H1972">
        <f t="shared" ca="1" si="38"/>
        <v>4.74966926545866E-2</v>
      </c>
    </row>
    <row r="1973" spans="7:8">
      <c r="G1973">
        <v>1963</v>
      </c>
      <c r="H1973">
        <f t="shared" ca="1" si="38"/>
        <v>1.6877186979699508E-2</v>
      </c>
    </row>
    <row r="1974" spans="7:8">
      <c r="G1974">
        <v>1964</v>
      </c>
      <c r="H1974">
        <f t="shared" ca="1" si="38"/>
        <v>2.7932056213154158E-2</v>
      </c>
    </row>
    <row r="1975" spans="7:8">
      <c r="G1975">
        <v>1965</v>
      </c>
      <c r="H1975">
        <f t="shared" ca="1" si="38"/>
        <v>-8.5307885525131247E-3</v>
      </c>
    </row>
    <row r="1976" spans="7:8">
      <c r="G1976">
        <v>1966</v>
      </c>
      <c r="H1976">
        <f t="shared" ca="1" si="38"/>
        <v>1.9826665160290534E-3</v>
      </c>
    </row>
    <row r="1977" spans="7:8">
      <c r="G1977">
        <v>1967</v>
      </c>
      <c r="H1977">
        <f t="shared" ca="1" si="38"/>
        <v>2.8957014257367495E-2</v>
      </c>
    </row>
    <row r="1978" spans="7:8">
      <c r="G1978">
        <v>1968</v>
      </c>
      <c r="H1978">
        <f t="shared" ca="1" si="38"/>
        <v>2.9149000649477331E-2</v>
      </c>
    </row>
    <row r="1979" spans="7:8">
      <c r="G1979">
        <v>1969</v>
      </c>
      <c r="H1979">
        <f t="shared" ca="1" si="38"/>
        <v>-3.2952078667189993E-2</v>
      </c>
    </row>
    <row r="1980" spans="7:8">
      <c r="G1980">
        <v>1970</v>
      </c>
      <c r="H1980">
        <f t="shared" ca="1" si="38"/>
        <v>-5.5575730721446767E-2</v>
      </c>
    </row>
    <row r="1981" spans="7:8">
      <c r="G1981">
        <v>1971</v>
      </c>
      <c r="H1981">
        <f t="shared" ca="1" si="38"/>
        <v>-1.4785611915511051E-2</v>
      </c>
    </row>
    <row r="1982" spans="7:8">
      <c r="G1982">
        <v>1972</v>
      </c>
      <c r="H1982">
        <f t="shared" ca="1" si="38"/>
        <v>8.5836921001601202E-3</v>
      </c>
    </row>
    <row r="1983" spans="7:8">
      <c r="G1983">
        <v>1973</v>
      </c>
      <c r="H1983">
        <f t="shared" ca="1" si="38"/>
        <v>7.1807538672286212E-3</v>
      </c>
    </row>
    <row r="1984" spans="7:8">
      <c r="G1984">
        <v>1974</v>
      </c>
      <c r="H1984">
        <f t="shared" ca="1" si="38"/>
        <v>-2.6085599875193981E-2</v>
      </c>
    </row>
    <row r="1985" spans="7:8">
      <c r="G1985">
        <v>1975</v>
      </c>
      <c r="H1985">
        <f t="shared" ca="1" si="38"/>
        <v>-1.0538141260571534E-2</v>
      </c>
    </row>
    <row r="1986" spans="7:8">
      <c r="G1986">
        <v>1976</v>
      </c>
      <c r="H1986">
        <f t="shared" ca="1" si="38"/>
        <v>1.1903097062696887E-2</v>
      </c>
    </row>
    <row r="1987" spans="7:8">
      <c r="G1987">
        <v>1977</v>
      </c>
      <c r="H1987">
        <f t="shared" ca="1" si="38"/>
        <v>6.8396700989894321E-3</v>
      </c>
    </row>
    <row r="1988" spans="7:8">
      <c r="G1988">
        <v>1978</v>
      </c>
      <c r="H1988">
        <f t="shared" ca="1" si="38"/>
        <v>2.6295819715789457E-2</v>
      </c>
    </row>
    <row r="1989" spans="7:8">
      <c r="G1989">
        <v>1979</v>
      </c>
      <c r="H1989">
        <f t="shared" ca="1" si="38"/>
        <v>-2.1263462548607438E-2</v>
      </c>
    </row>
    <row r="1990" spans="7:8">
      <c r="G1990">
        <v>1980</v>
      </c>
      <c r="H1990">
        <f t="shared" ca="1" si="38"/>
        <v>5.0152179361084535E-3</v>
      </c>
    </row>
    <row r="1991" spans="7:8">
      <c r="G1991">
        <v>1981</v>
      </c>
      <c r="H1991">
        <f t="shared" ca="1" si="38"/>
        <v>-1.3344728184549409E-2</v>
      </c>
    </row>
    <row r="1992" spans="7:8">
      <c r="G1992">
        <v>1982</v>
      </c>
      <c r="H1992">
        <f t="shared" ca="1" si="38"/>
        <v>-1.2154312934884377E-2</v>
      </c>
    </row>
    <row r="1993" spans="7:8">
      <c r="G1993">
        <v>1983</v>
      </c>
      <c r="H1993">
        <f t="shared" ca="1" si="38"/>
        <v>1.5304692076150253E-2</v>
      </c>
    </row>
    <row r="1994" spans="7:8">
      <c r="G1994">
        <v>1984</v>
      </c>
      <c r="H1994">
        <f t="shared" ca="1" si="38"/>
        <v>-9.1676300078436627E-3</v>
      </c>
    </row>
    <row r="1995" spans="7:8">
      <c r="G1995">
        <v>1985</v>
      </c>
      <c r="H1995">
        <f t="shared" ca="1" si="38"/>
        <v>1.8029129158710005E-2</v>
      </c>
    </row>
    <row r="1996" spans="7:8">
      <c r="G1996">
        <v>1986</v>
      </c>
      <c r="H1996">
        <f t="shared" ref="H1996:H2059" ca="1" si="39">_xlfn.NORM.INV(RAND(),N$13,N$14)</f>
        <v>1.601392028883428E-2</v>
      </c>
    </row>
    <row r="1997" spans="7:8">
      <c r="G1997">
        <v>1987</v>
      </c>
      <c r="H1997">
        <f t="shared" ca="1" si="39"/>
        <v>1.7765292985715393E-2</v>
      </c>
    </row>
    <row r="1998" spans="7:8">
      <c r="G1998">
        <v>1988</v>
      </c>
      <c r="H1998">
        <f t="shared" ca="1" si="39"/>
        <v>-1.6653037412051548E-2</v>
      </c>
    </row>
    <row r="1999" spans="7:8">
      <c r="G1999">
        <v>1989</v>
      </c>
      <c r="H1999">
        <f t="shared" ca="1" si="39"/>
        <v>1.5797821222960702E-2</v>
      </c>
    </row>
    <row r="2000" spans="7:8">
      <c r="G2000">
        <v>1990</v>
      </c>
      <c r="H2000">
        <f t="shared" ca="1" si="39"/>
        <v>4.3483172475080226E-2</v>
      </c>
    </row>
    <row r="2001" spans="7:8">
      <c r="G2001">
        <v>1991</v>
      </c>
      <c r="H2001">
        <f t="shared" ca="1" si="39"/>
        <v>1.0117808535120097E-2</v>
      </c>
    </row>
    <row r="2002" spans="7:8">
      <c r="G2002">
        <v>1992</v>
      </c>
      <c r="H2002">
        <f t="shared" ca="1" si="39"/>
        <v>-1.8782600437073922E-2</v>
      </c>
    </row>
    <row r="2003" spans="7:8">
      <c r="G2003">
        <v>1993</v>
      </c>
      <c r="H2003">
        <f t="shared" ca="1" si="39"/>
        <v>1.792515602968928E-2</v>
      </c>
    </row>
    <row r="2004" spans="7:8">
      <c r="G2004">
        <v>1994</v>
      </c>
      <c r="H2004">
        <f t="shared" ca="1" si="39"/>
        <v>-2.7307251552797121E-3</v>
      </c>
    </row>
    <row r="2005" spans="7:8">
      <c r="G2005">
        <v>1995</v>
      </c>
      <c r="H2005">
        <f t="shared" ca="1" si="39"/>
        <v>-3.9326887215306063E-2</v>
      </c>
    </row>
    <row r="2006" spans="7:8">
      <c r="G2006">
        <v>1996</v>
      </c>
      <c r="H2006">
        <f t="shared" ca="1" si="39"/>
        <v>7.0397115988996293E-3</v>
      </c>
    </row>
    <row r="2007" spans="7:8">
      <c r="G2007">
        <v>1997</v>
      </c>
      <c r="H2007">
        <f t="shared" ca="1" si="39"/>
        <v>3.8051382555437885E-2</v>
      </c>
    </row>
    <row r="2008" spans="7:8">
      <c r="G2008">
        <v>1998</v>
      </c>
      <c r="H2008">
        <f t="shared" ca="1" si="39"/>
        <v>6.0255018224638478E-3</v>
      </c>
    </row>
    <row r="2009" spans="7:8">
      <c r="G2009">
        <v>1999</v>
      </c>
      <c r="H2009">
        <f t="shared" ca="1" si="39"/>
        <v>8.4901067142947231E-3</v>
      </c>
    </row>
    <row r="2010" spans="7:8">
      <c r="G2010">
        <v>2000</v>
      </c>
      <c r="H2010">
        <f t="shared" ca="1" si="39"/>
        <v>6.2485216132177083E-3</v>
      </c>
    </row>
    <row r="2011" spans="7:8">
      <c r="G2011">
        <v>2001</v>
      </c>
      <c r="H2011">
        <f t="shared" ca="1" si="39"/>
        <v>-1.7987811578187522E-2</v>
      </c>
    </row>
    <row r="2012" spans="7:8">
      <c r="G2012">
        <v>2002</v>
      </c>
      <c r="H2012">
        <f t="shared" ca="1" si="39"/>
        <v>-4.3233097264967303E-2</v>
      </c>
    </row>
    <row r="2013" spans="7:8">
      <c r="G2013">
        <v>2003</v>
      </c>
      <c r="H2013">
        <f t="shared" ca="1" si="39"/>
        <v>-2.998731502749117E-2</v>
      </c>
    </row>
    <row r="2014" spans="7:8">
      <c r="G2014">
        <v>2004</v>
      </c>
      <c r="H2014">
        <f t="shared" ca="1" si="39"/>
        <v>-8.4484702050358854E-3</v>
      </c>
    </row>
    <row r="2015" spans="7:8">
      <c r="G2015">
        <v>2005</v>
      </c>
      <c r="H2015">
        <f t="shared" ca="1" si="39"/>
        <v>-4.7564455910806495E-3</v>
      </c>
    </row>
    <row r="2016" spans="7:8">
      <c r="G2016">
        <v>2006</v>
      </c>
      <c r="H2016">
        <f t="shared" ca="1" si="39"/>
        <v>5.771776776491439E-3</v>
      </c>
    </row>
    <row r="2017" spans="7:8">
      <c r="G2017">
        <v>2007</v>
      </c>
      <c r="H2017">
        <f t="shared" ca="1" si="39"/>
        <v>6.4746433860049576E-3</v>
      </c>
    </row>
    <row r="2018" spans="7:8">
      <c r="G2018">
        <v>2008</v>
      </c>
      <c r="H2018">
        <f t="shared" ca="1" si="39"/>
        <v>1.7148963302311589E-2</v>
      </c>
    </row>
    <row r="2019" spans="7:8">
      <c r="G2019">
        <v>2009</v>
      </c>
      <c r="H2019">
        <f t="shared" ca="1" si="39"/>
        <v>-3.2289799375901679E-2</v>
      </c>
    </row>
    <row r="2020" spans="7:8">
      <c r="G2020">
        <v>2010</v>
      </c>
      <c r="H2020">
        <f t="shared" ca="1" si="39"/>
        <v>2.5864839548559181E-2</v>
      </c>
    </row>
    <row r="2021" spans="7:8">
      <c r="G2021">
        <v>2011</v>
      </c>
      <c r="H2021">
        <f t="shared" ca="1" si="39"/>
        <v>1.7846192255428609E-2</v>
      </c>
    </row>
    <row r="2022" spans="7:8">
      <c r="G2022">
        <v>2012</v>
      </c>
      <c r="H2022">
        <f t="shared" ca="1" si="39"/>
        <v>1.0188871860681171E-2</v>
      </c>
    </row>
    <row r="2023" spans="7:8">
      <c r="G2023">
        <v>2013</v>
      </c>
      <c r="H2023">
        <f t="shared" ca="1" si="39"/>
        <v>2.1369556040292767E-2</v>
      </c>
    </row>
    <row r="2024" spans="7:8">
      <c r="G2024">
        <v>2014</v>
      </c>
      <c r="H2024">
        <f t="shared" ca="1" si="39"/>
        <v>-4.6804639968212646E-3</v>
      </c>
    </row>
    <row r="2025" spans="7:8">
      <c r="G2025">
        <v>2015</v>
      </c>
      <c r="H2025">
        <f t="shared" ca="1" si="39"/>
        <v>-2.1977646472582497E-2</v>
      </c>
    </row>
    <row r="2026" spans="7:8">
      <c r="G2026">
        <v>2016</v>
      </c>
      <c r="H2026">
        <f t="shared" ca="1" si="39"/>
        <v>1.5737967873555719E-2</v>
      </c>
    </row>
    <row r="2027" spans="7:8">
      <c r="G2027">
        <v>2017</v>
      </c>
      <c r="H2027">
        <f t="shared" ca="1" si="39"/>
        <v>-2.9423719819500812E-3</v>
      </c>
    </row>
    <row r="2028" spans="7:8">
      <c r="G2028">
        <v>2018</v>
      </c>
      <c r="H2028">
        <f t="shared" ca="1" si="39"/>
        <v>7.5070571762818807E-3</v>
      </c>
    </row>
    <row r="2029" spans="7:8">
      <c r="G2029">
        <v>2019</v>
      </c>
      <c r="H2029">
        <f t="shared" ca="1" si="39"/>
        <v>1.8200588269145123E-2</v>
      </c>
    </row>
    <row r="2030" spans="7:8">
      <c r="G2030">
        <v>2020</v>
      </c>
      <c r="H2030">
        <f t="shared" ca="1" si="39"/>
        <v>-8.7616192013758153E-3</v>
      </c>
    </row>
    <row r="2031" spans="7:8">
      <c r="G2031">
        <v>2021</v>
      </c>
      <c r="H2031">
        <f t="shared" ca="1" si="39"/>
        <v>-3.1430098494443885E-2</v>
      </c>
    </row>
    <row r="2032" spans="7:8">
      <c r="G2032">
        <v>2022</v>
      </c>
      <c r="H2032">
        <f t="shared" ca="1" si="39"/>
        <v>-5.6084375672132928E-3</v>
      </c>
    </row>
    <row r="2033" spans="7:8">
      <c r="G2033">
        <v>2023</v>
      </c>
      <c r="H2033">
        <f t="shared" ca="1" si="39"/>
        <v>-5.2724661753612229E-3</v>
      </c>
    </row>
    <row r="2034" spans="7:8">
      <c r="G2034">
        <v>2024</v>
      </c>
      <c r="H2034">
        <f t="shared" ca="1" si="39"/>
        <v>3.3494021255824451E-2</v>
      </c>
    </row>
    <row r="2035" spans="7:8">
      <c r="G2035">
        <v>2025</v>
      </c>
      <c r="H2035">
        <f t="shared" ca="1" si="39"/>
        <v>-1.8267834867047106E-3</v>
      </c>
    </row>
    <row r="2036" spans="7:8">
      <c r="G2036">
        <v>2026</v>
      </c>
      <c r="H2036">
        <f t="shared" ca="1" si="39"/>
        <v>-2.983132806095528E-2</v>
      </c>
    </row>
    <row r="2037" spans="7:8">
      <c r="G2037">
        <v>2027</v>
      </c>
      <c r="H2037">
        <f t="shared" ca="1" si="39"/>
        <v>1.8802172962252672E-2</v>
      </c>
    </row>
    <row r="2038" spans="7:8">
      <c r="G2038">
        <v>2028</v>
      </c>
      <c r="H2038">
        <f t="shared" ca="1" si="39"/>
        <v>1.3389586753847057E-3</v>
      </c>
    </row>
    <row r="2039" spans="7:8">
      <c r="G2039">
        <v>2029</v>
      </c>
      <c r="H2039">
        <f t="shared" ca="1" si="39"/>
        <v>2.1653135650703779E-2</v>
      </c>
    </row>
    <row r="2040" spans="7:8">
      <c r="G2040">
        <v>2030</v>
      </c>
      <c r="H2040">
        <f t="shared" ca="1" si="39"/>
        <v>3.2083389999284576E-2</v>
      </c>
    </row>
    <row r="2041" spans="7:8">
      <c r="G2041">
        <v>2031</v>
      </c>
      <c r="H2041">
        <f t="shared" ca="1" si="39"/>
        <v>-8.9495647541556738E-3</v>
      </c>
    </row>
    <row r="2042" spans="7:8">
      <c r="G2042">
        <v>2032</v>
      </c>
      <c r="H2042">
        <f t="shared" ca="1" si="39"/>
        <v>1.5817956573263583E-3</v>
      </c>
    </row>
    <row r="2043" spans="7:8">
      <c r="G2043">
        <v>2033</v>
      </c>
      <c r="H2043">
        <f t="shared" ca="1" si="39"/>
        <v>5.6393389809576797E-4</v>
      </c>
    </row>
    <row r="2044" spans="7:8">
      <c r="G2044">
        <v>2034</v>
      </c>
      <c r="H2044">
        <f t="shared" ca="1" si="39"/>
        <v>1.9723450661709443E-4</v>
      </c>
    </row>
    <row r="2045" spans="7:8">
      <c r="G2045">
        <v>2035</v>
      </c>
      <c r="H2045">
        <f t="shared" ca="1" si="39"/>
        <v>1.2038729990499153E-2</v>
      </c>
    </row>
    <row r="2046" spans="7:8">
      <c r="G2046">
        <v>2036</v>
      </c>
      <c r="H2046">
        <f t="shared" ca="1" si="39"/>
        <v>-1.7152682637011078E-2</v>
      </c>
    </row>
    <row r="2047" spans="7:8">
      <c r="G2047">
        <v>2037</v>
      </c>
      <c r="H2047">
        <f t="shared" ca="1" si="39"/>
        <v>3.7085074390461928E-3</v>
      </c>
    </row>
    <row r="2048" spans="7:8">
      <c r="G2048">
        <v>2038</v>
      </c>
      <c r="H2048">
        <f t="shared" ca="1" si="39"/>
        <v>1.8904990568087E-3</v>
      </c>
    </row>
    <row r="2049" spans="7:8">
      <c r="G2049">
        <v>2039</v>
      </c>
      <c r="H2049">
        <f t="shared" ca="1" si="39"/>
        <v>3.5102337652210533E-2</v>
      </c>
    </row>
    <row r="2050" spans="7:8">
      <c r="G2050">
        <v>2040</v>
      </c>
      <c r="H2050">
        <f t="shared" ca="1" si="39"/>
        <v>5.112899156133147E-3</v>
      </c>
    </row>
    <row r="2051" spans="7:8">
      <c r="G2051">
        <v>2041</v>
      </c>
      <c r="H2051">
        <f t="shared" ca="1" si="39"/>
        <v>1.5030419693000672E-3</v>
      </c>
    </row>
    <row r="2052" spans="7:8">
      <c r="G2052">
        <v>2042</v>
      </c>
      <c r="H2052">
        <f t="shared" ca="1" si="39"/>
        <v>1.1024312011369251E-2</v>
      </c>
    </row>
    <row r="2053" spans="7:8">
      <c r="G2053">
        <v>2043</v>
      </c>
      <c r="H2053">
        <f t="shared" ca="1" si="39"/>
        <v>8.5574301732249235E-3</v>
      </c>
    </row>
    <row r="2054" spans="7:8">
      <c r="G2054">
        <v>2044</v>
      </c>
      <c r="H2054">
        <f t="shared" ca="1" si="39"/>
        <v>-1.4755730409708455E-2</v>
      </c>
    </row>
    <row r="2055" spans="7:8">
      <c r="G2055">
        <v>2045</v>
      </c>
      <c r="H2055">
        <f t="shared" ca="1" si="39"/>
        <v>-9.4063594983631225E-4</v>
      </c>
    </row>
    <row r="2056" spans="7:8">
      <c r="G2056">
        <v>2046</v>
      </c>
      <c r="H2056">
        <f t="shared" ca="1" si="39"/>
        <v>-2.9797390785245417E-2</v>
      </c>
    </row>
    <row r="2057" spans="7:8">
      <c r="G2057">
        <v>2047</v>
      </c>
      <c r="H2057">
        <f t="shared" ca="1" si="39"/>
        <v>-1.4506391570763409E-2</v>
      </c>
    </row>
    <row r="2058" spans="7:8">
      <c r="G2058">
        <v>2048</v>
      </c>
      <c r="H2058">
        <f t="shared" ca="1" si="39"/>
        <v>-2.9210262284961378E-2</v>
      </c>
    </row>
    <row r="2059" spans="7:8">
      <c r="G2059">
        <v>2049</v>
      </c>
      <c r="H2059">
        <f t="shared" ca="1" si="39"/>
        <v>-1.7737576101288548E-2</v>
      </c>
    </row>
    <row r="2060" spans="7:8">
      <c r="G2060">
        <v>2050</v>
      </c>
      <c r="H2060">
        <f t="shared" ref="H2060:H2123" ca="1" si="40">_xlfn.NORM.INV(RAND(),N$13,N$14)</f>
        <v>-3.4398736160113521E-3</v>
      </c>
    </row>
    <row r="2061" spans="7:8">
      <c r="G2061">
        <v>2051</v>
      </c>
      <c r="H2061">
        <f t="shared" ca="1" si="40"/>
        <v>-1.6861953521850586E-2</v>
      </c>
    </row>
    <row r="2062" spans="7:8">
      <c r="G2062">
        <v>2052</v>
      </c>
      <c r="H2062">
        <f t="shared" ca="1" si="40"/>
        <v>4.2756471220079598E-3</v>
      </c>
    </row>
    <row r="2063" spans="7:8">
      <c r="G2063">
        <v>2053</v>
      </c>
      <c r="H2063">
        <f t="shared" ca="1" si="40"/>
        <v>-2.1208915829004121E-2</v>
      </c>
    </row>
    <row r="2064" spans="7:8">
      <c r="G2064">
        <v>2054</v>
      </c>
      <c r="H2064">
        <f t="shared" ca="1" si="40"/>
        <v>-1.7631870953033708E-2</v>
      </c>
    </row>
    <row r="2065" spans="7:8">
      <c r="G2065">
        <v>2055</v>
      </c>
      <c r="H2065">
        <f t="shared" ca="1" si="40"/>
        <v>4.4904317136465408E-3</v>
      </c>
    </row>
    <row r="2066" spans="7:8">
      <c r="G2066">
        <v>2056</v>
      </c>
      <c r="H2066">
        <f t="shared" ca="1" si="40"/>
        <v>-4.931210158302423E-2</v>
      </c>
    </row>
    <row r="2067" spans="7:8">
      <c r="G2067">
        <v>2057</v>
      </c>
      <c r="H2067">
        <f t="shared" ca="1" si="40"/>
        <v>2.3928975320276012E-2</v>
      </c>
    </row>
    <row r="2068" spans="7:8">
      <c r="G2068">
        <v>2058</v>
      </c>
      <c r="H2068">
        <f t="shared" ca="1" si="40"/>
        <v>2.41735251971298E-2</v>
      </c>
    </row>
    <row r="2069" spans="7:8">
      <c r="G2069">
        <v>2059</v>
      </c>
      <c r="H2069">
        <f t="shared" ca="1" si="40"/>
        <v>-1.2350580589776325E-2</v>
      </c>
    </row>
    <row r="2070" spans="7:8">
      <c r="G2070">
        <v>2060</v>
      </c>
      <c r="H2070">
        <f t="shared" ca="1" si="40"/>
        <v>-1.3896170395602503E-2</v>
      </c>
    </row>
    <row r="2071" spans="7:8">
      <c r="G2071">
        <v>2061</v>
      </c>
      <c r="H2071">
        <f t="shared" ca="1" si="40"/>
        <v>6.712182470219745E-2</v>
      </c>
    </row>
    <row r="2072" spans="7:8">
      <c r="G2072">
        <v>2062</v>
      </c>
      <c r="H2072">
        <f t="shared" ca="1" si="40"/>
        <v>-1.9523402166775596E-2</v>
      </c>
    </row>
    <row r="2073" spans="7:8">
      <c r="G2073">
        <v>2063</v>
      </c>
      <c r="H2073">
        <f t="shared" ca="1" si="40"/>
        <v>-1.6119207400823579E-2</v>
      </c>
    </row>
    <row r="2074" spans="7:8">
      <c r="G2074">
        <v>2064</v>
      </c>
      <c r="H2074">
        <f t="shared" ca="1" si="40"/>
        <v>3.6164561085503567E-2</v>
      </c>
    </row>
    <row r="2075" spans="7:8">
      <c r="G2075">
        <v>2065</v>
      </c>
      <c r="H2075">
        <f t="shared" ca="1" si="40"/>
        <v>-1.4476412259162843E-2</v>
      </c>
    </row>
    <row r="2076" spans="7:8">
      <c r="G2076">
        <v>2066</v>
      </c>
      <c r="H2076">
        <f t="shared" ca="1" si="40"/>
        <v>-3.8547308759944708E-3</v>
      </c>
    </row>
    <row r="2077" spans="7:8">
      <c r="G2077">
        <v>2067</v>
      </c>
      <c r="H2077">
        <f t="shared" ca="1" si="40"/>
        <v>2.9513781578905949E-3</v>
      </c>
    </row>
    <row r="2078" spans="7:8">
      <c r="G2078">
        <v>2068</v>
      </c>
      <c r="H2078">
        <f t="shared" ca="1" si="40"/>
        <v>4.6792099222269221E-2</v>
      </c>
    </row>
    <row r="2079" spans="7:8">
      <c r="G2079">
        <v>2069</v>
      </c>
      <c r="H2079">
        <f t="shared" ca="1" si="40"/>
        <v>-1.8609940916513995E-2</v>
      </c>
    </row>
    <row r="2080" spans="7:8">
      <c r="G2080">
        <v>2070</v>
      </c>
      <c r="H2080">
        <f t="shared" ca="1" si="40"/>
        <v>-2.766395994246382E-4</v>
      </c>
    </row>
    <row r="2081" spans="7:8">
      <c r="G2081">
        <v>2071</v>
      </c>
      <c r="H2081">
        <f t="shared" ca="1" si="40"/>
        <v>6.0755838571373896E-3</v>
      </c>
    </row>
    <row r="2082" spans="7:8">
      <c r="G2082">
        <v>2072</v>
      </c>
      <c r="H2082">
        <f t="shared" ca="1" si="40"/>
        <v>3.1795306537847547E-2</v>
      </c>
    </row>
    <row r="2083" spans="7:8">
      <c r="G2083">
        <v>2073</v>
      </c>
      <c r="H2083">
        <f t="shared" ca="1" si="40"/>
        <v>1.1375846276016989E-2</v>
      </c>
    </row>
    <row r="2084" spans="7:8">
      <c r="G2084">
        <v>2074</v>
      </c>
      <c r="H2084">
        <f t="shared" ca="1" si="40"/>
        <v>-5.5907925434238073E-2</v>
      </c>
    </row>
    <row r="2085" spans="7:8">
      <c r="G2085">
        <v>2075</v>
      </c>
      <c r="H2085">
        <f t="shared" ca="1" si="40"/>
        <v>-9.6522779495988448E-3</v>
      </c>
    </row>
    <row r="2086" spans="7:8">
      <c r="G2086">
        <v>2076</v>
      </c>
      <c r="H2086">
        <f t="shared" ca="1" si="40"/>
        <v>7.4803123122438491E-3</v>
      </c>
    </row>
    <row r="2087" spans="7:8">
      <c r="G2087">
        <v>2077</v>
      </c>
      <c r="H2087">
        <f t="shared" ca="1" si="40"/>
        <v>-4.863379804388232E-2</v>
      </c>
    </row>
    <row r="2088" spans="7:8">
      <c r="G2088">
        <v>2078</v>
      </c>
      <c r="H2088">
        <f t="shared" ca="1" si="40"/>
        <v>2.4217535359312401E-2</v>
      </c>
    </row>
    <row r="2089" spans="7:8">
      <c r="G2089">
        <v>2079</v>
      </c>
      <c r="H2089">
        <f t="shared" ca="1" si="40"/>
        <v>2.3325437627641124E-2</v>
      </c>
    </row>
    <row r="2090" spans="7:8">
      <c r="G2090">
        <v>2080</v>
      </c>
      <c r="H2090">
        <f t="shared" ca="1" si="40"/>
        <v>-9.2331036077018249E-4</v>
      </c>
    </row>
    <row r="2091" spans="7:8">
      <c r="G2091">
        <v>2081</v>
      </c>
      <c r="H2091">
        <f t="shared" ca="1" si="40"/>
        <v>3.019267203078547E-4</v>
      </c>
    </row>
    <row r="2092" spans="7:8">
      <c r="G2092">
        <v>2082</v>
      </c>
      <c r="H2092">
        <f t="shared" ca="1" si="40"/>
        <v>4.7373569693393909E-2</v>
      </c>
    </row>
    <row r="2093" spans="7:8">
      <c r="G2093">
        <v>2083</v>
      </c>
      <c r="H2093">
        <f t="shared" ca="1" si="40"/>
        <v>-1.747373358897231E-2</v>
      </c>
    </row>
    <row r="2094" spans="7:8">
      <c r="G2094">
        <v>2084</v>
      </c>
      <c r="H2094">
        <f t="shared" ca="1" si="40"/>
        <v>-1.9303225672165955E-2</v>
      </c>
    </row>
    <row r="2095" spans="7:8">
      <c r="G2095">
        <v>2085</v>
      </c>
      <c r="H2095">
        <f t="shared" ca="1" si="40"/>
        <v>1.1223782224949741E-2</v>
      </c>
    </row>
    <row r="2096" spans="7:8">
      <c r="G2096">
        <v>2086</v>
      </c>
      <c r="H2096">
        <f t="shared" ca="1" si="40"/>
        <v>2.7573846300027079E-2</v>
      </c>
    </row>
    <row r="2097" spans="7:8">
      <c r="G2097">
        <v>2087</v>
      </c>
      <c r="H2097">
        <f t="shared" ca="1" si="40"/>
        <v>-1.3991157355215694E-2</v>
      </c>
    </row>
    <row r="2098" spans="7:8">
      <c r="G2098">
        <v>2088</v>
      </c>
      <c r="H2098">
        <f t="shared" ca="1" si="40"/>
        <v>-1.3943705995819301E-2</v>
      </c>
    </row>
    <row r="2099" spans="7:8">
      <c r="G2099">
        <v>2089</v>
      </c>
      <c r="H2099">
        <f t="shared" ca="1" si="40"/>
        <v>-2.8919485719586951E-2</v>
      </c>
    </row>
    <row r="2100" spans="7:8">
      <c r="G2100">
        <v>2090</v>
      </c>
      <c r="H2100">
        <f t="shared" ca="1" si="40"/>
        <v>-1.2057296749478887E-2</v>
      </c>
    </row>
    <row r="2101" spans="7:8">
      <c r="G2101">
        <v>2091</v>
      </c>
      <c r="H2101">
        <f t="shared" ca="1" si="40"/>
        <v>6.9289449508313505E-3</v>
      </c>
    </row>
    <row r="2102" spans="7:8">
      <c r="G2102">
        <v>2092</v>
      </c>
      <c r="H2102">
        <f t="shared" ca="1" si="40"/>
        <v>2.5653794181602355E-2</v>
      </c>
    </row>
    <row r="2103" spans="7:8">
      <c r="G2103">
        <v>2093</v>
      </c>
      <c r="H2103">
        <f t="shared" ca="1" si="40"/>
        <v>-2.0703175999101136E-2</v>
      </c>
    </row>
    <row r="2104" spans="7:8">
      <c r="G2104">
        <v>2094</v>
      </c>
      <c r="H2104">
        <f t="shared" ca="1" si="40"/>
        <v>4.572375280012652E-2</v>
      </c>
    </row>
    <row r="2105" spans="7:8">
      <c r="G2105">
        <v>2095</v>
      </c>
      <c r="H2105">
        <f t="shared" ca="1" si="40"/>
        <v>-8.718759598244483E-3</v>
      </c>
    </row>
    <row r="2106" spans="7:8">
      <c r="G2106">
        <v>2096</v>
      </c>
      <c r="H2106">
        <f t="shared" ca="1" si="40"/>
        <v>1.8542385383009178E-2</v>
      </c>
    </row>
    <row r="2107" spans="7:8">
      <c r="G2107">
        <v>2097</v>
      </c>
      <c r="H2107">
        <f t="shared" ca="1" si="40"/>
        <v>5.312966354613256E-3</v>
      </c>
    </row>
    <row r="2108" spans="7:8">
      <c r="G2108">
        <v>2098</v>
      </c>
      <c r="H2108">
        <f t="shared" ca="1" si="40"/>
        <v>-3.5386856623127179E-3</v>
      </c>
    </row>
    <row r="2109" spans="7:8">
      <c r="G2109">
        <v>2099</v>
      </c>
      <c r="H2109">
        <f t="shared" ca="1" si="40"/>
        <v>1.1735203794817637E-3</v>
      </c>
    </row>
    <row r="2110" spans="7:8">
      <c r="G2110">
        <v>2100</v>
      </c>
      <c r="H2110">
        <f t="shared" ca="1" si="40"/>
        <v>-7.0193468751926016E-3</v>
      </c>
    </row>
    <row r="2111" spans="7:8">
      <c r="G2111">
        <v>2101</v>
      </c>
      <c r="H2111">
        <f t="shared" ca="1" si="40"/>
        <v>8.1499022063234675E-3</v>
      </c>
    </row>
    <row r="2112" spans="7:8">
      <c r="G2112">
        <v>2102</v>
      </c>
      <c r="H2112">
        <f t="shared" ca="1" si="40"/>
        <v>-1.7850229601367687E-2</v>
      </c>
    </row>
    <row r="2113" spans="7:8">
      <c r="G2113">
        <v>2103</v>
      </c>
      <c r="H2113">
        <f t="shared" ca="1" si="40"/>
        <v>-1.2687843664192592E-2</v>
      </c>
    </row>
    <row r="2114" spans="7:8">
      <c r="G2114">
        <v>2104</v>
      </c>
      <c r="H2114">
        <f t="shared" ca="1" si="40"/>
        <v>-2.4107015325060342E-2</v>
      </c>
    </row>
    <row r="2115" spans="7:8">
      <c r="G2115">
        <v>2105</v>
      </c>
      <c r="H2115">
        <f t="shared" ca="1" si="40"/>
        <v>-2.4044223928124466E-2</v>
      </c>
    </row>
    <row r="2116" spans="7:8">
      <c r="G2116">
        <v>2106</v>
      </c>
      <c r="H2116">
        <f t="shared" ca="1" si="40"/>
        <v>-5.6145498719342652E-3</v>
      </c>
    </row>
    <row r="2117" spans="7:8">
      <c r="G2117">
        <v>2107</v>
      </c>
      <c r="H2117">
        <f t="shared" ca="1" si="40"/>
        <v>2.8814790176844733E-2</v>
      </c>
    </row>
    <row r="2118" spans="7:8">
      <c r="G2118">
        <v>2108</v>
      </c>
      <c r="H2118">
        <f t="shared" ca="1" si="40"/>
        <v>1.2576417921286585E-2</v>
      </c>
    </row>
    <row r="2119" spans="7:8">
      <c r="G2119">
        <v>2109</v>
      </c>
      <c r="H2119">
        <f t="shared" ca="1" si="40"/>
        <v>2.0243120384418129E-2</v>
      </c>
    </row>
    <row r="2120" spans="7:8">
      <c r="G2120">
        <v>2110</v>
      </c>
      <c r="H2120">
        <f t="shared" ca="1" si="40"/>
        <v>-2.3979609147224697E-2</v>
      </c>
    </row>
    <row r="2121" spans="7:8">
      <c r="G2121">
        <v>2111</v>
      </c>
      <c r="H2121">
        <f t="shared" ca="1" si="40"/>
        <v>1.383535821852553E-2</v>
      </c>
    </row>
    <row r="2122" spans="7:8">
      <c r="G2122">
        <v>2112</v>
      </c>
      <c r="H2122">
        <f t="shared" ca="1" si="40"/>
        <v>-1.8229435847471762E-2</v>
      </c>
    </row>
    <row r="2123" spans="7:8">
      <c r="G2123">
        <v>2113</v>
      </c>
      <c r="H2123">
        <f t="shared" ca="1" si="40"/>
        <v>3.5120221727448632E-3</v>
      </c>
    </row>
    <row r="2124" spans="7:8">
      <c r="G2124">
        <v>2114</v>
      </c>
      <c r="H2124">
        <f t="shared" ref="H2124:H2187" ca="1" si="41">_xlfn.NORM.INV(RAND(),N$13,N$14)</f>
        <v>-3.6278474654725993E-3</v>
      </c>
    </row>
    <row r="2125" spans="7:8">
      <c r="G2125">
        <v>2115</v>
      </c>
      <c r="H2125">
        <f t="shared" ca="1" si="41"/>
        <v>-2.2620602456741634E-2</v>
      </c>
    </row>
    <row r="2126" spans="7:8">
      <c r="G2126">
        <v>2116</v>
      </c>
      <c r="H2126">
        <f t="shared" ca="1" si="41"/>
        <v>-1.9391985238169332E-2</v>
      </c>
    </row>
    <row r="2127" spans="7:8">
      <c r="G2127">
        <v>2117</v>
      </c>
      <c r="H2127">
        <f t="shared" ca="1" si="41"/>
        <v>-4.4653841592129866E-2</v>
      </c>
    </row>
    <row r="2128" spans="7:8">
      <c r="G2128">
        <v>2118</v>
      </c>
      <c r="H2128">
        <f t="shared" ca="1" si="41"/>
        <v>-6.0197888982193738E-3</v>
      </c>
    </row>
    <row r="2129" spans="7:8">
      <c r="G2129">
        <v>2119</v>
      </c>
      <c r="H2129">
        <f t="shared" ca="1" si="41"/>
        <v>7.5535429864369017E-3</v>
      </c>
    </row>
    <row r="2130" spans="7:8">
      <c r="G2130">
        <v>2120</v>
      </c>
      <c r="H2130">
        <f t="shared" ca="1" si="41"/>
        <v>-7.9363875532928799E-3</v>
      </c>
    </row>
    <row r="2131" spans="7:8">
      <c r="G2131">
        <v>2121</v>
      </c>
      <c r="H2131">
        <f t="shared" ca="1" si="41"/>
        <v>-5.8574106048512277E-3</v>
      </c>
    </row>
    <row r="2132" spans="7:8">
      <c r="G2132">
        <v>2122</v>
      </c>
      <c r="H2132">
        <f t="shared" ca="1" si="41"/>
        <v>-1.9849492287762512E-2</v>
      </c>
    </row>
    <row r="2133" spans="7:8">
      <c r="G2133">
        <v>2123</v>
      </c>
      <c r="H2133">
        <f t="shared" ca="1" si="41"/>
        <v>-1.6041275079427763E-3</v>
      </c>
    </row>
    <row r="2134" spans="7:8">
      <c r="G2134">
        <v>2124</v>
      </c>
      <c r="H2134">
        <f t="shared" ca="1" si="41"/>
        <v>-7.1799986666294772E-3</v>
      </c>
    </row>
    <row r="2135" spans="7:8">
      <c r="G2135">
        <v>2125</v>
      </c>
      <c r="H2135">
        <f t="shared" ca="1" si="41"/>
        <v>-2.0769066759400996E-2</v>
      </c>
    </row>
    <row r="2136" spans="7:8">
      <c r="G2136">
        <v>2126</v>
      </c>
      <c r="H2136">
        <f t="shared" ca="1" si="41"/>
        <v>2.9455718223510906E-2</v>
      </c>
    </row>
    <row r="2137" spans="7:8">
      <c r="G2137">
        <v>2127</v>
      </c>
      <c r="H2137">
        <f t="shared" ca="1" si="41"/>
        <v>-3.1937946889946736E-2</v>
      </c>
    </row>
    <row r="2138" spans="7:8">
      <c r="G2138">
        <v>2128</v>
      </c>
      <c r="H2138">
        <f t="shared" ca="1" si="41"/>
        <v>-3.2392771443098288E-2</v>
      </c>
    </row>
    <row r="2139" spans="7:8">
      <c r="G2139">
        <v>2129</v>
      </c>
      <c r="H2139">
        <f t="shared" ca="1" si="41"/>
        <v>4.2144584838602284E-2</v>
      </c>
    </row>
    <row r="2140" spans="7:8">
      <c r="G2140">
        <v>2130</v>
      </c>
      <c r="H2140">
        <f t="shared" ca="1" si="41"/>
        <v>2.5007232782181633E-2</v>
      </c>
    </row>
    <row r="2141" spans="7:8">
      <c r="G2141">
        <v>2131</v>
      </c>
      <c r="H2141">
        <f t="shared" ca="1" si="41"/>
        <v>-4.0012886880618874E-3</v>
      </c>
    </row>
    <row r="2142" spans="7:8">
      <c r="G2142">
        <v>2132</v>
      </c>
      <c r="H2142">
        <f t="shared" ca="1" si="41"/>
        <v>1.2046644488848061E-4</v>
      </c>
    </row>
    <row r="2143" spans="7:8">
      <c r="G2143">
        <v>2133</v>
      </c>
      <c r="H2143">
        <f t="shared" ca="1" si="41"/>
        <v>-5.8899753236616214E-3</v>
      </c>
    </row>
    <row r="2144" spans="7:8">
      <c r="G2144">
        <v>2134</v>
      </c>
      <c r="H2144">
        <f t="shared" ca="1" si="41"/>
        <v>3.4648767128484252E-3</v>
      </c>
    </row>
    <row r="2145" spans="7:8">
      <c r="G2145">
        <v>2135</v>
      </c>
      <c r="H2145">
        <f t="shared" ca="1" si="41"/>
        <v>-9.5901983755198351E-3</v>
      </c>
    </row>
    <row r="2146" spans="7:8">
      <c r="G2146">
        <v>2136</v>
      </c>
      <c r="H2146">
        <f t="shared" ca="1" si="41"/>
        <v>-1.5320301290806804E-2</v>
      </c>
    </row>
    <row r="2147" spans="7:8">
      <c r="G2147">
        <v>2137</v>
      </c>
      <c r="H2147">
        <f t="shared" ca="1" si="41"/>
        <v>2.8596552798192062E-2</v>
      </c>
    </row>
    <row r="2148" spans="7:8">
      <c r="G2148">
        <v>2138</v>
      </c>
      <c r="H2148">
        <f t="shared" ca="1" si="41"/>
        <v>1.8752814198289499E-2</v>
      </c>
    </row>
    <row r="2149" spans="7:8">
      <c r="G2149">
        <v>2139</v>
      </c>
      <c r="H2149">
        <f t="shared" ca="1" si="41"/>
        <v>1.066701482792467E-2</v>
      </c>
    </row>
    <row r="2150" spans="7:8">
      <c r="G2150">
        <v>2140</v>
      </c>
      <c r="H2150">
        <f t="shared" ca="1" si="41"/>
        <v>-6.2635132523030379E-3</v>
      </c>
    </row>
    <row r="2151" spans="7:8">
      <c r="G2151">
        <v>2141</v>
      </c>
      <c r="H2151">
        <f t="shared" ca="1" si="41"/>
        <v>1.2815549224156439E-3</v>
      </c>
    </row>
    <row r="2152" spans="7:8">
      <c r="G2152">
        <v>2142</v>
      </c>
      <c r="H2152">
        <f t="shared" ca="1" si="41"/>
        <v>1.0159067474382364E-2</v>
      </c>
    </row>
    <row r="2153" spans="7:8">
      <c r="G2153">
        <v>2143</v>
      </c>
      <c r="H2153">
        <f t="shared" ca="1" si="41"/>
        <v>-1.8814493174230375E-2</v>
      </c>
    </row>
    <row r="2154" spans="7:8">
      <c r="G2154">
        <v>2144</v>
      </c>
      <c r="H2154">
        <f t="shared" ca="1" si="41"/>
        <v>-5.9112421945877792E-4</v>
      </c>
    </row>
    <row r="2155" spans="7:8">
      <c r="G2155">
        <v>2145</v>
      </c>
      <c r="H2155">
        <f t="shared" ca="1" si="41"/>
        <v>-2.4130541765612773E-2</v>
      </c>
    </row>
    <row r="2156" spans="7:8">
      <c r="G2156">
        <v>2146</v>
      </c>
      <c r="H2156">
        <f t="shared" ca="1" si="41"/>
        <v>-3.7482731041662103E-2</v>
      </c>
    </row>
    <row r="2157" spans="7:8">
      <c r="G2157">
        <v>2147</v>
      </c>
      <c r="H2157">
        <f t="shared" ca="1" si="41"/>
        <v>3.4595674587767487E-2</v>
      </c>
    </row>
    <row r="2158" spans="7:8">
      <c r="G2158">
        <v>2148</v>
      </c>
      <c r="H2158">
        <f t="shared" ca="1" si="41"/>
        <v>-5.2887074452750114E-2</v>
      </c>
    </row>
    <row r="2159" spans="7:8">
      <c r="G2159">
        <v>2149</v>
      </c>
      <c r="H2159">
        <f t="shared" ca="1" si="41"/>
        <v>3.0100757430868998E-3</v>
      </c>
    </row>
    <row r="2160" spans="7:8">
      <c r="G2160">
        <v>2150</v>
      </c>
      <c r="H2160">
        <f t="shared" ca="1" si="41"/>
        <v>2.5477968853552666E-2</v>
      </c>
    </row>
    <row r="2161" spans="7:8">
      <c r="G2161">
        <v>2151</v>
      </c>
      <c r="H2161">
        <f t="shared" ca="1" si="41"/>
        <v>1.1096753676726089E-2</v>
      </c>
    </row>
    <row r="2162" spans="7:8">
      <c r="G2162">
        <v>2152</v>
      </c>
      <c r="H2162">
        <f t="shared" ca="1" si="41"/>
        <v>3.9360844196183319E-2</v>
      </c>
    </row>
    <row r="2163" spans="7:8">
      <c r="G2163">
        <v>2153</v>
      </c>
      <c r="H2163">
        <f t="shared" ca="1" si="41"/>
        <v>2.7795495824897286E-2</v>
      </c>
    </row>
    <row r="2164" spans="7:8">
      <c r="G2164">
        <v>2154</v>
      </c>
      <c r="H2164">
        <f t="shared" ca="1" si="41"/>
        <v>1.8828786366538803E-2</v>
      </c>
    </row>
    <row r="2165" spans="7:8">
      <c r="G2165">
        <v>2155</v>
      </c>
      <c r="H2165">
        <f t="shared" ca="1" si="41"/>
        <v>-1.0870857317207935E-2</v>
      </c>
    </row>
    <row r="2166" spans="7:8">
      <c r="G2166">
        <v>2156</v>
      </c>
      <c r="H2166">
        <f t="shared" ca="1" si="41"/>
        <v>2.2259002668914445E-3</v>
      </c>
    </row>
    <row r="2167" spans="7:8">
      <c r="G2167">
        <v>2157</v>
      </c>
      <c r="H2167">
        <f t="shared" ca="1" si="41"/>
        <v>-1.7055100808409079E-2</v>
      </c>
    </row>
    <row r="2168" spans="7:8">
      <c r="G2168">
        <v>2158</v>
      </c>
      <c r="H2168">
        <f t="shared" ca="1" si="41"/>
        <v>-2.8738446495348853E-2</v>
      </c>
    </row>
    <row r="2169" spans="7:8">
      <c r="G2169">
        <v>2159</v>
      </c>
      <c r="H2169">
        <f t="shared" ca="1" si="41"/>
        <v>-4.0622932167271343E-2</v>
      </c>
    </row>
    <row r="2170" spans="7:8">
      <c r="G2170">
        <v>2160</v>
      </c>
      <c r="H2170">
        <f t="shared" ca="1" si="41"/>
        <v>-1.8411877234827973E-2</v>
      </c>
    </row>
    <row r="2171" spans="7:8">
      <c r="G2171">
        <v>2161</v>
      </c>
      <c r="H2171">
        <f t="shared" ca="1" si="41"/>
        <v>1.7865799277387549E-2</v>
      </c>
    </row>
    <row r="2172" spans="7:8">
      <c r="G2172">
        <v>2162</v>
      </c>
      <c r="H2172">
        <f t="shared" ca="1" si="41"/>
        <v>9.3624126052629115E-3</v>
      </c>
    </row>
    <row r="2173" spans="7:8">
      <c r="G2173">
        <v>2163</v>
      </c>
      <c r="H2173">
        <f t="shared" ca="1" si="41"/>
        <v>1.269716966301674E-2</v>
      </c>
    </row>
    <row r="2174" spans="7:8">
      <c r="G2174">
        <v>2164</v>
      </c>
      <c r="H2174">
        <f t="shared" ca="1" si="41"/>
        <v>-1.8404897845299951E-2</v>
      </c>
    </row>
    <row r="2175" spans="7:8">
      <c r="G2175">
        <v>2165</v>
      </c>
      <c r="H2175">
        <f t="shared" ca="1" si="41"/>
        <v>-3.3348015170266677E-3</v>
      </c>
    </row>
    <row r="2176" spans="7:8">
      <c r="G2176">
        <v>2166</v>
      </c>
      <c r="H2176">
        <f t="shared" ca="1" si="41"/>
        <v>-3.5278274085462683E-3</v>
      </c>
    </row>
    <row r="2177" spans="7:8">
      <c r="G2177">
        <v>2167</v>
      </c>
      <c r="H2177">
        <f t="shared" ca="1" si="41"/>
        <v>1.5353185095765484E-2</v>
      </c>
    </row>
    <row r="2178" spans="7:8">
      <c r="G2178">
        <v>2168</v>
      </c>
      <c r="H2178">
        <f t="shared" ca="1" si="41"/>
        <v>1.4563990267759851E-2</v>
      </c>
    </row>
    <row r="2179" spans="7:8">
      <c r="G2179">
        <v>2169</v>
      </c>
      <c r="H2179">
        <f t="shared" ca="1" si="41"/>
        <v>-1.9276529490340321E-3</v>
      </c>
    </row>
    <row r="2180" spans="7:8">
      <c r="G2180">
        <v>2170</v>
      </c>
      <c r="H2180">
        <f t="shared" ca="1" si="41"/>
        <v>-4.4660333747174995E-3</v>
      </c>
    </row>
    <row r="2181" spans="7:8">
      <c r="G2181">
        <v>2171</v>
      </c>
      <c r="H2181">
        <f t="shared" ca="1" si="41"/>
        <v>7.9641308767784205E-3</v>
      </c>
    </row>
    <row r="2182" spans="7:8">
      <c r="G2182">
        <v>2172</v>
      </c>
      <c r="H2182">
        <f t="shared" ca="1" si="41"/>
        <v>-2.9167954904422505E-2</v>
      </c>
    </row>
    <row r="2183" spans="7:8">
      <c r="G2183">
        <v>2173</v>
      </c>
      <c r="H2183">
        <f t="shared" ca="1" si="41"/>
        <v>3.4206894698958067E-2</v>
      </c>
    </row>
    <row r="2184" spans="7:8">
      <c r="G2184">
        <v>2174</v>
      </c>
      <c r="H2184">
        <f t="shared" ca="1" si="41"/>
        <v>-3.7599778136638035E-2</v>
      </c>
    </row>
    <row r="2185" spans="7:8">
      <c r="G2185">
        <v>2175</v>
      </c>
      <c r="H2185">
        <f t="shared" ca="1" si="41"/>
        <v>-4.5854136204666772E-3</v>
      </c>
    </row>
    <row r="2186" spans="7:8">
      <c r="G2186">
        <v>2176</v>
      </c>
      <c r="H2186">
        <f t="shared" ca="1" si="41"/>
        <v>-2.0651418656612935E-3</v>
      </c>
    </row>
    <row r="2187" spans="7:8">
      <c r="G2187">
        <v>2177</v>
      </c>
      <c r="H2187">
        <f t="shared" ca="1" si="41"/>
        <v>-3.665787237218953E-2</v>
      </c>
    </row>
    <row r="2188" spans="7:8">
      <c r="G2188">
        <v>2178</v>
      </c>
      <c r="H2188">
        <f t="shared" ref="H2188:H2251" ca="1" si="42">_xlfn.NORM.INV(RAND(),N$13,N$14)</f>
        <v>6.3154396540902047E-3</v>
      </c>
    </row>
    <row r="2189" spans="7:8">
      <c r="G2189">
        <v>2179</v>
      </c>
      <c r="H2189">
        <f t="shared" ca="1" si="42"/>
        <v>1.6554894249538543E-2</v>
      </c>
    </row>
    <row r="2190" spans="7:8">
      <c r="G2190">
        <v>2180</v>
      </c>
      <c r="H2190">
        <f t="shared" ca="1" si="42"/>
        <v>-3.3352865442890463E-2</v>
      </c>
    </row>
    <row r="2191" spans="7:8">
      <c r="G2191">
        <v>2181</v>
      </c>
      <c r="H2191">
        <f t="shared" ca="1" si="42"/>
        <v>-2.3225215758524421E-2</v>
      </c>
    </row>
    <row r="2192" spans="7:8">
      <c r="G2192">
        <v>2182</v>
      </c>
      <c r="H2192">
        <f t="shared" ca="1" si="42"/>
        <v>-5.5009380036507474E-2</v>
      </c>
    </row>
    <row r="2193" spans="7:8">
      <c r="G2193">
        <v>2183</v>
      </c>
      <c r="H2193">
        <f t="shared" ca="1" si="42"/>
        <v>3.5313852302291129E-2</v>
      </c>
    </row>
    <row r="2194" spans="7:8">
      <c r="G2194">
        <v>2184</v>
      </c>
      <c r="H2194">
        <f t="shared" ca="1" si="42"/>
        <v>-1.3340454043022927E-3</v>
      </c>
    </row>
    <row r="2195" spans="7:8">
      <c r="G2195">
        <v>2185</v>
      </c>
      <c r="H2195">
        <f t="shared" ca="1" si="42"/>
        <v>-1.2601710979565446E-2</v>
      </c>
    </row>
    <row r="2196" spans="7:8">
      <c r="G2196">
        <v>2186</v>
      </c>
      <c r="H2196">
        <f t="shared" ca="1" si="42"/>
        <v>-5.0264688756520978E-3</v>
      </c>
    </row>
    <row r="2197" spans="7:8">
      <c r="G2197">
        <v>2187</v>
      </c>
      <c r="H2197">
        <f t="shared" ca="1" si="42"/>
        <v>-1.2338427292520352E-2</v>
      </c>
    </row>
    <row r="2198" spans="7:8">
      <c r="G2198">
        <v>2188</v>
      </c>
      <c r="H2198">
        <f t="shared" ca="1" si="42"/>
        <v>-2.97800854052215E-2</v>
      </c>
    </row>
    <row r="2199" spans="7:8">
      <c r="G2199">
        <v>2189</v>
      </c>
      <c r="H2199">
        <f t="shared" ca="1" si="42"/>
        <v>1.7596624598528503E-2</v>
      </c>
    </row>
    <row r="2200" spans="7:8">
      <c r="G2200">
        <v>2190</v>
      </c>
      <c r="H2200">
        <f t="shared" ca="1" si="42"/>
        <v>3.8674610825251109E-3</v>
      </c>
    </row>
    <row r="2201" spans="7:8">
      <c r="G2201">
        <v>2191</v>
      </c>
      <c r="H2201">
        <f t="shared" ca="1" si="42"/>
        <v>-6.7501834690875178E-3</v>
      </c>
    </row>
    <row r="2202" spans="7:8">
      <c r="G2202">
        <v>2192</v>
      </c>
      <c r="H2202">
        <f t="shared" ca="1" si="42"/>
        <v>2.384022681699478E-2</v>
      </c>
    </row>
    <row r="2203" spans="7:8">
      <c r="G2203">
        <v>2193</v>
      </c>
      <c r="H2203">
        <f t="shared" ca="1" si="42"/>
        <v>-2.7938386430943696E-2</v>
      </c>
    </row>
    <row r="2204" spans="7:8">
      <c r="G2204">
        <v>2194</v>
      </c>
      <c r="H2204">
        <f t="shared" ca="1" si="42"/>
        <v>5.9415544549845847E-3</v>
      </c>
    </row>
    <row r="2205" spans="7:8">
      <c r="G2205">
        <v>2195</v>
      </c>
      <c r="H2205">
        <f t="shared" ca="1" si="42"/>
        <v>4.1493126722046719E-2</v>
      </c>
    </row>
    <row r="2206" spans="7:8">
      <c r="G2206">
        <v>2196</v>
      </c>
      <c r="H2206">
        <f t="shared" ca="1" si="42"/>
        <v>-9.8986722161006537E-3</v>
      </c>
    </row>
    <row r="2207" spans="7:8">
      <c r="G2207">
        <v>2197</v>
      </c>
      <c r="H2207">
        <f t="shared" ca="1" si="42"/>
        <v>2.610199497707907E-2</v>
      </c>
    </row>
    <row r="2208" spans="7:8">
      <c r="G2208">
        <v>2198</v>
      </c>
      <c r="H2208">
        <f t="shared" ca="1" si="42"/>
        <v>5.1330381791486052E-3</v>
      </c>
    </row>
    <row r="2209" spans="7:8">
      <c r="G2209">
        <v>2199</v>
      </c>
      <c r="H2209">
        <f t="shared" ca="1" si="42"/>
        <v>-3.3601531139012507E-2</v>
      </c>
    </row>
    <row r="2210" spans="7:8">
      <c r="G2210">
        <v>2200</v>
      </c>
      <c r="H2210">
        <f t="shared" ca="1" si="42"/>
        <v>3.431880397669511E-3</v>
      </c>
    </row>
    <row r="2211" spans="7:8">
      <c r="G2211">
        <v>2201</v>
      </c>
      <c r="H2211">
        <f t="shared" ca="1" si="42"/>
        <v>-2.2912587474667599E-2</v>
      </c>
    </row>
    <row r="2212" spans="7:8">
      <c r="G2212">
        <v>2202</v>
      </c>
      <c r="H2212">
        <f t="shared" ca="1" si="42"/>
        <v>3.3190448612392273E-2</v>
      </c>
    </row>
    <row r="2213" spans="7:8">
      <c r="G2213">
        <v>2203</v>
      </c>
      <c r="H2213">
        <f t="shared" ca="1" si="42"/>
        <v>6.9187797912372622E-3</v>
      </c>
    </row>
    <row r="2214" spans="7:8">
      <c r="G2214">
        <v>2204</v>
      </c>
      <c r="H2214">
        <f t="shared" ca="1" si="42"/>
        <v>-1.803352679422042E-2</v>
      </c>
    </row>
    <row r="2215" spans="7:8">
      <c r="G2215">
        <v>2205</v>
      </c>
      <c r="H2215">
        <f t="shared" ca="1" si="42"/>
        <v>-2.5392925038286589E-2</v>
      </c>
    </row>
    <row r="2216" spans="7:8">
      <c r="G2216">
        <v>2206</v>
      </c>
      <c r="H2216">
        <f t="shared" ca="1" si="42"/>
        <v>-1.8947533988912271E-2</v>
      </c>
    </row>
    <row r="2217" spans="7:8">
      <c r="G2217">
        <v>2207</v>
      </c>
      <c r="H2217">
        <f t="shared" ca="1" si="42"/>
        <v>8.7109121748720469E-3</v>
      </c>
    </row>
    <row r="2218" spans="7:8">
      <c r="G2218">
        <v>2208</v>
      </c>
      <c r="H2218">
        <f t="shared" ca="1" si="42"/>
        <v>-9.8691502414304244E-3</v>
      </c>
    </row>
    <row r="2219" spans="7:8">
      <c r="G2219">
        <v>2209</v>
      </c>
      <c r="H2219">
        <f t="shared" ca="1" si="42"/>
        <v>5.7906485081878432E-3</v>
      </c>
    </row>
    <row r="2220" spans="7:8">
      <c r="G2220">
        <v>2210</v>
      </c>
      <c r="H2220">
        <f t="shared" ca="1" si="42"/>
        <v>1.4916119594834822E-2</v>
      </c>
    </row>
    <row r="2221" spans="7:8">
      <c r="G2221">
        <v>2211</v>
      </c>
      <c r="H2221">
        <f t="shared" ca="1" si="42"/>
        <v>1.2937316721457311E-2</v>
      </c>
    </row>
    <row r="2222" spans="7:8">
      <c r="G2222">
        <v>2212</v>
      </c>
      <c r="H2222">
        <f t="shared" ca="1" si="42"/>
        <v>-8.4811989436630458E-3</v>
      </c>
    </row>
    <row r="2223" spans="7:8">
      <c r="G2223">
        <v>2213</v>
      </c>
      <c r="H2223">
        <f t="shared" ca="1" si="42"/>
        <v>-8.8172461251622199E-3</v>
      </c>
    </row>
    <row r="2224" spans="7:8">
      <c r="G2224">
        <v>2214</v>
      </c>
      <c r="H2224">
        <f t="shared" ca="1" si="42"/>
        <v>-1.38232538797875E-2</v>
      </c>
    </row>
    <row r="2225" spans="7:8">
      <c r="G2225">
        <v>2215</v>
      </c>
      <c r="H2225">
        <f t="shared" ca="1" si="42"/>
        <v>-5.2033659907776753E-2</v>
      </c>
    </row>
    <row r="2226" spans="7:8">
      <c r="G2226">
        <v>2216</v>
      </c>
      <c r="H2226">
        <f t="shared" ca="1" si="42"/>
        <v>-1.1103856446961923E-2</v>
      </c>
    </row>
    <row r="2227" spans="7:8">
      <c r="G2227">
        <v>2217</v>
      </c>
      <c r="H2227">
        <f t="shared" ca="1" si="42"/>
        <v>1.3093981103061069E-2</v>
      </c>
    </row>
    <row r="2228" spans="7:8">
      <c r="G2228">
        <v>2218</v>
      </c>
      <c r="H2228">
        <f t="shared" ca="1" si="42"/>
        <v>-1.3533552379136326E-2</v>
      </c>
    </row>
    <row r="2229" spans="7:8">
      <c r="G2229">
        <v>2219</v>
      </c>
      <c r="H2229">
        <f t="shared" ca="1" si="42"/>
        <v>2.6776206713968733E-3</v>
      </c>
    </row>
    <row r="2230" spans="7:8">
      <c r="G2230">
        <v>2220</v>
      </c>
      <c r="H2230">
        <f t="shared" ca="1" si="42"/>
        <v>-9.133472970862512E-3</v>
      </c>
    </row>
    <row r="2231" spans="7:8">
      <c r="G2231">
        <v>2221</v>
      </c>
      <c r="H2231">
        <f t="shared" ca="1" si="42"/>
        <v>6.3278106329526422E-3</v>
      </c>
    </row>
    <row r="2232" spans="7:8">
      <c r="G2232">
        <v>2222</v>
      </c>
      <c r="H2232">
        <f t="shared" ca="1" si="42"/>
        <v>2.5441867346703627E-3</v>
      </c>
    </row>
    <row r="2233" spans="7:8">
      <c r="G2233">
        <v>2223</v>
      </c>
      <c r="H2233">
        <f t="shared" ca="1" si="42"/>
        <v>-3.9160377517896895E-2</v>
      </c>
    </row>
    <row r="2234" spans="7:8">
      <c r="G2234">
        <v>2224</v>
      </c>
      <c r="H2234">
        <f t="shared" ca="1" si="42"/>
        <v>-8.6426840092986065E-3</v>
      </c>
    </row>
    <row r="2235" spans="7:8">
      <c r="G2235">
        <v>2225</v>
      </c>
      <c r="H2235">
        <f t="shared" ca="1" si="42"/>
        <v>-2.0599411197673605E-2</v>
      </c>
    </row>
    <row r="2236" spans="7:8">
      <c r="G2236">
        <v>2226</v>
      </c>
      <c r="H2236">
        <f t="shared" ca="1" si="42"/>
        <v>3.4526756875976422E-2</v>
      </c>
    </row>
    <row r="2237" spans="7:8">
      <c r="G2237">
        <v>2227</v>
      </c>
      <c r="H2237">
        <f t="shared" ca="1" si="42"/>
        <v>2.2459261281361331E-2</v>
      </c>
    </row>
    <row r="2238" spans="7:8">
      <c r="G2238">
        <v>2228</v>
      </c>
      <c r="H2238">
        <f t="shared" ca="1" si="42"/>
        <v>3.0503359553296371E-2</v>
      </c>
    </row>
    <row r="2239" spans="7:8">
      <c r="G2239">
        <v>2229</v>
      </c>
      <c r="H2239">
        <f t="shared" ca="1" si="42"/>
        <v>-1.2393541261365715E-2</v>
      </c>
    </row>
    <row r="2240" spans="7:8">
      <c r="G2240">
        <v>2230</v>
      </c>
      <c r="H2240">
        <f t="shared" ca="1" si="42"/>
        <v>1.8800666834975017E-2</v>
      </c>
    </row>
    <row r="2241" spans="7:8">
      <c r="G2241">
        <v>2231</v>
      </c>
      <c r="H2241">
        <f t="shared" ca="1" si="42"/>
        <v>-8.6260510711117823E-3</v>
      </c>
    </row>
    <row r="2242" spans="7:8">
      <c r="G2242">
        <v>2232</v>
      </c>
      <c r="H2242">
        <f t="shared" ca="1" si="42"/>
        <v>-2.9964745395622407E-2</v>
      </c>
    </row>
    <row r="2243" spans="7:8">
      <c r="G2243">
        <v>2233</v>
      </c>
      <c r="H2243">
        <f t="shared" ca="1" si="42"/>
        <v>-2.2924722454352356E-2</v>
      </c>
    </row>
    <row r="2244" spans="7:8">
      <c r="G2244">
        <v>2234</v>
      </c>
      <c r="H2244">
        <f t="shared" ca="1" si="42"/>
        <v>5.1329271362711955E-3</v>
      </c>
    </row>
    <row r="2245" spans="7:8">
      <c r="G2245">
        <v>2235</v>
      </c>
      <c r="H2245">
        <f t="shared" ca="1" si="42"/>
        <v>2.1674608448517953E-3</v>
      </c>
    </row>
    <row r="2246" spans="7:8">
      <c r="G2246">
        <v>2236</v>
      </c>
      <c r="H2246">
        <f t="shared" ca="1" si="42"/>
        <v>-2.6925355507291981E-2</v>
      </c>
    </row>
    <row r="2247" spans="7:8">
      <c r="G2247">
        <v>2237</v>
      </c>
      <c r="H2247">
        <f t="shared" ca="1" si="42"/>
        <v>-4.2276165969941312E-3</v>
      </c>
    </row>
    <row r="2248" spans="7:8">
      <c r="G2248">
        <v>2238</v>
      </c>
      <c r="H2248">
        <f t="shared" ca="1" si="42"/>
        <v>5.7368293061557133E-3</v>
      </c>
    </row>
    <row r="2249" spans="7:8">
      <c r="G2249">
        <v>2239</v>
      </c>
      <c r="H2249">
        <f t="shared" ca="1" si="42"/>
        <v>-3.8636237834322955E-2</v>
      </c>
    </row>
    <row r="2250" spans="7:8">
      <c r="G2250">
        <v>2240</v>
      </c>
      <c r="H2250">
        <f t="shared" ca="1" si="42"/>
        <v>2.7017599448579656E-2</v>
      </c>
    </row>
    <row r="2251" spans="7:8">
      <c r="G2251">
        <v>2241</v>
      </c>
      <c r="H2251">
        <f t="shared" ca="1" si="42"/>
        <v>1.9908440443963765E-2</v>
      </c>
    </row>
    <row r="2252" spans="7:8">
      <c r="G2252">
        <v>2242</v>
      </c>
      <c r="H2252">
        <f t="shared" ref="H2252:H2315" ca="1" si="43">_xlfn.NORM.INV(RAND(),N$13,N$14)</f>
        <v>-6.1941527598917766E-2</v>
      </c>
    </row>
    <row r="2253" spans="7:8">
      <c r="G2253">
        <v>2243</v>
      </c>
      <c r="H2253">
        <f t="shared" ca="1" si="43"/>
        <v>-2.1501842146090699E-2</v>
      </c>
    </row>
    <row r="2254" spans="7:8">
      <c r="G2254">
        <v>2244</v>
      </c>
      <c r="H2254">
        <f t="shared" ca="1" si="43"/>
        <v>3.7492112231057959E-2</v>
      </c>
    </row>
    <row r="2255" spans="7:8">
      <c r="G2255">
        <v>2245</v>
      </c>
      <c r="H2255">
        <f t="shared" ca="1" si="43"/>
        <v>-3.1516155572012643E-2</v>
      </c>
    </row>
    <row r="2256" spans="7:8">
      <c r="G2256">
        <v>2246</v>
      </c>
      <c r="H2256">
        <f t="shared" ca="1" si="43"/>
        <v>1.368253103174826E-2</v>
      </c>
    </row>
    <row r="2257" spans="7:8">
      <c r="G2257">
        <v>2247</v>
      </c>
      <c r="H2257">
        <f t="shared" ca="1" si="43"/>
        <v>3.5901353685496823E-2</v>
      </c>
    </row>
    <row r="2258" spans="7:8">
      <c r="G2258">
        <v>2248</v>
      </c>
      <c r="H2258">
        <f t="shared" ca="1" si="43"/>
        <v>-1.4959761301649555E-2</v>
      </c>
    </row>
    <row r="2259" spans="7:8">
      <c r="G2259">
        <v>2249</v>
      </c>
      <c r="H2259">
        <f t="shared" ca="1" si="43"/>
        <v>3.0299210391249962E-4</v>
      </c>
    </row>
    <row r="2260" spans="7:8">
      <c r="G2260">
        <v>2250</v>
      </c>
      <c r="H2260">
        <f t="shared" ca="1" si="43"/>
        <v>1.6294873215283797E-3</v>
      </c>
    </row>
    <row r="2261" spans="7:8">
      <c r="G2261">
        <v>2251</v>
      </c>
      <c r="H2261">
        <f t="shared" ca="1" si="43"/>
        <v>-3.4979702816047417E-3</v>
      </c>
    </row>
    <row r="2262" spans="7:8">
      <c r="G2262">
        <v>2252</v>
      </c>
      <c r="H2262">
        <f t="shared" ca="1" si="43"/>
        <v>-2.8502673584388905E-2</v>
      </c>
    </row>
    <row r="2263" spans="7:8">
      <c r="G2263">
        <v>2253</v>
      </c>
      <c r="H2263">
        <f t="shared" ca="1" si="43"/>
        <v>-1.2072402649591725E-2</v>
      </c>
    </row>
    <row r="2264" spans="7:8">
      <c r="G2264">
        <v>2254</v>
      </c>
      <c r="H2264">
        <f t="shared" ca="1" si="43"/>
        <v>-9.0994575859316331E-3</v>
      </c>
    </row>
    <row r="2265" spans="7:8">
      <c r="G2265">
        <v>2255</v>
      </c>
      <c r="H2265">
        <f t="shared" ca="1" si="43"/>
        <v>1.8801379288029951E-2</v>
      </c>
    </row>
    <row r="2266" spans="7:8">
      <c r="G2266">
        <v>2256</v>
      </c>
      <c r="H2266">
        <f t="shared" ca="1" si="43"/>
        <v>3.0770591240592091E-2</v>
      </c>
    </row>
    <row r="2267" spans="7:8">
      <c r="G2267">
        <v>2257</v>
      </c>
      <c r="H2267">
        <f t="shared" ca="1" si="43"/>
        <v>-3.4739006492201215E-3</v>
      </c>
    </row>
    <row r="2268" spans="7:8">
      <c r="G2268">
        <v>2258</v>
      </c>
      <c r="H2268">
        <f t="shared" ca="1" si="43"/>
        <v>3.6771160353155634E-2</v>
      </c>
    </row>
    <row r="2269" spans="7:8">
      <c r="G2269">
        <v>2259</v>
      </c>
      <c r="H2269">
        <f t="shared" ca="1" si="43"/>
        <v>2.7098382347490509E-2</v>
      </c>
    </row>
    <row r="2270" spans="7:8">
      <c r="G2270">
        <v>2260</v>
      </c>
      <c r="H2270">
        <f t="shared" ca="1" si="43"/>
        <v>-1.4476070435457523E-2</v>
      </c>
    </row>
    <row r="2271" spans="7:8">
      <c r="G2271">
        <v>2261</v>
      </c>
      <c r="H2271">
        <f t="shared" ca="1" si="43"/>
        <v>-1.8741541915331943E-2</v>
      </c>
    </row>
    <row r="2272" spans="7:8">
      <c r="G2272">
        <v>2262</v>
      </c>
      <c r="H2272">
        <f t="shared" ca="1" si="43"/>
        <v>-1.8365879890690974E-2</v>
      </c>
    </row>
    <row r="2273" spans="7:8">
      <c r="G2273">
        <v>2263</v>
      </c>
      <c r="H2273">
        <f t="shared" ca="1" si="43"/>
        <v>-6.0154366918949084E-3</v>
      </c>
    </row>
    <row r="2274" spans="7:8">
      <c r="G2274">
        <v>2264</v>
      </c>
      <c r="H2274">
        <f t="shared" ca="1" si="43"/>
        <v>1.9241420777999736E-2</v>
      </c>
    </row>
    <row r="2275" spans="7:8">
      <c r="G2275">
        <v>2265</v>
      </c>
      <c r="H2275">
        <f t="shared" ca="1" si="43"/>
        <v>9.671147472020955E-3</v>
      </c>
    </row>
    <row r="2276" spans="7:8">
      <c r="G2276">
        <v>2266</v>
      </c>
      <c r="H2276">
        <f t="shared" ca="1" si="43"/>
        <v>1.6998968255770828E-2</v>
      </c>
    </row>
    <row r="2277" spans="7:8">
      <c r="G2277">
        <v>2267</v>
      </c>
      <c r="H2277">
        <f t="shared" ca="1" si="43"/>
        <v>-2.1903307501886338E-2</v>
      </c>
    </row>
    <row r="2278" spans="7:8">
      <c r="G2278">
        <v>2268</v>
      </c>
      <c r="H2278">
        <f t="shared" ca="1" si="43"/>
        <v>-8.4430205815157547E-3</v>
      </c>
    </row>
    <row r="2279" spans="7:8">
      <c r="G2279">
        <v>2269</v>
      </c>
      <c r="H2279">
        <f t="shared" ca="1" si="43"/>
        <v>6.4421359217465141E-3</v>
      </c>
    </row>
    <row r="2280" spans="7:8">
      <c r="G2280">
        <v>2270</v>
      </c>
      <c r="H2280">
        <f t="shared" ca="1" si="43"/>
        <v>3.805425166763059E-3</v>
      </c>
    </row>
    <row r="2281" spans="7:8">
      <c r="G2281">
        <v>2271</v>
      </c>
      <c r="H2281">
        <f t="shared" ca="1" si="43"/>
        <v>2.7352826072048819E-2</v>
      </c>
    </row>
    <row r="2282" spans="7:8">
      <c r="G2282">
        <v>2272</v>
      </c>
      <c r="H2282">
        <f t="shared" ca="1" si="43"/>
        <v>-1.2597018379349465E-2</v>
      </c>
    </row>
    <row r="2283" spans="7:8">
      <c r="G2283">
        <v>2273</v>
      </c>
      <c r="H2283">
        <f t="shared" ca="1" si="43"/>
        <v>1.7150903499684768E-2</v>
      </c>
    </row>
    <row r="2284" spans="7:8">
      <c r="G2284">
        <v>2274</v>
      </c>
      <c r="H2284">
        <f t="shared" ca="1" si="43"/>
        <v>-1.6464224092856111E-2</v>
      </c>
    </row>
    <row r="2285" spans="7:8">
      <c r="G2285">
        <v>2275</v>
      </c>
      <c r="H2285">
        <f t="shared" ca="1" si="43"/>
        <v>2.1106393256902802E-2</v>
      </c>
    </row>
    <row r="2286" spans="7:8">
      <c r="G2286">
        <v>2276</v>
      </c>
      <c r="H2286">
        <f t="shared" ca="1" si="43"/>
        <v>-3.7331880219761908E-2</v>
      </c>
    </row>
    <row r="2287" spans="7:8">
      <c r="G2287">
        <v>2277</v>
      </c>
      <c r="H2287">
        <f t="shared" ca="1" si="43"/>
        <v>2.2756354409586343E-2</v>
      </c>
    </row>
    <row r="2288" spans="7:8">
      <c r="G2288">
        <v>2278</v>
      </c>
      <c r="H2288">
        <f t="shared" ca="1" si="43"/>
        <v>-2.0610182684999093E-2</v>
      </c>
    </row>
    <row r="2289" spans="7:8">
      <c r="G2289">
        <v>2279</v>
      </c>
      <c r="H2289">
        <f t="shared" ca="1" si="43"/>
        <v>2.3707739536091659E-2</v>
      </c>
    </row>
    <row r="2290" spans="7:8">
      <c r="G2290">
        <v>2280</v>
      </c>
      <c r="H2290">
        <f t="shared" ca="1" si="43"/>
        <v>-1.6860844399864683E-2</v>
      </c>
    </row>
    <row r="2291" spans="7:8">
      <c r="G2291">
        <v>2281</v>
      </c>
      <c r="H2291">
        <f t="shared" ca="1" si="43"/>
        <v>1.9919679700215819E-2</v>
      </c>
    </row>
    <row r="2292" spans="7:8">
      <c r="G2292">
        <v>2282</v>
      </c>
      <c r="H2292">
        <f t="shared" ca="1" si="43"/>
        <v>-7.4523883856917163E-3</v>
      </c>
    </row>
    <row r="2293" spans="7:8">
      <c r="G2293">
        <v>2283</v>
      </c>
      <c r="H2293">
        <f t="shared" ca="1" si="43"/>
        <v>9.7204889903774704E-3</v>
      </c>
    </row>
    <row r="2294" spans="7:8">
      <c r="G2294">
        <v>2284</v>
      </c>
      <c r="H2294">
        <f t="shared" ca="1" si="43"/>
        <v>-2.6107019980156503E-2</v>
      </c>
    </row>
    <row r="2295" spans="7:8">
      <c r="G2295">
        <v>2285</v>
      </c>
      <c r="H2295">
        <f t="shared" ca="1" si="43"/>
        <v>1.874896482123508E-2</v>
      </c>
    </row>
    <row r="2296" spans="7:8">
      <c r="G2296">
        <v>2286</v>
      </c>
      <c r="H2296">
        <f t="shared" ca="1" si="43"/>
        <v>-4.3447125591840581E-3</v>
      </c>
    </row>
    <row r="2297" spans="7:8">
      <c r="G2297">
        <v>2287</v>
      </c>
      <c r="H2297">
        <f t="shared" ca="1" si="43"/>
        <v>2.0244834017498527E-2</v>
      </c>
    </row>
    <row r="2298" spans="7:8">
      <c r="G2298">
        <v>2288</v>
      </c>
      <c r="H2298">
        <f t="shared" ca="1" si="43"/>
        <v>2.5523924445759242E-2</v>
      </c>
    </row>
    <row r="2299" spans="7:8">
      <c r="G2299">
        <v>2289</v>
      </c>
      <c r="H2299">
        <f t="shared" ca="1" si="43"/>
        <v>2.1341636534714055E-2</v>
      </c>
    </row>
    <row r="2300" spans="7:8">
      <c r="G2300">
        <v>2290</v>
      </c>
      <c r="H2300">
        <f t="shared" ca="1" si="43"/>
        <v>-2.9518609177741274E-2</v>
      </c>
    </row>
    <row r="2301" spans="7:8">
      <c r="G2301">
        <v>2291</v>
      </c>
      <c r="H2301">
        <f t="shared" ca="1" si="43"/>
        <v>4.0157404041152181E-3</v>
      </c>
    </row>
    <row r="2302" spans="7:8">
      <c r="G2302">
        <v>2292</v>
      </c>
      <c r="H2302">
        <f t="shared" ca="1" si="43"/>
        <v>-1.5785331672652871E-3</v>
      </c>
    </row>
    <row r="2303" spans="7:8">
      <c r="G2303">
        <v>2293</v>
      </c>
      <c r="H2303">
        <f t="shared" ca="1" si="43"/>
        <v>-2.1904830947666799E-2</v>
      </c>
    </row>
    <row r="2304" spans="7:8">
      <c r="G2304">
        <v>2294</v>
      </c>
      <c r="H2304">
        <f t="shared" ca="1" si="43"/>
        <v>-2.5417549356529512E-2</v>
      </c>
    </row>
    <row r="2305" spans="7:8">
      <c r="G2305">
        <v>2295</v>
      </c>
      <c r="H2305">
        <f t="shared" ca="1" si="43"/>
        <v>5.1967441803261226E-3</v>
      </c>
    </row>
    <row r="2306" spans="7:8">
      <c r="G2306">
        <v>2296</v>
      </c>
      <c r="H2306">
        <f t="shared" ca="1" si="43"/>
        <v>-1.4489168225441412E-2</v>
      </c>
    </row>
    <row r="2307" spans="7:8">
      <c r="G2307">
        <v>2297</v>
      </c>
      <c r="H2307">
        <f t="shared" ca="1" si="43"/>
        <v>1.6446160056521358E-2</v>
      </c>
    </row>
    <row r="2308" spans="7:8">
      <c r="G2308">
        <v>2298</v>
      </c>
      <c r="H2308">
        <f t="shared" ca="1" si="43"/>
        <v>1.3145926583699251E-2</v>
      </c>
    </row>
    <row r="2309" spans="7:8">
      <c r="G2309">
        <v>2299</v>
      </c>
      <c r="H2309">
        <f t="shared" ca="1" si="43"/>
        <v>1.630205382358043E-2</v>
      </c>
    </row>
    <row r="2310" spans="7:8">
      <c r="G2310">
        <v>2300</v>
      </c>
      <c r="H2310">
        <f t="shared" ca="1" si="43"/>
        <v>9.2169691357916008E-4</v>
      </c>
    </row>
    <row r="2311" spans="7:8">
      <c r="G2311">
        <v>2301</v>
      </c>
      <c r="H2311">
        <f t="shared" ca="1" si="43"/>
        <v>2.2668511004162065E-2</v>
      </c>
    </row>
    <row r="2312" spans="7:8">
      <c r="G2312">
        <v>2302</v>
      </c>
      <c r="H2312">
        <f t="shared" ca="1" si="43"/>
        <v>-4.2012479221263874E-2</v>
      </c>
    </row>
    <row r="2313" spans="7:8">
      <c r="G2313">
        <v>2303</v>
      </c>
      <c r="H2313">
        <f t="shared" ca="1" si="43"/>
        <v>-1.8332437868249601E-2</v>
      </c>
    </row>
    <row r="2314" spans="7:8">
      <c r="G2314">
        <v>2304</v>
      </c>
      <c r="H2314">
        <f t="shared" ca="1" si="43"/>
        <v>2.1035576596317856E-2</v>
      </c>
    </row>
    <row r="2315" spans="7:8">
      <c r="G2315">
        <v>2305</v>
      </c>
      <c r="H2315">
        <f t="shared" ca="1" si="43"/>
        <v>-1.2457505135468184E-2</v>
      </c>
    </row>
    <row r="2316" spans="7:8">
      <c r="G2316">
        <v>2306</v>
      </c>
      <c r="H2316">
        <f t="shared" ref="H2316:H2379" ca="1" si="44">_xlfn.NORM.INV(RAND(),N$13,N$14)</f>
        <v>1.5906731456147807E-2</v>
      </c>
    </row>
    <row r="2317" spans="7:8">
      <c r="G2317">
        <v>2307</v>
      </c>
      <c r="H2317">
        <f t="shared" ca="1" si="44"/>
        <v>-5.5791543851888567E-3</v>
      </c>
    </row>
    <row r="2318" spans="7:8">
      <c r="G2318">
        <v>2308</v>
      </c>
      <c r="H2318">
        <f t="shared" ca="1" si="44"/>
        <v>8.3990169271107445E-3</v>
      </c>
    </row>
    <row r="2319" spans="7:8">
      <c r="G2319">
        <v>2309</v>
      </c>
      <c r="H2319">
        <f t="shared" ca="1" si="44"/>
        <v>3.0063870309474344E-4</v>
      </c>
    </row>
    <row r="2320" spans="7:8">
      <c r="G2320">
        <v>2310</v>
      </c>
      <c r="H2320">
        <f t="shared" ca="1" si="44"/>
        <v>3.7016872617631057E-2</v>
      </c>
    </row>
    <row r="2321" spans="7:8">
      <c r="G2321">
        <v>2311</v>
      </c>
      <c r="H2321">
        <f t="shared" ca="1" si="44"/>
        <v>-1.6696016686667314E-2</v>
      </c>
    </row>
    <row r="2322" spans="7:8">
      <c r="G2322">
        <v>2312</v>
      </c>
      <c r="H2322">
        <f t="shared" ca="1" si="44"/>
        <v>-3.3173525290866847E-2</v>
      </c>
    </row>
    <row r="2323" spans="7:8">
      <c r="G2323">
        <v>2313</v>
      </c>
      <c r="H2323">
        <f t="shared" ca="1" si="44"/>
        <v>-1.8569364062583745E-2</v>
      </c>
    </row>
    <row r="2324" spans="7:8">
      <c r="G2324">
        <v>2314</v>
      </c>
      <c r="H2324">
        <f t="shared" ca="1" si="44"/>
        <v>4.599028426650993E-3</v>
      </c>
    </row>
    <row r="2325" spans="7:8">
      <c r="G2325">
        <v>2315</v>
      </c>
      <c r="H2325">
        <f t="shared" ca="1" si="44"/>
        <v>-2.079623817127936E-2</v>
      </c>
    </row>
    <row r="2326" spans="7:8">
      <c r="G2326">
        <v>2316</v>
      </c>
      <c r="H2326">
        <f t="shared" ca="1" si="44"/>
        <v>-1.3282804702591047E-2</v>
      </c>
    </row>
    <row r="2327" spans="7:8">
      <c r="G2327">
        <v>2317</v>
      </c>
      <c r="H2327">
        <f t="shared" ca="1" si="44"/>
        <v>-1.7771229804550957E-2</v>
      </c>
    </row>
    <row r="2328" spans="7:8">
      <c r="G2328">
        <v>2318</v>
      </c>
      <c r="H2328">
        <f t="shared" ca="1" si="44"/>
        <v>-2.4564195805047487E-2</v>
      </c>
    </row>
    <row r="2329" spans="7:8">
      <c r="G2329">
        <v>2319</v>
      </c>
      <c r="H2329">
        <f t="shared" ca="1" si="44"/>
        <v>2.4456550724488078E-2</v>
      </c>
    </row>
    <row r="2330" spans="7:8">
      <c r="G2330">
        <v>2320</v>
      </c>
      <c r="H2330">
        <f t="shared" ca="1" si="44"/>
        <v>1.8764923482575725E-2</v>
      </c>
    </row>
    <row r="2331" spans="7:8">
      <c r="G2331">
        <v>2321</v>
      </c>
      <c r="H2331">
        <f t="shared" ca="1" si="44"/>
        <v>5.8515429465857043E-3</v>
      </c>
    </row>
    <row r="2332" spans="7:8">
      <c r="G2332">
        <v>2322</v>
      </c>
      <c r="H2332">
        <f t="shared" ca="1" si="44"/>
        <v>1.4076349704295402E-2</v>
      </c>
    </row>
    <row r="2333" spans="7:8">
      <c r="G2333">
        <v>2323</v>
      </c>
      <c r="H2333">
        <f t="shared" ca="1" si="44"/>
        <v>-5.0784495311610354E-4</v>
      </c>
    </row>
    <row r="2334" spans="7:8">
      <c r="G2334">
        <v>2324</v>
      </c>
      <c r="H2334">
        <f t="shared" ca="1" si="44"/>
        <v>-7.7248697250644127E-3</v>
      </c>
    </row>
    <row r="2335" spans="7:8">
      <c r="G2335">
        <v>2325</v>
      </c>
      <c r="H2335">
        <f t="shared" ca="1" si="44"/>
        <v>-4.2223930328186353E-2</v>
      </c>
    </row>
    <row r="2336" spans="7:8">
      <c r="G2336">
        <v>2326</v>
      </c>
      <c r="H2336">
        <f t="shared" ca="1" si="44"/>
        <v>2.8198678186291504E-2</v>
      </c>
    </row>
    <row r="2337" spans="7:8">
      <c r="G2337">
        <v>2327</v>
      </c>
      <c r="H2337">
        <f t="shared" ca="1" si="44"/>
        <v>6.8740999628919839E-3</v>
      </c>
    </row>
    <row r="2338" spans="7:8">
      <c r="G2338">
        <v>2328</v>
      </c>
      <c r="H2338">
        <f t="shared" ca="1" si="44"/>
        <v>-9.7331103793620727E-3</v>
      </c>
    </row>
    <row r="2339" spans="7:8">
      <c r="G2339">
        <v>2329</v>
      </c>
      <c r="H2339">
        <f t="shared" ca="1" si="44"/>
        <v>-1.7887301810407596E-2</v>
      </c>
    </row>
    <row r="2340" spans="7:8">
      <c r="G2340">
        <v>2330</v>
      </c>
      <c r="H2340">
        <f t="shared" ca="1" si="44"/>
        <v>-1.9417523370326331E-2</v>
      </c>
    </row>
    <row r="2341" spans="7:8">
      <c r="G2341">
        <v>2331</v>
      </c>
      <c r="H2341">
        <f t="shared" ca="1" si="44"/>
        <v>1.4399344923130837E-3</v>
      </c>
    </row>
    <row r="2342" spans="7:8">
      <c r="G2342">
        <v>2332</v>
      </c>
      <c r="H2342">
        <f t="shared" ca="1" si="44"/>
        <v>-7.0962926610963234E-2</v>
      </c>
    </row>
    <row r="2343" spans="7:8">
      <c r="G2343">
        <v>2333</v>
      </c>
      <c r="H2343">
        <f t="shared" ca="1" si="44"/>
        <v>2.0548958449756155E-2</v>
      </c>
    </row>
    <row r="2344" spans="7:8">
      <c r="G2344">
        <v>2334</v>
      </c>
      <c r="H2344">
        <f t="shared" ca="1" si="44"/>
        <v>2.5962622680023351E-2</v>
      </c>
    </row>
    <row r="2345" spans="7:8">
      <c r="G2345">
        <v>2335</v>
      </c>
      <c r="H2345">
        <f t="shared" ca="1" si="44"/>
        <v>3.7828535019174304E-2</v>
      </c>
    </row>
    <row r="2346" spans="7:8">
      <c r="G2346">
        <v>2336</v>
      </c>
      <c r="H2346">
        <f t="shared" ca="1" si="44"/>
        <v>2.9807192605499522E-2</v>
      </c>
    </row>
    <row r="2347" spans="7:8">
      <c r="G2347">
        <v>2337</v>
      </c>
      <c r="H2347">
        <f t="shared" ca="1" si="44"/>
        <v>-9.3157516890800367E-3</v>
      </c>
    </row>
    <row r="2348" spans="7:8">
      <c r="G2348">
        <v>2338</v>
      </c>
      <c r="H2348">
        <f t="shared" ca="1" si="44"/>
        <v>5.5634163425760394E-3</v>
      </c>
    </row>
    <row r="2349" spans="7:8">
      <c r="G2349">
        <v>2339</v>
      </c>
      <c r="H2349">
        <f t="shared" ca="1" si="44"/>
        <v>-1.4566507019710632E-2</v>
      </c>
    </row>
    <row r="2350" spans="7:8">
      <c r="G2350">
        <v>2340</v>
      </c>
      <c r="H2350">
        <f t="shared" ca="1" si="44"/>
        <v>-1.9380808427422545E-2</v>
      </c>
    </row>
    <row r="2351" spans="7:8">
      <c r="G2351">
        <v>2341</v>
      </c>
      <c r="H2351">
        <f t="shared" ca="1" si="44"/>
        <v>-2.2821183309913377E-3</v>
      </c>
    </row>
    <row r="2352" spans="7:8">
      <c r="G2352">
        <v>2342</v>
      </c>
      <c r="H2352">
        <f t="shared" ca="1" si="44"/>
        <v>4.4690061321651375E-2</v>
      </c>
    </row>
    <row r="2353" spans="7:8">
      <c r="G2353">
        <v>2343</v>
      </c>
      <c r="H2353">
        <f t="shared" ca="1" si="44"/>
        <v>3.1668610735808178E-2</v>
      </c>
    </row>
    <row r="2354" spans="7:8">
      <c r="G2354">
        <v>2344</v>
      </c>
      <c r="H2354">
        <f t="shared" ca="1" si="44"/>
        <v>1.3393075615919939E-2</v>
      </c>
    </row>
    <row r="2355" spans="7:8">
      <c r="G2355">
        <v>2345</v>
      </c>
      <c r="H2355">
        <f t="shared" ca="1" si="44"/>
        <v>5.0710392180943711E-2</v>
      </c>
    </row>
    <row r="2356" spans="7:8">
      <c r="G2356">
        <v>2346</v>
      </c>
      <c r="H2356">
        <f t="shared" ca="1" si="44"/>
        <v>2.2595243064668952E-2</v>
      </c>
    </row>
    <row r="2357" spans="7:8">
      <c r="G2357">
        <v>2347</v>
      </c>
      <c r="H2357">
        <f t="shared" ca="1" si="44"/>
        <v>3.8114017768095219E-2</v>
      </c>
    </row>
    <row r="2358" spans="7:8">
      <c r="G2358">
        <v>2348</v>
      </c>
      <c r="H2358">
        <f t="shared" ca="1" si="44"/>
        <v>-1.3605430782058196E-2</v>
      </c>
    </row>
    <row r="2359" spans="7:8">
      <c r="G2359">
        <v>2349</v>
      </c>
      <c r="H2359">
        <f t="shared" ca="1" si="44"/>
        <v>-2.2879075692014875E-2</v>
      </c>
    </row>
    <row r="2360" spans="7:8">
      <c r="G2360">
        <v>2350</v>
      </c>
      <c r="H2360">
        <f t="shared" ca="1" si="44"/>
        <v>-2.6865813244286035E-2</v>
      </c>
    </row>
    <row r="2361" spans="7:8">
      <c r="G2361">
        <v>2351</v>
      </c>
      <c r="H2361">
        <f t="shared" ca="1" si="44"/>
        <v>9.8456134135755571E-3</v>
      </c>
    </row>
    <row r="2362" spans="7:8">
      <c r="G2362">
        <v>2352</v>
      </c>
      <c r="H2362">
        <f t="shared" ca="1" si="44"/>
        <v>-3.1569276187213294E-2</v>
      </c>
    </row>
    <row r="2363" spans="7:8">
      <c r="G2363">
        <v>2353</v>
      </c>
      <c r="H2363">
        <f t="shared" ca="1" si="44"/>
        <v>-1.1258091968882956E-3</v>
      </c>
    </row>
    <row r="2364" spans="7:8">
      <c r="G2364">
        <v>2354</v>
      </c>
      <c r="H2364">
        <f t="shared" ca="1" si="44"/>
        <v>9.2786112517601119E-3</v>
      </c>
    </row>
    <row r="2365" spans="7:8">
      <c r="G2365">
        <v>2355</v>
      </c>
      <c r="H2365">
        <f t="shared" ca="1" si="44"/>
        <v>3.8052756895599329E-3</v>
      </c>
    </row>
    <row r="2366" spans="7:8">
      <c r="G2366">
        <v>2356</v>
      </c>
      <c r="H2366">
        <f t="shared" ca="1" si="44"/>
        <v>3.6898706186665256E-2</v>
      </c>
    </row>
    <row r="2367" spans="7:8">
      <c r="G2367">
        <v>2357</v>
      </c>
      <c r="H2367">
        <f t="shared" ca="1" si="44"/>
        <v>5.1179281848349649E-3</v>
      </c>
    </row>
    <row r="2368" spans="7:8">
      <c r="G2368">
        <v>2358</v>
      </c>
      <c r="H2368">
        <f t="shared" ca="1" si="44"/>
        <v>7.2318667836069233E-3</v>
      </c>
    </row>
    <row r="2369" spans="7:8">
      <c r="G2369">
        <v>2359</v>
      </c>
      <c r="H2369">
        <f t="shared" ca="1" si="44"/>
        <v>4.6304176617546815E-2</v>
      </c>
    </row>
    <row r="2370" spans="7:8">
      <c r="G2370">
        <v>2360</v>
      </c>
      <c r="H2370">
        <f t="shared" ca="1" si="44"/>
        <v>-5.8628224477717903E-5</v>
      </c>
    </row>
    <row r="2371" spans="7:8">
      <c r="G2371">
        <v>2361</v>
      </c>
      <c r="H2371">
        <f t="shared" ca="1" si="44"/>
        <v>-8.248682735018182E-3</v>
      </c>
    </row>
    <row r="2372" spans="7:8">
      <c r="G2372">
        <v>2362</v>
      </c>
      <c r="H2372">
        <f t="shared" ca="1" si="44"/>
        <v>-1.7702113950493408E-2</v>
      </c>
    </row>
    <row r="2373" spans="7:8">
      <c r="G2373">
        <v>2363</v>
      </c>
      <c r="H2373">
        <f t="shared" ca="1" si="44"/>
        <v>4.0615847518945831E-3</v>
      </c>
    </row>
    <row r="2374" spans="7:8">
      <c r="G2374">
        <v>2364</v>
      </c>
      <c r="H2374">
        <f t="shared" ca="1" si="44"/>
        <v>-3.1754569150089086E-3</v>
      </c>
    </row>
    <row r="2375" spans="7:8">
      <c r="G2375">
        <v>2365</v>
      </c>
      <c r="H2375">
        <f t="shared" ca="1" si="44"/>
        <v>3.3084140445108483E-2</v>
      </c>
    </row>
    <row r="2376" spans="7:8">
      <c r="G2376">
        <v>2366</v>
      </c>
      <c r="H2376">
        <f t="shared" ca="1" si="44"/>
        <v>-1.3479132320641468E-2</v>
      </c>
    </row>
    <row r="2377" spans="7:8">
      <c r="G2377">
        <v>2367</v>
      </c>
      <c r="H2377">
        <f t="shared" ca="1" si="44"/>
        <v>1.2102681861959399E-2</v>
      </c>
    </row>
    <row r="2378" spans="7:8">
      <c r="G2378">
        <v>2368</v>
      </c>
      <c r="H2378">
        <f t="shared" ca="1" si="44"/>
        <v>-5.3378089690543931E-2</v>
      </c>
    </row>
    <row r="2379" spans="7:8">
      <c r="G2379">
        <v>2369</v>
      </c>
      <c r="H2379">
        <f t="shared" ca="1" si="44"/>
        <v>2.3917519047452113E-2</v>
      </c>
    </row>
    <row r="2380" spans="7:8">
      <c r="G2380">
        <v>2370</v>
      </c>
      <c r="H2380">
        <f t="shared" ref="H2380:H2443" ca="1" si="45">_xlfn.NORM.INV(RAND(),N$13,N$14)</f>
        <v>5.899310753499999E-3</v>
      </c>
    </row>
    <row r="2381" spans="7:8">
      <c r="G2381">
        <v>2371</v>
      </c>
      <c r="H2381">
        <f t="shared" ca="1" si="45"/>
        <v>-2.1976935007331794E-2</v>
      </c>
    </row>
    <row r="2382" spans="7:8">
      <c r="G2382">
        <v>2372</v>
      </c>
      <c r="H2382">
        <f t="shared" ca="1" si="45"/>
        <v>1.229200044624053E-2</v>
      </c>
    </row>
    <row r="2383" spans="7:8">
      <c r="G2383">
        <v>2373</v>
      </c>
      <c r="H2383">
        <f t="shared" ca="1" si="45"/>
        <v>1.775632492874258E-2</v>
      </c>
    </row>
    <row r="2384" spans="7:8">
      <c r="G2384">
        <v>2374</v>
      </c>
      <c r="H2384">
        <f t="shared" ca="1" si="45"/>
        <v>8.5912090148965118E-3</v>
      </c>
    </row>
    <row r="2385" spans="7:8">
      <c r="G2385">
        <v>2375</v>
      </c>
      <c r="H2385">
        <f t="shared" ca="1" si="45"/>
        <v>-3.9415157582579123E-2</v>
      </c>
    </row>
    <row r="2386" spans="7:8">
      <c r="G2386">
        <v>2376</v>
      </c>
      <c r="H2386">
        <f t="shared" ca="1" si="45"/>
        <v>-1.3435575354197479E-2</v>
      </c>
    </row>
    <row r="2387" spans="7:8">
      <c r="G2387">
        <v>2377</v>
      </c>
      <c r="H2387">
        <f t="shared" ca="1" si="45"/>
        <v>1.569510037078841E-2</v>
      </c>
    </row>
    <row r="2388" spans="7:8">
      <c r="G2388">
        <v>2378</v>
      </c>
      <c r="H2388">
        <f t="shared" ca="1" si="45"/>
        <v>1.8207569836400858E-2</v>
      </c>
    </row>
    <row r="2389" spans="7:8">
      <c r="G2389">
        <v>2379</v>
      </c>
      <c r="H2389">
        <f t="shared" ca="1" si="45"/>
        <v>-2.5153100471596696E-3</v>
      </c>
    </row>
    <row r="2390" spans="7:8">
      <c r="G2390">
        <v>2380</v>
      </c>
      <c r="H2390">
        <f t="shared" ca="1" si="45"/>
        <v>3.8956372013410749E-3</v>
      </c>
    </row>
    <row r="2391" spans="7:8">
      <c r="G2391">
        <v>2381</v>
      </c>
      <c r="H2391">
        <f t="shared" ca="1" si="45"/>
        <v>-6.9293920257541396E-3</v>
      </c>
    </row>
    <row r="2392" spans="7:8">
      <c r="G2392">
        <v>2382</v>
      </c>
      <c r="H2392">
        <f t="shared" ca="1" si="45"/>
        <v>-3.9939446756547007E-3</v>
      </c>
    </row>
    <row r="2393" spans="7:8">
      <c r="G2393">
        <v>2383</v>
      </c>
      <c r="H2393">
        <f t="shared" ca="1" si="45"/>
        <v>-2.0321453715588508E-2</v>
      </c>
    </row>
    <row r="2394" spans="7:8">
      <c r="G2394">
        <v>2384</v>
      </c>
      <c r="H2394">
        <f t="shared" ca="1" si="45"/>
        <v>3.1340716351124287E-2</v>
      </c>
    </row>
    <row r="2395" spans="7:8">
      <c r="G2395">
        <v>2385</v>
      </c>
      <c r="H2395">
        <f t="shared" ca="1" si="45"/>
        <v>1.1636970821084386E-2</v>
      </c>
    </row>
    <row r="2396" spans="7:8">
      <c r="G2396">
        <v>2386</v>
      </c>
      <c r="H2396">
        <f t="shared" ca="1" si="45"/>
        <v>1.7811940103537881E-2</v>
      </c>
    </row>
    <row r="2397" spans="7:8">
      <c r="G2397">
        <v>2387</v>
      </c>
      <c r="H2397">
        <f t="shared" ca="1" si="45"/>
        <v>-1.7389159411354736E-2</v>
      </c>
    </row>
    <row r="2398" spans="7:8">
      <c r="G2398">
        <v>2388</v>
      </c>
      <c r="H2398">
        <f t="shared" ca="1" si="45"/>
        <v>-2.7485669606897856E-2</v>
      </c>
    </row>
    <row r="2399" spans="7:8">
      <c r="G2399">
        <v>2389</v>
      </c>
      <c r="H2399">
        <f t="shared" ca="1" si="45"/>
        <v>-9.1478280965511943E-3</v>
      </c>
    </row>
    <row r="2400" spans="7:8">
      <c r="G2400">
        <v>2390</v>
      </c>
      <c r="H2400">
        <f t="shared" ca="1" si="45"/>
        <v>-5.2044002367528557E-3</v>
      </c>
    </row>
    <row r="2401" spans="7:8">
      <c r="G2401">
        <v>2391</v>
      </c>
      <c r="H2401">
        <f t="shared" ca="1" si="45"/>
        <v>1.6586503664310664E-2</v>
      </c>
    </row>
    <row r="2402" spans="7:8">
      <c r="G2402">
        <v>2392</v>
      </c>
      <c r="H2402">
        <f t="shared" ca="1" si="45"/>
        <v>3.395953743211854E-2</v>
      </c>
    </row>
    <row r="2403" spans="7:8">
      <c r="G2403">
        <v>2393</v>
      </c>
      <c r="H2403">
        <f t="shared" ca="1" si="45"/>
        <v>3.5539270367568737E-2</v>
      </c>
    </row>
    <row r="2404" spans="7:8">
      <c r="G2404">
        <v>2394</v>
      </c>
      <c r="H2404">
        <f t="shared" ca="1" si="45"/>
        <v>3.5311924615644807E-2</v>
      </c>
    </row>
    <row r="2405" spans="7:8">
      <c r="G2405">
        <v>2395</v>
      </c>
      <c r="H2405">
        <f t="shared" ca="1" si="45"/>
        <v>-1.1485256401028775E-2</v>
      </c>
    </row>
    <row r="2406" spans="7:8">
      <c r="G2406">
        <v>2396</v>
      </c>
      <c r="H2406">
        <f t="shared" ca="1" si="45"/>
        <v>-2.1605640110101087E-2</v>
      </c>
    </row>
    <row r="2407" spans="7:8">
      <c r="G2407">
        <v>2397</v>
      </c>
      <c r="H2407">
        <f t="shared" ca="1" si="45"/>
        <v>1.4036862482028047E-2</v>
      </c>
    </row>
    <row r="2408" spans="7:8">
      <c r="G2408">
        <v>2398</v>
      </c>
      <c r="H2408">
        <f t="shared" ca="1" si="45"/>
        <v>1.5582412430977998E-2</v>
      </c>
    </row>
    <row r="2409" spans="7:8">
      <c r="G2409">
        <v>2399</v>
      </c>
      <c r="H2409">
        <f t="shared" ca="1" si="45"/>
        <v>-2.539953640170596E-2</v>
      </c>
    </row>
    <row r="2410" spans="7:8">
      <c r="G2410">
        <v>2400</v>
      </c>
      <c r="H2410">
        <f t="shared" ca="1" si="45"/>
        <v>-2.8029588111201643E-2</v>
      </c>
    </row>
    <row r="2411" spans="7:8">
      <c r="G2411">
        <v>2401</v>
      </c>
      <c r="H2411">
        <f t="shared" ca="1" si="45"/>
        <v>-8.6142596984071854E-3</v>
      </c>
    </row>
    <row r="2412" spans="7:8">
      <c r="G2412">
        <v>2402</v>
      </c>
      <c r="H2412">
        <f t="shared" ca="1" si="45"/>
        <v>1.1197671272479436E-2</v>
      </c>
    </row>
    <row r="2413" spans="7:8">
      <c r="G2413">
        <v>2403</v>
      </c>
      <c r="H2413">
        <f t="shared" ca="1" si="45"/>
        <v>-3.4801865265265829E-3</v>
      </c>
    </row>
    <row r="2414" spans="7:8">
      <c r="G2414">
        <v>2404</v>
      </c>
      <c r="H2414">
        <f t="shared" ca="1" si="45"/>
        <v>3.7662702305651512E-4</v>
      </c>
    </row>
    <row r="2415" spans="7:8">
      <c r="G2415">
        <v>2405</v>
      </c>
      <c r="H2415">
        <f t="shared" ca="1" si="45"/>
        <v>4.4533282295413099E-3</v>
      </c>
    </row>
    <row r="2416" spans="7:8">
      <c r="G2416">
        <v>2406</v>
      </c>
      <c r="H2416">
        <f t="shared" ca="1" si="45"/>
        <v>1.3557277773638359E-2</v>
      </c>
    </row>
    <row r="2417" spans="7:8">
      <c r="G2417">
        <v>2407</v>
      </c>
      <c r="H2417">
        <f t="shared" ca="1" si="45"/>
        <v>7.7816037118429212E-3</v>
      </c>
    </row>
    <row r="2418" spans="7:8">
      <c r="G2418">
        <v>2408</v>
      </c>
      <c r="H2418">
        <f t="shared" ca="1" si="45"/>
        <v>-2.0572771505742198E-2</v>
      </c>
    </row>
    <row r="2419" spans="7:8">
      <c r="G2419">
        <v>2409</v>
      </c>
      <c r="H2419">
        <f t="shared" ca="1" si="45"/>
        <v>-4.7731756265424561E-3</v>
      </c>
    </row>
    <row r="2420" spans="7:8">
      <c r="G2420">
        <v>2410</v>
      </c>
      <c r="H2420">
        <f t="shared" ca="1" si="45"/>
        <v>8.2769162350382411E-3</v>
      </c>
    </row>
    <row r="2421" spans="7:8">
      <c r="G2421">
        <v>2411</v>
      </c>
      <c r="H2421">
        <f t="shared" ca="1" si="45"/>
        <v>2.0823650147030158E-2</v>
      </c>
    </row>
    <row r="2422" spans="7:8">
      <c r="G2422">
        <v>2412</v>
      </c>
      <c r="H2422">
        <f t="shared" ca="1" si="45"/>
        <v>5.3727042965570236E-3</v>
      </c>
    </row>
    <row r="2423" spans="7:8">
      <c r="G2423">
        <v>2413</v>
      </c>
      <c r="H2423">
        <f t="shared" ca="1" si="45"/>
        <v>-1.6959156226606549E-3</v>
      </c>
    </row>
    <row r="2424" spans="7:8">
      <c r="G2424">
        <v>2414</v>
      </c>
      <c r="H2424">
        <f t="shared" ca="1" si="45"/>
        <v>-2.8168399033961172E-4</v>
      </c>
    </row>
    <row r="2425" spans="7:8">
      <c r="G2425">
        <v>2415</v>
      </c>
      <c r="H2425">
        <f t="shared" ca="1" si="45"/>
        <v>-4.6540747381010786E-2</v>
      </c>
    </row>
    <row r="2426" spans="7:8">
      <c r="G2426">
        <v>2416</v>
      </c>
      <c r="H2426">
        <f t="shared" ca="1" si="45"/>
        <v>-1.2008625248873712E-2</v>
      </c>
    </row>
    <row r="2427" spans="7:8">
      <c r="G2427">
        <v>2417</v>
      </c>
      <c r="H2427">
        <f t="shared" ca="1" si="45"/>
        <v>3.2145571888644815E-2</v>
      </c>
    </row>
    <row r="2428" spans="7:8">
      <c r="G2428">
        <v>2418</v>
      </c>
      <c r="H2428">
        <f t="shared" ca="1" si="45"/>
        <v>4.5566613862434401E-3</v>
      </c>
    </row>
    <row r="2429" spans="7:8">
      <c r="G2429">
        <v>2419</v>
      </c>
      <c r="H2429">
        <f t="shared" ca="1" si="45"/>
        <v>2.0544715116522342E-2</v>
      </c>
    </row>
    <row r="2430" spans="7:8">
      <c r="G2430">
        <v>2420</v>
      </c>
      <c r="H2430">
        <f t="shared" ca="1" si="45"/>
        <v>2.9357285721999228E-2</v>
      </c>
    </row>
    <row r="2431" spans="7:8">
      <c r="G2431">
        <v>2421</v>
      </c>
      <c r="H2431">
        <f t="shared" ca="1" si="45"/>
        <v>9.7478565924448684E-3</v>
      </c>
    </row>
    <row r="2432" spans="7:8">
      <c r="G2432">
        <v>2422</v>
      </c>
      <c r="H2432">
        <f t="shared" ca="1" si="45"/>
        <v>-2.0135702268673731E-2</v>
      </c>
    </row>
    <row r="2433" spans="7:8">
      <c r="G2433">
        <v>2423</v>
      </c>
      <c r="H2433">
        <f t="shared" ca="1" si="45"/>
        <v>-8.7699804278281307E-3</v>
      </c>
    </row>
    <row r="2434" spans="7:8">
      <c r="G2434">
        <v>2424</v>
      </c>
      <c r="H2434">
        <f t="shared" ca="1" si="45"/>
        <v>2.938867422515408E-3</v>
      </c>
    </row>
    <row r="2435" spans="7:8">
      <c r="G2435">
        <v>2425</v>
      </c>
      <c r="H2435">
        <f t="shared" ca="1" si="45"/>
        <v>3.9704583926721149E-3</v>
      </c>
    </row>
    <row r="2436" spans="7:8">
      <c r="G2436">
        <v>2426</v>
      </c>
      <c r="H2436">
        <f t="shared" ca="1" si="45"/>
        <v>-1.5425041898218392E-2</v>
      </c>
    </row>
    <row r="2437" spans="7:8">
      <c r="G2437">
        <v>2427</v>
      </c>
      <c r="H2437">
        <f t="shared" ca="1" si="45"/>
        <v>-1.3635109631129029E-2</v>
      </c>
    </row>
    <row r="2438" spans="7:8">
      <c r="G2438">
        <v>2428</v>
      </c>
      <c r="H2438">
        <f t="shared" ca="1" si="45"/>
        <v>8.1899138254038096E-3</v>
      </c>
    </row>
    <row r="2439" spans="7:8">
      <c r="G2439">
        <v>2429</v>
      </c>
      <c r="H2439">
        <f t="shared" ca="1" si="45"/>
        <v>1.221985941192663E-2</v>
      </c>
    </row>
    <row r="2440" spans="7:8">
      <c r="G2440">
        <v>2430</v>
      </c>
      <c r="H2440">
        <f t="shared" ca="1" si="45"/>
        <v>9.4486006044454188E-3</v>
      </c>
    </row>
    <row r="2441" spans="7:8">
      <c r="G2441">
        <v>2431</v>
      </c>
      <c r="H2441">
        <f t="shared" ca="1" si="45"/>
        <v>-6.7519499277200121E-3</v>
      </c>
    </row>
    <row r="2442" spans="7:8">
      <c r="G2442">
        <v>2432</v>
      </c>
      <c r="H2442">
        <f t="shared" ca="1" si="45"/>
        <v>-1.4389646485311745E-2</v>
      </c>
    </row>
    <row r="2443" spans="7:8">
      <c r="G2443">
        <v>2433</v>
      </c>
      <c r="H2443">
        <f t="shared" ca="1" si="45"/>
        <v>4.6011856860125539E-3</v>
      </c>
    </row>
    <row r="2444" spans="7:8">
      <c r="G2444">
        <v>2434</v>
      </c>
      <c r="H2444">
        <f t="shared" ref="H2444:H2507" ca="1" si="46">_xlfn.NORM.INV(RAND(),N$13,N$14)</f>
        <v>-2.8433273765907867E-2</v>
      </c>
    </row>
    <row r="2445" spans="7:8">
      <c r="G2445">
        <v>2435</v>
      </c>
      <c r="H2445">
        <f t="shared" ca="1" si="46"/>
        <v>-1.4367909782304589E-2</v>
      </c>
    </row>
    <row r="2446" spans="7:8">
      <c r="G2446">
        <v>2436</v>
      </c>
      <c r="H2446">
        <f t="shared" ca="1" si="46"/>
        <v>-1.0684248514234647E-2</v>
      </c>
    </row>
    <row r="2447" spans="7:8">
      <c r="G2447">
        <v>2437</v>
      </c>
      <c r="H2447">
        <f t="shared" ca="1" si="46"/>
        <v>1.1404624409791477E-2</v>
      </c>
    </row>
    <row r="2448" spans="7:8">
      <c r="G2448">
        <v>2438</v>
      </c>
      <c r="H2448">
        <f t="shared" ca="1" si="46"/>
        <v>-1.1920025276358864E-2</v>
      </c>
    </row>
    <row r="2449" spans="7:8">
      <c r="G2449">
        <v>2439</v>
      </c>
      <c r="H2449">
        <f t="shared" ca="1" si="46"/>
        <v>-1.1494630554355263E-3</v>
      </c>
    </row>
    <row r="2450" spans="7:8">
      <c r="G2450">
        <v>2440</v>
      </c>
      <c r="H2450">
        <f t="shared" ca="1" si="46"/>
        <v>2.5556279130291948E-3</v>
      </c>
    </row>
    <row r="2451" spans="7:8">
      <c r="G2451">
        <v>2441</v>
      </c>
      <c r="H2451">
        <f t="shared" ca="1" si="46"/>
        <v>-1.6911493030404966E-2</v>
      </c>
    </row>
    <row r="2452" spans="7:8">
      <c r="G2452">
        <v>2442</v>
      </c>
      <c r="H2452">
        <f t="shared" ca="1" si="46"/>
        <v>1.1630383068748966E-2</v>
      </c>
    </row>
    <row r="2453" spans="7:8">
      <c r="G2453">
        <v>2443</v>
      </c>
      <c r="H2453">
        <f t="shared" ca="1" si="46"/>
        <v>-2.254550445270492E-2</v>
      </c>
    </row>
    <row r="2454" spans="7:8">
      <c r="G2454">
        <v>2444</v>
      </c>
      <c r="H2454">
        <f t="shared" ca="1" si="46"/>
        <v>2.2372076764517992E-2</v>
      </c>
    </row>
    <row r="2455" spans="7:8">
      <c r="G2455">
        <v>2445</v>
      </c>
      <c r="H2455">
        <f t="shared" ca="1" si="46"/>
        <v>-2.4948362699087619E-2</v>
      </c>
    </row>
    <row r="2456" spans="7:8">
      <c r="G2456">
        <v>2446</v>
      </c>
      <c r="H2456">
        <f t="shared" ca="1" si="46"/>
        <v>2.5911733895038182E-2</v>
      </c>
    </row>
    <row r="2457" spans="7:8">
      <c r="G2457">
        <v>2447</v>
      </c>
      <c r="H2457">
        <f t="shared" ca="1" si="46"/>
        <v>-1.6264015455880156E-2</v>
      </c>
    </row>
    <row r="2458" spans="7:8">
      <c r="G2458">
        <v>2448</v>
      </c>
      <c r="H2458">
        <f t="shared" ca="1" si="46"/>
        <v>1.0424634686936636E-2</v>
      </c>
    </row>
    <row r="2459" spans="7:8">
      <c r="G2459">
        <v>2449</v>
      </c>
      <c r="H2459">
        <f t="shared" ca="1" si="46"/>
        <v>5.0216508994439584E-3</v>
      </c>
    </row>
    <row r="2460" spans="7:8">
      <c r="G2460">
        <v>2450</v>
      </c>
      <c r="H2460">
        <f t="shared" ca="1" si="46"/>
        <v>-2.5123260262692463E-2</v>
      </c>
    </row>
    <row r="2461" spans="7:8">
      <c r="G2461">
        <v>2451</v>
      </c>
      <c r="H2461">
        <f t="shared" ca="1" si="46"/>
        <v>-1.6709797273818397E-2</v>
      </c>
    </row>
    <row r="2462" spans="7:8">
      <c r="G2462">
        <v>2452</v>
      </c>
      <c r="H2462">
        <f t="shared" ca="1" si="46"/>
        <v>-2.9527146528827156E-2</v>
      </c>
    </row>
    <row r="2463" spans="7:8">
      <c r="G2463">
        <v>2453</v>
      </c>
      <c r="H2463">
        <f t="shared" ca="1" si="46"/>
        <v>4.2299157288194979E-2</v>
      </c>
    </row>
    <row r="2464" spans="7:8">
      <c r="G2464">
        <v>2454</v>
      </c>
      <c r="H2464">
        <f t="shared" ca="1" si="46"/>
        <v>-1.9598040430751258E-2</v>
      </c>
    </row>
    <row r="2465" spans="7:8">
      <c r="G2465">
        <v>2455</v>
      </c>
      <c r="H2465">
        <f t="shared" ca="1" si="46"/>
        <v>7.9887697295459425E-3</v>
      </c>
    </row>
    <row r="2466" spans="7:8">
      <c r="G2466">
        <v>2456</v>
      </c>
      <c r="H2466">
        <f t="shared" ca="1" si="46"/>
        <v>-7.6101465881477552E-3</v>
      </c>
    </row>
    <row r="2467" spans="7:8">
      <c r="G2467">
        <v>2457</v>
      </c>
      <c r="H2467">
        <f t="shared" ca="1" si="46"/>
        <v>-8.4530612106347089E-3</v>
      </c>
    </row>
    <row r="2468" spans="7:8">
      <c r="G2468">
        <v>2458</v>
      </c>
      <c r="H2468">
        <f t="shared" ca="1" si="46"/>
        <v>1.5282080944486258E-2</v>
      </c>
    </row>
    <row r="2469" spans="7:8">
      <c r="G2469">
        <v>2459</v>
      </c>
      <c r="H2469">
        <f t="shared" ca="1" si="46"/>
        <v>-5.3951730981387738E-2</v>
      </c>
    </row>
    <row r="2470" spans="7:8">
      <c r="G2470">
        <v>2460</v>
      </c>
      <c r="H2470">
        <f t="shared" ca="1" si="46"/>
        <v>1.6624069878808163E-2</v>
      </c>
    </row>
    <row r="2471" spans="7:8">
      <c r="G2471">
        <v>2461</v>
      </c>
      <c r="H2471">
        <f t="shared" ca="1" si="46"/>
        <v>-2.3883910807699295E-3</v>
      </c>
    </row>
    <row r="2472" spans="7:8">
      <c r="G2472">
        <v>2462</v>
      </c>
      <c r="H2472">
        <f t="shared" ca="1" si="46"/>
        <v>-1.6133031831835457E-2</v>
      </c>
    </row>
    <row r="2473" spans="7:8">
      <c r="G2473">
        <v>2463</v>
      </c>
      <c r="H2473">
        <f t="shared" ca="1" si="46"/>
        <v>4.6061313503495432E-2</v>
      </c>
    </row>
    <row r="2474" spans="7:8">
      <c r="G2474">
        <v>2464</v>
      </c>
      <c r="H2474">
        <f t="shared" ca="1" si="46"/>
        <v>3.5790805385898031E-2</v>
      </c>
    </row>
    <row r="2475" spans="7:8">
      <c r="G2475">
        <v>2465</v>
      </c>
      <c r="H2475">
        <f t="shared" ca="1" si="46"/>
        <v>-1.4617583265713951E-2</v>
      </c>
    </row>
    <row r="2476" spans="7:8">
      <c r="G2476">
        <v>2466</v>
      </c>
      <c r="H2476">
        <f t="shared" ca="1" si="46"/>
        <v>7.2704997066350098E-3</v>
      </c>
    </row>
    <row r="2477" spans="7:8">
      <c r="G2477">
        <v>2467</v>
      </c>
      <c r="H2477">
        <f t="shared" ca="1" si="46"/>
        <v>-9.490977806379185E-3</v>
      </c>
    </row>
    <row r="2478" spans="7:8">
      <c r="G2478">
        <v>2468</v>
      </c>
      <c r="H2478">
        <f t="shared" ca="1" si="46"/>
        <v>1.155740118708277E-2</v>
      </c>
    </row>
    <row r="2479" spans="7:8">
      <c r="G2479">
        <v>2469</v>
      </c>
      <c r="H2479">
        <f t="shared" ca="1" si="46"/>
        <v>2.0148011679520472E-2</v>
      </c>
    </row>
    <row r="2480" spans="7:8">
      <c r="G2480">
        <v>2470</v>
      </c>
      <c r="H2480">
        <f t="shared" ca="1" si="46"/>
        <v>6.3258436192208155E-3</v>
      </c>
    </row>
    <row r="2481" spans="7:8">
      <c r="G2481">
        <v>2471</v>
      </c>
      <c r="H2481">
        <f t="shared" ca="1" si="46"/>
        <v>1.4789323637531618E-2</v>
      </c>
    </row>
    <row r="2482" spans="7:8">
      <c r="G2482">
        <v>2472</v>
      </c>
      <c r="H2482">
        <f t="shared" ca="1" si="46"/>
        <v>2.4741462686606271E-2</v>
      </c>
    </row>
    <row r="2483" spans="7:8">
      <c r="G2483">
        <v>2473</v>
      </c>
      <c r="H2483">
        <f t="shared" ca="1" si="46"/>
        <v>-1.6146730911149217E-2</v>
      </c>
    </row>
    <row r="2484" spans="7:8">
      <c r="G2484">
        <v>2474</v>
      </c>
      <c r="H2484">
        <f t="shared" ca="1" si="46"/>
        <v>2.2637219170881653E-2</v>
      </c>
    </row>
    <row r="2485" spans="7:8">
      <c r="G2485">
        <v>2475</v>
      </c>
      <c r="H2485">
        <f t="shared" ca="1" si="46"/>
        <v>-1.791857586194627E-2</v>
      </c>
    </row>
    <row r="2486" spans="7:8">
      <c r="G2486">
        <v>2476</v>
      </c>
      <c r="H2486">
        <f t="shared" ca="1" si="46"/>
        <v>1.3295427788137019E-3</v>
      </c>
    </row>
    <row r="2487" spans="7:8">
      <c r="G2487">
        <v>2477</v>
      </c>
      <c r="H2487">
        <f t="shared" ca="1" si="46"/>
        <v>1.1338131616908194E-2</v>
      </c>
    </row>
    <row r="2488" spans="7:8">
      <c r="G2488">
        <v>2478</v>
      </c>
      <c r="H2488">
        <f t="shared" ca="1" si="46"/>
        <v>-3.2322635840428798E-2</v>
      </c>
    </row>
    <row r="2489" spans="7:8">
      <c r="G2489">
        <v>2479</v>
      </c>
      <c r="H2489">
        <f t="shared" ca="1" si="46"/>
        <v>8.5526169120049966E-3</v>
      </c>
    </row>
    <row r="2490" spans="7:8">
      <c r="G2490">
        <v>2480</v>
      </c>
      <c r="H2490">
        <f t="shared" ca="1" si="46"/>
        <v>2.9015789359253825E-3</v>
      </c>
    </row>
    <row r="2491" spans="7:8">
      <c r="G2491">
        <v>2481</v>
      </c>
      <c r="H2491">
        <f t="shared" ca="1" si="46"/>
        <v>2.1105150213874959E-2</v>
      </c>
    </row>
    <row r="2492" spans="7:8">
      <c r="G2492">
        <v>2482</v>
      </c>
      <c r="H2492">
        <f t="shared" ca="1" si="46"/>
        <v>-6.3576426058654474E-3</v>
      </c>
    </row>
    <row r="2493" spans="7:8">
      <c r="G2493">
        <v>2483</v>
      </c>
      <c r="H2493">
        <f t="shared" ca="1" si="46"/>
        <v>-4.5573941595321264E-2</v>
      </c>
    </row>
    <row r="2494" spans="7:8">
      <c r="G2494">
        <v>2484</v>
      </c>
      <c r="H2494">
        <f t="shared" ca="1" si="46"/>
        <v>6.7040999428569174E-3</v>
      </c>
    </row>
    <row r="2495" spans="7:8">
      <c r="G2495">
        <v>2485</v>
      </c>
      <c r="H2495">
        <f t="shared" ca="1" si="46"/>
        <v>-1.3701294223670829E-2</v>
      </c>
    </row>
    <row r="2496" spans="7:8">
      <c r="G2496">
        <v>2486</v>
      </c>
      <c r="H2496">
        <f t="shared" ca="1" si="46"/>
        <v>9.4585637720288347E-3</v>
      </c>
    </row>
    <row r="2497" spans="7:8">
      <c r="G2497">
        <v>2487</v>
      </c>
      <c r="H2497">
        <f t="shared" ca="1" si="46"/>
        <v>-2.5390917305952356E-2</v>
      </c>
    </row>
    <row r="2498" spans="7:8">
      <c r="G2498">
        <v>2488</v>
      </c>
      <c r="H2498">
        <f t="shared" ca="1" si="46"/>
        <v>-1.8211850511924962E-2</v>
      </c>
    </row>
    <row r="2499" spans="7:8">
      <c r="G2499">
        <v>2489</v>
      </c>
      <c r="H2499">
        <f t="shared" ca="1" si="46"/>
        <v>2.9483709926028633E-2</v>
      </c>
    </row>
    <row r="2500" spans="7:8">
      <c r="G2500">
        <v>2490</v>
      </c>
      <c r="H2500">
        <f t="shared" ca="1" si="46"/>
        <v>-9.5747083655999717E-3</v>
      </c>
    </row>
    <row r="2501" spans="7:8">
      <c r="G2501">
        <v>2491</v>
      </c>
      <c r="H2501">
        <f t="shared" ca="1" si="46"/>
        <v>3.1767079784481227E-2</v>
      </c>
    </row>
    <row r="2502" spans="7:8">
      <c r="G2502">
        <v>2492</v>
      </c>
      <c r="H2502">
        <f t="shared" ca="1" si="46"/>
        <v>-8.5118838936836458E-3</v>
      </c>
    </row>
    <row r="2503" spans="7:8">
      <c r="G2503">
        <v>2493</v>
      </c>
      <c r="H2503">
        <f t="shared" ca="1" si="46"/>
        <v>2.0450993648147977E-2</v>
      </c>
    </row>
    <row r="2504" spans="7:8">
      <c r="G2504">
        <v>2494</v>
      </c>
      <c r="H2504">
        <f t="shared" ca="1" si="46"/>
        <v>-1.1818337663476185E-2</v>
      </c>
    </row>
    <row r="2505" spans="7:8">
      <c r="G2505">
        <v>2495</v>
      </c>
      <c r="H2505">
        <f t="shared" ca="1" si="46"/>
        <v>2.7279791097790176E-2</v>
      </c>
    </row>
    <row r="2506" spans="7:8">
      <c r="G2506">
        <v>2496</v>
      </c>
      <c r="H2506">
        <f t="shared" ca="1" si="46"/>
        <v>-2.6505350210901373E-2</v>
      </c>
    </row>
    <row r="2507" spans="7:8">
      <c r="G2507">
        <v>2497</v>
      </c>
      <c r="H2507">
        <f t="shared" ca="1" si="46"/>
        <v>-2.8772921170914416E-3</v>
      </c>
    </row>
    <row r="2508" spans="7:8">
      <c r="G2508">
        <v>2498</v>
      </c>
      <c r="H2508">
        <f t="shared" ref="H2508:H2571" ca="1" si="47">_xlfn.NORM.INV(RAND(),N$13,N$14)</f>
        <v>2.9192737866544946E-3</v>
      </c>
    </row>
    <row r="2509" spans="7:8">
      <c r="G2509">
        <v>2499</v>
      </c>
      <c r="H2509">
        <f t="shared" ca="1" si="47"/>
        <v>2.3118322002976734E-2</v>
      </c>
    </row>
    <row r="2510" spans="7:8">
      <c r="G2510">
        <v>2500</v>
      </c>
      <c r="H2510">
        <f t="shared" ca="1" si="47"/>
        <v>-5.3730583927916985E-3</v>
      </c>
    </row>
    <row r="2511" spans="7:8">
      <c r="G2511">
        <v>2501</v>
      </c>
      <c r="H2511">
        <f t="shared" ca="1" si="47"/>
        <v>-6.7387421282570385E-3</v>
      </c>
    </row>
    <row r="2512" spans="7:8">
      <c r="G2512">
        <v>2502</v>
      </c>
      <c r="H2512">
        <f t="shared" ca="1" si="47"/>
        <v>-2.5812815883612509E-2</v>
      </c>
    </row>
    <row r="2513" spans="7:8">
      <c r="G2513">
        <v>2503</v>
      </c>
      <c r="H2513">
        <f t="shared" ca="1" si="47"/>
        <v>-2.2555085343422918E-2</v>
      </c>
    </row>
    <row r="2514" spans="7:8">
      <c r="G2514">
        <v>2504</v>
      </c>
      <c r="H2514">
        <f t="shared" ca="1" si="47"/>
        <v>-1.908386305390938E-2</v>
      </c>
    </row>
    <row r="2515" spans="7:8">
      <c r="G2515">
        <v>2505</v>
      </c>
      <c r="H2515">
        <f t="shared" ca="1" si="47"/>
        <v>-3.7157623943248806E-2</v>
      </c>
    </row>
    <row r="2516" spans="7:8">
      <c r="G2516">
        <v>2506</v>
      </c>
      <c r="H2516">
        <f t="shared" ca="1" si="47"/>
        <v>-5.90840370857908E-4</v>
      </c>
    </row>
    <row r="2517" spans="7:8">
      <c r="G2517">
        <v>2507</v>
      </c>
      <c r="H2517">
        <f t="shared" ca="1" si="47"/>
        <v>2.4736087230846183E-2</v>
      </c>
    </row>
    <row r="2518" spans="7:8">
      <c r="G2518">
        <v>2508</v>
      </c>
      <c r="H2518">
        <f t="shared" ca="1" si="47"/>
        <v>-1.1356159631428581E-2</v>
      </c>
    </row>
    <row r="2519" spans="7:8">
      <c r="G2519">
        <v>2509</v>
      </c>
      <c r="H2519">
        <f t="shared" ca="1" si="47"/>
        <v>-2.474946399075989E-2</v>
      </c>
    </row>
    <row r="2520" spans="7:8">
      <c r="G2520">
        <v>2510</v>
      </c>
      <c r="H2520">
        <f t="shared" ca="1" si="47"/>
        <v>5.7011290186911243E-3</v>
      </c>
    </row>
    <row r="2521" spans="7:8">
      <c r="G2521">
        <v>2511</v>
      </c>
      <c r="H2521">
        <f t="shared" ca="1" si="47"/>
        <v>3.6568250424012932E-2</v>
      </c>
    </row>
    <row r="2522" spans="7:8">
      <c r="G2522">
        <v>2512</v>
      </c>
      <c r="H2522">
        <f t="shared" ca="1" si="47"/>
        <v>3.2026105700667863E-2</v>
      </c>
    </row>
    <row r="2523" spans="7:8">
      <c r="G2523">
        <v>2513</v>
      </c>
      <c r="H2523">
        <f t="shared" ca="1" si="47"/>
        <v>-1.7346853303970601E-2</v>
      </c>
    </row>
    <row r="2524" spans="7:8">
      <c r="G2524">
        <v>2514</v>
      </c>
      <c r="H2524">
        <f t="shared" ca="1" si="47"/>
        <v>1.4847326347203905E-2</v>
      </c>
    </row>
    <row r="2525" spans="7:8">
      <c r="G2525">
        <v>2515</v>
      </c>
      <c r="H2525">
        <f t="shared" ca="1" si="47"/>
        <v>1.809242326454422E-2</v>
      </c>
    </row>
    <row r="2526" spans="7:8">
      <c r="G2526">
        <v>2516</v>
      </c>
      <c r="H2526">
        <f t="shared" ca="1" si="47"/>
        <v>-1.9159097727370303E-2</v>
      </c>
    </row>
    <row r="2527" spans="7:8">
      <c r="G2527">
        <v>2517</v>
      </c>
      <c r="H2527">
        <f t="shared" ca="1" si="47"/>
        <v>-2.511670400119272E-2</v>
      </c>
    </row>
    <row r="2528" spans="7:8">
      <c r="G2528">
        <v>2518</v>
      </c>
      <c r="H2528">
        <f t="shared" ca="1" si="47"/>
        <v>-1.5170194196351154E-2</v>
      </c>
    </row>
    <row r="2529" spans="7:8">
      <c r="G2529">
        <v>2519</v>
      </c>
      <c r="H2529">
        <f t="shared" ca="1" si="47"/>
        <v>-5.551570771264989E-4</v>
      </c>
    </row>
    <row r="2530" spans="7:8">
      <c r="G2530">
        <v>2520</v>
      </c>
      <c r="H2530">
        <f t="shared" ca="1" si="47"/>
        <v>2.2679560047183949E-2</v>
      </c>
    </row>
    <row r="2531" spans="7:8">
      <c r="G2531">
        <v>2521</v>
      </c>
      <c r="H2531">
        <f t="shared" ca="1" si="47"/>
        <v>4.2121707654030172E-2</v>
      </c>
    </row>
    <row r="2532" spans="7:8">
      <c r="G2532">
        <v>2522</v>
      </c>
      <c r="H2532">
        <f t="shared" ca="1" si="47"/>
        <v>2.7637607209312937E-2</v>
      </c>
    </row>
    <row r="2533" spans="7:8">
      <c r="G2533">
        <v>2523</v>
      </c>
      <c r="H2533">
        <f t="shared" ca="1" si="47"/>
        <v>2.607700833256419E-2</v>
      </c>
    </row>
    <row r="2534" spans="7:8">
      <c r="G2534">
        <v>2524</v>
      </c>
      <c r="H2534">
        <f t="shared" ca="1" si="47"/>
        <v>1.7696274575922669E-2</v>
      </c>
    </row>
    <row r="2535" spans="7:8">
      <c r="G2535">
        <v>2525</v>
      </c>
      <c r="H2535">
        <f t="shared" ca="1" si="47"/>
        <v>-1.9502428895717364E-2</v>
      </c>
    </row>
    <row r="2536" spans="7:8">
      <c r="G2536">
        <v>2526</v>
      </c>
      <c r="H2536">
        <f t="shared" ca="1" si="47"/>
        <v>-8.2148936263047936E-3</v>
      </c>
    </row>
    <row r="2537" spans="7:8">
      <c r="G2537">
        <v>2527</v>
      </c>
      <c r="H2537">
        <f t="shared" ca="1" si="47"/>
        <v>-1.5425326277394163E-2</v>
      </c>
    </row>
    <row r="2538" spans="7:8">
      <c r="G2538">
        <v>2528</v>
      </c>
      <c r="H2538">
        <f t="shared" ca="1" si="47"/>
        <v>-4.5812742986688595E-2</v>
      </c>
    </row>
    <row r="2539" spans="7:8">
      <c r="G2539">
        <v>2529</v>
      </c>
      <c r="H2539">
        <f t="shared" ca="1" si="47"/>
        <v>4.3413609245438009E-2</v>
      </c>
    </row>
    <row r="2540" spans="7:8">
      <c r="G2540">
        <v>2530</v>
      </c>
      <c r="H2540">
        <f t="shared" ca="1" si="47"/>
        <v>9.72570157800123E-3</v>
      </c>
    </row>
    <row r="2541" spans="7:8">
      <c r="G2541">
        <v>2531</v>
      </c>
      <c r="H2541">
        <f t="shared" ca="1" si="47"/>
        <v>8.2395220755122605E-3</v>
      </c>
    </row>
    <row r="2542" spans="7:8">
      <c r="G2542">
        <v>2532</v>
      </c>
      <c r="H2542">
        <f t="shared" ca="1" si="47"/>
        <v>1.470379361238508E-2</v>
      </c>
    </row>
    <row r="2543" spans="7:8">
      <c r="G2543">
        <v>2533</v>
      </c>
      <c r="H2543">
        <f t="shared" ca="1" si="47"/>
        <v>-1.8559462680927639E-2</v>
      </c>
    </row>
    <row r="2544" spans="7:8">
      <c r="G2544">
        <v>2534</v>
      </c>
      <c r="H2544">
        <f t="shared" ca="1" si="47"/>
        <v>-2.1432330018745293E-2</v>
      </c>
    </row>
    <row r="2545" spans="7:8">
      <c r="G2545">
        <v>2535</v>
      </c>
      <c r="H2545">
        <f t="shared" ca="1" si="47"/>
        <v>-9.7242485762323908E-5</v>
      </c>
    </row>
    <row r="2546" spans="7:8">
      <c r="G2546">
        <v>2536</v>
      </c>
      <c r="H2546">
        <f t="shared" ca="1" si="47"/>
        <v>4.9420694254404115E-3</v>
      </c>
    </row>
    <row r="2547" spans="7:8">
      <c r="G2547">
        <v>2537</v>
      </c>
      <c r="H2547">
        <f t="shared" ca="1" si="47"/>
        <v>1.423050099415696E-2</v>
      </c>
    </row>
    <row r="2548" spans="7:8">
      <c r="G2548">
        <v>2538</v>
      </c>
      <c r="H2548">
        <f t="shared" ca="1" si="47"/>
        <v>-9.3561699937625992E-3</v>
      </c>
    </row>
    <row r="2549" spans="7:8">
      <c r="G2549">
        <v>2539</v>
      </c>
      <c r="H2549">
        <f t="shared" ca="1" si="47"/>
        <v>-3.0551102168607878E-3</v>
      </c>
    </row>
    <row r="2550" spans="7:8">
      <c r="G2550">
        <v>2540</v>
      </c>
      <c r="H2550">
        <f t="shared" ca="1" si="47"/>
        <v>6.1852712644282276E-3</v>
      </c>
    </row>
    <row r="2551" spans="7:8">
      <c r="G2551">
        <v>2541</v>
      </c>
      <c r="H2551">
        <f t="shared" ca="1" si="47"/>
        <v>5.4836999397408527E-3</v>
      </c>
    </row>
    <row r="2552" spans="7:8">
      <c r="G2552">
        <v>2542</v>
      </c>
      <c r="H2552">
        <f t="shared" ca="1" si="47"/>
        <v>-5.9865933425098323E-3</v>
      </c>
    </row>
    <row r="2553" spans="7:8">
      <c r="G2553">
        <v>2543</v>
      </c>
      <c r="H2553">
        <f t="shared" ca="1" si="47"/>
        <v>-1.7123113764655903E-2</v>
      </c>
    </row>
    <row r="2554" spans="7:8">
      <c r="G2554">
        <v>2544</v>
      </c>
      <c r="H2554">
        <f t="shared" ca="1" si="47"/>
        <v>4.6562149425548607E-2</v>
      </c>
    </row>
    <row r="2555" spans="7:8">
      <c r="G2555">
        <v>2545</v>
      </c>
      <c r="H2555">
        <f t="shared" ca="1" si="47"/>
        <v>-2.3940428821561929E-2</v>
      </c>
    </row>
    <row r="2556" spans="7:8">
      <c r="G2556">
        <v>2546</v>
      </c>
      <c r="H2556">
        <f t="shared" ca="1" si="47"/>
        <v>2.0823976535023655E-2</v>
      </c>
    </row>
    <row r="2557" spans="7:8">
      <c r="G2557">
        <v>2547</v>
      </c>
      <c r="H2557">
        <f t="shared" ca="1" si="47"/>
        <v>-2.9312399325328906E-2</v>
      </c>
    </row>
    <row r="2558" spans="7:8">
      <c r="G2558">
        <v>2548</v>
      </c>
      <c r="H2558">
        <f t="shared" ca="1" si="47"/>
        <v>-1.4459728884614E-2</v>
      </c>
    </row>
    <row r="2559" spans="7:8">
      <c r="G2559">
        <v>2549</v>
      </c>
      <c r="H2559">
        <f t="shared" ca="1" si="47"/>
        <v>1.2350854405774983E-2</v>
      </c>
    </row>
    <row r="2560" spans="7:8">
      <c r="G2560">
        <v>2550</v>
      </c>
      <c r="H2560">
        <f t="shared" ca="1" si="47"/>
        <v>-7.5155149022382373E-3</v>
      </c>
    </row>
    <row r="2561" spans="7:8">
      <c r="G2561">
        <v>2551</v>
      </c>
      <c r="H2561">
        <f t="shared" ca="1" si="47"/>
        <v>-9.9707758119770735E-3</v>
      </c>
    </row>
    <row r="2562" spans="7:8">
      <c r="G2562">
        <v>2552</v>
      </c>
      <c r="H2562">
        <f t="shared" ca="1" si="47"/>
        <v>3.9206496322884647E-3</v>
      </c>
    </row>
    <row r="2563" spans="7:8">
      <c r="G2563">
        <v>2553</v>
      </c>
      <c r="H2563">
        <f t="shared" ca="1" si="47"/>
        <v>-2.1230151785479493E-2</v>
      </c>
    </row>
    <row r="2564" spans="7:8">
      <c r="G2564">
        <v>2554</v>
      </c>
      <c r="H2564">
        <f t="shared" ca="1" si="47"/>
        <v>-1.5052107906428594E-2</v>
      </c>
    </row>
    <row r="2565" spans="7:8">
      <c r="G2565">
        <v>2555</v>
      </c>
      <c r="H2565">
        <f t="shared" ca="1" si="47"/>
        <v>-1.4585554041415962E-2</v>
      </c>
    </row>
    <row r="2566" spans="7:8">
      <c r="G2566">
        <v>2556</v>
      </c>
      <c r="H2566">
        <f t="shared" ca="1" si="47"/>
        <v>-2.2402892985547627E-2</v>
      </c>
    </row>
    <row r="2567" spans="7:8">
      <c r="G2567">
        <v>2557</v>
      </c>
      <c r="H2567">
        <f t="shared" ca="1" si="47"/>
        <v>-4.9873432235348694E-3</v>
      </c>
    </row>
    <row r="2568" spans="7:8">
      <c r="G2568">
        <v>2558</v>
      </c>
      <c r="H2568">
        <f t="shared" ca="1" si="47"/>
        <v>2.2399138011205506E-3</v>
      </c>
    </row>
    <row r="2569" spans="7:8">
      <c r="G2569">
        <v>2559</v>
      </c>
      <c r="H2569">
        <f t="shared" ca="1" si="47"/>
        <v>3.6446718957293062E-3</v>
      </c>
    </row>
    <row r="2570" spans="7:8">
      <c r="G2570">
        <v>2560</v>
      </c>
      <c r="H2570">
        <f t="shared" ca="1" si="47"/>
        <v>-2.5729491420705932E-2</v>
      </c>
    </row>
    <row r="2571" spans="7:8">
      <c r="G2571">
        <v>2561</v>
      </c>
      <c r="H2571">
        <f t="shared" ca="1" si="47"/>
        <v>-1.3633941192178259E-3</v>
      </c>
    </row>
    <row r="2572" spans="7:8">
      <c r="G2572">
        <v>2562</v>
      </c>
      <c r="H2572">
        <f t="shared" ref="H2572:H2635" ca="1" si="48">_xlfn.NORM.INV(RAND(),N$13,N$14)</f>
        <v>4.5634994245532128E-2</v>
      </c>
    </row>
    <row r="2573" spans="7:8">
      <c r="G2573">
        <v>2563</v>
      </c>
      <c r="H2573">
        <f t="shared" ca="1" si="48"/>
        <v>2.4791176603770417E-2</v>
      </c>
    </row>
    <row r="2574" spans="7:8">
      <c r="G2574">
        <v>2564</v>
      </c>
      <c r="H2574">
        <f t="shared" ca="1" si="48"/>
        <v>1.0210372133485831E-2</v>
      </c>
    </row>
    <row r="2575" spans="7:8">
      <c r="G2575">
        <v>2565</v>
      </c>
      <c r="H2575">
        <f t="shared" ca="1" si="48"/>
        <v>3.4860702958312818E-2</v>
      </c>
    </row>
    <row r="2576" spans="7:8">
      <c r="G2576">
        <v>2566</v>
      </c>
      <c r="H2576">
        <f t="shared" ca="1" si="48"/>
        <v>-1.4314739765838656E-2</v>
      </c>
    </row>
    <row r="2577" spans="7:8">
      <c r="G2577">
        <v>2567</v>
      </c>
      <c r="H2577">
        <f t="shared" ca="1" si="48"/>
        <v>-3.3263549576795982E-2</v>
      </c>
    </row>
    <row r="2578" spans="7:8">
      <c r="G2578">
        <v>2568</v>
      </c>
      <c r="H2578">
        <f t="shared" ca="1" si="48"/>
        <v>-1.9182520313093344E-2</v>
      </c>
    </row>
    <row r="2579" spans="7:8">
      <c r="G2579">
        <v>2569</v>
      </c>
      <c r="H2579">
        <f t="shared" ca="1" si="48"/>
        <v>-2.5342281954120336E-2</v>
      </c>
    </row>
    <row r="2580" spans="7:8">
      <c r="G2580">
        <v>2570</v>
      </c>
      <c r="H2580">
        <f t="shared" ca="1" si="48"/>
        <v>3.6480598790012572E-2</v>
      </c>
    </row>
    <row r="2581" spans="7:8">
      <c r="G2581">
        <v>2571</v>
      </c>
      <c r="H2581">
        <f t="shared" ca="1" si="48"/>
        <v>-1.1685544576219377E-2</v>
      </c>
    </row>
    <row r="2582" spans="7:8">
      <c r="G2582">
        <v>2572</v>
      </c>
      <c r="H2582">
        <f t="shared" ca="1" si="48"/>
        <v>1.5738048972117325E-2</v>
      </c>
    </row>
    <row r="2583" spans="7:8">
      <c r="G2583">
        <v>2573</v>
      </c>
      <c r="H2583">
        <f t="shared" ca="1" si="48"/>
        <v>-1.7158270226194448E-2</v>
      </c>
    </row>
    <row r="2584" spans="7:8">
      <c r="G2584">
        <v>2574</v>
      </c>
      <c r="H2584">
        <f t="shared" ca="1" si="48"/>
        <v>6.2431846825277805E-3</v>
      </c>
    </row>
    <row r="2585" spans="7:8">
      <c r="G2585">
        <v>2575</v>
      </c>
      <c r="H2585">
        <f t="shared" ca="1" si="48"/>
        <v>1.6165307010778649E-2</v>
      </c>
    </row>
    <row r="2586" spans="7:8">
      <c r="G2586">
        <v>2576</v>
      </c>
      <c r="H2586">
        <f t="shared" ca="1" si="48"/>
        <v>4.2014626508762717E-3</v>
      </c>
    </row>
    <row r="2587" spans="7:8">
      <c r="G2587">
        <v>2577</v>
      </c>
      <c r="H2587">
        <f t="shared" ca="1" si="48"/>
        <v>-3.792153846334613E-2</v>
      </c>
    </row>
    <row r="2588" spans="7:8">
      <c r="G2588">
        <v>2578</v>
      </c>
      <c r="H2588">
        <f t="shared" ca="1" si="48"/>
        <v>3.2016418010485867E-2</v>
      </c>
    </row>
    <row r="2589" spans="7:8">
      <c r="G2589">
        <v>2579</v>
      </c>
      <c r="H2589">
        <f t="shared" ca="1" si="48"/>
        <v>9.2705677510251105E-3</v>
      </c>
    </row>
    <row r="2590" spans="7:8">
      <c r="G2590">
        <v>2580</v>
      </c>
      <c r="H2590">
        <f t="shared" ca="1" si="48"/>
        <v>2.3678111873792391E-2</v>
      </c>
    </row>
    <row r="2591" spans="7:8">
      <c r="G2591">
        <v>2581</v>
      </c>
      <c r="H2591">
        <f t="shared" ca="1" si="48"/>
        <v>1.4795679456743512E-2</v>
      </c>
    </row>
    <row r="2592" spans="7:8">
      <c r="G2592">
        <v>2582</v>
      </c>
      <c r="H2592">
        <f t="shared" ca="1" si="48"/>
        <v>-2.3838531317036324E-2</v>
      </c>
    </row>
    <row r="2593" spans="7:8">
      <c r="G2593">
        <v>2583</v>
      </c>
      <c r="H2593">
        <f t="shared" ca="1" si="48"/>
        <v>-3.1926395925907444E-2</v>
      </c>
    </row>
    <row r="2594" spans="7:8">
      <c r="G2594">
        <v>2584</v>
      </c>
      <c r="H2594">
        <f t="shared" ca="1" si="48"/>
        <v>-1.2743870042644182E-2</v>
      </c>
    </row>
    <row r="2595" spans="7:8">
      <c r="G2595">
        <v>2585</v>
      </c>
      <c r="H2595">
        <f t="shared" ca="1" si="48"/>
        <v>1.3800597893902616E-3</v>
      </c>
    </row>
    <row r="2596" spans="7:8">
      <c r="G2596">
        <v>2586</v>
      </c>
      <c r="H2596">
        <f t="shared" ca="1" si="48"/>
        <v>5.9770633545192086E-3</v>
      </c>
    </row>
    <row r="2597" spans="7:8">
      <c r="G2597">
        <v>2587</v>
      </c>
      <c r="H2597">
        <f t="shared" ca="1" si="48"/>
        <v>-1.1231928345500455E-3</v>
      </c>
    </row>
    <row r="2598" spans="7:8">
      <c r="G2598">
        <v>2588</v>
      </c>
      <c r="H2598">
        <f t="shared" ca="1" si="48"/>
        <v>6.7858884952815245E-3</v>
      </c>
    </row>
    <row r="2599" spans="7:8">
      <c r="G2599">
        <v>2589</v>
      </c>
      <c r="H2599">
        <f t="shared" ca="1" si="48"/>
        <v>3.6920077766874853E-3</v>
      </c>
    </row>
    <row r="2600" spans="7:8">
      <c r="G2600">
        <v>2590</v>
      </c>
      <c r="H2600">
        <f t="shared" ca="1" si="48"/>
        <v>-2.1182664285491884E-2</v>
      </c>
    </row>
    <row r="2601" spans="7:8">
      <c r="G2601">
        <v>2591</v>
      </c>
      <c r="H2601">
        <f t="shared" ca="1" si="48"/>
        <v>-2.0354848042973515E-2</v>
      </c>
    </row>
    <row r="2602" spans="7:8">
      <c r="G2602">
        <v>2592</v>
      </c>
      <c r="H2602">
        <f t="shared" ca="1" si="48"/>
        <v>1.3468517321970696E-2</v>
      </c>
    </row>
    <row r="2603" spans="7:8">
      <c r="G2603">
        <v>2593</v>
      </c>
      <c r="H2603">
        <f t="shared" ca="1" si="48"/>
        <v>4.0335222626320978E-3</v>
      </c>
    </row>
    <row r="2604" spans="7:8">
      <c r="G2604">
        <v>2594</v>
      </c>
      <c r="H2604">
        <f t="shared" ca="1" si="48"/>
        <v>2.1246256876262897E-2</v>
      </c>
    </row>
    <row r="2605" spans="7:8">
      <c r="G2605">
        <v>2595</v>
      </c>
      <c r="H2605">
        <f t="shared" ca="1" si="48"/>
        <v>-6.8770552073464371E-5</v>
      </c>
    </row>
    <row r="2606" spans="7:8">
      <c r="G2606">
        <v>2596</v>
      </c>
      <c r="H2606">
        <f t="shared" ca="1" si="48"/>
        <v>-6.1918323164122544E-4</v>
      </c>
    </row>
    <row r="2607" spans="7:8">
      <c r="G2607">
        <v>2597</v>
      </c>
      <c r="H2607">
        <f t="shared" ca="1" si="48"/>
        <v>-1.0762957710876944E-2</v>
      </c>
    </row>
    <row r="2608" spans="7:8">
      <c r="G2608">
        <v>2598</v>
      </c>
      <c r="H2608">
        <f t="shared" ca="1" si="48"/>
        <v>-1.1246914107277612E-2</v>
      </c>
    </row>
    <row r="2609" spans="7:8">
      <c r="G2609">
        <v>2599</v>
      </c>
      <c r="H2609">
        <f t="shared" ca="1" si="48"/>
        <v>-1.6053867942402151E-3</v>
      </c>
    </row>
    <row r="2610" spans="7:8">
      <c r="G2610">
        <v>2600</v>
      </c>
      <c r="H2610">
        <f t="shared" ca="1" si="48"/>
        <v>-2.1915462824876438E-2</v>
      </c>
    </row>
    <row r="2611" spans="7:8">
      <c r="G2611">
        <v>2601</v>
      </c>
      <c r="H2611">
        <f t="shared" ca="1" si="48"/>
        <v>-1.7518690837185359E-2</v>
      </c>
    </row>
    <row r="2612" spans="7:8">
      <c r="G2612">
        <v>2602</v>
      </c>
      <c r="H2612">
        <f t="shared" ca="1" si="48"/>
        <v>5.2221069620521114E-3</v>
      </c>
    </row>
    <row r="2613" spans="7:8">
      <c r="G2613">
        <v>2603</v>
      </c>
      <c r="H2613">
        <f t="shared" ca="1" si="48"/>
        <v>1.0270382322533125E-2</v>
      </c>
    </row>
    <row r="2614" spans="7:8">
      <c r="G2614">
        <v>2604</v>
      </c>
      <c r="H2614">
        <f t="shared" ca="1" si="48"/>
        <v>4.8830890041333751E-2</v>
      </c>
    </row>
    <row r="2615" spans="7:8">
      <c r="G2615">
        <v>2605</v>
      </c>
      <c r="H2615">
        <f t="shared" ca="1" si="48"/>
        <v>9.2055430047756018E-3</v>
      </c>
    </row>
    <row r="2616" spans="7:8">
      <c r="G2616">
        <v>2606</v>
      </c>
      <c r="H2616">
        <f t="shared" ca="1" si="48"/>
        <v>8.8415624290883923E-3</v>
      </c>
    </row>
    <row r="2617" spans="7:8">
      <c r="G2617">
        <v>2607</v>
      </c>
      <c r="H2617">
        <f t="shared" ca="1" si="48"/>
        <v>-3.0701098973179141E-3</v>
      </c>
    </row>
    <row r="2618" spans="7:8">
      <c r="G2618">
        <v>2608</v>
      </c>
      <c r="H2618">
        <f t="shared" ca="1" si="48"/>
        <v>-4.4138763994155658E-2</v>
      </c>
    </row>
    <row r="2619" spans="7:8">
      <c r="G2619">
        <v>2609</v>
      </c>
      <c r="H2619">
        <f t="shared" ca="1" si="48"/>
        <v>9.6915610371405888E-3</v>
      </c>
    </row>
    <row r="2620" spans="7:8">
      <c r="G2620">
        <v>2610</v>
      </c>
      <c r="H2620">
        <f t="shared" ca="1" si="48"/>
        <v>2.6407498130240254E-2</v>
      </c>
    </row>
    <row r="2621" spans="7:8">
      <c r="G2621">
        <v>2611</v>
      </c>
      <c r="H2621">
        <f t="shared" ca="1" si="48"/>
        <v>2.7173629750686969E-2</v>
      </c>
    </row>
    <row r="2622" spans="7:8">
      <c r="G2622">
        <v>2612</v>
      </c>
      <c r="H2622">
        <f t="shared" ca="1" si="48"/>
        <v>-1.7055245450441219E-2</v>
      </c>
    </row>
    <row r="2623" spans="7:8">
      <c r="G2623">
        <v>2613</v>
      </c>
      <c r="H2623">
        <f t="shared" ca="1" si="48"/>
        <v>-1.8648313961772815E-3</v>
      </c>
    </row>
    <row r="2624" spans="7:8">
      <c r="G2624">
        <v>2614</v>
      </c>
      <c r="H2624">
        <f t="shared" ca="1" si="48"/>
        <v>-4.2387170938424583E-2</v>
      </c>
    </row>
    <row r="2625" spans="7:8">
      <c r="G2625">
        <v>2615</v>
      </c>
      <c r="H2625">
        <f t="shared" ca="1" si="48"/>
        <v>2.9226796461860594E-4</v>
      </c>
    </row>
    <row r="2626" spans="7:8">
      <c r="G2626">
        <v>2616</v>
      </c>
      <c r="H2626">
        <f t="shared" ca="1" si="48"/>
        <v>-2.049596728877856E-2</v>
      </c>
    </row>
    <row r="2627" spans="7:8">
      <c r="G2627">
        <v>2617</v>
      </c>
      <c r="H2627">
        <f t="shared" ca="1" si="48"/>
        <v>6.7042917569715777E-3</v>
      </c>
    </row>
    <row r="2628" spans="7:8">
      <c r="G2628">
        <v>2618</v>
      </c>
      <c r="H2628">
        <f t="shared" ca="1" si="48"/>
        <v>-8.4887786197751641E-3</v>
      </c>
    </row>
    <row r="2629" spans="7:8">
      <c r="G2629">
        <v>2619</v>
      </c>
      <c r="H2629">
        <f t="shared" ca="1" si="48"/>
        <v>4.3268602459294571E-2</v>
      </c>
    </row>
    <row r="2630" spans="7:8">
      <c r="G2630">
        <v>2620</v>
      </c>
      <c r="H2630">
        <f t="shared" ca="1" si="48"/>
        <v>-1.9379080709443814E-3</v>
      </c>
    </row>
    <row r="2631" spans="7:8">
      <c r="G2631">
        <v>2621</v>
      </c>
      <c r="H2631">
        <f t="shared" ca="1" si="48"/>
        <v>9.0361216507766698E-3</v>
      </c>
    </row>
    <row r="2632" spans="7:8">
      <c r="G2632">
        <v>2622</v>
      </c>
      <c r="H2632">
        <f t="shared" ca="1" si="48"/>
        <v>-5.9855699328263522E-3</v>
      </c>
    </row>
    <row r="2633" spans="7:8">
      <c r="G2633">
        <v>2623</v>
      </c>
      <c r="H2633">
        <f t="shared" ca="1" si="48"/>
        <v>-6.2982403696139576E-3</v>
      </c>
    </row>
    <row r="2634" spans="7:8">
      <c r="G2634">
        <v>2624</v>
      </c>
      <c r="H2634">
        <f t="shared" ca="1" si="48"/>
        <v>1.812996704734143E-2</v>
      </c>
    </row>
    <row r="2635" spans="7:8">
      <c r="G2635">
        <v>2625</v>
      </c>
      <c r="H2635">
        <f t="shared" ca="1" si="48"/>
        <v>-3.4817606985504033E-2</v>
      </c>
    </row>
    <row r="2636" spans="7:8">
      <c r="G2636">
        <v>2626</v>
      </c>
      <c r="H2636">
        <f t="shared" ref="H2636:H2699" ca="1" si="49">_xlfn.NORM.INV(RAND(),N$13,N$14)</f>
        <v>-2.248983645992807E-3</v>
      </c>
    </row>
    <row r="2637" spans="7:8">
      <c r="G2637">
        <v>2627</v>
      </c>
      <c r="H2637">
        <f t="shared" ca="1" si="49"/>
        <v>9.3655910692845255E-3</v>
      </c>
    </row>
    <row r="2638" spans="7:8">
      <c r="G2638">
        <v>2628</v>
      </c>
      <c r="H2638">
        <f t="shared" ca="1" si="49"/>
        <v>3.7276652366432614E-2</v>
      </c>
    </row>
    <row r="2639" spans="7:8">
      <c r="G2639">
        <v>2629</v>
      </c>
      <c r="H2639">
        <f t="shared" ca="1" si="49"/>
        <v>4.7315924815232125E-3</v>
      </c>
    </row>
    <row r="2640" spans="7:8">
      <c r="G2640">
        <v>2630</v>
      </c>
      <c r="H2640">
        <f t="shared" ca="1" si="49"/>
        <v>4.3528490183493938E-3</v>
      </c>
    </row>
    <row r="2641" spans="7:8">
      <c r="G2641">
        <v>2631</v>
      </c>
      <c r="H2641">
        <f t="shared" ca="1" si="49"/>
        <v>-1.2426393497310621E-2</v>
      </c>
    </row>
    <row r="2642" spans="7:8">
      <c r="G2642">
        <v>2632</v>
      </c>
      <c r="H2642">
        <f t="shared" ca="1" si="49"/>
        <v>1.7451782283501412E-2</v>
      </c>
    </row>
    <row r="2643" spans="7:8">
      <c r="G2643">
        <v>2633</v>
      </c>
      <c r="H2643">
        <f t="shared" ca="1" si="49"/>
        <v>-5.4537442102788963E-2</v>
      </c>
    </row>
    <row r="2644" spans="7:8">
      <c r="G2644">
        <v>2634</v>
      </c>
      <c r="H2644">
        <f t="shared" ca="1" si="49"/>
        <v>4.4971602696522804E-2</v>
      </c>
    </row>
    <row r="2645" spans="7:8">
      <c r="G2645">
        <v>2635</v>
      </c>
      <c r="H2645">
        <f t="shared" ca="1" si="49"/>
        <v>-4.7501489137608779E-2</v>
      </c>
    </row>
    <row r="2646" spans="7:8">
      <c r="G2646">
        <v>2636</v>
      </c>
      <c r="H2646">
        <f t="shared" ca="1" si="49"/>
        <v>3.5986842598297254E-3</v>
      </c>
    </row>
    <row r="2647" spans="7:8">
      <c r="G2647">
        <v>2637</v>
      </c>
      <c r="H2647">
        <f t="shared" ca="1" si="49"/>
        <v>-4.1277246920635634E-2</v>
      </c>
    </row>
    <row r="2648" spans="7:8">
      <c r="G2648">
        <v>2638</v>
      </c>
      <c r="H2648">
        <f t="shared" ca="1" si="49"/>
        <v>8.0866486956246535E-3</v>
      </c>
    </row>
    <row r="2649" spans="7:8">
      <c r="G2649">
        <v>2639</v>
      </c>
      <c r="H2649">
        <f t="shared" ca="1" si="49"/>
        <v>1.3305626973737104E-2</v>
      </c>
    </row>
    <row r="2650" spans="7:8">
      <c r="G2650">
        <v>2640</v>
      </c>
      <c r="H2650">
        <f t="shared" ca="1" si="49"/>
        <v>-2.6355605651664955E-2</v>
      </c>
    </row>
    <row r="2651" spans="7:8">
      <c r="G2651">
        <v>2641</v>
      </c>
      <c r="H2651">
        <f t="shared" ca="1" si="49"/>
        <v>2.8287956939826487E-2</v>
      </c>
    </row>
    <row r="2652" spans="7:8">
      <c r="G2652">
        <v>2642</v>
      </c>
      <c r="H2652">
        <f t="shared" ca="1" si="49"/>
        <v>-4.2033097583741914E-2</v>
      </c>
    </row>
    <row r="2653" spans="7:8">
      <c r="G2653">
        <v>2643</v>
      </c>
      <c r="H2653">
        <f t="shared" ca="1" si="49"/>
        <v>-3.1956307096595894E-2</v>
      </c>
    </row>
    <row r="2654" spans="7:8">
      <c r="G2654">
        <v>2644</v>
      </c>
      <c r="H2654">
        <f t="shared" ca="1" si="49"/>
        <v>-6.595108633579104E-2</v>
      </c>
    </row>
    <row r="2655" spans="7:8">
      <c r="G2655">
        <v>2645</v>
      </c>
      <c r="H2655">
        <f t="shared" ca="1" si="49"/>
        <v>2.1081691505908376E-3</v>
      </c>
    </row>
    <row r="2656" spans="7:8">
      <c r="G2656">
        <v>2646</v>
      </c>
      <c r="H2656">
        <f t="shared" ca="1" si="49"/>
        <v>1.111278542758476E-3</v>
      </c>
    </row>
    <row r="2657" spans="7:8">
      <c r="G2657">
        <v>2647</v>
      </c>
      <c r="H2657">
        <f t="shared" ca="1" si="49"/>
        <v>9.4092931394454231E-3</v>
      </c>
    </row>
    <row r="2658" spans="7:8">
      <c r="G2658">
        <v>2648</v>
      </c>
      <c r="H2658">
        <f t="shared" ca="1" si="49"/>
        <v>3.6011719262184397E-2</v>
      </c>
    </row>
    <row r="2659" spans="7:8">
      <c r="G2659">
        <v>2649</v>
      </c>
      <c r="H2659">
        <f t="shared" ca="1" si="49"/>
        <v>-1.5151192640373699E-2</v>
      </c>
    </row>
    <row r="2660" spans="7:8">
      <c r="G2660">
        <v>2650</v>
      </c>
      <c r="H2660">
        <f t="shared" ca="1" si="49"/>
        <v>8.1698732869474478E-3</v>
      </c>
    </row>
    <row r="2661" spans="7:8">
      <c r="G2661">
        <v>2651</v>
      </c>
      <c r="H2661">
        <f t="shared" ca="1" si="49"/>
        <v>1.8476073830407537E-3</v>
      </c>
    </row>
    <row r="2662" spans="7:8">
      <c r="G2662">
        <v>2652</v>
      </c>
      <c r="H2662">
        <f t="shared" ca="1" si="49"/>
        <v>-4.6389103536984629E-5</v>
      </c>
    </row>
    <row r="2663" spans="7:8">
      <c r="G2663">
        <v>2653</v>
      </c>
      <c r="H2663">
        <f t="shared" ca="1" si="49"/>
        <v>-4.3202834561421148E-2</v>
      </c>
    </row>
    <row r="2664" spans="7:8">
      <c r="G2664">
        <v>2654</v>
      </c>
      <c r="H2664">
        <f t="shared" ca="1" si="49"/>
        <v>-3.8513508532382168E-2</v>
      </c>
    </row>
    <row r="2665" spans="7:8">
      <c r="G2665">
        <v>2655</v>
      </c>
      <c r="H2665">
        <f t="shared" ca="1" si="49"/>
        <v>7.2426650982480916E-3</v>
      </c>
    </row>
    <row r="2666" spans="7:8">
      <c r="G2666">
        <v>2656</v>
      </c>
      <c r="H2666">
        <f t="shared" ca="1" si="49"/>
        <v>-4.309314168410348E-3</v>
      </c>
    </row>
    <row r="2667" spans="7:8">
      <c r="G2667">
        <v>2657</v>
      </c>
      <c r="H2667">
        <f t="shared" ca="1" si="49"/>
        <v>3.3623344103277539E-2</v>
      </c>
    </row>
    <row r="2668" spans="7:8">
      <c r="G2668">
        <v>2658</v>
      </c>
      <c r="H2668">
        <f t="shared" ca="1" si="49"/>
        <v>1.4597148068699139E-2</v>
      </c>
    </row>
    <row r="2669" spans="7:8">
      <c r="G2669">
        <v>2659</v>
      </c>
      <c r="H2669">
        <f t="shared" ca="1" si="49"/>
        <v>4.7888169280010162E-2</v>
      </c>
    </row>
    <row r="2670" spans="7:8">
      <c r="G2670">
        <v>2660</v>
      </c>
      <c r="H2670">
        <f t="shared" ca="1" si="49"/>
        <v>1.8094712891681908E-2</v>
      </c>
    </row>
    <row r="2671" spans="7:8">
      <c r="G2671">
        <v>2661</v>
      </c>
      <c r="H2671">
        <f t="shared" ca="1" si="49"/>
        <v>-1.9484853525726459E-2</v>
      </c>
    </row>
    <row r="2672" spans="7:8">
      <c r="G2672">
        <v>2662</v>
      </c>
      <c r="H2672">
        <f t="shared" ca="1" si="49"/>
        <v>-2.8379953423894579E-2</v>
      </c>
    </row>
    <row r="2673" spans="7:8">
      <c r="G2673">
        <v>2663</v>
      </c>
      <c r="H2673">
        <f t="shared" ca="1" si="49"/>
        <v>-2.1399779312780795E-2</v>
      </c>
    </row>
    <row r="2674" spans="7:8">
      <c r="G2674">
        <v>2664</v>
      </c>
      <c r="H2674">
        <f t="shared" ca="1" si="49"/>
        <v>-1.4939727852420039E-2</v>
      </c>
    </row>
    <row r="2675" spans="7:8">
      <c r="G2675">
        <v>2665</v>
      </c>
      <c r="H2675">
        <f t="shared" ca="1" si="49"/>
        <v>5.0562481948745026E-2</v>
      </c>
    </row>
    <row r="2676" spans="7:8">
      <c r="G2676">
        <v>2666</v>
      </c>
      <c r="H2676">
        <f t="shared" ca="1" si="49"/>
        <v>-6.326760135592845E-3</v>
      </c>
    </row>
    <row r="2677" spans="7:8">
      <c r="G2677">
        <v>2667</v>
      </c>
      <c r="H2677">
        <f t="shared" ca="1" si="49"/>
        <v>-3.0335146175957586E-2</v>
      </c>
    </row>
    <row r="2678" spans="7:8">
      <c r="G2678">
        <v>2668</v>
      </c>
      <c r="H2678">
        <f t="shared" ca="1" si="49"/>
        <v>-1.3932746783838141E-2</v>
      </c>
    </row>
    <row r="2679" spans="7:8">
      <c r="G2679">
        <v>2669</v>
      </c>
      <c r="H2679">
        <f t="shared" ca="1" si="49"/>
        <v>-1.1891473775763207E-2</v>
      </c>
    </row>
    <row r="2680" spans="7:8">
      <c r="G2680">
        <v>2670</v>
      </c>
      <c r="H2680">
        <f t="shared" ca="1" si="49"/>
        <v>-1.2595091356757295E-2</v>
      </c>
    </row>
    <row r="2681" spans="7:8">
      <c r="G2681">
        <v>2671</v>
      </c>
      <c r="H2681">
        <f t="shared" ca="1" si="49"/>
        <v>1.2452913858546568E-2</v>
      </c>
    </row>
    <row r="2682" spans="7:8">
      <c r="G2682">
        <v>2672</v>
      </c>
      <c r="H2682">
        <f t="shared" ca="1" si="49"/>
        <v>-4.7552164042637303E-4</v>
      </c>
    </row>
    <row r="2683" spans="7:8">
      <c r="G2683">
        <v>2673</v>
      </c>
      <c r="H2683">
        <f t="shared" ca="1" si="49"/>
        <v>-2.3504209536486871E-3</v>
      </c>
    </row>
    <row r="2684" spans="7:8">
      <c r="G2684">
        <v>2674</v>
      </c>
      <c r="H2684">
        <f t="shared" ca="1" si="49"/>
        <v>5.0158217727291638E-3</v>
      </c>
    </row>
    <row r="2685" spans="7:8">
      <c r="G2685">
        <v>2675</v>
      </c>
      <c r="H2685">
        <f t="shared" ca="1" si="49"/>
        <v>-2.8923466558865515E-2</v>
      </c>
    </row>
    <row r="2686" spans="7:8">
      <c r="G2686">
        <v>2676</v>
      </c>
      <c r="H2686">
        <f t="shared" ca="1" si="49"/>
        <v>-5.0163004470293896E-3</v>
      </c>
    </row>
    <row r="2687" spans="7:8">
      <c r="G2687">
        <v>2677</v>
      </c>
      <c r="H2687">
        <f t="shared" ca="1" si="49"/>
        <v>2.7261362954610378E-2</v>
      </c>
    </row>
    <row r="2688" spans="7:8">
      <c r="G2688">
        <v>2678</v>
      </c>
      <c r="H2688">
        <f t="shared" ca="1" si="49"/>
        <v>1.5003990853282299E-2</v>
      </c>
    </row>
    <row r="2689" spans="7:8">
      <c r="G2689">
        <v>2679</v>
      </c>
      <c r="H2689">
        <f t="shared" ca="1" si="49"/>
        <v>1.4988149621142035E-2</v>
      </c>
    </row>
    <row r="2690" spans="7:8">
      <c r="G2690">
        <v>2680</v>
      </c>
      <c r="H2690">
        <f t="shared" ca="1" si="49"/>
        <v>1.8733610957152823E-3</v>
      </c>
    </row>
    <row r="2691" spans="7:8">
      <c r="G2691">
        <v>2681</v>
      </c>
      <c r="H2691">
        <f t="shared" ca="1" si="49"/>
        <v>-3.3640193592275866E-2</v>
      </c>
    </row>
    <row r="2692" spans="7:8">
      <c r="G2692">
        <v>2682</v>
      </c>
      <c r="H2692">
        <f t="shared" ca="1" si="49"/>
        <v>2.2930493546107121E-4</v>
      </c>
    </row>
    <row r="2693" spans="7:8">
      <c r="G2693">
        <v>2683</v>
      </c>
      <c r="H2693">
        <f t="shared" ca="1" si="49"/>
        <v>-2.6278562105762657E-3</v>
      </c>
    </row>
    <row r="2694" spans="7:8">
      <c r="G2694">
        <v>2684</v>
      </c>
      <c r="H2694">
        <f t="shared" ca="1" si="49"/>
        <v>-3.9299816730397862E-2</v>
      </c>
    </row>
    <row r="2695" spans="7:8">
      <c r="G2695">
        <v>2685</v>
      </c>
      <c r="H2695">
        <f t="shared" ca="1" si="49"/>
        <v>-2.5715945543578551E-2</v>
      </c>
    </row>
    <row r="2696" spans="7:8">
      <c r="G2696">
        <v>2686</v>
      </c>
      <c r="H2696">
        <f t="shared" ca="1" si="49"/>
        <v>-5.7339103820225557E-2</v>
      </c>
    </row>
    <row r="2697" spans="7:8">
      <c r="G2697">
        <v>2687</v>
      </c>
      <c r="H2697">
        <f t="shared" ca="1" si="49"/>
        <v>-9.1646479916947525E-4</v>
      </c>
    </row>
    <row r="2698" spans="7:8">
      <c r="G2698">
        <v>2688</v>
      </c>
      <c r="H2698">
        <f t="shared" ca="1" si="49"/>
        <v>1.8912425016822663E-3</v>
      </c>
    </row>
    <row r="2699" spans="7:8">
      <c r="G2699">
        <v>2689</v>
      </c>
      <c r="H2699">
        <f t="shared" ca="1" si="49"/>
        <v>2.286820701680459E-2</v>
      </c>
    </row>
    <row r="2700" spans="7:8">
      <c r="G2700">
        <v>2690</v>
      </c>
      <c r="H2700">
        <f t="shared" ref="H2700:H2763" ca="1" si="50">_xlfn.NORM.INV(RAND(),N$13,N$14)</f>
        <v>-3.1644589521588287E-2</v>
      </c>
    </row>
    <row r="2701" spans="7:8">
      <c r="G2701">
        <v>2691</v>
      </c>
      <c r="H2701">
        <f t="shared" ca="1" si="50"/>
        <v>5.3952634477380966E-3</v>
      </c>
    </row>
    <row r="2702" spans="7:8">
      <c r="G2702">
        <v>2692</v>
      </c>
      <c r="H2702">
        <f t="shared" ca="1" si="50"/>
        <v>1.3411606552556141E-2</v>
      </c>
    </row>
    <row r="2703" spans="7:8">
      <c r="G2703">
        <v>2693</v>
      </c>
      <c r="H2703">
        <f t="shared" ca="1" si="50"/>
        <v>1.4151102948870604E-2</v>
      </c>
    </row>
    <row r="2704" spans="7:8">
      <c r="G2704">
        <v>2694</v>
      </c>
      <c r="H2704">
        <f t="shared" ca="1" si="50"/>
        <v>-3.2605187229573832E-3</v>
      </c>
    </row>
    <row r="2705" spans="7:8">
      <c r="G2705">
        <v>2695</v>
      </c>
      <c r="H2705">
        <f t="shared" ca="1" si="50"/>
        <v>8.1861311260960166E-3</v>
      </c>
    </row>
    <row r="2706" spans="7:8">
      <c r="G2706">
        <v>2696</v>
      </c>
      <c r="H2706">
        <f t="shared" ca="1" si="50"/>
        <v>3.6335985105810903E-2</v>
      </c>
    </row>
    <row r="2707" spans="7:8">
      <c r="G2707">
        <v>2697</v>
      </c>
      <c r="H2707">
        <f t="shared" ca="1" si="50"/>
        <v>1.6246906819105306E-2</v>
      </c>
    </row>
    <row r="2708" spans="7:8">
      <c r="G2708">
        <v>2698</v>
      </c>
      <c r="H2708">
        <f t="shared" ca="1" si="50"/>
        <v>-1.07774726482912E-3</v>
      </c>
    </row>
    <row r="2709" spans="7:8">
      <c r="G2709">
        <v>2699</v>
      </c>
      <c r="H2709">
        <f t="shared" ca="1" si="50"/>
        <v>-1.9786119059153649E-2</v>
      </c>
    </row>
    <row r="2710" spans="7:8">
      <c r="G2710">
        <v>2700</v>
      </c>
      <c r="H2710">
        <f t="shared" ca="1" si="50"/>
        <v>4.2056120430110276E-2</v>
      </c>
    </row>
    <row r="2711" spans="7:8">
      <c r="G2711">
        <v>2701</v>
      </c>
      <c r="H2711">
        <f t="shared" ca="1" si="50"/>
        <v>6.4049713384458176E-4</v>
      </c>
    </row>
    <row r="2712" spans="7:8">
      <c r="G2712">
        <v>2702</v>
      </c>
      <c r="H2712">
        <f t="shared" ca="1" si="50"/>
        <v>1.1679635701806192E-2</v>
      </c>
    </row>
    <row r="2713" spans="7:8">
      <c r="G2713">
        <v>2703</v>
      </c>
      <c r="H2713">
        <f t="shared" ca="1" si="50"/>
        <v>3.6537746615542092E-2</v>
      </c>
    </row>
    <row r="2714" spans="7:8">
      <c r="G2714">
        <v>2704</v>
      </c>
      <c r="H2714">
        <f t="shared" ca="1" si="50"/>
        <v>-1.108332445368043E-2</v>
      </c>
    </row>
    <row r="2715" spans="7:8">
      <c r="G2715">
        <v>2705</v>
      </c>
      <c r="H2715">
        <f t="shared" ca="1" si="50"/>
        <v>3.5688388609801877E-2</v>
      </c>
    </row>
    <row r="2716" spans="7:8">
      <c r="G2716">
        <v>2706</v>
      </c>
      <c r="H2716">
        <f t="shared" ca="1" si="50"/>
        <v>3.9042520537528907E-2</v>
      </c>
    </row>
    <row r="2717" spans="7:8">
      <c r="G2717">
        <v>2707</v>
      </c>
      <c r="H2717">
        <f t="shared" ca="1" si="50"/>
        <v>-3.6867701814350465E-2</v>
      </c>
    </row>
    <row r="2718" spans="7:8">
      <c r="G2718">
        <v>2708</v>
      </c>
      <c r="H2718">
        <f t="shared" ca="1" si="50"/>
        <v>-7.8025003597246021E-3</v>
      </c>
    </row>
    <row r="2719" spans="7:8">
      <c r="G2719">
        <v>2709</v>
      </c>
      <c r="H2719">
        <f t="shared" ca="1" si="50"/>
        <v>1.3764113384926217E-2</v>
      </c>
    </row>
    <row r="2720" spans="7:8">
      <c r="G2720">
        <v>2710</v>
      </c>
      <c r="H2720">
        <f t="shared" ca="1" si="50"/>
        <v>-1.2490194364131974E-2</v>
      </c>
    </row>
    <row r="2721" spans="7:8">
      <c r="G2721">
        <v>2711</v>
      </c>
      <c r="H2721">
        <f t="shared" ca="1" si="50"/>
        <v>-1.2983623254947147E-3</v>
      </c>
    </row>
    <row r="2722" spans="7:8">
      <c r="G2722">
        <v>2712</v>
      </c>
      <c r="H2722">
        <f t="shared" ca="1" si="50"/>
        <v>2.1601062459804841E-2</v>
      </c>
    </row>
    <row r="2723" spans="7:8">
      <c r="G2723">
        <v>2713</v>
      </c>
      <c r="H2723">
        <f t="shared" ca="1" si="50"/>
        <v>-1.1060607376558463E-2</v>
      </c>
    </row>
    <row r="2724" spans="7:8">
      <c r="G2724">
        <v>2714</v>
      </c>
      <c r="H2724">
        <f t="shared" ca="1" si="50"/>
        <v>1.9366773080494455E-2</v>
      </c>
    </row>
    <row r="2725" spans="7:8">
      <c r="G2725">
        <v>2715</v>
      </c>
      <c r="H2725">
        <f t="shared" ca="1" si="50"/>
        <v>7.6889251492872814E-3</v>
      </c>
    </row>
    <row r="2726" spans="7:8">
      <c r="G2726">
        <v>2716</v>
      </c>
      <c r="H2726">
        <f t="shared" ca="1" si="50"/>
        <v>2.7731713153571133E-2</v>
      </c>
    </row>
    <row r="2727" spans="7:8">
      <c r="G2727">
        <v>2717</v>
      </c>
      <c r="H2727">
        <f t="shared" ca="1" si="50"/>
        <v>-1.9647246383550147E-2</v>
      </c>
    </row>
    <row r="2728" spans="7:8">
      <c r="G2728">
        <v>2718</v>
      </c>
      <c r="H2728">
        <f t="shared" ca="1" si="50"/>
        <v>-1.1948440353495271E-2</v>
      </c>
    </row>
    <row r="2729" spans="7:8">
      <c r="G2729">
        <v>2719</v>
      </c>
      <c r="H2729">
        <f t="shared" ca="1" si="50"/>
        <v>7.7233231156116624E-3</v>
      </c>
    </row>
    <row r="2730" spans="7:8">
      <c r="G2730">
        <v>2720</v>
      </c>
      <c r="H2730">
        <f t="shared" ca="1" si="50"/>
        <v>7.6437622729504202E-3</v>
      </c>
    </row>
    <row r="2731" spans="7:8">
      <c r="G2731">
        <v>2721</v>
      </c>
      <c r="H2731">
        <f t="shared" ca="1" si="50"/>
        <v>3.6806236946464573E-2</v>
      </c>
    </row>
    <row r="2732" spans="7:8">
      <c r="G2732">
        <v>2722</v>
      </c>
      <c r="H2732">
        <f t="shared" ca="1" si="50"/>
        <v>-2.3845557708047575E-2</v>
      </c>
    </row>
    <row r="2733" spans="7:8">
      <c r="G2733">
        <v>2723</v>
      </c>
      <c r="H2733">
        <f t="shared" ca="1" si="50"/>
        <v>-2.2297362724885163E-2</v>
      </c>
    </row>
    <row r="2734" spans="7:8">
      <c r="G2734">
        <v>2724</v>
      </c>
      <c r="H2734">
        <f t="shared" ca="1" si="50"/>
        <v>3.1587856125621205E-2</v>
      </c>
    </row>
    <row r="2735" spans="7:8">
      <c r="G2735">
        <v>2725</v>
      </c>
      <c r="H2735">
        <f t="shared" ca="1" si="50"/>
        <v>1.2403643983159188E-2</v>
      </c>
    </row>
    <row r="2736" spans="7:8">
      <c r="G2736">
        <v>2726</v>
      </c>
      <c r="H2736">
        <f t="shared" ca="1" si="50"/>
        <v>1.5455161843198969E-2</v>
      </c>
    </row>
    <row r="2737" spans="7:8">
      <c r="G2737">
        <v>2727</v>
      </c>
      <c r="H2737">
        <f t="shared" ca="1" si="50"/>
        <v>7.7180391176955533E-3</v>
      </c>
    </row>
    <row r="2738" spans="7:8">
      <c r="G2738">
        <v>2728</v>
      </c>
      <c r="H2738">
        <f t="shared" ca="1" si="50"/>
        <v>1.2673151376976605E-2</v>
      </c>
    </row>
    <row r="2739" spans="7:8">
      <c r="G2739">
        <v>2729</v>
      </c>
      <c r="H2739">
        <f t="shared" ca="1" si="50"/>
        <v>2.9852476676525391E-2</v>
      </c>
    </row>
    <row r="2740" spans="7:8">
      <c r="G2740">
        <v>2730</v>
      </c>
      <c r="H2740">
        <f t="shared" ca="1" si="50"/>
        <v>1.0134651730038871E-2</v>
      </c>
    </row>
    <row r="2741" spans="7:8">
      <c r="G2741">
        <v>2731</v>
      </c>
      <c r="H2741">
        <f t="shared" ca="1" si="50"/>
        <v>7.4597720168030775E-4</v>
      </c>
    </row>
    <row r="2742" spans="7:8">
      <c r="G2742">
        <v>2732</v>
      </c>
      <c r="H2742">
        <f t="shared" ca="1" si="50"/>
        <v>2.8507160474086505E-3</v>
      </c>
    </row>
    <row r="2743" spans="7:8">
      <c r="G2743">
        <v>2733</v>
      </c>
      <c r="H2743">
        <f t="shared" ca="1" si="50"/>
        <v>3.2507733299805858E-2</v>
      </c>
    </row>
    <row r="2744" spans="7:8">
      <c r="G2744">
        <v>2734</v>
      </c>
      <c r="H2744">
        <f t="shared" ca="1" si="50"/>
        <v>1.3844918166286569E-2</v>
      </c>
    </row>
    <row r="2745" spans="7:8">
      <c r="G2745">
        <v>2735</v>
      </c>
      <c r="H2745">
        <f t="shared" ca="1" si="50"/>
        <v>-1.8561881187846664E-2</v>
      </c>
    </row>
    <row r="2746" spans="7:8">
      <c r="G2746">
        <v>2736</v>
      </c>
      <c r="H2746">
        <f t="shared" ca="1" si="50"/>
        <v>-2.8452509175459689E-2</v>
      </c>
    </row>
    <row r="2747" spans="7:8">
      <c r="G2747">
        <v>2737</v>
      </c>
      <c r="H2747">
        <f t="shared" ca="1" si="50"/>
        <v>-5.7834845279818884E-3</v>
      </c>
    </row>
    <row r="2748" spans="7:8">
      <c r="G2748">
        <v>2738</v>
      </c>
      <c r="H2748">
        <f t="shared" ca="1" si="50"/>
        <v>2.1379592081825636E-2</v>
      </c>
    </row>
    <row r="2749" spans="7:8">
      <c r="G2749">
        <v>2739</v>
      </c>
      <c r="H2749">
        <f t="shared" ca="1" si="50"/>
        <v>1.2981592653420956E-2</v>
      </c>
    </row>
    <row r="2750" spans="7:8">
      <c r="G2750">
        <v>2740</v>
      </c>
      <c r="H2750">
        <f t="shared" ca="1" si="50"/>
        <v>-2.4121403913115991E-3</v>
      </c>
    </row>
    <row r="2751" spans="7:8">
      <c r="G2751">
        <v>2741</v>
      </c>
      <c r="H2751">
        <f t="shared" ca="1" si="50"/>
        <v>-1.8485081110812665E-2</v>
      </c>
    </row>
    <row r="2752" spans="7:8">
      <c r="G2752">
        <v>2742</v>
      </c>
      <c r="H2752">
        <f t="shared" ca="1" si="50"/>
        <v>-1.5557629638889507E-3</v>
      </c>
    </row>
    <row r="2753" spans="7:8">
      <c r="G2753">
        <v>2743</v>
      </c>
      <c r="H2753">
        <f t="shared" ca="1" si="50"/>
        <v>2.0961573350451918E-2</v>
      </c>
    </row>
    <row r="2754" spans="7:8">
      <c r="G2754">
        <v>2744</v>
      </c>
      <c r="H2754">
        <f t="shared" ca="1" si="50"/>
        <v>4.2790868676849045E-2</v>
      </c>
    </row>
    <row r="2755" spans="7:8">
      <c r="G2755">
        <v>2745</v>
      </c>
      <c r="H2755">
        <f t="shared" ca="1" si="50"/>
        <v>3.5614224334884599E-2</v>
      </c>
    </row>
    <row r="2756" spans="7:8">
      <c r="G2756">
        <v>2746</v>
      </c>
      <c r="H2756">
        <f t="shared" ca="1" si="50"/>
        <v>5.2370993842826306E-2</v>
      </c>
    </row>
    <row r="2757" spans="7:8">
      <c r="G2757">
        <v>2747</v>
      </c>
      <c r="H2757">
        <f t="shared" ca="1" si="50"/>
        <v>2.4205136803178293E-2</v>
      </c>
    </row>
    <row r="2758" spans="7:8">
      <c r="G2758">
        <v>2748</v>
      </c>
      <c r="H2758">
        <f t="shared" ca="1" si="50"/>
        <v>-1.1862121289096434E-2</v>
      </c>
    </row>
    <row r="2759" spans="7:8">
      <c r="G2759">
        <v>2749</v>
      </c>
      <c r="H2759">
        <f t="shared" ca="1" si="50"/>
        <v>5.0380542103974427E-3</v>
      </c>
    </row>
    <row r="2760" spans="7:8">
      <c r="G2760">
        <v>2750</v>
      </c>
      <c r="H2760">
        <f t="shared" ca="1" si="50"/>
        <v>9.0579314034113564E-3</v>
      </c>
    </row>
    <row r="2761" spans="7:8">
      <c r="G2761">
        <v>2751</v>
      </c>
      <c r="H2761">
        <f t="shared" ca="1" si="50"/>
        <v>5.2004131765854391E-3</v>
      </c>
    </row>
    <row r="2762" spans="7:8">
      <c r="G2762">
        <v>2752</v>
      </c>
      <c r="H2762">
        <f t="shared" ca="1" si="50"/>
        <v>1.4466472429050383E-2</v>
      </c>
    </row>
    <row r="2763" spans="7:8">
      <c r="G2763">
        <v>2753</v>
      </c>
      <c r="H2763">
        <f t="shared" ca="1" si="50"/>
        <v>-5.5428671078479007E-3</v>
      </c>
    </row>
    <row r="2764" spans="7:8">
      <c r="G2764">
        <v>2754</v>
      </c>
      <c r="H2764">
        <f t="shared" ref="H2764:H2827" ca="1" si="51">_xlfn.NORM.INV(RAND(),N$13,N$14)</f>
        <v>1.1960447987009872E-2</v>
      </c>
    </row>
    <row r="2765" spans="7:8">
      <c r="G2765">
        <v>2755</v>
      </c>
      <c r="H2765">
        <f t="shared" ca="1" si="51"/>
        <v>-2.3342768774310959E-2</v>
      </c>
    </row>
    <row r="2766" spans="7:8">
      <c r="G2766">
        <v>2756</v>
      </c>
      <c r="H2766">
        <f t="shared" ca="1" si="51"/>
        <v>-5.0217766971126033E-3</v>
      </c>
    </row>
    <row r="2767" spans="7:8">
      <c r="G2767">
        <v>2757</v>
      </c>
      <c r="H2767">
        <f t="shared" ca="1" si="51"/>
        <v>-5.2070031978348398E-2</v>
      </c>
    </row>
    <row r="2768" spans="7:8">
      <c r="G2768">
        <v>2758</v>
      </c>
      <c r="H2768">
        <f t="shared" ca="1" si="51"/>
        <v>-2.6750564105475706E-3</v>
      </c>
    </row>
    <row r="2769" spans="7:8">
      <c r="G2769">
        <v>2759</v>
      </c>
      <c r="H2769">
        <f t="shared" ca="1" si="51"/>
        <v>-1.3521149523396961E-2</v>
      </c>
    </row>
    <row r="2770" spans="7:8">
      <c r="G2770">
        <v>2760</v>
      </c>
      <c r="H2770">
        <f t="shared" ca="1" si="51"/>
        <v>2.5562661926616589E-2</v>
      </c>
    </row>
    <row r="2771" spans="7:8">
      <c r="G2771">
        <v>2761</v>
      </c>
      <c r="H2771">
        <f t="shared" ca="1" si="51"/>
        <v>-4.5755069217662467E-3</v>
      </c>
    </row>
    <row r="2772" spans="7:8">
      <c r="G2772">
        <v>2762</v>
      </c>
      <c r="H2772">
        <f t="shared" ca="1" si="51"/>
        <v>-5.3388168574929749E-2</v>
      </c>
    </row>
    <row r="2773" spans="7:8">
      <c r="G2773">
        <v>2763</v>
      </c>
      <c r="H2773">
        <f t="shared" ca="1" si="51"/>
        <v>-6.9202525857111827E-3</v>
      </c>
    </row>
    <row r="2774" spans="7:8">
      <c r="G2774">
        <v>2764</v>
      </c>
      <c r="H2774">
        <f t="shared" ca="1" si="51"/>
        <v>3.96363824621166E-2</v>
      </c>
    </row>
    <row r="2775" spans="7:8">
      <c r="G2775">
        <v>2765</v>
      </c>
      <c r="H2775">
        <f t="shared" ca="1" si="51"/>
        <v>8.8530328543476415E-3</v>
      </c>
    </row>
    <row r="2776" spans="7:8">
      <c r="G2776">
        <v>2766</v>
      </c>
      <c r="H2776">
        <f t="shared" ca="1" si="51"/>
        <v>2.8214707419857727E-2</v>
      </c>
    </row>
    <row r="2777" spans="7:8">
      <c r="G2777">
        <v>2767</v>
      </c>
      <c r="H2777">
        <f t="shared" ca="1" si="51"/>
        <v>2.330444985556929E-2</v>
      </c>
    </row>
    <row r="2778" spans="7:8">
      <c r="G2778">
        <v>2768</v>
      </c>
      <c r="H2778">
        <f t="shared" ca="1" si="51"/>
        <v>-5.659984173969344E-3</v>
      </c>
    </row>
    <row r="2779" spans="7:8">
      <c r="G2779">
        <v>2769</v>
      </c>
      <c r="H2779">
        <f t="shared" ca="1" si="51"/>
        <v>2.4762148930943841E-2</v>
      </c>
    </row>
    <row r="2780" spans="7:8">
      <c r="G2780">
        <v>2770</v>
      </c>
      <c r="H2780">
        <f t="shared" ca="1" si="51"/>
        <v>-7.2017200097755146E-3</v>
      </c>
    </row>
    <row r="2781" spans="7:8">
      <c r="G2781">
        <v>2771</v>
      </c>
      <c r="H2781">
        <f t="shared" ca="1" si="51"/>
        <v>5.9058152011446159E-2</v>
      </c>
    </row>
    <row r="2782" spans="7:8">
      <c r="G2782">
        <v>2772</v>
      </c>
      <c r="H2782">
        <f t="shared" ca="1" si="51"/>
        <v>3.4538075287445062E-3</v>
      </c>
    </row>
    <row r="2783" spans="7:8">
      <c r="G2783">
        <v>2773</v>
      </c>
      <c r="H2783">
        <f t="shared" ca="1" si="51"/>
        <v>-1.097781978105662E-2</v>
      </c>
    </row>
    <row r="2784" spans="7:8">
      <c r="G2784">
        <v>2774</v>
      </c>
      <c r="H2784">
        <f t="shared" ca="1" si="51"/>
        <v>3.0131473564714703E-3</v>
      </c>
    </row>
    <row r="2785" spans="7:8">
      <c r="G2785">
        <v>2775</v>
      </c>
      <c r="H2785">
        <f t="shared" ca="1" si="51"/>
        <v>9.7072415482254877E-3</v>
      </c>
    </row>
    <row r="2786" spans="7:8">
      <c r="G2786">
        <v>2776</v>
      </c>
      <c r="H2786">
        <f t="shared" ca="1" si="51"/>
        <v>3.1874739314860734E-2</v>
      </c>
    </row>
    <row r="2787" spans="7:8">
      <c r="G2787">
        <v>2777</v>
      </c>
      <c r="H2787">
        <f t="shared" ca="1" si="51"/>
        <v>-5.3532235834942458E-3</v>
      </c>
    </row>
    <row r="2788" spans="7:8">
      <c r="G2788">
        <v>2778</v>
      </c>
      <c r="H2788">
        <f t="shared" ca="1" si="51"/>
        <v>-1.2745104899504017E-2</v>
      </c>
    </row>
    <row r="2789" spans="7:8">
      <c r="G2789">
        <v>2779</v>
      </c>
      <c r="H2789">
        <f t="shared" ca="1" si="51"/>
        <v>6.3265667369697895E-3</v>
      </c>
    </row>
    <row r="2790" spans="7:8">
      <c r="G2790">
        <v>2780</v>
      </c>
      <c r="H2790">
        <f t="shared" ca="1" si="51"/>
        <v>-2.5048279639354749E-2</v>
      </c>
    </row>
    <row r="2791" spans="7:8">
      <c r="G2791">
        <v>2781</v>
      </c>
      <c r="H2791">
        <f t="shared" ca="1" si="51"/>
        <v>1.1403857301590112E-2</v>
      </c>
    </row>
    <row r="2792" spans="7:8">
      <c r="G2792">
        <v>2782</v>
      </c>
      <c r="H2792">
        <f t="shared" ca="1" si="51"/>
        <v>-3.874278206664384E-2</v>
      </c>
    </row>
    <row r="2793" spans="7:8">
      <c r="G2793">
        <v>2783</v>
      </c>
      <c r="H2793">
        <f t="shared" ca="1" si="51"/>
        <v>1.2193939380093519E-3</v>
      </c>
    </row>
    <row r="2794" spans="7:8">
      <c r="G2794">
        <v>2784</v>
      </c>
      <c r="H2794">
        <f t="shared" ca="1" si="51"/>
        <v>9.6935879062990597E-4</v>
      </c>
    </row>
    <row r="2795" spans="7:8">
      <c r="G2795">
        <v>2785</v>
      </c>
      <c r="H2795">
        <f t="shared" ca="1" si="51"/>
        <v>-2.6217599145508981E-2</v>
      </c>
    </row>
    <row r="2796" spans="7:8">
      <c r="G2796">
        <v>2786</v>
      </c>
      <c r="H2796">
        <f t="shared" ca="1" si="51"/>
        <v>-2.3312741321290995E-2</v>
      </c>
    </row>
    <row r="2797" spans="7:8">
      <c r="G2797">
        <v>2787</v>
      </c>
      <c r="H2797">
        <f t="shared" ca="1" si="51"/>
        <v>2.9567722514521563E-3</v>
      </c>
    </row>
    <row r="2798" spans="7:8">
      <c r="G2798">
        <v>2788</v>
      </c>
      <c r="H2798">
        <f t="shared" ca="1" si="51"/>
        <v>9.8088130887041165E-3</v>
      </c>
    </row>
    <row r="2799" spans="7:8">
      <c r="G2799">
        <v>2789</v>
      </c>
      <c r="H2799">
        <f t="shared" ca="1" si="51"/>
        <v>2.5568971356571988E-3</v>
      </c>
    </row>
    <row r="2800" spans="7:8">
      <c r="G2800">
        <v>2790</v>
      </c>
      <c r="H2800">
        <f t="shared" ca="1" si="51"/>
        <v>8.9678330061348389E-3</v>
      </c>
    </row>
    <row r="2801" spans="7:8">
      <c r="G2801">
        <v>2791</v>
      </c>
      <c r="H2801">
        <f t="shared" ca="1" si="51"/>
        <v>-2.7611287316661973E-2</v>
      </c>
    </row>
    <row r="2802" spans="7:8">
      <c r="G2802">
        <v>2792</v>
      </c>
      <c r="H2802">
        <f t="shared" ca="1" si="51"/>
        <v>3.2032555124985838E-2</v>
      </c>
    </row>
    <row r="2803" spans="7:8">
      <c r="G2803">
        <v>2793</v>
      </c>
      <c r="H2803">
        <f t="shared" ca="1" si="51"/>
        <v>-2.2329725702352598E-2</v>
      </c>
    </row>
    <row r="2804" spans="7:8">
      <c r="G2804">
        <v>2794</v>
      </c>
      <c r="H2804">
        <f t="shared" ca="1" si="51"/>
        <v>-1.8485020184835683E-2</v>
      </c>
    </row>
    <row r="2805" spans="7:8">
      <c r="G2805">
        <v>2795</v>
      </c>
      <c r="H2805">
        <f t="shared" ca="1" si="51"/>
        <v>-3.4716258375839461E-3</v>
      </c>
    </row>
    <row r="2806" spans="7:8">
      <c r="G2806">
        <v>2796</v>
      </c>
      <c r="H2806">
        <f t="shared" ca="1" si="51"/>
        <v>-2.0348665934212626E-2</v>
      </c>
    </row>
    <row r="2807" spans="7:8">
      <c r="G2807">
        <v>2797</v>
      </c>
      <c r="H2807">
        <f t="shared" ca="1" si="51"/>
        <v>8.7138416493223753E-3</v>
      </c>
    </row>
    <row r="2808" spans="7:8">
      <c r="G2808">
        <v>2798</v>
      </c>
      <c r="H2808">
        <f t="shared" ca="1" si="51"/>
        <v>5.6619558832965919E-2</v>
      </c>
    </row>
    <row r="2809" spans="7:8">
      <c r="G2809">
        <v>2799</v>
      </c>
      <c r="H2809">
        <f t="shared" ca="1" si="51"/>
        <v>2.6517869443754105E-3</v>
      </c>
    </row>
    <row r="2810" spans="7:8">
      <c r="G2810">
        <v>2800</v>
      </c>
      <c r="H2810">
        <f t="shared" ca="1" si="51"/>
        <v>-3.2031514145129986E-3</v>
      </c>
    </row>
    <row r="2811" spans="7:8">
      <c r="G2811">
        <v>2801</v>
      </c>
      <c r="H2811">
        <f t="shared" ca="1" si="51"/>
        <v>-1.306949377103875E-2</v>
      </c>
    </row>
    <row r="2812" spans="7:8">
      <c r="G2812">
        <v>2802</v>
      </c>
      <c r="H2812">
        <f t="shared" ca="1" si="51"/>
        <v>-2.7140252534000649E-2</v>
      </c>
    </row>
    <row r="2813" spans="7:8">
      <c r="G2813">
        <v>2803</v>
      </c>
      <c r="H2813">
        <f t="shared" ca="1" si="51"/>
        <v>3.5977049846883075E-2</v>
      </c>
    </row>
    <row r="2814" spans="7:8">
      <c r="G2814">
        <v>2804</v>
      </c>
      <c r="H2814">
        <f t="shared" ca="1" si="51"/>
        <v>1.4706914962051287E-2</v>
      </c>
    </row>
    <row r="2815" spans="7:8">
      <c r="G2815">
        <v>2805</v>
      </c>
      <c r="H2815">
        <f t="shared" ca="1" si="51"/>
        <v>1.6581913087732169E-2</v>
      </c>
    </row>
    <row r="2816" spans="7:8">
      <c r="G2816">
        <v>2806</v>
      </c>
      <c r="H2816">
        <f t="shared" ca="1" si="51"/>
        <v>1.2915188380079786E-2</v>
      </c>
    </row>
    <row r="2817" spans="7:8">
      <c r="G2817">
        <v>2807</v>
      </c>
      <c r="H2817">
        <f t="shared" ca="1" si="51"/>
        <v>4.2802787207681874E-2</v>
      </c>
    </row>
    <row r="2818" spans="7:8">
      <c r="G2818">
        <v>2808</v>
      </c>
      <c r="H2818">
        <f t="shared" ca="1" si="51"/>
        <v>2.6345922129791227E-2</v>
      </c>
    </row>
    <row r="2819" spans="7:8">
      <c r="G2819">
        <v>2809</v>
      </c>
      <c r="H2819">
        <f t="shared" ca="1" si="51"/>
        <v>-1.6357094938188127E-2</v>
      </c>
    </row>
    <row r="2820" spans="7:8">
      <c r="G2820">
        <v>2810</v>
      </c>
      <c r="H2820">
        <f t="shared" ca="1" si="51"/>
        <v>1.9675742251722108E-2</v>
      </c>
    </row>
    <row r="2821" spans="7:8">
      <c r="G2821">
        <v>2811</v>
      </c>
      <c r="H2821">
        <f t="shared" ca="1" si="51"/>
        <v>-1.5742375475859421E-2</v>
      </c>
    </row>
    <row r="2822" spans="7:8">
      <c r="G2822">
        <v>2812</v>
      </c>
      <c r="H2822">
        <f t="shared" ca="1" si="51"/>
        <v>-3.3433756778971438E-2</v>
      </c>
    </row>
    <row r="2823" spans="7:8">
      <c r="G2823">
        <v>2813</v>
      </c>
      <c r="H2823">
        <f t="shared" ca="1" si="51"/>
        <v>2.3433020374040669E-2</v>
      </c>
    </row>
    <row r="2824" spans="7:8">
      <c r="G2824">
        <v>2814</v>
      </c>
      <c r="H2824">
        <f t="shared" ca="1" si="51"/>
        <v>6.6054953596544307E-3</v>
      </c>
    </row>
    <row r="2825" spans="7:8">
      <c r="G2825">
        <v>2815</v>
      </c>
      <c r="H2825">
        <f t="shared" ca="1" si="51"/>
        <v>1.5999226372371764E-2</v>
      </c>
    </row>
    <row r="2826" spans="7:8">
      <c r="G2826">
        <v>2816</v>
      </c>
      <c r="H2826">
        <f t="shared" ca="1" si="51"/>
        <v>1.0099601367707559E-2</v>
      </c>
    </row>
    <row r="2827" spans="7:8">
      <c r="G2827">
        <v>2817</v>
      </c>
      <c r="H2827">
        <f t="shared" ca="1" si="51"/>
        <v>-1.9437121650585927E-2</v>
      </c>
    </row>
    <row r="2828" spans="7:8">
      <c r="G2828">
        <v>2818</v>
      </c>
      <c r="H2828">
        <f t="shared" ref="H2828:H2891" ca="1" si="52">_xlfn.NORM.INV(RAND(),N$13,N$14)</f>
        <v>1.3112940483242535E-2</v>
      </c>
    </row>
    <row r="2829" spans="7:8">
      <c r="G2829">
        <v>2819</v>
      </c>
      <c r="H2829">
        <f t="shared" ca="1" si="52"/>
        <v>1.5491640732874956E-2</v>
      </c>
    </row>
    <row r="2830" spans="7:8">
      <c r="G2830">
        <v>2820</v>
      </c>
      <c r="H2830">
        <f t="shared" ca="1" si="52"/>
        <v>4.9426644160612161E-3</v>
      </c>
    </row>
    <row r="2831" spans="7:8">
      <c r="G2831">
        <v>2821</v>
      </c>
      <c r="H2831">
        <f t="shared" ca="1" si="52"/>
        <v>1.7751920759504169E-2</v>
      </c>
    </row>
    <row r="2832" spans="7:8">
      <c r="G2832">
        <v>2822</v>
      </c>
      <c r="H2832">
        <f t="shared" ca="1" si="52"/>
        <v>-1.7231742596323259E-2</v>
      </c>
    </row>
    <row r="2833" spans="7:8">
      <c r="G2833">
        <v>2823</v>
      </c>
      <c r="H2833">
        <f t="shared" ca="1" si="52"/>
        <v>4.2385995089758016E-2</v>
      </c>
    </row>
    <row r="2834" spans="7:8">
      <c r="G2834">
        <v>2824</v>
      </c>
      <c r="H2834">
        <f t="shared" ca="1" si="52"/>
        <v>-1.4256014007759431E-2</v>
      </c>
    </row>
    <row r="2835" spans="7:8">
      <c r="G2835">
        <v>2825</v>
      </c>
      <c r="H2835">
        <f t="shared" ca="1" si="52"/>
        <v>-2.5196736151754853E-3</v>
      </c>
    </row>
    <row r="2836" spans="7:8">
      <c r="G2836">
        <v>2826</v>
      </c>
      <c r="H2836">
        <f t="shared" ca="1" si="52"/>
        <v>2.8931818819467107E-2</v>
      </c>
    </row>
    <row r="2837" spans="7:8">
      <c r="G2837">
        <v>2827</v>
      </c>
      <c r="H2837">
        <f t="shared" ca="1" si="52"/>
        <v>1.3215004188748604E-2</v>
      </c>
    </row>
    <row r="2838" spans="7:8">
      <c r="G2838">
        <v>2828</v>
      </c>
      <c r="H2838">
        <f t="shared" ca="1" si="52"/>
        <v>1.465574578255132E-3</v>
      </c>
    </row>
    <row r="2839" spans="7:8">
      <c r="G2839">
        <v>2829</v>
      </c>
      <c r="H2839">
        <f t="shared" ca="1" si="52"/>
        <v>1.7204009957589396E-2</v>
      </c>
    </row>
    <row r="2840" spans="7:8">
      <c r="G2840">
        <v>2830</v>
      </c>
      <c r="H2840">
        <f t="shared" ca="1" si="52"/>
        <v>2.5257340907763191E-2</v>
      </c>
    </row>
    <row r="2841" spans="7:8">
      <c r="G2841">
        <v>2831</v>
      </c>
      <c r="H2841">
        <f t="shared" ca="1" si="52"/>
        <v>-1.4039753675581957E-2</v>
      </c>
    </row>
    <row r="2842" spans="7:8">
      <c r="G2842">
        <v>2832</v>
      </c>
      <c r="H2842">
        <f t="shared" ca="1" si="52"/>
        <v>4.9692590110615017E-3</v>
      </c>
    </row>
    <row r="2843" spans="7:8">
      <c r="G2843">
        <v>2833</v>
      </c>
      <c r="H2843">
        <f t="shared" ca="1" si="52"/>
        <v>-1.7456276654033587E-2</v>
      </c>
    </row>
    <row r="2844" spans="7:8">
      <c r="G2844">
        <v>2834</v>
      </c>
      <c r="H2844">
        <f t="shared" ca="1" si="52"/>
        <v>7.0160375923570537E-2</v>
      </c>
    </row>
    <row r="2845" spans="7:8">
      <c r="G2845">
        <v>2835</v>
      </c>
      <c r="H2845">
        <f t="shared" ca="1" si="52"/>
        <v>1.9314945859160146E-2</v>
      </c>
    </row>
    <row r="2846" spans="7:8">
      <c r="G2846">
        <v>2836</v>
      </c>
      <c r="H2846">
        <f t="shared" ca="1" si="52"/>
        <v>-9.1080165987751337E-3</v>
      </c>
    </row>
    <row r="2847" spans="7:8">
      <c r="G2847">
        <v>2837</v>
      </c>
      <c r="H2847">
        <f t="shared" ca="1" si="52"/>
        <v>1.430687626787608E-2</v>
      </c>
    </row>
    <row r="2848" spans="7:8">
      <c r="G2848">
        <v>2838</v>
      </c>
      <c r="H2848">
        <f t="shared" ca="1" si="52"/>
        <v>-8.2772298831195936E-3</v>
      </c>
    </row>
    <row r="2849" spans="7:8">
      <c r="G2849">
        <v>2839</v>
      </c>
      <c r="H2849">
        <f t="shared" ca="1" si="52"/>
        <v>1.6883444393282212E-3</v>
      </c>
    </row>
    <row r="2850" spans="7:8">
      <c r="G2850">
        <v>2840</v>
      </c>
      <c r="H2850">
        <f t="shared" ca="1" si="52"/>
        <v>-2.8010716376831394E-2</v>
      </c>
    </row>
    <row r="2851" spans="7:8">
      <c r="G2851">
        <v>2841</v>
      </c>
      <c r="H2851">
        <f t="shared" ca="1" si="52"/>
        <v>2.111161203007357E-2</v>
      </c>
    </row>
    <row r="2852" spans="7:8">
      <c r="G2852">
        <v>2842</v>
      </c>
      <c r="H2852">
        <f t="shared" ca="1" si="52"/>
        <v>1.4044704426884212E-2</v>
      </c>
    </row>
    <row r="2853" spans="7:8">
      <c r="G2853">
        <v>2843</v>
      </c>
      <c r="H2853">
        <f t="shared" ca="1" si="52"/>
        <v>7.8453821596550233E-3</v>
      </c>
    </row>
    <row r="2854" spans="7:8">
      <c r="G2854">
        <v>2844</v>
      </c>
      <c r="H2854">
        <f t="shared" ca="1" si="52"/>
        <v>2.5742395867045853E-2</v>
      </c>
    </row>
    <row r="2855" spans="7:8">
      <c r="G2855">
        <v>2845</v>
      </c>
      <c r="H2855">
        <f t="shared" ca="1" si="52"/>
        <v>1.6891769680327746E-2</v>
      </c>
    </row>
    <row r="2856" spans="7:8">
      <c r="G2856">
        <v>2846</v>
      </c>
      <c r="H2856">
        <f t="shared" ca="1" si="52"/>
        <v>-7.0081567697189359E-3</v>
      </c>
    </row>
    <row r="2857" spans="7:8">
      <c r="G2857">
        <v>2847</v>
      </c>
      <c r="H2857">
        <f t="shared" ca="1" si="52"/>
        <v>-3.3926118543239646E-2</v>
      </c>
    </row>
    <row r="2858" spans="7:8">
      <c r="G2858">
        <v>2848</v>
      </c>
      <c r="H2858">
        <f t="shared" ca="1" si="52"/>
        <v>1.171866957033253E-2</v>
      </c>
    </row>
    <row r="2859" spans="7:8">
      <c r="G2859">
        <v>2849</v>
      </c>
      <c r="H2859">
        <f t="shared" ca="1" si="52"/>
        <v>2.1681161650564062E-2</v>
      </c>
    </row>
    <row r="2860" spans="7:8">
      <c r="G2860">
        <v>2850</v>
      </c>
      <c r="H2860">
        <f t="shared" ca="1" si="52"/>
        <v>3.4832058577940472E-2</v>
      </c>
    </row>
    <row r="2861" spans="7:8">
      <c r="G2861">
        <v>2851</v>
      </c>
      <c r="H2861">
        <f t="shared" ca="1" si="52"/>
        <v>-1.1118226878788378E-3</v>
      </c>
    </row>
    <row r="2862" spans="7:8">
      <c r="G2862">
        <v>2852</v>
      </c>
      <c r="H2862">
        <f t="shared" ca="1" si="52"/>
        <v>1.4867143985904545E-2</v>
      </c>
    </row>
    <row r="2863" spans="7:8">
      <c r="G2863">
        <v>2853</v>
      </c>
      <c r="H2863">
        <f t="shared" ca="1" si="52"/>
        <v>-7.9564407678889564E-4</v>
      </c>
    </row>
    <row r="2864" spans="7:8">
      <c r="G2864">
        <v>2854</v>
      </c>
      <c r="H2864">
        <f t="shared" ca="1" si="52"/>
        <v>-2.7459575556953038E-3</v>
      </c>
    </row>
    <row r="2865" spans="7:8">
      <c r="G2865">
        <v>2855</v>
      </c>
      <c r="H2865">
        <f t="shared" ca="1" si="52"/>
        <v>-2.4550714150965474E-2</v>
      </c>
    </row>
    <row r="2866" spans="7:8">
      <c r="G2866">
        <v>2856</v>
      </c>
      <c r="H2866">
        <f t="shared" ca="1" si="52"/>
        <v>-9.2897021156501634E-3</v>
      </c>
    </row>
    <row r="2867" spans="7:8">
      <c r="G2867">
        <v>2857</v>
      </c>
      <c r="H2867">
        <f t="shared" ca="1" si="52"/>
        <v>-1.8475786550058271E-2</v>
      </c>
    </row>
    <row r="2868" spans="7:8">
      <c r="G2868">
        <v>2858</v>
      </c>
      <c r="H2868">
        <f t="shared" ca="1" si="52"/>
        <v>-6.0119347121613872E-3</v>
      </c>
    </row>
    <row r="2869" spans="7:8">
      <c r="G2869">
        <v>2859</v>
      </c>
      <c r="H2869">
        <f t="shared" ca="1" si="52"/>
        <v>1.8505110994304101E-3</v>
      </c>
    </row>
    <row r="2870" spans="7:8">
      <c r="G2870">
        <v>2860</v>
      </c>
      <c r="H2870">
        <f t="shared" ca="1" si="52"/>
        <v>-3.4106804095467666E-2</v>
      </c>
    </row>
    <row r="2871" spans="7:8">
      <c r="G2871">
        <v>2861</v>
      </c>
      <c r="H2871">
        <f t="shared" ca="1" si="52"/>
        <v>-2.043532789021486E-2</v>
      </c>
    </row>
    <row r="2872" spans="7:8">
      <c r="G2872">
        <v>2862</v>
      </c>
      <c r="H2872">
        <f t="shared" ca="1" si="52"/>
        <v>2.0481301124317362E-2</v>
      </c>
    </row>
    <row r="2873" spans="7:8">
      <c r="G2873">
        <v>2863</v>
      </c>
      <c r="H2873">
        <f t="shared" ca="1" si="52"/>
        <v>2.9029781498594812E-2</v>
      </c>
    </row>
    <row r="2874" spans="7:8">
      <c r="G2874">
        <v>2864</v>
      </c>
      <c r="H2874">
        <f t="shared" ca="1" si="52"/>
        <v>-7.8453003870285008E-3</v>
      </c>
    </row>
    <row r="2875" spans="7:8">
      <c r="G2875">
        <v>2865</v>
      </c>
      <c r="H2875">
        <f t="shared" ca="1" si="52"/>
        <v>1.4371290067359441E-2</v>
      </c>
    </row>
    <row r="2876" spans="7:8">
      <c r="G2876">
        <v>2866</v>
      </c>
      <c r="H2876">
        <f t="shared" ca="1" si="52"/>
        <v>1.2772033389590093E-2</v>
      </c>
    </row>
    <row r="2877" spans="7:8">
      <c r="G2877">
        <v>2867</v>
      </c>
      <c r="H2877">
        <f t="shared" ca="1" si="52"/>
        <v>2.7697092444838811E-2</v>
      </c>
    </row>
    <row r="2878" spans="7:8">
      <c r="G2878">
        <v>2868</v>
      </c>
      <c r="H2878">
        <f t="shared" ca="1" si="52"/>
        <v>2.505851893555135E-2</v>
      </c>
    </row>
    <row r="2879" spans="7:8">
      <c r="G2879">
        <v>2869</v>
      </c>
      <c r="H2879">
        <f t="shared" ca="1" si="52"/>
        <v>1.4610573374620775E-2</v>
      </c>
    </row>
    <row r="2880" spans="7:8">
      <c r="G2880">
        <v>2870</v>
      </c>
      <c r="H2880">
        <f t="shared" ca="1" si="52"/>
        <v>2.3346935841922177E-3</v>
      </c>
    </row>
    <row r="2881" spans="7:8">
      <c r="G2881">
        <v>2871</v>
      </c>
      <c r="H2881">
        <f t="shared" ca="1" si="52"/>
        <v>-1.6128980820381153E-2</v>
      </c>
    </row>
    <row r="2882" spans="7:8">
      <c r="G2882">
        <v>2872</v>
      </c>
      <c r="H2882">
        <f t="shared" ca="1" si="52"/>
        <v>4.6196727048968154E-3</v>
      </c>
    </row>
    <row r="2883" spans="7:8">
      <c r="G2883">
        <v>2873</v>
      </c>
      <c r="H2883">
        <f t="shared" ca="1" si="52"/>
        <v>-4.8287497910555574E-2</v>
      </c>
    </row>
    <row r="2884" spans="7:8">
      <c r="G2884">
        <v>2874</v>
      </c>
      <c r="H2884">
        <f t="shared" ca="1" si="52"/>
        <v>1.3019862395407185E-2</v>
      </c>
    </row>
    <row r="2885" spans="7:8">
      <c r="G2885">
        <v>2875</v>
      </c>
      <c r="H2885">
        <f t="shared" ca="1" si="52"/>
        <v>-7.9867889667475608E-4</v>
      </c>
    </row>
    <row r="2886" spans="7:8">
      <c r="G2886">
        <v>2876</v>
      </c>
      <c r="H2886">
        <f t="shared" ca="1" si="52"/>
        <v>-2.2147569940072033E-2</v>
      </c>
    </row>
    <row r="2887" spans="7:8">
      <c r="G2887">
        <v>2877</v>
      </c>
      <c r="H2887">
        <f t="shared" ca="1" si="52"/>
        <v>-3.0349815093931361E-2</v>
      </c>
    </row>
    <row r="2888" spans="7:8">
      <c r="G2888">
        <v>2878</v>
      </c>
      <c r="H2888">
        <f t="shared" ca="1" si="52"/>
        <v>4.7857593438563519E-3</v>
      </c>
    </row>
    <row r="2889" spans="7:8">
      <c r="G2889">
        <v>2879</v>
      </c>
      <c r="H2889">
        <f t="shared" ca="1" si="52"/>
        <v>-9.890969243493206E-3</v>
      </c>
    </row>
    <row r="2890" spans="7:8">
      <c r="G2890">
        <v>2880</v>
      </c>
      <c r="H2890">
        <f t="shared" ca="1" si="52"/>
        <v>-1.8101181594754486E-2</v>
      </c>
    </row>
    <row r="2891" spans="7:8">
      <c r="G2891">
        <v>2881</v>
      </c>
      <c r="H2891">
        <f t="shared" ca="1" si="52"/>
        <v>-2.8926887674954511E-2</v>
      </c>
    </row>
    <row r="2892" spans="7:8">
      <c r="G2892">
        <v>2882</v>
      </c>
      <c r="H2892">
        <f t="shared" ref="H2892:H2955" ca="1" si="53">_xlfn.NORM.INV(RAND(),N$13,N$14)</f>
        <v>-3.3940086393372372E-3</v>
      </c>
    </row>
    <row r="2893" spans="7:8">
      <c r="G2893">
        <v>2883</v>
      </c>
      <c r="H2893">
        <f t="shared" ca="1" si="53"/>
        <v>-1.4796135470378292E-2</v>
      </c>
    </row>
    <row r="2894" spans="7:8">
      <c r="G2894">
        <v>2884</v>
      </c>
      <c r="H2894">
        <f t="shared" ca="1" si="53"/>
        <v>3.3884913948175811E-2</v>
      </c>
    </row>
    <row r="2895" spans="7:8">
      <c r="G2895">
        <v>2885</v>
      </c>
      <c r="H2895">
        <f t="shared" ca="1" si="53"/>
        <v>-1.6732405897324821E-2</v>
      </c>
    </row>
    <row r="2896" spans="7:8">
      <c r="G2896">
        <v>2886</v>
      </c>
      <c r="H2896">
        <f t="shared" ca="1" si="53"/>
        <v>1.5476361682353883E-2</v>
      </c>
    </row>
    <row r="2897" spans="7:8">
      <c r="G2897">
        <v>2887</v>
      </c>
      <c r="H2897">
        <f t="shared" ca="1" si="53"/>
        <v>1.3605492082967435E-2</v>
      </c>
    </row>
    <row r="2898" spans="7:8">
      <c r="G2898">
        <v>2888</v>
      </c>
      <c r="H2898">
        <f t="shared" ca="1" si="53"/>
        <v>9.5119167355186447E-3</v>
      </c>
    </row>
    <row r="2899" spans="7:8">
      <c r="G2899">
        <v>2889</v>
      </c>
      <c r="H2899">
        <f t="shared" ca="1" si="53"/>
        <v>-2.1935071177300137E-2</v>
      </c>
    </row>
    <row r="2900" spans="7:8">
      <c r="G2900">
        <v>2890</v>
      </c>
      <c r="H2900">
        <f t="shared" ca="1" si="53"/>
        <v>9.9707388792710568E-3</v>
      </c>
    </row>
    <row r="2901" spans="7:8">
      <c r="G2901">
        <v>2891</v>
      </c>
      <c r="H2901">
        <f t="shared" ca="1" si="53"/>
        <v>-1.3020827111260624E-2</v>
      </c>
    </row>
    <row r="2902" spans="7:8">
      <c r="G2902">
        <v>2892</v>
      </c>
      <c r="H2902">
        <f t="shared" ca="1" si="53"/>
        <v>3.8439482632195737E-2</v>
      </c>
    </row>
    <row r="2903" spans="7:8">
      <c r="G2903">
        <v>2893</v>
      </c>
      <c r="H2903">
        <f t="shared" ca="1" si="53"/>
        <v>-8.0376715609372599E-3</v>
      </c>
    </row>
    <row r="2904" spans="7:8">
      <c r="G2904">
        <v>2894</v>
      </c>
      <c r="H2904">
        <f t="shared" ca="1" si="53"/>
        <v>3.3124091885827066E-2</v>
      </c>
    </row>
    <row r="2905" spans="7:8">
      <c r="G2905">
        <v>2895</v>
      </c>
      <c r="H2905">
        <f t="shared" ca="1" si="53"/>
        <v>-1.111092652981481E-2</v>
      </c>
    </row>
    <row r="2906" spans="7:8">
      <c r="G2906">
        <v>2896</v>
      </c>
      <c r="H2906">
        <f t="shared" ca="1" si="53"/>
        <v>1.4074433830791407E-2</v>
      </c>
    </row>
    <row r="2907" spans="7:8">
      <c r="G2907">
        <v>2897</v>
      </c>
      <c r="H2907">
        <f t="shared" ca="1" si="53"/>
        <v>-2.780137377826588E-2</v>
      </c>
    </row>
    <row r="2908" spans="7:8">
      <c r="G2908">
        <v>2898</v>
      </c>
      <c r="H2908">
        <f t="shared" ca="1" si="53"/>
        <v>1.654939436891224E-2</v>
      </c>
    </row>
    <row r="2909" spans="7:8">
      <c r="G2909">
        <v>2899</v>
      </c>
      <c r="H2909">
        <f t="shared" ca="1" si="53"/>
        <v>-9.9884100733056355E-3</v>
      </c>
    </row>
    <row r="2910" spans="7:8">
      <c r="G2910">
        <v>2900</v>
      </c>
      <c r="H2910">
        <f t="shared" ca="1" si="53"/>
        <v>-1.098875466351649E-2</v>
      </c>
    </row>
    <row r="2911" spans="7:8">
      <c r="G2911">
        <v>2901</v>
      </c>
      <c r="H2911">
        <f t="shared" ca="1" si="53"/>
        <v>-5.7234642418199783E-3</v>
      </c>
    </row>
    <row r="2912" spans="7:8">
      <c r="G2912">
        <v>2902</v>
      </c>
      <c r="H2912">
        <f t="shared" ca="1" si="53"/>
        <v>-1.1747797256072062E-2</v>
      </c>
    </row>
    <row r="2913" spans="7:8">
      <c r="G2913">
        <v>2903</v>
      </c>
      <c r="H2913">
        <f t="shared" ca="1" si="53"/>
        <v>1.8610491914368945E-2</v>
      </c>
    </row>
    <row r="2914" spans="7:8">
      <c r="G2914">
        <v>2904</v>
      </c>
      <c r="H2914">
        <f t="shared" ca="1" si="53"/>
        <v>-7.2442272992060677E-4</v>
      </c>
    </row>
    <row r="2915" spans="7:8">
      <c r="G2915">
        <v>2905</v>
      </c>
      <c r="H2915">
        <f t="shared" ca="1" si="53"/>
        <v>6.1176597486208659E-3</v>
      </c>
    </row>
    <row r="2916" spans="7:8">
      <c r="G2916">
        <v>2906</v>
      </c>
      <c r="H2916">
        <f t="shared" ca="1" si="53"/>
        <v>3.4201853920742015E-2</v>
      </c>
    </row>
    <row r="2917" spans="7:8">
      <c r="G2917">
        <v>2907</v>
      </c>
      <c r="H2917">
        <f t="shared" ca="1" si="53"/>
        <v>6.4940392495629103E-3</v>
      </c>
    </row>
    <row r="2918" spans="7:8">
      <c r="G2918">
        <v>2908</v>
      </c>
      <c r="H2918">
        <f t="shared" ca="1" si="53"/>
        <v>2.9431918024803061E-3</v>
      </c>
    </row>
    <row r="2919" spans="7:8">
      <c r="G2919">
        <v>2909</v>
      </c>
      <c r="H2919">
        <f t="shared" ca="1" si="53"/>
        <v>-2.1984126883653018E-2</v>
      </c>
    </row>
    <row r="2920" spans="7:8">
      <c r="G2920">
        <v>2910</v>
      </c>
      <c r="H2920">
        <f t="shared" ca="1" si="53"/>
        <v>-1.8728435803865014E-2</v>
      </c>
    </row>
    <row r="2921" spans="7:8">
      <c r="G2921">
        <v>2911</v>
      </c>
      <c r="H2921">
        <f t="shared" ca="1" si="53"/>
        <v>-4.6546866487324088E-3</v>
      </c>
    </row>
    <row r="2922" spans="7:8">
      <c r="G2922">
        <v>2912</v>
      </c>
      <c r="H2922">
        <f t="shared" ca="1" si="53"/>
        <v>-5.8444078745112111E-3</v>
      </c>
    </row>
    <row r="2923" spans="7:8">
      <c r="G2923">
        <v>2913</v>
      </c>
      <c r="H2923">
        <f t="shared" ca="1" si="53"/>
        <v>-2.6952869060639675E-2</v>
      </c>
    </row>
    <row r="2924" spans="7:8">
      <c r="G2924">
        <v>2914</v>
      </c>
      <c r="H2924">
        <f t="shared" ca="1" si="53"/>
        <v>2.3412338567876459E-2</v>
      </c>
    </row>
    <row r="2925" spans="7:8">
      <c r="G2925">
        <v>2915</v>
      </c>
      <c r="H2925">
        <f t="shared" ca="1" si="53"/>
        <v>-2.889556008780127E-2</v>
      </c>
    </row>
    <row r="2926" spans="7:8">
      <c r="G2926">
        <v>2916</v>
      </c>
      <c r="H2926">
        <f t="shared" ca="1" si="53"/>
        <v>-1.6844202616676004E-2</v>
      </c>
    </row>
    <row r="2927" spans="7:8">
      <c r="G2927">
        <v>2917</v>
      </c>
      <c r="H2927">
        <f t="shared" ca="1" si="53"/>
        <v>-2.925790473655664E-2</v>
      </c>
    </row>
    <row r="2928" spans="7:8">
      <c r="G2928">
        <v>2918</v>
      </c>
      <c r="H2928">
        <f t="shared" ca="1" si="53"/>
        <v>4.4541236378850589E-3</v>
      </c>
    </row>
    <row r="2929" spans="7:8">
      <c r="G2929">
        <v>2919</v>
      </c>
      <c r="H2929">
        <f t="shared" ca="1" si="53"/>
        <v>2.8681186098093191E-2</v>
      </c>
    </row>
    <row r="2930" spans="7:8">
      <c r="G2930">
        <v>2920</v>
      </c>
      <c r="H2930">
        <f t="shared" ca="1" si="53"/>
        <v>7.9547928076448998E-4</v>
      </c>
    </row>
    <row r="2931" spans="7:8">
      <c r="G2931">
        <v>2921</v>
      </c>
      <c r="H2931">
        <f t="shared" ca="1" si="53"/>
        <v>-3.6447300188334644E-3</v>
      </c>
    </row>
    <row r="2932" spans="7:8">
      <c r="G2932">
        <v>2922</v>
      </c>
      <c r="H2932">
        <f t="shared" ca="1" si="53"/>
        <v>2.7982973485478509E-2</v>
      </c>
    </row>
    <row r="2933" spans="7:8">
      <c r="G2933">
        <v>2923</v>
      </c>
      <c r="H2933">
        <f t="shared" ca="1" si="53"/>
        <v>-2.000218490824443E-2</v>
      </c>
    </row>
    <row r="2934" spans="7:8">
      <c r="G2934">
        <v>2924</v>
      </c>
      <c r="H2934">
        <f t="shared" ca="1" si="53"/>
        <v>4.1650458925721737E-2</v>
      </c>
    </row>
    <row r="2935" spans="7:8">
      <c r="G2935">
        <v>2925</v>
      </c>
      <c r="H2935">
        <f t="shared" ca="1" si="53"/>
        <v>-6.4115303933214903E-3</v>
      </c>
    </row>
    <row r="2936" spans="7:8">
      <c r="G2936">
        <v>2926</v>
      </c>
      <c r="H2936">
        <f t="shared" ca="1" si="53"/>
        <v>-2.1692529054378826E-2</v>
      </c>
    </row>
    <row r="2937" spans="7:8">
      <c r="G2937">
        <v>2927</v>
      </c>
      <c r="H2937">
        <f t="shared" ca="1" si="53"/>
        <v>3.7852830446002017E-2</v>
      </c>
    </row>
    <row r="2938" spans="7:8">
      <c r="G2938">
        <v>2928</v>
      </c>
      <c r="H2938">
        <f t="shared" ca="1" si="53"/>
        <v>8.9647464330914507E-3</v>
      </c>
    </row>
    <row r="2939" spans="7:8">
      <c r="G2939">
        <v>2929</v>
      </c>
      <c r="H2939">
        <f t="shared" ca="1" si="53"/>
        <v>3.3700872632956402E-2</v>
      </c>
    </row>
    <row r="2940" spans="7:8">
      <c r="G2940">
        <v>2930</v>
      </c>
      <c r="H2940">
        <f t="shared" ca="1" si="53"/>
        <v>-6.6577805477232395E-4</v>
      </c>
    </row>
    <row r="2941" spans="7:8">
      <c r="G2941">
        <v>2931</v>
      </c>
      <c r="H2941">
        <f t="shared" ca="1" si="53"/>
        <v>2.1254234225692132E-2</v>
      </c>
    </row>
    <row r="2942" spans="7:8">
      <c r="G2942">
        <v>2932</v>
      </c>
      <c r="H2942">
        <f t="shared" ca="1" si="53"/>
        <v>3.6742531495724103E-2</v>
      </c>
    </row>
    <row r="2943" spans="7:8">
      <c r="G2943">
        <v>2933</v>
      </c>
      <c r="H2943">
        <f t="shared" ca="1" si="53"/>
        <v>9.7261009741879297E-3</v>
      </c>
    </row>
    <row r="2944" spans="7:8">
      <c r="G2944">
        <v>2934</v>
      </c>
      <c r="H2944">
        <f t="shared" ca="1" si="53"/>
        <v>-2.652655355467089E-2</v>
      </c>
    </row>
    <row r="2945" spans="7:8">
      <c r="G2945">
        <v>2935</v>
      </c>
      <c r="H2945">
        <f t="shared" ca="1" si="53"/>
        <v>1.4191992413715734E-2</v>
      </c>
    </row>
    <row r="2946" spans="7:8">
      <c r="G2946">
        <v>2936</v>
      </c>
      <c r="H2946">
        <f t="shared" ca="1" si="53"/>
        <v>1.4699474292949591E-2</v>
      </c>
    </row>
    <row r="2947" spans="7:8">
      <c r="G2947">
        <v>2937</v>
      </c>
      <c r="H2947">
        <f t="shared" ca="1" si="53"/>
        <v>-3.870551414102729E-2</v>
      </c>
    </row>
    <row r="2948" spans="7:8">
      <c r="G2948">
        <v>2938</v>
      </c>
      <c r="H2948">
        <f t="shared" ca="1" si="53"/>
        <v>-1.3860369606540275E-2</v>
      </c>
    </row>
    <row r="2949" spans="7:8">
      <c r="G2949">
        <v>2939</v>
      </c>
      <c r="H2949">
        <f t="shared" ca="1" si="53"/>
        <v>-3.4381517388980598E-2</v>
      </c>
    </row>
    <row r="2950" spans="7:8">
      <c r="G2950">
        <v>2940</v>
      </c>
      <c r="H2950">
        <f t="shared" ca="1" si="53"/>
        <v>1.7052240435735624E-2</v>
      </c>
    </row>
    <row r="2951" spans="7:8">
      <c r="G2951">
        <v>2941</v>
      </c>
      <c r="H2951">
        <f t="shared" ca="1" si="53"/>
        <v>-1.3450871593665521E-2</v>
      </c>
    </row>
    <row r="2952" spans="7:8">
      <c r="G2952">
        <v>2942</v>
      </c>
      <c r="H2952">
        <f t="shared" ca="1" si="53"/>
        <v>6.3048835440841833E-2</v>
      </c>
    </row>
    <row r="2953" spans="7:8">
      <c r="G2953">
        <v>2943</v>
      </c>
      <c r="H2953">
        <f t="shared" ca="1" si="53"/>
        <v>6.3954076130583928E-3</v>
      </c>
    </row>
    <row r="2954" spans="7:8">
      <c r="G2954">
        <v>2944</v>
      </c>
      <c r="H2954">
        <f t="shared" ca="1" si="53"/>
        <v>-1.3613736167595012E-2</v>
      </c>
    </row>
    <row r="2955" spans="7:8">
      <c r="G2955">
        <v>2945</v>
      </c>
      <c r="H2955">
        <f t="shared" ca="1" si="53"/>
        <v>-7.4090519045285422E-3</v>
      </c>
    </row>
    <row r="2956" spans="7:8">
      <c r="G2956">
        <v>2946</v>
      </c>
      <c r="H2956">
        <f t="shared" ref="H2956:H3019" ca="1" si="54">_xlfn.NORM.INV(RAND(),N$13,N$14)</f>
        <v>1.2592964321813045E-2</v>
      </c>
    </row>
    <row r="2957" spans="7:8">
      <c r="G2957">
        <v>2947</v>
      </c>
      <c r="H2957">
        <f t="shared" ca="1" si="54"/>
        <v>3.62804121978762E-2</v>
      </c>
    </row>
    <row r="2958" spans="7:8">
      <c r="G2958">
        <v>2948</v>
      </c>
      <c r="H2958">
        <f t="shared" ca="1" si="54"/>
        <v>2.9524943539145799E-2</v>
      </c>
    </row>
    <row r="2959" spans="7:8">
      <c r="G2959">
        <v>2949</v>
      </c>
      <c r="H2959">
        <f t="shared" ca="1" si="54"/>
        <v>8.2640356648881579E-8</v>
      </c>
    </row>
    <row r="2960" spans="7:8">
      <c r="G2960">
        <v>2950</v>
      </c>
      <c r="H2960">
        <f t="shared" ca="1" si="54"/>
        <v>7.086770197418938E-3</v>
      </c>
    </row>
    <row r="2961" spans="7:8">
      <c r="G2961">
        <v>2951</v>
      </c>
      <c r="H2961">
        <f t="shared" ca="1" si="54"/>
        <v>2.8872526696004067E-3</v>
      </c>
    </row>
    <row r="2962" spans="7:8">
      <c r="G2962">
        <v>2952</v>
      </c>
      <c r="H2962">
        <f t="shared" ca="1" si="54"/>
        <v>-3.0659970400816927E-3</v>
      </c>
    </row>
    <row r="2963" spans="7:8">
      <c r="G2963">
        <v>2953</v>
      </c>
      <c r="H2963">
        <f t="shared" ca="1" si="54"/>
        <v>1.1947759155405661E-2</v>
      </c>
    </row>
    <row r="2964" spans="7:8">
      <c r="G2964">
        <v>2954</v>
      </c>
      <c r="H2964">
        <f t="shared" ca="1" si="54"/>
        <v>2.6782243334928964E-2</v>
      </c>
    </row>
    <row r="2965" spans="7:8">
      <c r="G2965">
        <v>2955</v>
      </c>
      <c r="H2965">
        <f t="shared" ca="1" si="54"/>
        <v>1.5911971410724216E-2</v>
      </c>
    </row>
    <row r="2966" spans="7:8">
      <c r="G2966">
        <v>2956</v>
      </c>
      <c r="H2966">
        <f t="shared" ca="1" si="54"/>
        <v>2.1454057492362302E-2</v>
      </c>
    </row>
    <row r="2967" spans="7:8">
      <c r="G2967">
        <v>2957</v>
      </c>
      <c r="H2967">
        <f t="shared" ca="1" si="54"/>
        <v>-3.2272512363894063E-3</v>
      </c>
    </row>
    <row r="2968" spans="7:8">
      <c r="G2968">
        <v>2958</v>
      </c>
      <c r="H2968">
        <f t="shared" ca="1" si="54"/>
        <v>2.7776013120135282E-2</v>
      </c>
    </row>
    <row r="2969" spans="7:8">
      <c r="G2969">
        <v>2959</v>
      </c>
      <c r="H2969">
        <f t="shared" ca="1" si="54"/>
        <v>3.8841282192325199E-3</v>
      </c>
    </row>
    <row r="2970" spans="7:8">
      <c r="G2970">
        <v>2960</v>
      </c>
      <c r="H2970">
        <f t="shared" ca="1" si="54"/>
        <v>-3.4862951494448444E-2</v>
      </c>
    </row>
    <row r="2971" spans="7:8">
      <c r="G2971">
        <v>2961</v>
      </c>
      <c r="H2971">
        <f t="shared" ca="1" si="54"/>
        <v>-2.1043480274008436E-3</v>
      </c>
    </row>
    <row r="2972" spans="7:8">
      <c r="G2972">
        <v>2962</v>
      </c>
      <c r="H2972">
        <f t="shared" ca="1" si="54"/>
        <v>4.9110879893329885E-3</v>
      </c>
    </row>
    <row r="2973" spans="7:8">
      <c r="G2973">
        <v>2963</v>
      </c>
      <c r="H2973">
        <f t="shared" ca="1" si="54"/>
        <v>4.3441330096223869E-2</v>
      </c>
    </row>
    <row r="2974" spans="7:8">
      <c r="G2974">
        <v>2964</v>
      </c>
      <c r="H2974">
        <f t="shared" ca="1" si="54"/>
        <v>-8.8630172852967037E-3</v>
      </c>
    </row>
    <row r="2975" spans="7:8">
      <c r="G2975">
        <v>2965</v>
      </c>
      <c r="H2975">
        <f t="shared" ca="1" si="54"/>
        <v>3.9179502027890091E-2</v>
      </c>
    </row>
    <row r="2976" spans="7:8">
      <c r="G2976">
        <v>2966</v>
      </c>
      <c r="H2976">
        <f t="shared" ca="1" si="54"/>
        <v>9.9089657510268887E-3</v>
      </c>
    </row>
    <row r="2977" spans="7:8">
      <c r="G2977">
        <v>2967</v>
      </c>
      <c r="H2977">
        <f t="shared" ca="1" si="54"/>
        <v>4.1266871489641664E-2</v>
      </c>
    </row>
    <row r="2978" spans="7:8">
      <c r="G2978">
        <v>2968</v>
      </c>
      <c r="H2978">
        <f t="shared" ca="1" si="54"/>
        <v>1.5057292120967786E-2</v>
      </c>
    </row>
    <row r="2979" spans="7:8">
      <c r="G2979">
        <v>2969</v>
      </c>
      <c r="H2979">
        <f t="shared" ca="1" si="54"/>
        <v>5.0039387667640697E-2</v>
      </c>
    </row>
    <row r="2980" spans="7:8">
      <c r="G2980">
        <v>2970</v>
      </c>
      <c r="H2980">
        <f t="shared" ca="1" si="54"/>
        <v>-1.9913429540311219E-4</v>
      </c>
    </row>
    <row r="2981" spans="7:8">
      <c r="G2981">
        <v>2971</v>
      </c>
      <c r="H2981">
        <f t="shared" ca="1" si="54"/>
        <v>-4.2223426467309637E-2</v>
      </c>
    </row>
    <row r="2982" spans="7:8">
      <c r="G2982">
        <v>2972</v>
      </c>
      <c r="H2982">
        <f t="shared" ca="1" si="54"/>
        <v>9.1843894772383333E-3</v>
      </c>
    </row>
    <row r="2983" spans="7:8">
      <c r="G2983">
        <v>2973</v>
      </c>
      <c r="H2983">
        <f t="shared" ca="1" si="54"/>
        <v>-2.134151463199819E-4</v>
      </c>
    </row>
    <row r="2984" spans="7:8">
      <c r="G2984">
        <v>2974</v>
      </c>
      <c r="H2984">
        <f t="shared" ca="1" si="54"/>
        <v>8.6071618667752647E-3</v>
      </c>
    </row>
    <row r="2985" spans="7:8">
      <c r="G2985">
        <v>2975</v>
      </c>
      <c r="H2985">
        <f t="shared" ca="1" si="54"/>
        <v>-2.9909778014796107E-2</v>
      </c>
    </row>
    <row r="2986" spans="7:8">
      <c r="G2986">
        <v>2976</v>
      </c>
      <c r="H2986">
        <f t="shared" ca="1" si="54"/>
        <v>2.4671782871108796E-2</v>
      </c>
    </row>
    <row r="2987" spans="7:8">
      <c r="G2987">
        <v>2977</v>
      </c>
      <c r="H2987">
        <f t="shared" ca="1" si="54"/>
        <v>-2.1617983727951567E-2</v>
      </c>
    </row>
    <row r="2988" spans="7:8">
      <c r="G2988">
        <v>2978</v>
      </c>
      <c r="H2988">
        <f t="shared" ca="1" si="54"/>
        <v>-1.2959086988239301E-2</v>
      </c>
    </row>
    <row r="2989" spans="7:8">
      <c r="G2989">
        <v>2979</v>
      </c>
      <c r="H2989">
        <f t="shared" ca="1" si="54"/>
        <v>-1.4368535493606163E-3</v>
      </c>
    </row>
    <row r="2990" spans="7:8">
      <c r="G2990">
        <v>2980</v>
      </c>
      <c r="H2990">
        <f t="shared" ca="1" si="54"/>
        <v>-1.3076152679389752E-2</v>
      </c>
    </row>
    <row r="2991" spans="7:8">
      <c r="G2991">
        <v>2981</v>
      </c>
      <c r="H2991">
        <f t="shared" ca="1" si="54"/>
        <v>2.4922424203154829E-3</v>
      </c>
    </row>
    <row r="2992" spans="7:8">
      <c r="G2992">
        <v>2982</v>
      </c>
      <c r="H2992">
        <f t="shared" ca="1" si="54"/>
        <v>-7.5261939425301594E-3</v>
      </c>
    </row>
    <row r="2993" spans="7:8">
      <c r="G2993">
        <v>2983</v>
      </c>
      <c r="H2993">
        <f t="shared" ca="1" si="54"/>
        <v>-3.605902284682292E-2</v>
      </c>
    </row>
    <row r="2994" spans="7:8">
      <c r="G2994">
        <v>2984</v>
      </c>
      <c r="H2994">
        <f t="shared" ca="1" si="54"/>
        <v>3.9511371365339505E-2</v>
      </c>
    </row>
    <row r="2995" spans="7:8">
      <c r="G2995">
        <v>2985</v>
      </c>
      <c r="H2995">
        <f t="shared" ca="1" si="54"/>
        <v>-1.0876235673241886E-2</v>
      </c>
    </row>
    <row r="2996" spans="7:8">
      <c r="G2996">
        <v>2986</v>
      </c>
      <c r="H2996">
        <f t="shared" ca="1" si="54"/>
        <v>-4.1402880338951724E-2</v>
      </c>
    </row>
    <row r="2997" spans="7:8">
      <c r="G2997">
        <v>2987</v>
      </c>
      <c r="H2997">
        <f t="shared" ca="1" si="54"/>
        <v>1.1181658420325341E-2</v>
      </c>
    </row>
    <row r="2998" spans="7:8">
      <c r="G2998">
        <v>2988</v>
      </c>
      <c r="H2998">
        <f t="shared" ca="1" si="54"/>
        <v>-1.9828097584872136E-2</v>
      </c>
    </row>
    <row r="2999" spans="7:8">
      <c r="G2999">
        <v>2989</v>
      </c>
      <c r="H2999">
        <f t="shared" ca="1" si="54"/>
        <v>-2.4042074686352281E-3</v>
      </c>
    </row>
    <row r="3000" spans="7:8">
      <c r="G3000">
        <v>2990</v>
      </c>
      <c r="H3000">
        <f t="shared" ca="1" si="54"/>
        <v>-2.6239285617636488E-2</v>
      </c>
    </row>
    <row r="3001" spans="7:8">
      <c r="G3001">
        <v>2991</v>
      </c>
      <c r="H3001">
        <f t="shared" ca="1" si="54"/>
        <v>2.0436721845071781E-2</v>
      </c>
    </row>
    <row r="3002" spans="7:8">
      <c r="G3002">
        <v>2992</v>
      </c>
      <c r="H3002">
        <f t="shared" ca="1" si="54"/>
        <v>-1.6708870006822564E-2</v>
      </c>
    </row>
    <row r="3003" spans="7:8">
      <c r="G3003">
        <v>2993</v>
      </c>
      <c r="H3003">
        <f t="shared" ca="1" si="54"/>
        <v>-8.7388784475004345E-3</v>
      </c>
    </row>
    <row r="3004" spans="7:8">
      <c r="G3004">
        <v>2994</v>
      </c>
      <c r="H3004">
        <f t="shared" ca="1" si="54"/>
        <v>3.171040162061807E-2</v>
      </c>
    </row>
    <row r="3005" spans="7:8">
      <c r="G3005">
        <v>2995</v>
      </c>
      <c r="H3005">
        <f t="shared" ca="1" si="54"/>
        <v>3.0828434799330312E-2</v>
      </c>
    </row>
    <row r="3006" spans="7:8">
      <c r="G3006">
        <v>2996</v>
      </c>
      <c r="H3006">
        <f t="shared" ca="1" si="54"/>
        <v>1.1250081206299277E-2</v>
      </c>
    </row>
    <row r="3007" spans="7:8">
      <c r="G3007">
        <v>2997</v>
      </c>
      <c r="H3007">
        <f t="shared" ca="1" si="54"/>
        <v>8.162676196084644E-3</v>
      </c>
    </row>
    <row r="3008" spans="7:8">
      <c r="G3008">
        <v>2998</v>
      </c>
      <c r="H3008">
        <f t="shared" ca="1" si="54"/>
        <v>9.0872895279795526E-3</v>
      </c>
    </row>
    <row r="3009" spans="7:8">
      <c r="G3009">
        <v>2999</v>
      </c>
      <c r="H3009">
        <f t="shared" ca="1" si="54"/>
        <v>-8.5822070710598955E-3</v>
      </c>
    </row>
    <row r="3010" spans="7:8">
      <c r="G3010">
        <v>3000</v>
      </c>
      <c r="H3010">
        <f t="shared" ca="1" si="54"/>
        <v>-2.2750961862475414E-2</v>
      </c>
    </row>
    <row r="3011" spans="7:8">
      <c r="G3011">
        <v>3001</v>
      </c>
      <c r="H3011">
        <f t="shared" ca="1" si="54"/>
        <v>-3.6921924990319634E-2</v>
      </c>
    </row>
    <row r="3012" spans="7:8">
      <c r="G3012">
        <v>3002</v>
      </c>
      <c r="H3012">
        <f t="shared" ca="1" si="54"/>
        <v>2.8149953126545283E-2</v>
      </c>
    </row>
    <row r="3013" spans="7:8">
      <c r="G3013">
        <v>3003</v>
      </c>
      <c r="H3013">
        <f t="shared" ca="1" si="54"/>
        <v>1.628254829150835E-2</v>
      </c>
    </row>
    <row r="3014" spans="7:8">
      <c r="G3014">
        <v>3004</v>
      </c>
      <c r="H3014">
        <f t="shared" ca="1" si="54"/>
        <v>-1.1944887715275335E-2</v>
      </c>
    </row>
    <row r="3015" spans="7:8">
      <c r="G3015">
        <v>3005</v>
      </c>
      <c r="H3015">
        <f t="shared" ca="1" si="54"/>
        <v>1.5666784035373159E-3</v>
      </c>
    </row>
    <row r="3016" spans="7:8">
      <c r="G3016">
        <v>3006</v>
      </c>
      <c r="H3016">
        <f t="shared" ca="1" si="54"/>
        <v>-1.938473536597236E-2</v>
      </c>
    </row>
    <row r="3017" spans="7:8">
      <c r="G3017">
        <v>3007</v>
      </c>
      <c r="H3017">
        <f t="shared" ca="1" si="54"/>
        <v>-1.0552480335598743E-2</v>
      </c>
    </row>
    <row r="3018" spans="7:8">
      <c r="G3018">
        <v>3008</v>
      </c>
      <c r="H3018">
        <f t="shared" ca="1" si="54"/>
        <v>-2.3431884383799909E-2</v>
      </c>
    </row>
    <row r="3019" spans="7:8">
      <c r="G3019">
        <v>3009</v>
      </c>
      <c r="H3019">
        <f t="shared" ca="1" si="54"/>
        <v>-4.6621666956111257E-3</v>
      </c>
    </row>
    <row r="3020" spans="7:8">
      <c r="G3020">
        <v>3010</v>
      </c>
      <c r="H3020">
        <f t="shared" ref="H3020:H3083" ca="1" si="55">_xlfn.NORM.INV(RAND(),N$13,N$14)</f>
        <v>2.2311931860257334E-2</v>
      </c>
    </row>
    <row r="3021" spans="7:8">
      <c r="G3021">
        <v>3011</v>
      </c>
      <c r="H3021">
        <f t="shared" ca="1" si="55"/>
        <v>1.3892301619243604E-2</v>
      </c>
    </row>
    <row r="3022" spans="7:8">
      <c r="G3022">
        <v>3012</v>
      </c>
      <c r="H3022">
        <f t="shared" ca="1" si="55"/>
        <v>-2.8718696064090249E-2</v>
      </c>
    </row>
    <row r="3023" spans="7:8">
      <c r="G3023">
        <v>3013</v>
      </c>
      <c r="H3023">
        <f t="shared" ca="1" si="55"/>
        <v>-1.055275677653395E-2</v>
      </c>
    </row>
    <row r="3024" spans="7:8">
      <c r="G3024">
        <v>3014</v>
      </c>
      <c r="H3024">
        <f t="shared" ca="1" si="55"/>
        <v>-4.9519167944546423E-2</v>
      </c>
    </row>
    <row r="3025" spans="7:8">
      <c r="G3025">
        <v>3015</v>
      </c>
      <c r="H3025">
        <f t="shared" ca="1" si="55"/>
        <v>-1.6723573040941114E-2</v>
      </c>
    </row>
    <row r="3026" spans="7:8">
      <c r="G3026">
        <v>3016</v>
      </c>
      <c r="H3026">
        <f t="shared" ca="1" si="55"/>
        <v>-7.0017312494747349E-4</v>
      </c>
    </row>
    <row r="3027" spans="7:8">
      <c r="G3027">
        <v>3017</v>
      </c>
      <c r="H3027">
        <f t="shared" ca="1" si="55"/>
        <v>2.6239243061146823E-2</v>
      </c>
    </row>
    <row r="3028" spans="7:8">
      <c r="G3028">
        <v>3018</v>
      </c>
      <c r="H3028">
        <f t="shared" ca="1" si="55"/>
        <v>-4.9739068588061118E-2</v>
      </c>
    </row>
    <row r="3029" spans="7:8">
      <c r="G3029">
        <v>3019</v>
      </c>
      <c r="H3029">
        <f t="shared" ca="1" si="55"/>
        <v>6.9513979537592398E-3</v>
      </c>
    </row>
    <row r="3030" spans="7:8">
      <c r="G3030">
        <v>3020</v>
      </c>
      <c r="H3030">
        <f t="shared" ca="1" si="55"/>
        <v>1.7643976124122811E-2</v>
      </c>
    </row>
    <row r="3031" spans="7:8">
      <c r="G3031">
        <v>3021</v>
      </c>
      <c r="H3031">
        <f t="shared" ca="1" si="55"/>
        <v>6.9863657537532486E-3</v>
      </c>
    </row>
    <row r="3032" spans="7:8">
      <c r="G3032">
        <v>3022</v>
      </c>
      <c r="H3032">
        <f t="shared" ca="1" si="55"/>
        <v>-4.0367386846086655E-3</v>
      </c>
    </row>
    <row r="3033" spans="7:8">
      <c r="G3033">
        <v>3023</v>
      </c>
      <c r="H3033">
        <f t="shared" ca="1" si="55"/>
        <v>-4.5032419893189367E-2</v>
      </c>
    </row>
    <row r="3034" spans="7:8">
      <c r="G3034">
        <v>3024</v>
      </c>
      <c r="H3034">
        <f t="shared" ca="1" si="55"/>
        <v>-1.9357544396774392E-2</v>
      </c>
    </row>
    <row r="3035" spans="7:8">
      <c r="G3035">
        <v>3025</v>
      </c>
      <c r="H3035">
        <f t="shared" ca="1" si="55"/>
        <v>-1.454019451593817E-3</v>
      </c>
    </row>
    <row r="3036" spans="7:8">
      <c r="G3036">
        <v>3026</v>
      </c>
      <c r="H3036">
        <f t="shared" ca="1" si="55"/>
        <v>-1.2647582377561019E-3</v>
      </c>
    </row>
    <row r="3037" spans="7:8">
      <c r="G3037">
        <v>3027</v>
      </c>
      <c r="H3037">
        <f t="shared" ca="1" si="55"/>
        <v>3.1978584854438677E-2</v>
      </c>
    </row>
    <row r="3038" spans="7:8">
      <c r="G3038">
        <v>3028</v>
      </c>
      <c r="H3038">
        <f t="shared" ca="1" si="55"/>
        <v>-1.5031558992825163E-2</v>
      </c>
    </row>
    <row r="3039" spans="7:8">
      <c r="G3039">
        <v>3029</v>
      </c>
      <c r="H3039">
        <f t="shared" ca="1" si="55"/>
        <v>-1.1019004127604868E-2</v>
      </c>
    </row>
    <row r="3040" spans="7:8">
      <c r="G3040">
        <v>3030</v>
      </c>
      <c r="H3040">
        <f t="shared" ca="1" si="55"/>
        <v>2.2214746920116825E-3</v>
      </c>
    </row>
    <row r="3041" spans="7:8">
      <c r="G3041">
        <v>3031</v>
      </c>
      <c r="H3041">
        <f t="shared" ca="1" si="55"/>
        <v>-1.0898803253343532E-2</v>
      </c>
    </row>
    <row r="3042" spans="7:8">
      <c r="G3042">
        <v>3032</v>
      </c>
      <c r="H3042">
        <f t="shared" ca="1" si="55"/>
        <v>-2.4910911018454916E-2</v>
      </c>
    </row>
    <row r="3043" spans="7:8">
      <c r="G3043">
        <v>3033</v>
      </c>
      <c r="H3043">
        <f t="shared" ca="1" si="55"/>
        <v>3.4286676670391147E-2</v>
      </c>
    </row>
    <row r="3044" spans="7:8">
      <c r="G3044">
        <v>3034</v>
      </c>
      <c r="H3044">
        <f t="shared" ca="1" si="55"/>
        <v>4.0005196994127336E-3</v>
      </c>
    </row>
    <row r="3045" spans="7:8">
      <c r="G3045">
        <v>3035</v>
      </c>
      <c r="H3045">
        <f t="shared" ca="1" si="55"/>
        <v>4.6844239042897386E-3</v>
      </c>
    </row>
    <row r="3046" spans="7:8">
      <c r="G3046">
        <v>3036</v>
      </c>
      <c r="H3046">
        <f t="shared" ca="1" si="55"/>
        <v>-4.1969912267135097E-2</v>
      </c>
    </row>
    <row r="3047" spans="7:8">
      <c r="G3047">
        <v>3037</v>
      </c>
      <c r="H3047">
        <f t="shared" ca="1" si="55"/>
        <v>-2.8301784296614479E-3</v>
      </c>
    </row>
    <row r="3048" spans="7:8">
      <c r="G3048">
        <v>3038</v>
      </c>
      <c r="H3048">
        <f t="shared" ca="1" si="55"/>
        <v>-3.885892204937767E-3</v>
      </c>
    </row>
    <row r="3049" spans="7:8">
      <c r="G3049">
        <v>3039</v>
      </c>
      <c r="H3049">
        <f t="shared" ca="1" si="55"/>
        <v>-1.2535853036567469E-2</v>
      </c>
    </row>
    <row r="3050" spans="7:8">
      <c r="G3050">
        <v>3040</v>
      </c>
      <c r="H3050">
        <f t="shared" ca="1" si="55"/>
        <v>-3.4442397234008821E-3</v>
      </c>
    </row>
    <row r="3051" spans="7:8">
      <c r="G3051">
        <v>3041</v>
      </c>
      <c r="H3051">
        <f t="shared" ca="1" si="55"/>
        <v>1.1376189272222056E-2</v>
      </c>
    </row>
    <row r="3052" spans="7:8">
      <c r="G3052">
        <v>3042</v>
      </c>
      <c r="H3052">
        <f t="shared" ca="1" si="55"/>
        <v>7.7169269743949682E-3</v>
      </c>
    </row>
    <row r="3053" spans="7:8">
      <c r="G3053">
        <v>3043</v>
      </c>
      <c r="H3053">
        <f t="shared" ca="1" si="55"/>
        <v>-2.3224933790079266E-2</v>
      </c>
    </row>
    <row r="3054" spans="7:8">
      <c r="G3054">
        <v>3044</v>
      </c>
      <c r="H3054">
        <f t="shared" ca="1" si="55"/>
        <v>1.3171699313878847E-2</v>
      </c>
    </row>
    <row r="3055" spans="7:8">
      <c r="G3055">
        <v>3045</v>
      </c>
      <c r="H3055">
        <f t="shared" ca="1" si="55"/>
        <v>2.8317523132968335E-2</v>
      </c>
    </row>
    <row r="3056" spans="7:8">
      <c r="G3056">
        <v>3046</v>
      </c>
      <c r="H3056">
        <f t="shared" ca="1" si="55"/>
        <v>2.1747731823210039E-3</v>
      </c>
    </row>
    <row r="3057" spans="7:8">
      <c r="G3057">
        <v>3047</v>
      </c>
      <c r="H3057">
        <f t="shared" ca="1" si="55"/>
        <v>1.4836136195068031E-2</v>
      </c>
    </row>
    <row r="3058" spans="7:8">
      <c r="G3058">
        <v>3048</v>
      </c>
      <c r="H3058">
        <f t="shared" ca="1" si="55"/>
        <v>-3.0672680592406794E-3</v>
      </c>
    </row>
    <row r="3059" spans="7:8">
      <c r="G3059">
        <v>3049</v>
      </c>
      <c r="H3059">
        <f t="shared" ca="1" si="55"/>
        <v>-1.9636264465172276E-2</v>
      </c>
    </row>
    <row r="3060" spans="7:8">
      <c r="G3060">
        <v>3050</v>
      </c>
      <c r="H3060">
        <f t="shared" ca="1" si="55"/>
        <v>-2.8144799711185435E-2</v>
      </c>
    </row>
    <row r="3061" spans="7:8">
      <c r="G3061">
        <v>3051</v>
      </c>
      <c r="H3061">
        <f t="shared" ca="1" si="55"/>
        <v>7.0716008821280259E-3</v>
      </c>
    </row>
    <row r="3062" spans="7:8">
      <c r="G3062">
        <v>3052</v>
      </c>
      <c r="H3062">
        <f t="shared" ca="1" si="55"/>
        <v>1.1710614152316907E-2</v>
      </c>
    </row>
    <row r="3063" spans="7:8">
      <c r="G3063">
        <v>3053</v>
      </c>
      <c r="H3063">
        <f t="shared" ca="1" si="55"/>
        <v>-3.0799240956690704E-2</v>
      </c>
    </row>
    <row r="3064" spans="7:8">
      <c r="G3064">
        <v>3054</v>
      </c>
      <c r="H3064">
        <f t="shared" ca="1" si="55"/>
        <v>4.9215305026064603E-3</v>
      </c>
    </row>
    <row r="3065" spans="7:8">
      <c r="G3065">
        <v>3055</v>
      </c>
      <c r="H3065">
        <f t="shared" ca="1" si="55"/>
        <v>-5.9120261667762698E-3</v>
      </c>
    </row>
    <row r="3066" spans="7:8">
      <c r="G3066">
        <v>3056</v>
      </c>
      <c r="H3066">
        <f t="shared" ca="1" si="55"/>
        <v>-2.2749461385731824E-2</v>
      </c>
    </row>
    <row r="3067" spans="7:8">
      <c r="G3067">
        <v>3057</v>
      </c>
      <c r="H3067">
        <f t="shared" ca="1" si="55"/>
        <v>5.1581508995695385E-2</v>
      </c>
    </row>
    <row r="3068" spans="7:8">
      <c r="G3068">
        <v>3058</v>
      </c>
      <c r="H3068">
        <f t="shared" ca="1" si="55"/>
        <v>-2.0001185139905227E-2</v>
      </c>
    </row>
    <row r="3069" spans="7:8">
      <c r="G3069">
        <v>3059</v>
      </c>
      <c r="H3069">
        <f t="shared" ca="1" si="55"/>
        <v>-2.8959632697392302E-3</v>
      </c>
    </row>
    <row r="3070" spans="7:8">
      <c r="G3070">
        <v>3060</v>
      </c>
      <c r="H3070">
        <f t="shared" ca="1" si="55"/>
        <v>1.1073652638959644E-2</v>
      </c>
    </row>
    <row r="3071" spans="7:8">
      <c r="G3071">
        <v>3061</v>
      </c>
      <c r="H3071">
        <f t="shared" ca="1" si="55"/>
        <v>1.9988515148379612E-3</v>
      </c>
    </row>
    <row r="3072" spans="7:8">
      <c r="G3072">
        <v>3062</v>
      </c>
      <c r="H3072">
        <f t="shared" ca="1" si="55"/>
        <v>7.1496059729462486E-3</v>
      </c>
    </row>
    <row r="3073" spans="7:8">
      <c r="G3073">
        <v>3063</v>
      </c>
      <c r="H3073">
        <f t="shared" ca="1" si="55"/>
        <v>2.421400093256881E-2</v>
      </c>
    </row>
    <row r="3074" spans="7:8">
      <c r="G3074">
        <v>3064</v>
      </c>
      <c r="H3074">
        <f t="shared" ca="1" si="55"/>
        <v>-3.2778305691322417E-2</v>
      </c>
    </row>
    <row r="3075" spans="7:8">
      <c r="G3075">
        <v>3065</v>
      </c>
      <c r="H3075">
        <f t="shared" ca="1" si="55"/>
        <v>-1.0397576371716856E-2</v>
      </c>
    </row>
    <row r="3076" spans="7:8">
      <c r="G3076">
        <v>3066</v>
      </c>
      <c r="H3076">
        <f t="shared" ca="1" si="55"/>
        <v>6.1054704953621072E-3</v>
      </c>
    </row>
    <row r="3077" spans="7:8">
      <c r="G3077">
        <v>3067</v>
      </c>
      <c r="H3077">
        <f t="shared" ca="1" si="55"/>
        <v>-9.3852028589407853E-3</v>
      </c>
    </row>
    <row r="3078" spans="7:8">
      <c r="G3078">
        <v>3068</v>
      </c>
      <c r="H3078">
        <f t="shared" ca="1" si="55"/>
        <v>8.8282860868727792E-3</v>
      </c>
    </row>
    <row r="3079" spans="7:8">
      <c r="G3079">
        <v>3069</v>
      </c>
      <c r="H3079">
        <f t="shared" ca="1" si="55"/>
        <v>-4.0570742498689451E-2</v>
      </c>
    </row>
    <row r="3080" spans="7:8">
      <c r="G3080">
        <v>3070</v>
      </c>
      <c r="H3080">
        <f t="shared" ca="1" si="55"/>
        <v>-2.0283874846408822E-2</v>
      </c>
    </row>
    <row r="3081" spans="7:8">
      <c r="G3081">
        <v>3071</v>
      </c>
      <c r="H3081">
        <f t="shared" ca="1" si="55"/>
        <v>2.3486138442415923E-2</v>
      </c>
    </row>
    <row r="3082" spans="7:8">
      <c r="G3082">
        <v>3072</v>
      </c>
      <c r="H3082">
        <f t="shared" ca="1" si="55"/>
        <v>-4.8895098520860018E-3</v>
      </c>
    </row>
    <row r="3083" spans="7:8">
      <c r="G3083">
        <v>3073</v>
      </c>
      <c r="H3083">
        <f t="shared" ca="1" si="55"/>
        <v>3.9682322180943537E-3</v>
      </c>
    </row>
    <row r="3084" spans="7:8">
      <c r="G3084">
        <v>3074</v>
      </c>
      <c r="H3084">
        <f t="shared" ref="H3084:H3147" ca="1" si="56">_xlfn.NORM.INV(RAND(),N$13,N$14)</f>
        <v>-9.0664750894880897E-3</v>
      </c>
    </row>
    <row r="3085" spans="7:8">
      <c r="G3085">
        <v>3075</v>
      </c>
      <c r="H3085">
        <f t="shared" ca="1" si="56"/>
        <v>3.7071353065298601E-2</v>
      </c>
    </row>
    <row r="3086" spans="7:8">
      <c r="G3086">
        <v>3076</v>
      </c>
      <c r="H3086">
        <f t="shared" ca="1" si="56"/>
        <v>-5.3264637300092482E-2</v>
      </c>
    </row>
    <row r="3087" spans="7:8">
      <c r="G3087">
        <v>3077</v>
      </c>
      <c r="H3087">
        <f t="shared" ca="1" si="56"/>
        <v>1.5713834521458997E-2</v>
      </c>
    </row>
    <row r="3088" spans="7:8">
      <c r="G3088">
        <v>3078</v>
      </c>
      <c r="H3088">
        <f t="shared" ca="1" si="56"/>
        <v>-9.781900276805696E-3</v>
      </c>
    </row>
    <row r="3089" spans="7:8">
      <c r="G3089">
        <v>3079</v>
      </c>
      <c r="H3089">
        <f t="shared" ca="1" si="56"/>
        <v>-9.4034755987307834E-3</v>
      </c>
    </row>
    <row r="3090" spans="7:8">
      <c r="G3090">
        <v>3080</v>
      </c>
      <c r="H3090">
        <f t="shared" ca="1" si="56"/>
        <v>1.4664260931578471E-2</v>
      </c>
    </row>
    <row r="3091" spans="7:8">
      <c r="G3091">
        <v>3081</v>
      </c>
      <c r="H3091">
        <f t="shared" ca="1" si="56"/>
        <v>-4.5359269613134405E-2</v>
      </c>
    </row>
    <row r="3092" spans="7:8">
      <c r="G3092">
        <v>3082</v>
      </c>
      <c r="H3092">
        <f t="shared" ca="1" si="56"/>
        <v>-3.7400485711203378E-2</v>
      </c>
    </row>
    <row r="3093" spans="7:8">
      <c r="G3093">
        <v>3083</v>
      </c>
      <c r="H3093">
        <f t="shared" ca="1" si="56"/>
        <v>-7.0301178784876253E-2</v>
      </c>
    </row>
    <row r="3094" spans="7:8">
      <c r="G3094">
        <v>3084</v>
      </c>
      <c r="H3094">
        <f t="shared" ca="1" si="56"/>
        <v>7.1788549840572124E-4</v>
      </c>
    </row>
    <row r="3095" spans="7:8">
      <c r="G3095">
        <v>3085</v>
      </c>
      <c r="H3095">
        <f t="shared" ca="1" si="56"/>
        <v>-2.6819229799796254E-2</v>
      </c>
    </row>
    <row r="3096" spans="7:8">
      <c r="G3096">
        <v>3086</v>
      </c>
      <c r="H3096">
        <f t="shared" ca="1" si="56"/>
        <v>-1.3502032334891532E-2</v>
      </c>
    </row>
    <row r="3097" spans="7:8">
      <c r="G3097">
        <v>3087</v>
      </c>
      <c r="H3097">
        <f t="shared" ca="1" si="56"/>
        <v>-4.4937863194942543E-2</v>
      </c>
    </row>
    <row r="3098" spans="7:8">
      <c r="G3098">
        <v>3088</v>
      </c>
      <c r="H3098">
        <f t="shared" ca="1" si="56"/>
        <v>-9.5564422358203373E-3</v>
      </c>
    </row>
    <row r="3099" spans="7:8">
      <c r="G3099">
        <v>3089</v>
      </c>
      <c r="H3099">
        <f t="shared" ca="1" si="56"/>
        <v>1.6962632064496917E-2</v>
      </c>
    </row>
    <row r="3100" spans="7:8">
      <c r="G3100">
        <v>3090</v>
      </c>
      <c r="H3100">
        <f t="shared" ca="1" si="56"/>
        <v>1.2151097252709462E-2</v>
      </c>
    </row>
    <row r="3101" spans="7:8">
      <c r="G3101">
        <v>3091</v>
      </c>
      <c r="H3101">
        <f t="shared" ca="1" si="56"/>
        <v>6.8503615883903158E-3</v>
      </c>
    </row>
    <row r="3102" spans="7:8">
      <c r="G3102">
        <v>3092</v>
      </c>
      <c r="H3102">
        <f t="shared" ca="1" si="56"/>
        <v>1.4972141487277929E-4</v>
      </c>
    </row>
    <row r="3103" spans="7:8">
      <c r="G3103">
        <v>3093</v>
      </c>
      <c r="H3103">
        <f t="shared" ca="1" si="56"/>
        <v>-2.2084967457301853E-2</v>
      </c>
    </row>
    <row r="3104" spans="7:8">
      <c r="G3104">
        <v>3094</v>
      </c>
      <c r="H3104">
        <f t="shared" ca="1" si="56"/>
        <v>-4.5818865139087055E-2</v>
      </c>
    </row>
    <row r="3105" spans="7:8">
      <c r="G3105">
        <v>3095</v>
      </c>
      <c r="H3105">
        <f t="shared" ca="1" si="56"/>
        <v>5.6495230094111316E-3</v>
      </c>
    </row>
    <row r="3106" spans="7:8">
      <c r="G3106">
        <v>3096</v>
      </c>
      <c r="H3106">
        <f t="shared" ca="1" si="56"/>
        <v>-1.3822362912716186E-3</v>
      </c>
    </row>
    <row r="3107" spans="7:8">
      <c r="G3107">
        <v>3097</v>
      </c>
      <c r="H3107">
        <f t="shared" ca="1" si="56"/>
        <v>-2.195612056816576E-2</v>
      </c>
    </row>
    <row r="3108" spans="7:8">
      <c r="G3108">
        <v>3098</v>
      </c>
      <c r="H3108">
        <f t="shared" ca="1" si="56"/>
        <v>-8.4831488024916663E-3</v>
      </c>
    </row>
    <row r="3109" spans="7:8">
      <c r="G3109">
        <v>3099</v>
      </c>
      <c r="H3109">
        <f t="shared" ca="1" si="56"/>
        <v>-1.8127043431888186E-3</v>
      </c>
    </row>
    <row r="3110" spans="7:8">
      <c r="G3110">
        <v>3100</v>
      </c>
      <c r="H3110">
        <f t="shared" ca="1" si="56"/>
        <v>-9.1979192220889485E-3</v>
      </c>
    </row>
    <row r="3111" spans="7:8">
      <c r="G3111">
        <v>3101</v>
      </c>
      <c r="H3111">
        <f t="shared" ca="1" si="56"/>
        <v>-1.8715639381081371E-2</v>
      </c>
    </row>
    <row r="3112" spans="7:8">
      <c r="G3112">
        <v>3102</v>
      </c>
      <c r="H3112">
        <f t="shared" ca="1" si="56"/>
        <v>1.5425423335709433E-3</v>
      </c>
    </row>
    <row r="3113" spans="7:8">
      <c r="G3113">
        <v>3103</v>
      </c>
      <c r="H3113">
        <f t="shared" ca="1" si="56"/>
        <v>4.7561708623648023E-2</v>
      </c>
    </row>
    <row r="3114" spans="7:8">
      <c r="G3114">
        <v>3104</v>
      </c>
      <c r="H3114">
        <f t="shared" ca="1" si="56"/>
        <v>-2.1213354314220098E-2</v>
      </c>
    </row>
    <row r="3115" spans="7:8">
      <c r="G3115">
        <v>3105</v>
      </c>
      <c r="H3115">
        <f t="shared" ca="1" si="56"/>
        <v>1.6557597891580778E-2</v>
      </c>
    </row>
    <row r="3116" spans="7:8">
      <c r="G3116">
        <v>3106</v>
      </c>
      <c r="H3116">
        <f t="shared" ca="1" si="56"/>
        <v>1.0858458491574906E-3</v>
      </c>
    </row>
    <row r="3117" spans="7:8">
      <c r="G3117">
        <v>3107</v>
      </c>
      <c r="H3117">
        <f t="shared" ca="1" si="56"/>
        <v>2.3457913581996028E-2</v>
      </c>
    </row>
    <row r="3118" spans="7:8">
      <c r="G3118">
        <v>3108</v>
      </c>
      <c r="H3118">
        <f t="shared" ca="1" si="56"/>
        <v>-5.4119239942632623E-4</v>
      </c>
    </row>
    <row r="3119" spans="7:8">
      <c r="G3119">
        <v>3109</v>
      </c>
      <c r="H3119">
        <f t="shared" ca="1" si="56"/>
        <v>-8.6332626347573761E-3</v>
      </c>
    </row>
    <row r="3120" spans="7:8">
      <c r="G3120">
        <v>3110</v>
      </c>
      <c r="H3120">
        <f t="shared" ca="1" si="56"/>
        <v>2.1342733671703754E-2</v>
      </c>
    </row>
    <row r="3121" spans="7:8">
      <c r="G3121">
        <v>3111</v>
      </c>
      <c r="H3121">
        <f t="shared" ca="1" si="56"/>
        <v>2.8477267605180625E-2</v>
      </c>
    </row>
    <row r="3122" spans="7:8">
      <c r="G3122">
        <v>3112</v>
      </c>
      <c r="H3122">
        <f t="shared" ca="1" si="56"/>
        <v>1.2302097080276585E-2</v>
      </c>
    </row>
    <row r="3123" spans="7:8">
      <c r="G3123">
        <v>3113</v>
      </c>
      <c r="H3123">
        <f t="shared" ca="1" si="56"/>
        <v>-1.5069154275481321E-2</v>
      </c>
    </row>
    <row r="3124" spans="7:8">
      <c r="G3124">
        <v>3114</v>
      </c>
      <c r="H3124">
        <f t="shared" ca="1" si="56"/>
        <v>7.6386886774068513E-3</v>
      </c>
    </row>
    <row r="3125" spans="7:8">
      <c r="G3125">
        <v>3115</v>
      </c>
      <c r="H3125">
        <f t="shared" ca="1" si="56"/>
        <v>3.8108695423216203E-2</v>
      </c>
    </row>
    <row r="3126" spans="7:8">
      <c r="G3126">
        <v>3116</v>
      </c>
      <c r="H3126">
        <f t="shared" ca="1" si="56"/>
        <v>-3.3997297407412301E-2</v>
      </c>
    </row>
    <row r="3127" spans="7:8">
      <c r="G3127">
        <v>3117</v>
      </c>
      <c r="H3127">
        <f t="shared" ca="1" si="56"/>
        <v>-1.0011123451589936E-2</v>
      </c>
    </row>
    <row r="3128" spans="7:8">
      <c r="G3128">
        <v>3118</v>
      </c>
      <c r="H3128">
        <f t="shared" ca="1" si="56"/>
        <v>-1.9868289324371693E-2</v>
      </c>
    </row>
    <row r="3129" spans="7:8">
      <c r="G3129">
        <v>3119</v>
      </c>
      <c r="H3129">
        <f t="shared" ca="1" si="56"/>
        <v>1.0526106441579345E-2</v>
      </c>
    </row>
    <row r="3130" spans="7:8">
      <c r="G3130">
        <v>3120</v>
      </c>
      <c r="H3130">
        <f t="shared" ca="1" si="56"/>
        <v>3.6700277330488154E-2</v>
      </c>
    </row>
    <row r="3131" spans="7:8">
      <c r="G3131">
        <v>3121</v>
      </c>
      <c r="H3131">
        <f t="shared" ca="1" si="56"/>
        <v>1.7468384155362983E-2</v>
      </c>
    </row>
    <row r="3132" spans="7:8">
      <c r="G3132">
        <v>3122</v>
      </c>
      <c r="H3132">
        <f t="shared" ca="1" si="56"/>
        <v>4.0850286424257566E-2</v>
      </c>
    </row>
    <row r="3133" spans="7:8">
      <c r="G3133">
        <v>3123</v>
      </c>
      <c r="H3133">
        <f t="shared" ca="1" si="56"/>
        <v>1.6721550699968529E-2</v>
      </c>
    </row>
    <row r="3134" spans="7:8">
      <c r="G3134">
        <v>3124</v>
      </c>
      <c r="H3134">
        <f t="shared" ca="1" si="56"/>
        <v>-8.9807830477525545E-3</v>
      </c>
    </row>
    <row r="3135" spans="7:8">
      <c r="G3135">
        <v>3125</v>
      </c>
      <c r="H3135">
        <f t="shared" ca="1" si="56"/>
        <v>1.8002026527649435E-2</v>
      </c>
    </row>
    <row r="3136" spans="7:8">
      <c r="G3136">
        <v>3126</v>
      </c>
      <c r="H3136">
        <f t="shared" ca="1" si="56"/>
        <v>-1.0881874622123327E-2</v>
      </c>
    </row>
    <row r="3137" spans="7:8">
      <c r="G3137">
        <v>3127</v>
      </c>
      <c r="H3137">
        <f t="shared" ca="1" si="56"/>
        <v>-2.4967493301081927E-2</v>
      </c>
    </row>
    <row r="3138" spans="7:8">
      <c r="G3138">
        <v>3128</v>
      </c>
      <c r="H3138">
        <f t="shared" ca="1" si="56"/>
        <v>-3.5584350744817465E-2</v>
      </c>
    </row>
    <row r="3139" spans="7:8">
      <c r="G3139">
        <v>3129</v>
      </c>
      <c r="H3139">
        <f t="shared" ca="1" si="56"/>
        <v>9.1875725609172863E-3</v>
      </c>
    </row>
    <row r="3140" spans="7:8">
      <c r="G3140">
        <v>3130</v>
      </c>
      <c r="H3140">
        <f t="shared" ca="1" si="56"/>
        <v>-3.1424807388008354E-2</v>
      </c>
    </row>
    <row r="3141" spans="7:8">
      <c r="G3141">
        <v>3131</v>
      </c>
      <c r="H3141">
        <f t="shared" ca="1" si="56"/>
        <v>-2.7133072818953979E-2</v>
      </c>
    </row>
    <row r="3142" spans="7:8">
      <c r="G3142">
        <v>3132</v>
      </c>
      <c r="H3142">
        <f t="shared" ca="1" si="56"/>
        <v>-3.8056200109821124E-3</v>
      </c>
    </row>
    <row r="3143" spans="7:8">
      <c r="G3143">
        <v>3133</v>
      </c>
      <c r="H3143">
        <f t="shared" ca="1" si="56"/>
        <v>-7.6035601334790972E-3</v>
      </c>
    </row>
    <row r="3144" spans="7:8">
      <c r="G3144">
        <v>3134</v>
      </c>
      <c r="H3144">
        <f t="shared" ca="1" si="56"/>
        <v>-2.3490796561747535E-2</v>
      </c>
    </row>
    <row r="3145" spans="7:8">
      <c r="G3145">
        <v>3135</v>
      </c>
      <c r="H3145">
        <f t="shared" ca="1" si="56"/>
        <v>-4.9880127604784774E-2</v>
      </c>
    </row>
    <row r="3146" spans="7:8">
      <c r="G3146">
        <v>3136</v>
      </c>
      <c r="H3146">
        <f t="shared" ca="1" si="56"/>
        <v>-1.9112229298624713E-2</v>
      </c>
    </row>
    <row r="3147" spans="7:8">
      <c r="G3147">
        <v>3137</v>
      </c>
      <c r="H3147">
        <f t="shared" ca="1" si="56"/>
        <v>-6.2525875033931005E-2</v>
      </c>
    </row>
    <row r="3148" spans="7:8">
      <c r="G3148">
        <v>3138</v>
      </c>
      <c r="H3148">
        <f t="shared" ref="H3148:H3211" ca="1" si="57">_xlfn.NORM.INV(RAND(),N$13,N$14)</f>
        <v>-2.8529771741087229E-2</v>
      </c>
    </row>
    <row r="3149" spans="7:8">
      <c r="G3149">
        <v>3139</v>
      </c>
      <c r="H3149">
        <f t="shared" ca="1" si="57"/>
        <v>7.8613653351240174E-3</v>
      </c>
    </row>
    <row r="3150" spans="7:8">
      <c r="G3150">
        <v>3140</v>
      </c>
      <c r="H3150">
        <f t="shared" ca="1" si="57"/>
        <v>-5.6726014585408244E-3</v>
      </c>
    </row>
    <row r="3151" spans="7:8">
      <c r="G3151">
        <v>3141</v>
      </c>
      <c r="H3151">
        <f t="shared" ca="1" si="57"/>
        <v>7.5182805992935545E-3</v>
      </c>
    </row>
    <row r="3152" spans="7:8">
      <c r="G3152">
        <v>3142</v>
      </c>
      <c r="H3152">
        <f t="shared" ca="1" si="57"/>
        <v>1.727094464620366E-3</v>
      </c>
    </row>
    <row r="3153" spans="7:8">
      <c r="G3153">
        <v>3143</v>
      </c>
      <c r="H3153">
        <f t="shared" ca="1" si="57"/>
        <v>-1.5859728235306094E-2</v>
      </c>
    </row>
    <row r="3154" spans="7:8">
      <c r="G3154">
        <v>3144</v>
      </c>
      <c r="H3154">
        <f t="shared" ca="1" si="57"/>
        <v>1.3313083199334675E-2</v>
      </c>
    </row>
    <row r="3155" spans="7:8">
      <c r="G3155">
        <v>3145</v>
      </c>
      <c r="H3155">
        <f t="shared" ca="1" si="57"/>
        <v>4.2711074995400696E-3</v>
      </c>
    </row>
    <row r="3156" spans="7:8">
      <c r="G3156">
        <v>3146</v>
      </c>
      <c r="H3156">
        <f t="shared" ca="1" si="57"/>
        <v>-3.7243926274439107E-2</v>
      </c>
    </row>
    <row r="3157" spans="7:8">
      <c r="G3157">
        <v>3147</v>
      </c>
      <c r="H3157">
        <f t="shared" ca="1" si="57"/>
        <v>2.1647230738848122E-2</v>
      </c>
    </row>
    <row r="3158" spans="7:8">
      <c r="G3158">
        <v>3148</v>
      </c>
      <c r="H3158">
        <f t="shared" ca="1" si="57"/>
        <v>-2.8475558449407565E-2</v>
      </c>
    </row>
    <row r="3159" spans="7:8">
      <c r="G3159">
        <v>3149</v>
      </c>
      <c r="H3159">
        <f t="shared" ca="1" si="57"/>
        <v>1.3981797375831795E-2</v>
      </c>
    </row>
    <row r="3160" spans="7:8">
      <c r="G3160">
        <v>3150</v>
      </c>
      <c r="H3160">
        <f t="shared" ca="1" si="57"/>
        <v>1.5641295572106164E-2</v>
      </c>
    </row>
    <row r="3161" spans="7:8">
      <c r="G3161">
        <v>3151</v>
      </c>
      <c r="H3161">
        <f t="shared" ca="1" si="57"/>
        <v>1.9393533335112435E-2</v>
      </c>
    </row>
    <row r="3162" spans="7:8">
      <c r="G3162">
        <v>3152</v>
      </c>
      <c r="H3162">
        <f t="shared" ca="1" si="57"/>
        <v>1.6429288719014515E-2</v>
      </c>
    </row>
    <row r="3163" spans="7:8">
      <c r="G3163">
        <v>3153</v>
      </c>
      <c r="H3163">
        <f t="shared" ca="1" si="57"/>
        <v>8.3795495108970764E-3</v>
      </c>
    </row>
    <row r="3164" spans="7:8">
      <c r="G3164">
        <v>3154</v>
      </c>
      <c r="H3164">
        <f t="shared" ca="1" si="57"/>
        <v>-1.2125554970875663E-2</v>
      </c>
    </row>
    <row r="3165" spans="7:8">
      <c r="G3165">
        <v>3155</v>
      </c>
      <c r="H3165">
        <f t="shared" ca="1" si="57"/>
        <v>1.6051551855122394E-2</v>
      </c>
    </row>
    <row r="3166" spans="7:8">
      <c r="G3166">
        <v>3156</v>
      </c>
      <c r="H3166">
        <f t="shared" ca="1" si="57"/>
        <v>-3.9939252353774331E-2</v>
      </c>
    </row>
    <row r="3167" spans="7:8">
      <c r="G3167">
        <v>3157</v>
      </c>
      <c r="H3167">
        <f t="shared" ca="1" si="57"/>
        <v>-1.7319055446263869E-2</v>
      </c>
    </row>
    <row r="3168" spans="7:8">
      <c r="G3168">
        <v>3158</v>
      </c>
      <c r="H3168">
        <f t="shared" ca="1" si="57"/>
        <v>7.9866565206986984E-2</v>
      </c>
    </row>
    <row r="3169" spans="7:8">
      <c r="G3169">
        <v>3159</v>
      </c>
      <c r="H3169">
        <f t="shared" ca="1" si="57"/>
        <v>5.8886908735768136E-2</v>
      </c>
    </row>
    <row r="3170" spans="7:8">
      <c r="G3170">
        <v>3160</v>
      </c>
      <c r="H3170">
        <f t="shared" ca="1" si="57"/>
        <v>-7.8796972667711986E-4</v>
      </c>
    </row>
    <row r="3171" spans="7:8">
      <c r="G3171">
        <v>3161</v>
      </c>
      <c r="H3171">
        <f t="shared" ca="1" si="57"/>
        <v>-3.1735628074489972E-2</v>
      </c>
    </row>
    <row r="3172" spans="7:8">
      <c r="G3172">
        <v>3162</v>
      </c>
      <c r="H3172">
        <f t="shared" ca="1" si="57"/>
        <v>1.380410146240222E-2</v>
      </c>
    </row>
    <row r="3173" spans="7:8">
      <c r="G3173">
        <v>3163</v>
      </c>
      <c r="H3173">
        <f t="shared" ca="1" si="57"/>
        <v>-2.5683447141310482E-2</v>
      </c>
    </row>
    <row r="3174" spans="7:8">
      <c r="G3174">
        <v>3164</v>
      </c>
      <c r="H3174">
        <f t="shared" ca="1" si="57"/>
        <v>-1.3812701094718265E-3</v>
      </c>
    </row>
    <row r="3175" spans="7:8">
      <c r="G3175">
        <v>3165</v>
      </c>
      <c r="H3175">
        <f t="shared" ca="1" si="57"/>
        <v>4.0963144931909857E-4</v>
      </c>
    </row>
    <row r="3176" spans="7:8">
      <c r="G3176">
        <v>3166</v>
      </c>
      <c r="H3176">
        <f t="shared" ca="1" si="57"/>
        <v>-7.7469025112863197E-3</v>
      </c>
    </row>
    <row r="3177" spans="7:8">
      <c r="G3177">
        <v>3167</v>
      </c>
      <c r="H3177">
        <f t="shared" ca="1" si="57"/>
        <v>-2.2080682899928573E-2</v>
      </c>
    </row>
    <row r="3178" spans="7:8">
      <c r="G3178">
        <v>3168</v>
      </c>
      <c r="H3178">
        <f t="shared" ca="1" si="57"/>
        <v>1.7117242366935421E-2</v>
      </c>
    </row>
    <row r="3179" spans="7:8">
      <c r="G3179">
        <v>3169</v>
      </c>
      <c r="H3179">
        <f t="shared" ca="1" si="57"/>
        <v>-5.7236829310907331E-3</v>
      </c>
    </row>
    <row r="3180" spans="7:8">
      <c r="G3180">
        <v>3170</v>
      </c>
      <c r="H3180">
        <f t="shared" ca="1" si="57"/>
        <v>4.9589576053089557E-3</v>
      </c>
    </row>
    <row r="3181" spans="7:8">
      <c r="G3181">
        <v>3171</v>
      </c>
      <c r="H3181">
        <f t="shared" ca="1" si="57"/>
        <v>1.0042450464151115E-2</v>
      </c>
    </row>
    <row r="3182" spans="7:8">
      <c r="G3182">
        <v>3172</v>
      </c>
      <c r="H3182">
        <f t="shared" ca="1" si="57"/>
        <v>-1.4538356422936747E-2</v>
      </c>
    </row>
    <row r="3183" spans="7:8">
      <c r="G3183">
        <v>3173</v>
      </c>
      <c r="H3183">
        <f t="shared" ca="1" si="57"/>
        <v>1.8627421894390143E-2</v>
      </c>
    </row>
    <row r="3184" spans="7:8">
      <c r="G3184">
        <v>3174</v>
      </c>
      <c r="H3184">
        <f t="shared" ca="1" si="57"/>
        <v>-6.4122940460294682E-3</v>
      </c>
    </row>
    <row r="3185" spans="7:8">
      <c r="G3185">
        <v>3175</v>
      </c>
      <c r="H3185">
        <f t="shared" ca="1" si="57"/>
        <v>9.4275599017928178E-3</v>
      </c>
    </row>
    <row r="3186" spans="7:8">
      <c r="G3186">
        <v>3176</v>
      </c>
      <c r="H3186">
        <f t="shared" ca="1" si="57"/>
        <v>1.3729057397775322E-3</v>
      </c>
    </row>
    <row r="3187" spans="7:8">
      <c r="G3187">
        <v>3177</v>
      </c>
      <c r="H3187">
        <f t="shared" ca="1" si="57"/>
        <v>3.795032053165569E-3</v>
      </c>
    </row>
    <row r="3188" spans="7:8">
      <c r="G3188">
        <v>3178</v>
      </c>
      <c r="H3188">
        <f t="shared" ca="1" si="57"/>
        <v>-1.6010719434778565E-3</v>
      </c>
    </row>
    <row r="3189" spans="7:8">
      <c r="G3189">
        <v>3179</v>
      </c>
      <c r="H3189">
        <f t="shared" ca="1" si="57"/>
        <v>3.7178749104779307E-2</v>
      </c>
    </row>
    <row r="3190" spans="7:8">
      <c r="G3190">
        <v>3180</v>
      </c>
      <c r="H3190">
        <f t="shared" ca="1" si="57"/>
        <v>6.7684376221346662E-3</v>
      </c>
    </row>
    <row r="3191" spans="7:8">
      <c r="G3191">
        <v>3181</v>
      </c>
      <c r="H3191">
        <f t="shared" ca="1" si="57"/>
        <v>3.9098156790013253E-3</v>
      </c>
    </row>
    <row r="3192" spans="7:8">
      <c r="G3192">
        <v>3182</v>
      </c>
      <c r="H3192">
        <f t="shared" ca="1" si="57"/>
        <v>1.2209135887181642E-2</v>
      </c>
    </row>
    <row r="3193" spans="7:8">
      <c r="G3193">
        <v>3183</v>
      </c>
      <c r="H3193">
        <f t="shared" ca="1" si="57"/>
        <v>4.0810090548981701E-2</v>
      </c>
    </row>
    <row r="3194" spans="7:8">
      <c r="G3194">
        <v>3184</v>
      </c>
      <c r="H3194">
        <f t="shared" ca="1" si="57"/>
        <v>8.9879393746431623E-3</v>
      </c>
    </row>
    <row r="3195" spans="7:8">
      <c r="G3195">
        <v>3185</v>
      </c>
      <c r="H3195">
        <f t="shared" ca="1" si="57"/>
        <v>9.0695393756801274E-3</v>
      </c>
    </row>
    <row r="3196" spans="7:8">
      <c r="G3196">
        <v>3186</v>
      </c>
      <c r="H3196">
        <f t="shared" ca="1" si="57"/>
        <v>-2.9057840475702982E-2</v>
      </c>
    </row>
    <row r="3197" spans="7:8">
      <c r="G3197">
        <v>3187</v>
      </c>
      <c r="H3197">
        <f t="shared" ca="1" si="57"/>
        <v>-1.322777162580068E-2</v>
      </c>
    </row>
    <row r="3198" spans="7:8">
      <c r="G3198">
        <v>3188</v>
      </c>
      <c r="H3198">
        <f t="shared" ca="1" si="57"/>
        <v>5.3791744084215169E-4</v>
      </c>
    </row>
    <row r="3199" spans="7:8">
      <c r="G3199">
        <v>3189</v>
      </c>
      <c r="H3199">
        <f t="shared" ca="1" si="57"/>
        <v>4.1250018266291493E-3</v>
      </c>
    </row>
    <row r="3200" spans="7:8">
      <c r="G3200">
        <v>3190</v>
      </c>
      <c r="H3200">
        <f t="shared" ca="1" si="57"/>
        <v>4.8253649253549233E-3</v>
      </c>
    </row>
    <row r="3201" spans="7:8">
      <c r="G3201">
        <v>3191</v>
      </c>
      <c r="H3201">
        <f t="shared" ca="1" si="57"/>
        <v>8.5237767711506332E-3</v>
      </c>
    </row>
    <row r="3202" spans="7:8">
      <c r="G3202">
        <v>3192</v>
      </c>
      <c r="H3202">
        <f t="shared" ca="1" si="57"/>
        <v>4.3412366449910138E-2</v>
      </c>
    </row>
    <row r="3203" spans="7:8">
      <c r="G3203">
        <v>3193</v>
      </c>
      <c r="H3203">
        <f t="shared" ca="1" si="57"/>
        <v>7.4443874219542201E-3</v>
      </c>
    </row>
    <row r="3204" spans="7:8">
      <c r="G3204">
        <v>3194</v>
      </c>
      <c r="H3204">
        <f t="shared" ca="1" si="57"/>
        <v>2.6957121257412717E-2</v>
      </c>
    </row>
    <row r="3205" spans="7:8">
      <c r="G3205">
        <v>3195</v>
      </c>
      <c r="H3205">
        <f t="shared" ca="1" si="57"/>
        <v>2.1842821919428504E-2</v>
      </c>
    </row>
    <row r="3206" spans="7:8">
      <c r="G3206">
        <v>3196</v>
      </c>
      <c r="H3206">
        <f t="shared" ca="1" si="57"/>
        <v>-3.1035493287818738E-3</v>
      </c>
    </row>
    <row r="3207" spans="7:8">
      <c r="G3207">
        <v>3197</v>
      </c>
      <c r="H3207">
        <f t="shared" ca="1" si="57"/>
        <v>1.2362379800273998E-2</v>
      </c>
    </row>
    <row r="3208" spans="7:8">
      <c r="G3208">
        <v>3198</v>
      </c>
      <c r="H3208">
        <f t="shared" ca="1" si="57"/>
        <v>-9.4005474312021768E-3</v>
      </c>
    </row>
    <row r="3209" spans="7:8">
      <c r="G3209">
        <v>3199</v>
      </c>
      <c r="H3209">
        <f t="shared" ca="1" si="57"/>
        <v>1.9687512896181609E-2</v>
      </c>
    </row>
    <row r="3210" spans="7:8">
      <c r="G3210">
        <v>3200</v>
      </c>
      <c r="H3210">
        <f t="shared" ca="1" si="57"/>
        <v>-4.2395611244532769E-3</v>
      </c>
    </row>
    <row r="3211" spans="7:8">
      <c r="G3211">
        <v>3201</v>
      </c>
      <c r="H3211">
        <f t="shared" ca="1" si="57"/>
        <v>-5.5704728808936919E-2</v>
      </c>
    </row>
    <row r="3212" spans="7:8">
      <c r="G3212">
        <v>3202</v>
      </c>
      <c r="H3212">
        <f t="shared" ref="H3212:H3275" ca="1" si="58">_xlfn.NORM.INV(RAND(),N$13,N$14)</f>
        <v>-3.2993276062192378E-2</v>
      </c>
    </row>
    <row r="3213" spans="7:8">
      <c r="G3213">
        <v>3203</v>
      </c>
      <c r="H3213">
        <f t="shared" ca="1" si="58"/>
        <v>1.5683510208256948E-2</v>
      </c>
    </row>
    <row r="3214" spans="7:8">
      <c r="G3214">
        <v>3204</v>
      </c>
      <c r="H3214">
        <f t="shared" ca="1" si="58"/>
        <v>3.4198990212683446E-2</v>
      </c>
    </row>
    <row r="3215" spans="7:8">
      <c r="G3215">
        <v>3205</v>
      </c>
      <c r="H3215">
        <f t="shared" ca="1" si="58"/>
        <v>-7.1315217054146989E-3</v>
      </c>
    </row>
    <row r="3216" spans="7:8">
      <c r="G3216">
        <v>3206</v>
      </c>
      <c r="H3216">
        <f t="shared" ca="1" si="58"/>
        <v>-1.7458202493611042E-3</v>
      </c>
    </row>
    <row r="3217" spans="7:8">
      <c r="G3217">
        <v>3207</v>
      </c>
      <c r="H3217">
        <f t="shared" ca="1" si="58"/>
        <v>5.1184576347451643E-3</v>
      </c>
    </row>
    <row r="3218" spans="7:8">
      <c r="G3218">
        <v>3208</v>
      </c>
      <c r="H3218">
        <f t="shared" ca="1" si="58"/>
        <v>2.3403486504269292E-3</v>
      </c>
    </row>
    <row r="3219" spans="7:8">
      <c r="G3219">
        <v>3209</v>
      </c>
      <c r="H3219">
        <f t="shared" ca="1" si="58"/>
        <v>-1.588074727769322E-2</v>
      </c>
    </row>
    <row r="3220" spans="7:8">
      <c r="G3220">
        <v>3210</v>
      </c>
      <c r="H3220">
        <f t="shared" ca="1" si="58"/>
        <v>1.9140869501066859E-2</v>
      </c>
    </row>
    <row r="3221" spans="7:8">
      <c r="G3221">
        <v>3211</v>
      </c>
      <c r="H3221">
        <f t="shared" ca="1" si="58"/>
        <v>9.8121104412488072E-3</v>
      </c>
    </row>
    <row r="3222" spans="7:8">
      <c r="G3222">
        <v>3212</v>
      </c>
      <c r="H3222">
        <f t="shared" ca="1" si="58"/>
        <v>-1.800093192487839E-2</v>
      </c>
    </row>
    <row r="3223" spans="7:8">
      <c r="G3223">
        <v>3213</v>
      </c>
      <c r="H3223">
        <f t="shared" ca="1" si="58"/>
        <v>2.0466185386009004E-2</v>
      </c>
    </row>
    <row r="3224" spans="7:8">
      <c r="G3224">
        <v>3214</v>
      </c>
      <c r="H3224">
        <f t="shared" ca="1" si="58"/>
        <v>1.5730343137303256E-2</v>
      </c>
    </row>
    <row r="3225" spans="7:8">
      <c r="G3225">
        <v>3215</v>
      </c>
      <c r="H3225">
        <f t="shared" ca="1" si="58"/>
        <v>-2.2580094201089636E-2</v>
      </c>
    </row>
    <row r="3226" spans="7:8">
      <c r="G3226">
        <v>3216</v>
      </c>
      <c r="H3226">
        <f t="shared" ca="1" si="58"/>
        <v>2.1226646050458053E-2</v>
      </c>
    </row>
    <row r="3227" spans="7:8">
      <c r="G3227">
        <v>3217</v>
      </c>
      <c r="H3227">
        <f t="shared" ca="1" si="58"/>
        <v>-6.1870411606645631E-3</v>
      </c>
    </row>
    <row r="3228" spans="7:8">
      <c r="G3228">
        <v>3218</v>
      </c>
      <c r="H3228">
        <f t="shared" ca="1" si="58"/>
        <v>-3.7532353364538196E-2</v>
      </c>
    </row>
    <row r="3229" spans="7:8">
      <c r="G3229">
        <v>3219</v>
      </c>
      <c r="H3229">
        <f t="shared" ca="1" si="58"/>
        <v>-4.4546306022563611E-2</v>
      </c>
    </row>
    <row r="3230" spans="7:8">
      <c r="G3230">
        <v>3220</v>
      </c>
      <c r="H3230">
        <f t="shared" ca="1" si="58"/>
        <v>1.7056029306045738E-2</v>
      </c>
    </row>
    <row r="3231" spans="7:8">
      <c r="G3231">
        <v>3221</v>
      </c>
      <c r="H3231">
        <f t="shared" ca="1" si="58"/>
        <v>2.6310068725376969E-2</v>
      </c>
    </row>
    <row r="3232" spans="7:8">
      <c r="G3232">
        <v>3222</v>
      </c>
      <c r="H3232">
        <f t="shared" ca="1" si="58"/>
        <v>-1.0256404370600058E-2</v>
      </c>
    </row>
    <row r="3233" spans="7:8">
      <c r="G3233">
        <v>3223</v>
      </c>
      <c r="H3233">
        <f t="shared" ca="1" si="58"/>
        <v>1.5126753247878679E-2</v>
      </c>
    </row>
    <row r="3234" spans="7:8">
      <c r="G3234">
        <v>3224</v>
      </c>
      <c r="H3234">
        <f t="shared" ca="1" si="58"/>
        <v>-9.8317145329415469E-3</v>
      </c>
    </row>
    <row r="3235" spans="7:8">
      <c r="G3235">
        <v>3225</v>
      </c>
      <c r="H3235">
        <f t="shared" ca="1" si="58"/>
        <v>-2.4300984651415718E-2</v>
      </c>
    </row>
    <row r="3236" spans="7:8">
      <c r="G3236">
        <v>3226</v>
      </c>
      <c r="H3236">
        <f t="shared" ca="1" si="58"/>
        <v>-1.7782444516496465E-2</v>
      </c>
    </row>
    <row r="3237" spans="7:8">
      <c r="G3237">
        <v>3227</v>
      </c>
      <c r="H3237">
        <f t="shared" ca="1" si="58"/>
        <v>1.1928387881220536E-2</v>
      </c>
    </row>
    <row r="3238" spans="7:8">
      <c r="G3238">
        <v>3228</v>
      </c>
      <c r="H3238">
        <f t="shared" ca="1" si="58"/>
        <v>-2.3569883300962494E-2</v>
      </c>
    </row>
    <row r="3239" spans="7:8">
      <c r="G3239">
        <v>3229</v>
      </c>
      <c r="H3239">
        <f t="shared" ca="1" si="58"/>
        <v>5.5399373044021935E-3</v>
      </c>
    </row>
    <row r="3240" spans="7:8">
      <c r="G3240">
        <v>3230</v>
      </c>
      <c r="H3240">
        <f t="shared" ca="1" si="58"/>
        <v>3.4581073748552363E-2</v>
      </c>
    </row>
    <row r="3241" spans="7:8">
      <c r="G3241">
        <v>3231</v>
      </c>
      <c r="H3241">
        <f t="shared" ca="1" si="58"/>
        <v>1.484053597562837E-2</v>
      </c>
    </row>
    <row r="3242" spans="7:8">
      <c r="G3242">
        <v>3232</v>
      </c>
      <c r="H3242">
        <f t="shared" ca="1" si="58"/>
        <v>1.9984799936112709E-2</v>
      </c>
    </row>
    <row r="3243" spans="7:8">
      <c r="G3243">
        <v>3233</v>
      </c>
      <c r="H3243">
        <f t="shared" ca="1" si="58"/>
        <v>1.1127718110054353E-2</v>
      </c>
    </row>
    <row r="3244" spans="7:8">
      <c r="G3244">
        <v>3234</v>
      </c>
      <c r="H3244">
        <f t="shared" ca="1" si="58"/>
        <v>-1.8021634776453289E-2</v>
      </c>
    </row>
    <row r="3245" spans="7:8">
      <c r="G3245">
        <v>3235</v>
      </c>
      <c r="H3245">
        <f t="shared" ca="1" si="58"/>
        <v>-1.2970508184241536E-2</v>
      </c>
    </row>
    <row r="3246" spans="7:8">
      <c r="G3246">
        <v>3236</v>
      </c>
      <c r="H3246">
        <f t="shared" ca="1" si="58"/>
        <v>9.5096273720771465E-3</v>
      </c>
    </row>
    <row r="3247" spans="7:8">
      <c r="G3247">
        <v>3237</v>
      </c>
      <c r="H3247">
        <f t="shared" ca="1" si="58"/>
        <v>1.3084859155612765E-2</v>
      </c>
    </row>
    <row r="3248" spans="7:8">
      <c r="G3248">
        <v>3238</v>
      </c>
      <c r="H3248">
        <f t="shared" ca="1" si="58"/>
        <v>2.4103753356355128E-2</v>
      </c>
    </row>
    <row r="3249" spans="7:8">
      <c r="G3249">
        <v>3239</v>
      </c>
      <c r="H3249">
        <f t="shared" ca="1" si="58"/>
        <v>2.3679397219207678E-2</v>
      </c>
    </row>
    <row r="3250" spans="7:8">
      <c r="G3250">
        <v>3240</v>
      </c>
      <c r="H3250">
        <f t="shared" ca="1" si="58"/>
        <v>4.7615618846178737E-2</v>
      </c>
    </row>
    <row r="3251" spans="7:8">
      <c r="G3251">
        <v>3241</v>
      </c>
      <c r="H3251">
        <f t="shared" ca="1" si="58"/>
        <v>1.358808919464566E-2</v>
      </c>
    </row>
    <row r="3252" spans="7:8">
      <c r="G3252">
        <v>3242</v>
      </c>
      <c r="H3252">
        <f t="shared" ca="1" si="58"/>
        <v>1.3878562065212938E-2</v>
      </c>
    </row>
    <row r="3253" spans="7:8">
      <c r="G3253">
        <v>3243</v>
      </c>
      <c r="H3253">
        <f t="shared" ca="1" si="58"/>
        <v>2.4625244253667022E-2</v>
      </c>
    </row>
    <row r="3254" spans="7:8">
      <c r="G3254">
        <v>3244</v>
      </c>
      <c r="H3254">
        <f t="shared" ca="1" si="58"/>
        <v>9.6480436508042181E-3</v>
      </c>
    </row>
    <row r="3255" spans="7:8">
      <c r="G3255">
        <v>3245</v>
      </c>
      <c r="H3255">
        <f t="shared" ca="1" si="58"/>
        <v>1.2466560643356229E-2</v>
      </c>
    </row>
    <row r="3256" spans="7:8">
      <c r="G3256">
        <v>3246</v>
      </c>
      <c r="H3256">
        <f t="shared" ca="1" si="58"/>
        <v>4.0690435544774289E-3</v>
      </c>
    </row>
    <row r="3257" spans="7:8">
      <c r="G3257">
        <v>3247</v>
      </c>
      <c r="H3257">
        <f t="shared" ca="1" si="58"/>
        <v>1.300682309220676E-3</v>
      </c>
    </row>
    <row r="3258" spans="7:8">
      <c r="G3258">
        <v>3248</v>
      </c>
      <c r="H3258">
        <f t="shared" ca="1" si="58"/>
        <v>3.9929572991193263E-2</v>
      </c>
    </row>
    <row r="3259" spans="7:8">
      <c r="G3259">
        <v>3249</v>
      </c>
      <c r="H3259">
        <f t="shared" ca="1" si="58"/>
        <v>7.9294572235471816E-3</v>
      </c>
    </row>
    <row r="3260" spans="7:8">
      <c r="G3260">
        <v>3250</v>
      </c>
      <c r="H3260">
        <f t="shared" ca="1" si="58"/>
        <v>-1.6725574646500149E-2</v>
      </c>
    </row>
    <row r="3261" spans="7:8">
      <c r="G3261">
        <v>3251</v>
      </c>
      <c r="H3261">
        <f t="shared" ca="1" si="58"/>
        <v>-1.0062145235654615E-2</v>
      </c>
    </row>
    <row r="3262" spans="7:8">
      <c r="G3262">
        <v>3252</v>
      </c>
      <c r="H3262">
        <f t="shared" ca="1" si="58"/>
        <v>-2.3630255714297076E-2</v>
      </c>
    </row>
    <row r="3263" spans="7:8">
      <c r="G3263">
        <v>3253</v>
      </c>
      <c r="H3263">
        <f t="shared" ca="1" si="58"/>
        <v>2.54874740595044E-3</v>
      </c>
    </row>
    <row r="3264" spans="7:8">
      <c r="G3264">
        <v>3254</v>
      </c>
      <c r="H3264">
        <f t="shared" ca="1" si="58"/>
        <v>-3.447086981050422E-2</v>
      </c>
    </row>
    <row r="3265" spans="7:8">
      <c r="G3265">
        <v>3255</v>
      </c>
      <c r="H3265">
        <f t="shared" ca="1" si="58"/>
        <v>-6.9436075316365383E-4</v>
      </c>
    </row>
    <row r="3266" spans="7:8">
      <c r="G3266">
        <v>3256</v>
      </c>
      <c r="H3266">
        <f t="shared" ca="1" si="58"/>
        <v>1.0109054701904575E-2</v>
      </c>
    </row>
    <row r="3267" spans="7:8">
      <c r="G3267">
        <v>3257</v>
      </c>
      <c r="H3267">
        <f t="shared" ca="1" si="58"/>
        <v>9.9222340352847545E-3</v>
      </c>
    </row>
    <row r="3268" spans="7:8">
      <c r="G3268">
        <v>3258</v>
      </c>
      <c r="H3268">
        <f t="shared" ca="1" si="58"/>
        <v>-1.0150484215945442E-2</v>
      </c>
    </row>
    <row r="3269" spans="7:8">
      <c r="G3269">
        <v>3259</v>
      </c>
      <c r="H3269">
        <f t="shared" ca="1" si="58"/>
        <v>-7.0964120280026244E-3</v>
      </c>
    </row>
    <row r="3270" spans="7:8">
      <c r="G3270">
        <v>3260</v>
      </c>
      <c r="H3270">
        <f t="shared" ca="1" si="58"/>
        <v>-3.5379251705757944E-4</v>
      </c>
    </row>
    <row r="3271" spans="7:8">
      <c r="G3271">
        <v>3261</v>
      </c>
      <c r="H3271">
        <f t="shared" ca="1" si="58"/>
        <v>8.6389407760536184E-3</v>
      </c>
    </row>
    <row r="3272" spans="7:8">
      <c r="G3272">
        <v>3262</v>
      </c>
      <c r="H3272">
        <f t="shared" ca="1" si="58"/>
        <v>-2.6793800357469557E-2</v>
      </c>
    </row>
    <row r="3273" spans="7:8">
      <c r="G3273">
        <v>3263</v>
      </c>
      <c r="H3273">
        <f t="shared" ca="1" si="58"/>
        <v>-3.4728609202378961E-2</v>
      </c>
    </row>
    <row r="3274" spans="7:8">
      <c r="G3274">
        <v>3264</v>
      </c>
      <c r="H3274">
        <f t="shared" ca="1" si="58"/>
        <v>1.24586009725117E-2</v>
      </c>
    </row>
    <row r="3275" spans="7:8">
      <c r="G3275">
        <v>3265</v>
      </c>
      <c r="H3275">
        <f t="shared" ca="1" si="58"/>
        <v>2.4010119645703322E-3</v>
      </c>
    </row>
    <row r="3276" spans="7:8">
      <c r="G3276">
        <v>3266</v>
      </c>
      <c r="H3276">
        <f t="shared" ref="H3276:H3339" ca="1" si="59">_xlfn.NORM.INV(RAND(),N$13,N$14)</f>
        <v>-2.2490938398011095E-2</v>
      </c>
    </row>
    <row r="3277" spans="7:8">
      <c r="G3277">
        <v>3267</v>
      </c>
      <c r="H3277">
        <f t="shared" ca="1" si="59"/>
        <v>-7.0162579395816995E-3</v>
      </c>
    </row>
    <row r="3278" spans="7:8">
      <c r="G3278">
        <v>3268</v>
      </c>
      <c r="H3278">
        <f t="shared" ca="1" si="59"/>
        <v>7.1207461814452042E-3</v>
      </c>
    </row>
    <row r="3279" spans="7:8">
      <c r="G3279">
        <v>3269</v>
      </c>
      <c r="H3279">
        <f t="shared" ca="1" si="59"/>
        <v>-6.5639808604893504E-3</v>
      </c>
    </row>
    <row r="3280" spans="7:8">
      <c r="G3280">
        <v>3270</v>
      </c>
      <c r="H3280">
        <f t="shared" ca="1" si="59"/>
        <v>-1.813490556477694E-2</v>
      </c>
    </row>
    <row r="3281" spans="7:8">
      <c r="G3281">
        <v>3271</v>
      </c>
      <c r="H3281">
        <f t="shared" ca="1" si="59"/>
        <v>1.0521390743073051E-2</v>
      </c>
    </row>
    <row r="3282" spans="7:8">
      <c r="G3282">
        <v>3272</v>
      </c>
      <c r="H3282">
        <f t="shared" ca="1" si="59"/>
        <v>9.5007087965681917E-3</v>
      </c>
    </row>
    <row r="3283" spans="7:8">
      <c r="G3283">
        <v>3273</v>
      </c>
      <c r="H3283">
        <f t="shared" ca="1" si="59"/>
        <v>-2.8921743520215679E-2</v>
      </c>
    </row>
    <row r="3284" spans="7:8">
      <c r="G3284">
        <v>3274</v>
      </c>
      <c r="H3284">
        <f t="shared" ca="1" si="59"/>
        <v>-1.8818777979579582E-2</v>
      </c>
    </row>
    <row r="3285" spans="7:8">
      <c r="G3285">
        <v>3275</v>
      </c>
      <c r="H3285">
        <f t="shared" ca="1" si="59"/>
        <v>3.0149348816476483E-2</v>
      </c>
    </row>
    <row r="3286" spans="7:8">
      <c r="G3286">
        <v>3276</v>
      </c>
      <c r="H3286">
        <f t="shared" ca="1" si="59"/>
        <v>5.6256742672247699E-3</v>
      </c>
    </row>
    <row r="3287" spans="7:8">
      <c r="G3287">
        <v>3277</v>
      </c>
      <c r="H3287">
        <f t="shared" ca="1" si="59"/>
        <v>2.4433612091233122E-2</v>
      </c>
    </row>
    <row r="3288" spans="7:8">
      <c r="G3288">
        <v>3278</v>
      </c>
      <c r="H3288">
        <f t="shared" ca="1" si="59"/>
        <v>3.481040362994333E-2</v>
      </c>
    </row>
    <row r="3289" spans="7:8">
      <c r="G3289">
        <v>3279</v>
      </c>
      <c r="H3289">
        <f t="shared" ca="1" si="59"/>
        <v>2.7059281185210005E-2</v>
      </c>
    </row>
    <row r="3290" spans="7:8">
      <c r="G3290">
        <v>3280</v>
      </c>
      <c r="H3290">
        <f t="shared" ca="1" si="59"/>
        <v>-2.3155624362809692E-2</v>
      </c>
    </row>
    <row r="3291" spans="7:8">
      <c r="G3291">
        <v>3281</v>
      </c>
      <c r="H3291">
        <f t="shared" ca="1" si="59"/>
        <v>-1.3273760856966446E-2</v>
      </c>
    </row>
    <row r="3292" spans="7:8">
      <c r="G3292">
        <v>3282</v>
      </c>
      <c r="H3292">
        <f t="shared" ca="1" si="59"/>
        <v>-9.3246472960062336E-3</v>
      </c>
    </row>
    <row r="3293" spans="7:8">
      <c r="G3293">
        <v>3283</v>
      </c>
      <c r="H3293">
        <f t="shared" ca="1" si="59"/>
        <v>2.0819044318486156E-2</v>
      </c>
    </row>
    <row r="3294" spans="7:8">
      <c r="G3294">
        <v>3284</v>
      </c>
      <c r="H3294">
        <f t="shared" ca="1" si="59"/>
        <v>1.8191809517941828E-2</v>
      </c>
    </row>
    <row r="3295" spans="7:8">
      <c r="G3295">
        <v>3285</v>
      </c>
      <c r="H3295">
        <f t="shared" ca="1" si="59"/>
        <v>-1.7672310913748067E-2</v>
      </c>
    </row>
    <row r="3296" spans="7:8">
      <c r="G3296">
        <v>3286</v>
      </c>
      <c r="H3296">
        <f t="shared" ca="1" si="59"/>
        <v>2.3146957439741989E-3</v>
      </c>
    </row>
    <row r="3297" spans="7:8">
      <c r="G3297">
        <v>3287</v>
      </c>
      <c r="H3297">
        <f t="shared" ca="1" si="59"/>
        <v>-7.8376775181334315E-3</v>
      </c>
    </row>
    <row r="3298" spans="7:8">
      <c r="G3298">
        <v>3288</v>
      </c>
      <c r="H3298">
        <f t="shared" ca="1" si="59"/>
        <v>1.9790499423111209E-2</v>
      </c>
    </row>
    <row r="3299" spans="7:8">
      <c r="G3299">
        <v>3289</v>
      </c>
      <c r="H3299">
        <f t="shared" ca="1" si="59"/>
        <v>-2.3894657129660681E-2</v>
      </c>
    </row>
    <row r="3300" spans="7:8">
      <c r="G3300">
        <v>3290</v>
      </c>
      <c r="H3300">
        <f t="shared" ca="1" si="59"/>
        <v>1.2519188458209921E-3</v>
      </c>
    </row>
    <row r="3301" spans="7:8">
      <c r="G3301">
        <v>3291</v>
      </c>
      <c r="H3301">
        <f t="shared" ca="1" si="59"/>
        <v>4.0595693447240365E-3</v>
      </c>
    </row>
    <row r="3302" spans="7:8">
      <c r="G3302">
        <v>3292</v>
      </c>
      <c r="H3302">
        <f t="shared" ca="1" si="59"/>
        <v>3.4036276642364061E-3</v>
      </c>
    </row>
    <row r="3303" spans="7:8">
      <c r="G3303">
        <v>3293</v>
      </c>
      <c r="H3303">
        <f t="shared" ca="1" si="59"/>
        <v>1.3190949834383493E-2</v>
      </c>
    </row>
    <row r="3304" spans="7:8">
      <c r="G3304">
        <v>3294</v>
      </c>
      <c r="H3304">
        <f t="shared" ca="1" si="59"/>
        <v>3.606750845362016E-2</v>
      </c>
    </row>
    <row r="3305" spans="7:8">
      <c r="G3305">
        <v>3295</v>
      </c>
      <c r="H3305">
        <f t="shared" ca="1" si="59"/>
        <v>-2.9993008145291856E-2</v>
      </c>
    </row>
    <row r="3306" spans="7:8">
      <c r="G3306">
        <v>3296</v>
      </c>
      <c r="H3306">
        <f t="shared" ca="1" si="59"/>
        <v>7.8110212707423006E-3</v>
      </c>
    </row>
    <row r="3307" spans="7:8">
      <c r="G3307">
        <v>3297</v>
      </c>
      <c r="H3307">
        <f t="shared" ca="1" si="59"/>
        <v>-1.4673738479391977E-3</v>
      </c>
    </row>
    <row r="3308" spans="7:8">
      <c r="G3308">
        <v>3298</v>
      </c>
      <c r="H3308">
        <f t="shared" ca="1" si="59"/>
        <v>-1.8161538582530678E-2</v>
      </c>
    </row>
    <row r="3309" spans="7:8">
      <c r="G3309">
        <v>3299</v>
      </c>
      <c r="H3309">
        <f t="shared" ca="1" si="59"/>
        <v>2.1449602342090566E-2</v>
      </c>
    </row>
    <row r="3310" spans="7:8">
      <c r="G3310">
        <v>3300</v>
      </c>
      <c r="H3310">
        <f t="shared" ca="1" si="59"/>
        <v>-7.0419850636759332E-3</v>
      </c>
    </row>
    <row r="3311" spans="7:8">
      <c r="G3311">
        <v>3301</v>
      </c>
      <c r="H3311">
        <f t="shared" ca="1" si="59"/>
        <v>-1.6776676393901414E-3</v>
      </c>
    </row>
    <row r="3312" spans="7:8">
      <c r="G3312">
        <v>3302</v>
      </c>
      <c r="H3312">
        <f t="shared" ca="1" si="59"/>
        <v>2.3720622022372815E-6</v>
      </c>
    </row>
    <row r="3313" spans="7:8">
      <c r="G3313">
        <v>3303</v>
      </c>
      <c r="H3313">
        <f t="shared" ca="1" si="59"/>
        <v>-3.1319782827675058E-2</v>
      </c>
    </row>
    <row r="3314" spans="7:8">
      <c r="G3314">
        <v>3304</v>
      </c>
      <c r="H3314">
        <f t="shared" ca="1" si="59"/>
        <v>2.1712558824606629E-2</v>
      </c>
    </row>
    <row r="3315" spans="7:8">
      <c r="G3315">
        <v>3305</v>
      </c>
      <c r="H3315">
        <f t="shared" ca="1" si="59"/>
        <v>2.9485508661644587E-2</v>
      </c>
    </row>
    <row r="3316" spans="7:8">
      <c r="G3316">
        <v>3306</v>
      </c>
      <c r="H3316">
        <f t="shared" ca="1" si="59"/>
        <v>-2.3598607244484277E-2</v>
      </c>
    </row>
    <row r="3317" spans="7:8">
      <c r="G3317">
        <v>3307</v>
      </c>
      <c r="H3317">
        <f t="shared" ca="1" si="59"/>
        <v>1.2540529893809256E-2</v>
      </c>
    </row>
    <row r="3318" spans="7:8">
      <c r="G3318">
        <v>3308</v>
      </c>
      <c r="H3318">
        <f t="shared" ca="1" si="59"/>
        <v>1.4508369364520424E-2</v>
      </c>
    </row>
    <row r="3319" spans="7:8">
      <c r="G3319">
        <v>3309</v>
      </c>
      <c r="H3319">
        <f t="shared" ca="1" si="59"/>
        <v>6.9278537170626318E-3</v>
      </c>
    </row>
    <row r="3320" spans="7:8">
      <c r="G3320">
        <v>3310</v>
      </c>
      <c r="H3320">
        <f t="shared" ca="1" si="59"/>
        <v>1.0671250813870476E-3</v>
      </c>
    </row>
    <row r="3321" spans="7:8">
      <c r="G3321">
        <v>3311</v>
      </c>
      <c r="H3321">
        <f t="shared" ca="1" si="59"/>
        <v>2.5097342007083176E-2</v>
      </c>
    </row>
    <row r="3322" spans="7:8">
      <c r="G3322">
        <v>3312</v>
      </c>
      <c r="H3322">
        <f t="shared" ca="1" si="59"/>
        <v>1.3271972085410699E-2</v>
      </c>
    </row>
    <row r="3323" spans="7:8">
      <c r="G3323">
        <v>3313</v>
      </c>
      <c r="H3323">
        <f t="shared" ca="1" si="59"/>
        <v>-1.9579233093192056E-2</v>
      </c>
    </row>
    <row r="3324" spans="7:8">
      <c r="G3324">
        <v>3314</v>
      </c>
      <c r="H3324">
        <f t="shared" ca="1" si="59"/>
        <v>-3.1427936544197274E-2</v>
      </c>
    </row>
    <row r="3325" spans="7:8">
      <c r="G3325">
        <v>3315</v>
      </c>
      <c r="H3325">
        <f t="shared" ca="1" si="59"/>
        <v>2.9275065480390643E-2</v>
      </c>
    </row>
    <row r="3326" spans="7:8">
      <c r="G3326">
        <v>3316</v>
      </c>
      <c r="H3326">
        <f t="shared" ca="1" si="59"/>
        <v>4.2112407746099444E-2</v>
      </c>
    </row>
    <row r="3327" spans="7:8">
      <c r="G3327">
        <v>3317</v>
      </c>
      <c r="H3327">
        <f t="shared" ca="1" si="59"/>
        <v>1.8363478097412499E-3</v>
      </c>
    </row>
    <row r="3328" spans="7:8">
      <c r="G3328">
        <v>3318</v>
      </c>
      <c r="H3328">
        <f t="shared" ca="1" si="59"/>
        <v>-9.1572281881694868E-3</v>
      </c>
    </row>
    <row r="3329" spans="7:8">
      <c r="G3329">
        <v>3319</v>
      </c>
      <c r="H3329">
        <f t="shared" ca="1" si="59"/>
        <v>1.7647307884073215E-2</v>
      </c>
    </row>
    <row r="3330" spans="7:8">
      <c r="G3330">
        <v>3320</v>
      </c>
      <c r="H3330">
        <f t="shared" ca="1" si="59"/>
        <v>-4.0855968518198137E-2</v>
      </c>
    </row>
    <row r="3331" spans="7:8">
      <c r="G3331">
        <v>3321</v>
      </c>
      <c r="H3331">
        <f t="shared" ca="1" si="59"/>
        <v>4.0772558067991857E-3</v>
      </c>
    </row>
    <row r="3332" spans="7:8">
      <c r="G3332">
        <v>3322</v>
      </c>
      <c r="H3332">
        <f t="shared" ca="1" si="59"/>
        <v>-4.8665931522795899E-2</v>
      </c>
    </row>
    <row r="3333" spans="7:8">
      <c r="G3333">
        <v>3323</v>
      </c>
      <c r="H3333">
        <f t="shared" ca="1" si="59"/>
        <v>-4.7154451372537746E-4</v>
      </c>
    </row>
    <row r="3334" spans="7:8">
      <c r="G3334">
        <v>3324</v>
      </c>
      <c r="H3334">
        <f t="shared" ca="1" si="59"/>
        <v>-8.7274559000011902E-3</v>
      </c>
    </row>
    <row r="3335" spans="7:8">
      <c r="G3335">
        <v>3325</v>
      </c>
      <c r="H3335">
        <f t="shared" ca="1" si="59"/>
        <v>-5.7413144951575078E-3</v>
      </c>
    </row>
    <row r="3336" spans="7:8">
      <c r="G3336">
        <v>3326</v>
      </c>
      <c r="H3336">
        <f t="shared" ca="1" si="59"/>
        <v>-2.8199219598787396E-2</v>
      </c>
    </row>
    <row r="3337" spans="7:8">
      <c r="G3337">
        <v>3327</v>
      </c>
      <c r="H3337">
        <f t="shared" ca="1" si="59"/>
        <v>-1.9816946549487409E-2</v>
      </c>
    </row>
    <row r="3338" spans="7:8">
      <c r="G3338">
        <v>3328</v>
      </c>
      <c r="H3338">
        <f t="shared" ca="1" si="59"/>
        <v>-4.9869488825713595E-3</v>
      </c>
    </row>
    <row r="3339" spans="7:8">
      <c r="G3339">
        <v>3329</v>
      </c>
      <c r="H3339">
        <f t="shared" ca="1" si="59"/>
        <v>1.1457046617342178E-2</v>
      </c>
    </row>
    <row r="3340" spans="7:8">
      <c r="G3340">
        <v>3330</v>
      </c>
      <c r="H3340">
        <f t="shared" ref="H3340:H3403" ca="1" si="60">_xlfn.NORM.INV(RAND(),N$13,N$14)</f>
        <v>2.364998101993359E-2</v>
      </c>
    </row>
    <row r="3341" spans="7:8">
      <c r="G3341">
        <v>3331</v>
      </c>
      <c r="H3341">
        <f t="shared" ca="1" si="60"/>
        <v>-2.0025675648256717E-3</v>
      </c>
    </row>
    <row r="3342" spans="7:8">
      <c r="G3342">
        <v>3332</v>
      </c>
      <c r="H3342">
        <f t="shared" ca="1" si="60"/>
        <v>-1.7996376920261074E-2</v>
      </c>
    </row>
    <row r="3343" spans="7:8">
      <c r="G3343">
        <v>3333</v>
      </c>
      <c r="H3343">
        <f t="shared" ca="1" si="60"/>
        <v>-3.6247519597088669E-2</v>
      </c>
    </row>
    <row r="3344" spans="7:8">
      <c r="G3344">
        <v>3334</v>
      </c>
      <c r="H3344">
        <f t="shared" ca="1" si="60"/>
        <v>6.0044539838687173E-3</v>
      </c>
    </row>
    <row r="3345" spans="7:8">
      <c r="G3345">
        <v>3335</v>
      </c>
      <c r="H3345">
        <f t="shared" ca="1" si="60"/>
        <v>-1.333910368885167E-2</v>
      </c>
    </row>
    <row r="3346" spans="7:8">
      <c r="G3346">
        <v>3336</v>
      </c>
      <c r="H3346">
        <f t="shared" ca="1" si="60"/>
        <v>2.1564025791642429E-2</v>
      </c>
    </row>
    <row r="3347" spans="7:8">
      <c r="G3347">
        <v>3337</v>
      </c>
      <c r="H3347">
        <f t="shared" ca="1" si="60"/>
        <v>1.988512867423518E-2</v>
      </c>
    </row>
    <row r="3348" spans="7:8">
      <c r="G3348">
        <v>3338</v>
      </c>
      <c r="H3348">
        <f t="shared" ca="1" si="60"/>
        <v>1.731365206047684E-3</v>
      </c>
    </row>
    <row r="3349" spans="7:8">
      <c r="G3349">
        <v>3339</v>
      </c>
      <c r="H3349">
        <f t="shared" ca="1" si="60"/>
        <v>1.2135333574379509E-3</v>
      </c>
    </row>
    <row r="3350" spans="7:8">
      <c r="G3350">
        <v>3340</v>
      </c>
      <c r="H3350">
        <f t="shared" ca="1" si="60"/>
        <v>8.5128544597087765E-3</v>
      </c>
    </row>
    <row r="3351" spans="7:8">
      <c r="G3351">
        <v>3341</v>
      </c>
      <c r="H3351">
        <f t="shared" ca="1" si="60"/>
        <v>6.788951341957998E-3</v>
      </c>
    </row>
    <row r="3352" spans="7:8">
      <c r="G3352">
        <v>3342</v>
      </c>
      <c r="H3352">
        <f t="shared" ca="1" si="60"/>
        <v>-2.0822068415548855E-2</v>
      </c>
    </row>
    <row r="3353" spans="7:8">
      <c r="G3353">
        <v>3343</v>
      </c>
      <c r="H3353">
        <f t="shared" ca="1" si="60"/>
        <v>-1.7659765695915582E-3</v>
      </c>
    </row>
    <row r="3354" spans="7:8">
      <c r="G3354">
        <v>3344</v>
      </c>
      <c r="H3354">
        <f t="shared" ca="1" si="60"/>
        <v>1.6687173644820554E-2</v>
      </c>
    </row>
    <row r="3355" spans="7:8">
      <c r="G3355">
        <v>3345</v>
      </c>
      <c r="H3355">
        <f t="shared" ca="1" si="60"/>
        <v>1.0937222325669993E-2</v>
      </c>
    </row>
    <row r="3356" spans="7:8">
      <c r="G3356">
        <v>3346</v>
      </c>
      <c r="H3356">
        <f t="shared" ca="1" si="60"/>
        <v>3.7120635754296451E-2</v>
      </c>
    </row>
    <row r="3357" spans="7:8">
      <c r="G3357">
        <v>3347</v>
      </c>
      <c r="H3357">
        <f t="shared" ca="1" si="60"/>
        <v>9.8292195102220314E-3</v>
      </c>
    </row>
    <row r="3358" spans="7:8">
      <c r="G3358">
        <v>3348</v>
      </c>
      <c r="H3358">
        <f t="shared" ca="1" si="60"/>
        <v>4.9526899383180315E-3</v>
      </c>
    </row>
    <row r="3359" spans="7:8">
      <c r="G3359">
        <v>3349</v>
      </c>
      <c r="H3359">
        <f t="shared" ca="1" si="60"/>
        <v>-1.8147380663591055E-2</v>
      </c>
    </row>
    <row r="3360" spans="7:8">
      <c r="G3360">
        <v>3350</v>
      </c>
      <c r="H3360">
        <f t="shared" ca="1" si="60"/>
        <v>-2.0594808927621288E-2</v>
      </c>
    </row>
    <row r="3361" spans="7:8">
      <c r="G3361">
        <v>3351</v>
      </c>
      <c r="H3361">
        <f t="shared" ca="1" si="60"/>
        <v>-1.8690587138949111E-2</v>
      </c>
    </row>
    <row r="3362" spans="7:8">
      <c r="G3362">
        <v>3352</v>
      </c>
      <c r="H3362">
        <f t="shared" ca="1" si="60"/>
        <v>-2.4144978208341338E-2</v>
      </c>
    </row>
    <row r="3363" spans="7:8">
      <c r="G3363">
        <v>3353</v>
      </c>
      <c r="H3363">
        <f t="shared" ca="1" si="60"/>
        <v>2.5172069590428333E-2</v>
      </c>
    </row>
    <row r="3364" spans="7:8">
      <c r="G3364">
        <v>3354</v>
      </c>
      <c r="H3364">
        <f t="shared" ca="1" si="60"/>
        <v>-1.7325652153199027E-2</v>
      </c>
    </row>
    <row r="3365" spans="7:8">
      <c r="G3365">
        <v>3355</v>
      </c>
      <c r="H3365">
        <f t="shared" ca="1" si="60"/>
        <v>-3.0961068214187541E-2</v>
      </c>
    </row>
    <row r="3366" spans="7:8">
      <c r="G3366">
        <v>3356</v>
      </c>
      <c r="H3366">
        <f t="shared" ca="1" si="60"/>
        <v>-1.8399209908654249E-2</v>
      </c>
    </row>
    <row r="3367" spans="7:8">
      <c r="G3367">
        <v>3357</v>
      </c>
      <c r="H3367">
        <f t="shared" ca="1" si="60"/>
        <v>-2.7400760818913822E-2</v>
      </c>
    </row>
    <row r="3368" spans="7:8">
      <c r="G3368">
        <v>3358</v>
      </c>
      <c r="H3368">
        <f t="shared" ca="1" si="60"/>
        <v>-9.4693750063075503E-3</v>
      </c>
    </row>
    <row r="3369" spans="7:8">
      <c r="G3369">
        <v>3359</v>
      </c>
      <c r="H3369">
        <f t="shared" ca="1" si="60"/>
        <v>1.7970653920094035E-2</v>
      </c>
    </row>
    <row r="3370" spans="7:8">
      <c r="G3370">
        <v>3360</v>
      </c>
      <c r="H3370">
        <f t="shared" ca="1" si="60"/>
        <v>1.7968272805229623E-2</v>
      </c>
    </row>
    <row r="3371" spans="7:8">
      <c r="G3371">
        <v>3361</v>
      </c>
      <c r="H3371">
        <f t="shared" ca="1" si="60"/>
        <v>1.665616134326962E-2</v>
      </c>
    </row>
    <row r="3372" spans="7:8">
      <c r="G3372">
        <v>3362</v>
      </c>
      <c r="H3372">
        <f t="shared" ca="1" si="60"/>
        <v>4.399165454659535E-2</v>
      </c>
    </row>
    <row r="3373" spans="7:8">
      <c r="G3373">
        <v>3363</v>
      </c>
      <c r="H3373">
        <f t="shared" ca="1" si="60"/>
        <v>1.4012733567473377E-2</v>
      </c>
    </row>
    <row r="3374" spans="7:8">
      <c r="G3374">
        <v>3364</v>
      </c>
      <c r="H3374">
        <f t="shared" ca="1" si="60"/>
        <v>-4.7957367657552492E-3</v>
      </c>
    </row>
    <row r="3375" spans="7:8">
      <c r="G3375">
        <v>3365</v>
      </c>
      <c r="H3375">
        <f t="shared" ca="1" si="60"/>
        <v>-4.0593252943045062E-2</v>
      </c>
    </row>
    <row r="3376" spans="7:8">
      <c r="G3376">
        <v>3366</v>
      </c>
      <c r="H3376">
        <f t="shared" ca="1" si="60"/>
        <v>-1.0776144065950257E-2</v>
      </c>
    </row>
    <row r="3377" spans="7:8">
      <c r="G3377">
        <v>3367</v>
      </c>
      <c r="H3377">
        <f t="shared" ca="1" si="60"/>
        <v>-2.4655766822567912E-2</v>
      </c>
    </row>
    <row r="3378" spans="7:8">
      <c r="G3378">
        <v>3368</v>
      </c>
      <c r="H3378">
        <f t="shared" ca="1" si="60"/>
        <v>-2.8532131932167137E-2</v>
      </c>
    </row>
    <row r="3379" spans="7:8">
      <c r="G3379">
        <v>3369</v>
      </c>
      <c r="H3379">
        <f t="shared" ca="1" si="60"/>
        <v>4.3529253054042753E-2</v>
      </c>
    </row>
    <row r="3380" spans="7:8">
      <c r="G3380">
        <v>3370</v>
      </c>
      <c r="H3380">
        <f t="shared" ca="1" si="60"/>
        <v>1.8717519928275382E-2</v>
      </c>
    </row>
    <row r="3381" spans="7:8">
      <c r="G3381">
        <v>3371</v>
      </c>
      <c r="H3381">
        <f t="shared" ca="1" si="60"/>
        <v>3.9860680828910235E-2</v>
      </c>
    </row>
    <row r="3382" spans="7:8">
      <c r="G3382">
        <v>3372</v>
      </c>
      <c r="H3382">
        <f t="shared" ca="1" si="60"/>
        <v>-3.7780790087952751E-2</v>
      </c>
    </row>
    <row r="3383" spans="7:8">
      <c r="G3383">
        <v>3373</v>
      </c>
      <c r="H3383">
        <f t="shared" ca="1" si="60"/>
        <v>-4.6807971990162123E-2</v>
      </c>
    </row>
    <row r="3384" spans="7:8">
      <c r="G3384">
        <v>3374</v>
      </c>
      <c r="H3384">
        <f t="shared" ca="1" si="60"/>
        <v>5.4880969675620492E-2</v>
      </c>
    </row>
    <row r="3385" spans="7:8">
      <c r="G3385">
        <v>3375</v>
      </c>
      <c r="H3385">
        <f t="shared" ca="1" si="60"/>
        <v>8.336215644449503E-4</v>
      </c>
    </row>
    <row r="3386" spans="7:8">
      <c r="G3386">
        <v>3376</v>
      </c>
      <c r="H3386">
        <f t="shared" ca="1" si="60"/>
        <v>-2.6819152182587552E-2</v>
      </c>
    </row>
    <row r="3387" spans="7:8">
      <c r="G3387">
        <v>3377</v>
      </c>
      <c r="H3387">
        <f t="shared" ca="1" si="60"/>
        <v>1.8394244308148344E-2</v>
      </c>
    </row>
    <row r="3388" spans="7:8">
      <c r="G3388">
        <v>3378</v>
      </c>
      <c r="H3388">
        <f t="shared" ca="1" si="60"/>
        <v>4.4373500682888482E-3</v>
      </c>
    </row>
    <row r="3389" spans="7:8">
      <c r="G3389">
        <v>3379</v>
      </c>
      <c r="H3389">
        <f t="shared" ca="1" si="60"/>
        <v>-1.531519814174544E-2</v>
      </c>
    </row>
    <row r="3390" spans="7:8">
      <c r="G3390">
        <v>3380</v>
      </c>
      <c r="H3390">
        <f t="shared" ca="1" si="60"/>
        <v>-2.7901682445591127E-2</v>
      </c>
    </row>
    <row r="3391" spans="7:8">
      <c r="G3391">
        <v>3381</v>
      </c>
      <c r="H3391">
        <f t="shared" ca="1" si="60"/>
        <v>-3.3417837357692257E-2</v>
      </c>
    </row>
    <row r="3392" spans="7:8">
      <c r="G3392">
        <v>3382</v>
      </c>
      <c r="H3392">
        <f t="shared" ca="1" si="60"/>
        <v>-2.7242579525940364E-2</v>
      </c>
    </row>
    <row r="3393" spans="7:8">
      <c r="G3393">
        <v>3383</v>
      </c>
      <c r="H3393">
        <f t="shared" ca="1" si="60"/>
        <v>-2.4195206636202341E-2</v>
      </c>
    </row>
    <row r="3394" spans="7:8">
      <c r="G3394">
        <v>3384</v>
      </c>
      <c r="H3394">
        <f t="shared" ca="1" si="60"/>
        <v>3.3720756676083874E-2</v>
      </c>
    </row>
    <row r="3395" spans="7:8">
      <c r="G3395">
        <v>3385</v>
      </c>
      <c r="H3395">
        <f t="shared" ca="1" si="60"/>
        <v>6.3978905130359434E-3</v>
      </c>
    </row>
    <row r="3396" spans="7:8">
      <c r="G3396">
        <v>3386</v>
      </c>
      <c r="H3396">
        <f t="shared" ca="1" si="60"/>
        <v>-9.6685605761053141E-3</v>
      </c>
    </row>
    <row r="3397" spans="7:8">
      <c r="G3397">
        <v>3387</v>
      </c>
      <c r="H3397">
        <f t="shared" ca="1" si="60"/>
        <v>-1.8509714388083784E-2</v>
      </c>
    </row>
    <row r="3398" spans="7:8">
      <c r="G3398">
        <v>3388</v>
      </c>
      <c r="H3398">
        <f t="shared" ca="1" si="60"/>
        <v>1.6973359445377527E-2</v>
      </c>
    </row>
    <row r="3399" spans="7:8">
      <c r="G3399">
        <v>3389</v>
      </c>
      <c r="H3399">
        <f t="shared" ca="1" si="60"/>
        <v>1.5687287756845716E-2</v>
      </c>
    </row>
    <row r="3400" spans="7:8">
      <c r="G3400">
        <v>3390</v>
      </c>
      <c r="H3400">
        <f t="shared" ca="1" si="60"/>
        <v>-4.846985413952886E-2</v>
      </c>
    </row>
    <row r="3401" spans="7:8">
      <c r="G3401">
        <v>3391</v>
      </c>
      <c r="H3401">
        <f t="shared" ca="1" si="60"/>
        <v>2.9827362963255919E-2</v>
      </c>
    </row>
    <row r="3402" spans="7:8">
      <c r="G3402">
        <v>3392</v>
      </c>
      <c r="H3402">
        <f t="shared" ca="1" si="60"/>
        <v>1.0221159229083553E-2</v>
      </c>
    </row>
    <row r="3403" spans="7:8">
      <c r="G3403">
        <v>3393</v>
      </c>
      <c r="H3403">
        <f t="shared" ca="1" si="60"/>
        <v>2.8906145140381621E-2</v>
      </c>
    </row>
    <row r="3404" spans="7:8">
      <c r="G3404">
        <v>3394</v>
      </c>
      <c r="H3404">
        <f t="shared" ref="H3404:H3467" ca="1" si="61">_xlfn.NORM.INV(RAND(),N$13,N$14)</f>
        <v>1.4052254667193485E-2</v>
      </c>
    </row>
    <row r="3405" spans="7:8">
      <c r="G3405">
        <v>3395</v>
      </c>
      <c r="H3405">
        <f t="shared" ca="1" si="61"/>
        <v>2.711545992632473E-2</v>
      </c>
    </row>
    <row r="3406" spans="7:8">
      <c r="G3406">
        <v>3396</v>
      </c>
      <c r="H3406">
        <f t="shared" ca="1" si="61"/>
        <v>-4.006682551245154E-2</v>
      </c>
    </row>
    <row r="3407" spans="7:8">
      <c r="G3407">
        <v>3397</v>
      </c>
      <c r="H3407">
        <f t="shared" ca="1" si="61"/>
        <v>2.1067798014271118E-2</v>
      </c>
    </row>
    <row r="3408" spans="7:8">
      <c r="G3408">
        <v>3398</v>
      </c>
      <c r="H3408">
        <f t="shared" ca="1" si="61"/>
        <v>3.3135678763780367E-2</v>
      </c>
    </row>
    <row r="3409" spans="7:8">
      <c r="G3409">
        <v>3399</v>
      </c>
      <c r="H3409">
        <f t="shared" ca="1" si="61"/>
        <v>-1.6856667239308218E-2</v>
      </c>
    </row>
    <row r="3410" spans="7:8">
      <c r="G3410">
        <v>3400</v>
      </c>
      <c r="H3410">
        <f t="shared" ca="1" si="61"/>
        <v>-2.1440115629681846E-3</v>
      </c>
    </row>
    <row r="3411" spans="7:8">
      <c r="G3411">
        <v>3401</v>
      </c>
      <c r="H3411">
        <f t="shared" ca="1" si="61"/>
        <v>-2.8301863035940754E-2</v>
      </c>
    </row>
    <row r="3412" spans="7:8">
      <c r="G3412">
        <v>3402</v>
      </c>
      <c r="H3412">
        <f t="shared" ca="1" si="61"/>
        <v>-1.5241916696376949E-2</v>
      </c>
    </row>
    <row r="3413" spans="7:8">
      <c r="G3413">
        <v>3403</v>
      </c>
      <c r="H3413">
        <f t="shared" ca="1" si="61"/>
        <v>2.2756697654233018E-2</v>
      </c>
    </row>
    <row r="3414" spans="7:8">
      <c r="G3414">
        <v>3404</v>
      </c>
      <c r="H3414">
        <f t="shared" ca="1" si="61"/>
        <v>-1.2655449476116342E-2</v>
      </c>
    </row>
    <row r="3415" spans="7:8">
      <c r="G3415">
        <v>3405</v>
      </c>
      <c r="H3415">
        <f t="shared" ca="1" si="61"/>
        <v>-1.5110775341895897E-2</v>
      </c>
    </row>
    <row r="3416" spans="7:8">
      <c r="G3416">
        <v>3406</v>
      </c>
      <c r="H3416">
        <f t="shared" ca="1" si="61"/>
        <v>-2.567607139034013E-2</v>
      </c>
    </row>
    <row r="3417" spans="7:8">
      <c r="G3417">
        <v>3407</v>
      </c>
      <c r="H3417">
        <f t="shared" ca="1" si="61"/>
        <v>-1.1961016901374936E-2</v>
      </c>
    </row>
    <row r="3418" spans="7:8">
      <c r="G3418">
        <v>3408</v>
      </c>
      <c r="H3418">
        <f t="shared" ca="1" si="61"/>
        <v>4.623149832196501E-3</v>
      </c>
    </row>
    <row r="3419" spans="7:8">
      <c r="G3419">
        <v>3409</v>
      </c>
      <c r="H3419">
        <f t="shared" ca="1" si="61"/>
        <v>1.5239596353393677E-2</v>
      </c>
    </row>
    <row r="3420" spans="7:8">
      <c r="G3420">
        <v>3410</v>
      </c>
      <c r="H3420">
        <f t="shared" ca="1" si="61"/>
        <v>2.1434041561074611E-2</v>
      </c>
    </row>
    <row r="3421" spans="7:8">
      <c r="G3421">
        <v>3411</v>
      </c>
      <c r="H3421">
        <f t="shared" ca="1" si="61"/>
        <v>5.8262884180307886E-3</v>
      </c>
    </row>
    <row r="3422" spans="7:8">
      <c r="G3422">
        <v>3412</v>
      </c>
      <c r="H3422">
        <f t="shared" ca="1" si="61"/>
        <v>2.1391057832553648E-4</v>
      </c>
    </row>
    <row r="3423" spans="7:8">
      <c r="G3423">
        <v>3413</v>
      </c>
      <c r="H3423">
        <f t="shared" ca="1" si="61"/>
        <v>2.8231441018550442E-2</v>
      </c>
    </row>
    <row r="3424" spans="7:8">
      <c r="G3424">
        <v>3414</v>
      </c>
      <c r="H3424">
        <f t="shared" ca="1" si="61"/>
        <v>2.1970070617351036E-2</v>
      </c>
    </row>
    <row r="3425" spans="7:8">
      <c r="G3425">
        <v>3415</v>
      </c>
      <c r="H3425">
        <f t="shared" ca="1" si="61"/>
        <v>-2.6631416450150224E-2</v>
      </c>
    </row>
    <row r="3426" spans="7:8">
      <c r="G3426">
        <v>3416</v>
      </c>
      <c r="H3426">
        <f t="shared" ca="1" si="61"/>
        <v>8.0504533156685494E-3</v>
      </c>
    </row>
    <row r="3427" spans="7:8">
      <c r="G3427">
        <v>3417</v>
      </c>
      <c r="H3427">
        <f t="shared" ca="1" si="61"/>
        <v>4.2344376816679762E-2</v>
      </c>
    </row>
    <row r="3428" spans="7:8">
      <c r="G3428">
        <v>3418</v>
      </c>
      <c r="H3428">
        <f t="shared" ca="1" si="61"/>
        <v>1.9703492723342739E-2</v>
      </c>
    </row>
    <row r="3429" spans="7:8">
      <c r="G3429">
        <v>3419</v>
      </c>
      <c r="H3429">
        <f t="shared" ca="1" si="61"/>
        <v>1.4198308813700626E-2</v>
      </c>
    </row>
    <row r="3430" spans="7:8">
      <c r="G3430">
        <v>3420</v>
      </c>
      <c r="H3430">
        <f t="shared" ca="1" si="61"/>
        <v>4.9029830866850685E-2</v>
      </c>
    </row>
    <row r="3431" spans="7:8">
      <c r="G3431">
        <v>3421</v>
      </c>
      <c r="H3431">
        <f t="shared" ca="1" si="61"/>
        <v>2.7429156115576638E-2</v>
      </c>
    </row>
    <row r="3432" spans="7:8">
      <c r="G3432">
        <v>3422</v>
      </c>
      <c r="H3432">
        <f t="shared" ca="1" si="61"/>
        <v>2.1421829320060339E-2</v>
      </c>
    </row>
    <row r="3433" spans="7:8">
      <c r="G3433">
        <v>3423</v>
      </c>
      <c r="H3433">
        <f t="shared" ca="1" si="61"/>
        <v>-5.646456167257943E-3</v>
      </c>
    </row>
    <row r="3434" spans="7:8">
      <c r="G3434">
        <v>3424</v>
      </c>
      <c r="H3434">
        <f t="shared" ca="1" si="61"/>
        <v>9.1001839536777526E-3</v>
      </c>
    </row>
    <row r="3435" spans="7:8">
      <c r="G3435">
        <v>3425</v>
      </c>
      <c r="H3435">
        <f t="shared" ca="1" si="61"/>
        <v>-6.8656443789988269E-3</v>
      </c>
    </row>
    <row r="3436" spans="7:8">
      <c r="G3436">
        <v>3426</v>
      </c>
      <c r="H3436">
        <f t="shared" ca="1" si="61"/>
        <v>1.7584555560297616E-2</v>
      </c>
    </row>
    <row r="3437" spans="7:8">
      <c r="G3437">
        <v>3427</v>
      </c>
      <c r="H3437">
        <f t="shared" ca="1" si="61"/>
        <v>-1.4970324338705654E-2</v>
      </c>
    </row>
    <row r="3438" spans="7:8">
      <c r="G3438">
        <v>3428</v>
      </c>
      <c r="H3438">
        <f t="shared" ca="1" si="61"/>
        <v>3.3921176817060396E-2</v>
      </c>
    </row>
    <row r="3439" spans="7:8">
      <c r="G3439">
        <v>3429</v>
      </c>
      <c r="H3439">
        <f t="shared" ca="1" si="61"/>
        <v>2.811333472422025E-2</v>
      </c>
    </row>
    <row r="3440" spans="7:8">
      <c r="G3440">
        <v>3430</v>
      </c>
      <c r="H3440">
        <f t="shared" ca="1" si="61"/>
        <v>-5.6159576242293596E-3</v>
      </c>
    </row>
    <row r="3441" spans="7:8">
      <c r="G3441">
        <v>3431</v>
      </c>
      <c r="H3441">
        <f t="shared" ca="1" si="61"/>
        <v>-9.4867332891394752E-3</v>
      </c>
    </row>
    <row r="3442" spans="7:8">
      <c r="G3442">
        <v>3432</v>
      </c>
      <c r="H3442">
        <f t="shared" ca="1" si="61"/>
        <v>-5.429850815904933E-3</v>
      </c>
    </row>
    <row r="3443" spans="7:8">
      <c r="G3443">
        <v>3433</v>
      </c>
      <c r="H3443">
        <f t="shared" ca="1" si="61"/>
        <v>5.4352196483823754E-3</v>
      </c>
    </row>
    <row r="3444" spans="7:8">
      <c r="G3444">
        <v>3434</v>
      </c>
      <c r="H3444">
        <f t="shared" ca="1" si="61"/>
        <v>-2.4329185338232674E-2</v>
      </c>
    </row>
    <row r="3445" spans="7:8">
      <c r="G3445">
        <v>3435</v>
      </c>
      <c r="H3445">
        <f t="shared" ca="1" si="61"/>
        <v>-3.365503192521933E-3</v>
      </c>
    </row>
    <row r="3446" spans="7:8">
      <c r="G3446">
        <v>3436</v>
      </c>
      <c r="H3446">
        <f t="shared" ca="1" si="61"/>
        <v>-6.5437366654004974E-3</v>
      </c>
    </row>
    <row r="3447" spans="7:8">
      <c r="G3447">
        <v>3437</v>
      </c>
      <c r="H3447">
        <f t="shared" ca="1" si="61"/>
        <v>5.9660697289552027E-3</v>
      </c>
    </row>
    <row r="3448" spans="7:8">
      <c r="G3448">
        <v>3438</v>
      </c>
      <c r="H3448">
        <f t="shared" ca="1" si="61"/>
        <v>-5.608808218689706E-3</v>
      </c>
    </row>
    <row r="3449" spans="7:8">
      <c r="G3449">
        <v>3439</v>
      </c>
      <c r="H3449">
        <f t="shared" ca="1" si="61"/>
        <v>2.4619170923984236E-2</v>
      </c>
    </row>
    <row r="3450" spans="7:8">
      <c r="G3450">
        <v>3440</v>
      </c>
      <c r="H3450">
        <f t="shared" ca="1" si="61"/>
        <v>-5.4761039735270502E-3</v>
      </c>
    </row>
    <row r="3451" spans="7:8">
      <c r="G3451">
        <v>3441</v>
      </c>
      <c r="H3451">
        <f t="shared" ca="1" si="61"/>
        <v>3.1818160911590378E-2</v>
      </c>
    </row>
    <row r="3452" spans="7:8">
      <c r="G3452">
        <v>3442</v>
      </c>
      <c r="H3452">
        <f t="shared" ca="1" si="61"/>
        <v>4.6402691120606583E-3</v>
      </c>
    </row>
    <row r="3453" spans="7:8">
      <c r="G3453">
        <v>3443</v>
      </c>
      <c r="H3453">
        <f t="shared" ca="1" si="61"/>
        <v>2.2293533940452054E-2</v>
      </c>
    </row>
    <row r="3454" spans="7:8">
      <c r="G3454">
        <v>3444</v>
      </c>
      <c r="H3454">
        <f t="shared" ca="1" si="61"/>
        <v>7.7544128817421424E-3</v>
      </c>
    </row>
    <row r="3455" spans="7:8">
      <c r="G3455">
        <v>3445</v>
      </c>
      <c r="H3455">
        <f t="shared" ca="1" si="61"/>
        <v>1.3011137725746604E-2</v>
      </c>
    </row>
    <row r="3456" spans="7:8">
      <c r="G3456">
        <v>3446</v>
      </c>
      <c r="H3456">
        <f t="shared" ca="1" si="61"/>
        <v>1.5344065556293951E-2</v>
      </c>
    </row>
    <row r="3457" spans="7:8">
      <c r="G3457">
        <v>3447</v>
      </c>
      <c r="H3457">
        <f t="shared" ca="1" si="61"/>
        <v>3.3936168188571023E-2</v>
      </c>
    </row>
    <row r="3458" spans="7:8">
      <c r="G3458">
        <v>3448</v>
      </c>
      <c r="H3458">
        <f t="shared" ca="1" si="61"/>
        <v>2.3687980141521063E-2</v>
      </c>
    </row>
    <row r="3459" spans="7:8">
      <c r="G3459">
        <v>3449</v>
      </c>
      <c r="H3459">
        <f t="shared" ca="1" si="61"/>
        <v>4.0821679327306355E-2</v>
      </c>
    </row>
    <row r="3460" spans="7:8">
      <c r="G3460">
        <v>3450</v>
      </c>
      <c r="H3460">
        <f t="shared" ca="1" si="61"/>
        <v>3.0075306635486583E-2</v>
      </c>
    </row>
    <row r="3461" spans="7:8">
      <c r="G3461">
        <v>3451</v>
      </c>
      <c r="H3461">
        <f t="shared" ca="1" si="61"/>
        <v>-1.2436045782145686E-2</v>
      </c>
    </row>
    <row r="3462" spans="7:8">
      <c r="G3462">
        <v>3452</v>
      </c>
      <c r="H3462">
        <f t="shared" ca="1" si="61"/>
        <v>-6.8545150629748756E-3</v>
      </c>
    </row>
    <row r="3463" spans="7:8">
      <c r="G3463">
        <v>3453</v>
      </c>
      <c r="H3463">
        <f t="shared" ca="1" si="61"/>
        <v>4.6063438286651097E-2</v>
      </c>
    </row>
    <row r="3464" spans="7:8">
      <c r="G3464">
        <v>3454</v>
      </c>
      <c r="H3464">
        <f t="shared" ca="1" si="61"/>
        <v>1.4421532098543265E-2</v>
      </c>
    </row>
    <row r="3465" spans="7:8">
      <c r="G3465">
        <v>3455</v>
      </c>
      <c r="H3465">
        <f t="shared" ca="1" si="61"/>
        <v>-4.8193827344241033E-2</v>
      </c>
    </row>
    <row r="3466" spans="7:8">
      <c r="G3466">
        <v>3456</v>
      </c>
      <c r="H3466">
        <f t="shared" ca="1" si="61"/>
        <v>3.6726587636700427E-2</v>
      </c>
    </row>
    <row r="3467" spans="7:8">
      <c r="G3467">
        <v>3457</v>
      </c>
      <c r="H3467">
        <f t="shared" ca="1" si="61"/>
        <v>-1.9951918081573604E-3</v>
      </c>
    </row>
    <row r="3468" spans="7:8">
      <c r="G3468">
        <v>3458</v>
      </c>
      <c r="H3468">
        <f t="shared" ref="H3468:H3531" ca="1" si="62">_xlfn.NORM.INV(RAND(),N$13,N$14)</f>
        <v>2.3354047452419657E-2</v>
      </c>
    </row>
    <row r="3469" spans="7:8">
      <c r="G3469">
        <v>3459</v>
      </c>
      <c r="H3469">
        <f t="shared" ca="1" si="62"/>
        <v>3.6190396726884011E-2</v>
      </c>
    </row>
    <row r="3470" spans="7:8">
      <c r="G3470">
        <v>3460</v>
      </c>
      <c r="H3470">
        <f t="shared" ca="1" si="62"/>
        <v>-1.6436500962473878E-2</v>
      </c>
    </row>
    <row r="3471" spans="7:8">
      <c r="G3471">
        <v>3461</v>
      </c>
      <c r="H3471">
        <f t="shared" ca="1" si="62"/>
        <v>2.0748762513592801E-2</v>
      </c>
    </row>
    <row r="3472" spans="7:8">
      <c r="G3472">
        <v>3462</v>
      </c>
      <c r="H3472">
        <f t="shared" ca="1" si="62"/>
        <v>2.7720642079036729E-3</v>
      </c>
    </row>
    <row r="3473" spans="7:8">
      <c r="G3473">
        <v>3463</v>
      </c>
      <c r="H3473">
        <f t="shared" ca="1" si="62"/>
        <v>1.5048328140082879E-3</v>
      </c>
    </row>
    <row r="3474" spans="7:8">
      <c r="G3474">
        <v>3464</v>
      </c>
      <c r="H3474">
        <f t="shared" ca="1" si="62"/>
        <v>3.1638126769451005E-3</v>
      </c>
    </row>
    <row r="3475" spans="7:8">
      <c r="G3475">
        <v>3465</v>
      </c>
      <c r="H3475">
        <f t="shared" ca="1" si="62"/>
        <v>-7.4466616834370771E-3</v>
      </c>
    </row>
    <row r="3476" spans="7:8">
      <c r="G3476">
        <v>3466</v>
      </c>
      <c r="H3476">
        <f t="shared" ca="1" si="62"/>
        <v>4.1675013435990872E-3</v>
      </c>
    </row>
    <row r="3477" spans="7:8">
      <c r="G3477">
        <v>3467</v>
      </c>
      <c r="H3477">
        <f t="shared" ca="1" si="62"/>
        <v>2.5006779051189133E-2</v>
      </c>
    </row>
    <row r="3478" spans="7:8">
      <c r="G3478">
        <v>3468</v>
      </c>
      <c r="H3478">
        <f t="shared" ca="1" si="62"/>
        <v>-1.692138224992034E-2</v>
      </c>
    </row>
    <row r="3479" spans="7:8">
      <c r="G3479">
        <v>3469</v>
      </c>
      <c r="H3479">
        <f t="shared" ca="1" si="62"/>
        <v>8.6222517661090903E-3</v>
      </c>
    </row>
    <row r="3480" spans="7:8">
      <c r="G3480">
        <v>3470</v>
      </c>
      <c r="H3480">
        <f t="shared" ca="1" si="62"/>
        <v>4.3136606070964933E-3</v>
      </c>
    </row>
    <row r="3481" spans="7:8">
      <c r="G3481">
        <v>3471</v>
      </c>
      <c r="H3481">
        <f t="shared" ca="1" si="62"/>
        <v>1.3200122498615734E-2</v>
      </c>
    </row>
    <row r="3482" spans="7:8">
      <c r="G3482">
        <v>3472</v>
      </c>
      <c r="H3482">
        <f t="shared" ca="1" si="62"/>
        <v>-7.4999973722037839E-4</v>
      </c>
    </row>
    <row r="3483" spans="7:8">
      <c r="G3483">
        <v>3473</v>
      </c>
      <c r="H3483">
        <f t="shared" ca="1" si="62"/>
        <v>1.8716645465380901E-2</v>
      </c>
    </row>
    <row r="3484" spans="7:8">
      <c r="G3484">
        <v>3474</v>
      </c>
      <c r="H3484">
        <f t="shared" ca="1" si="62"/>
        <v>-3.8994260248722636E-2</v>
      </c>
    </row>
    <row r="3485" spans="7:8">
      <c r="G3485">
        <v>3475</v>
      </c>
      <c r="H3485">
        <f t="shared" ca="1" si="62"/>
        <v>-3.3630510545966018E-2</v>
      </c>
    </row>
    <row r="3486" spans="7:8">
      <c r="G3486">
        <v>3476</v>
      </c>
      <c r="H3486">
        <f t="shared" ca="1" si="62"/>
        <v>2.3355464244288533E-2</v>
      </c>
    </row>
    <row r="3487" spans="7:8">
      <c r="G3487">
        <v>3477</v>
      </c>
      <c r="H3487">
        <f t="shared" ca="1" si="62"/>
        <v>-1.8409494194079556E-3</v>
      </c>
    </row>
    <row r="3488" spans="7:8">
      <c r="G3488">
        <v>3478</v>
      </c>
      <c r="H3488">
        <f t="shared" ca="1" si="62"/>
        <v>-1.5865494650541895E-2</v>
      </c>
    </row>
    <row r="3489" spans="7:8">
      <c r="G3489">
        <v>3479</v>
      </c>
      <c r="H3489">
        <f t="shared" ca="1" si="62"/>
        <v>1.6823691342762608E-2</v>
      </c>
    </row>
    <row r="3490" spans="7:8">
      <c r="G3490">
        <v>3480</v>
      </c>
      <c r="H3490">
        <f t="shared" ca="1" si="62"/>
        <v>-1.1329951604980562E-2</v>
      </c>
    </row>
    <row r="3491" spans="7:8">
      <c r="G3491">
        <v>3481</v>
      </c>
      <c r="H3491">
        <f t="shared" ca="1" si="62"/>
        <v>3.9550540362429136E-3</v>
      </c>
    </row>
    <row r="3492" spans="7:8">
      <c r="G3492">
        <v>3482</v>
      </c>
      <c r="H3492">
        <f t="shared" ca="1" si="62"/>
        <v>1.5517281204967179E-2</v>
      </c>
    </row>
    <row r="3493" spans="7:8">
      <c r="G3493">
        <v>3483</v>
      </c>
      <c r="H3493">
        <f t="shared" ca="1" si="62"/>
        <v>-4.2873005337930384E-3</v>
      </c>
    </row>
    <row r="3494" spans="7:8">
      <c r="G3494">
        <v>3484</v>
      </c>
      <c r="H3494">
        <f t="shared" ca="1" si="62"/>
        <v>-4.6739972432746938E-3</v>
      </c>
    </row>
    <row r="3495" spans="7:8">
      <c r="G3495">
        <v>3485</v>
      </c>
      <c r="H3495">
        <f t="shared" ca="1" si="62"/>
        <v>5.3294281773677767E-2</v>
      </c>
    </row>
    <row r="3496" spans="7:8">
      <c r="G3496">
        <v>3486</v>
      </c>
      <c r="H3496">
        <f t="shared" ca="1" si="62"/>
        <v>-1.889514049866709E-3</v>
      </c>
    </row>
    <row r="3497" spans="7:8">
      <c r="G3497">
        <v>3487</v>
      </c>
      <c r="H3497">
        <f t="shared" ca="1" si="62"/>
        <v>-4.9977590973909313E-3</v>
      </c>
    </row>
    <row r="3498" spans="7:8">
      <c r="G3498">
        <v>3488</v>
      </c>
      <c r="H3498">
        <f t="shared" ca="1" si="62"/>
        <v>3.5548768026614302E-2</v>
      </c>
    </row>
    <row r="3499" spans="7:8">
      <c r="G3499">
        <v>3489</v>
      </c>
      <c r="H3499">
        <f t="shared" ca="1" si="62"/>
        <v>2.3051431272071793E-2</v>
      </c>
    </row>
    <row r="3500" spans="7:8">
      <c r="G3500">
        <v>3490</v>
      </c>
      <c r="H3500">
        <f t="shared" ca="1" si="62"/>
        <v>-2.0368742891713549E-2</v>
      </c>
    </row>
    <row r="3501" spans="7:8">
      <c r="G3501">
        <v>3491</v>
      </c>
      <c r="H3501">
        <f t="shared" ca="1" si="62"/>
        <v>2.2160629177674859E-2</v>
      </c>
    </row>
    <row r="3502" spans="7:8">
      <c r="G3502">
        <v>3492</v>
      </c>
      <c r="H3502">
        <f t="shared" ca="1" si="62"/>
        <v>-3.2195005826790572E-2</v>
      </c>
    </row>
    <row r="3503" spans="7:8">
      <c r="G3503">
        <v>3493</v>
      </c>
      <c r="H3503">
        <f t="shared" ca="1" si="62"/>
        <v>-2.1788503921107556E-2</v>
      </c>
    </row>
    <row r="3504" spans="7:8">
      <c r="G3504">
        <v>3494</v>
      </c>
      <c r="H3504">
        <f t="shared" ca="1" si="62"/>
        <v>-5.956386967782148E-3</v>
      </c>
    </row>
    <row r="3505" spans="7:8">
      <c r="G3505">
        <v>3495</v>
      </c>
      <c r="H3505">
        <f t="shared" ca="1" si="62"/>
        <v>1.4805439878809824E-2</v>
      </c>
    </row>
    <row r="3506" spans="7:8">
      <c r="G3506">
        <v>3496</v>
      </c>
      <c r="H3506">
        <f t="shared" ca="1" si="62"/>
        <v>-2.2462970950365476E-3</v>
      </c>
    </row>
    <row r="3507" spans="7:8">
      <c r="G3507">
        <v>3497</v>
      </c>
      <c r="H3507">
        <f t="shared" ca="1" si="62"/>
        <v>-1.8623139238519312E-2</v>
      </c>
    </row>
    <row r="3508" spans="7:8">
      <c r="G3508">
        <v>3498</v>
      </c>
      <c r="H3508">
        <f t="shared" ca="1" si="62"/>
        <v>7.6775669464732724E-3</v>
      </c>
    </row>
    <row r="3509" spans="7:8">
      <c r="G3509">
        <v>3499</v>
      </c>
      <c r="H3509">
        <f t="shared" ca="1" si="62"/>
        <v>-1.9802053629697704E-2</v>
      </c>
    </row>
    <row r="3510" spans="7:8">
      <c r="G3510">
        <v>3500</v>
      </c>
      <c r="H3510">
        <f t="shared" ca="1" si="62"/>
        <v>2.3998187428222788E-2</v>
      </c>
    </row>
    <row r="3511" spans="7:8">
      <c r="G3511">
        <v>3501</v>
      </c>
      <c r="H3511">
        <f t="shared" ca="1" si="62"/>
        <v>-2.4777557583827114E-2</v>
      </c>
    </row>
    <row r="3512" spans="7:8">
      <c r="G3512">
        <v>3502</v>
      </c>
      <c r="H3512">
        <f t="shared" ca="1" si="62"/>
        <v>6.7911047635574829E-3</v>
      </c>
    </row>
    <row r="3513" spans="7:8">
      <c r="G3513">
        <v>3503</v>
      </c>
      <c r="H3513">
        <f t="shared" ca="1" si="62"/>
        <v>-1.280262184591284E-2</v>
      </c>
    </row>
    <row r="3514" spans="7:8">
      <c r="G3514">
        <v>3504</v>
      </c>
      <c r="H3514">
        <f t="shared" ca="1" si="62"/>
        <v>2.36981986962194E-3</v>
      </c>
    </row>
    <row r="3515" spans="7:8">
      <c r="G3515">
        <v>3505</v>
      </c>
      <c r="H3515">
        <f t="shared" ca="1" si="62"/>
        <v>-5.6855063698592135E-3</v>
      </c>
    </row>
    <row r="3516" spans="7:8">
      <c r="G3516">
        <v>3506</v>
      </c>
      <c r="H3516">
        <f t="shared" ca="1" si="62"/>
        <v>1.5447027230994781E-2</v>
      </c>
    </row>
    <row r="3517" spans="7:8">
      <c r="G3517">
        <v>3507</v>
      </c>
      <c r="H3517">
        <f t="shared" ca="1" si="62"/>
        <v>2.2558042927299408E-2</v>
      </c>
    </row>
    <row r="3518" spans="7:8">
      <c r="G3518">
        <v>3508</v>
      </c>
      <c r="H3518">
        <f t="shared" ca="1" si="62"/>
        <v>-9.5247481555973523E-3</v>
      </c>
    </row>
    <row r="3519" spans="7:8">
      <c r="G3519">
        <v>3509</v>
      </c>
      <c r="H3519">
        <f t="shared" ca="1" si="62"/>
        <v>-3.0981321315996787E-2</v>
      </c>
    </row>
    <row r="3520" spans="7:8">
      <c r="G3520">
        <v>3510</v>
      </c>
      <c r="H3520">
        <f t="shared" ca="1" si="62"/>
        <v>-4.1220525665953779E-2</v>
      </c>
    </row>
    <row r="3521" spans="7:8">
      <c r="G3521">
        <v>3511</v>
      </c>
      <c r="H3521">
        <f t="shared" ca="1" si="62"/>
        <v>4.9578232877588516E-2</v>
      </c>
    </row>
    <row r="3522" spans="7:8">
      <c r="G3522">
        <v>3512</v>
      </c>
      <c r="H3522">
        <f t="shared" ca="1" si="62"/>
        <v>2.072179945000667E-2</v>
      </c>
    </row>
    <row r="3523" spans="7:8">
      <c r="G3523">
        <v>3513</v>
      </c>
      <c r="H3523">
        <f t="shared" ca="1" si="62"/>
        <v>2.474510447494533E-2</v>
      </c>
    </row>
    <row r="3524" spans="7:8">
      <c r="G3524">
        <v>3514</v>
      </c>
      <c r="H3524">
        <f t="shared" ca="1" si="62"/>
        <v>-9.6984112379915922E-3</v>
      </c>
    </row>
    <row r="3525" spans="7:8">
      <c r="G3525">
        <v>3515</v>
      </c>
      <c r="H3525">
        <f t="shared" ca="1" si="62"/>
        <v>3.1681345453619295E-2</v>
      </c>
    </row>
    <row r="3526" spans="7:8">
      <c r="G3526">
        <v>3516</v>
      </c>
      <c r="H3526">
        <f t="shared" ca="1" si="62"/>
        <v>1.6964981307905119E-3</v>
      </c>
    </row>
    <row r="3527" spans="7:8">
      <c r="G3527">
        <v>3517</v>
      </c>
      <c r="H3527">
        <f t="shared" ca="1" si="62"/>
        <v>-6.3760965264333822E-2</v>
      </c>
    </row>
    <row r="3528" spans="7:8">
      <c r="G3528">
        <v>3518</v>
      </c>
      <c r="H3528">
        <f t="shared" ca="1" si="62"/>
        <v>-1.7077875019993367E-2</v>
      </c>
    </row>
    <row r="3529" spans="7:8">
      <c r="G3529">
        <v>3519</v>
      </c>
      <c r="H3529">
        <f t="shared" ca="1" si="62"/>
        <v>-3.1258617634725802E-2</v>
      </c>
    </row>
    <row r="3530" spans="7:8">
      <c r="G3530">
        <v>3520</v>
      </c>
      <c r="H3530">
        <f t="shared" ca="1" si="62"/>
        <v>5.2358075996106436E-3</v>
      </c>
    </row>
    <row r="3531" spans="7:8">
      <c r="G3531">
        <v>3521</v>
      </c>
      <c r="H3531">
        <f t="shared" ca="1" si="62"/>
        <v>1.753036210127687E-2</v>
      </c>
    </row>
    <row r="3532" spans="7:8">
      <c r="G3532">
        <v>3522</v>
      </c>
      <c r="H3532">
        <f t="shared" ref="H3532:H3595" ca="1" si="63">_xlfn.NORM.INV(RAND(),N$13,N$14)</f>
        <v>9.0751259948457924E-3</v>
      </c>
    </row>
    <row r="3533" spans="7:8">
      <c r="G3533">
        <v>3523</v>
      </c>
      <c r="H3533">
        <f t="shared" ca="1" si="63"/>
        <v>-4.658251367992626E-2</v>
      </c>
    </row>
    <row r="3534" spans="7:8">
      <c r="G3534">
        <v>3524</v>
      </c>
      <c r="H3534">
        <f t="shared" ca="1" si="63"/>
        <v>2.6062911096684759E-2</v>
      </c>
    </row>
    <row r="3535" spans="7:8">
      <c r="G3535">
        <v>3525</v>
      </c>
      <c r="H3535">
        <f t="shared" ca="1" si="63"/>
        <v>1.8902491967874649E-2</v>
      </c>
    </row>
    <row r="3536" spans="7:8">
      <c r="G3536">
        <v>3526</v>
      </c>
      <c r="H3536">
        <f t="shared" ca="1" si="63"/>
        <v>4.217303153006469E-3</v>
      </c>
    </row>
    <row r="3537" spans="7:8">
      <c r="G3537">
        <v>3527</v>
      </c>
      <c r="H3537">
        <f t="shared" ca="1" si="63"/>
        <v>-4.3229838930322381E-2</v>
      </c>
    </row>
    <row r="3538" spans="7:8">
      <c r="G3538">
        <v>3528</v>
      </c>
      <c r="H3538">
        <f t="shared" ca="1" si="63"/>
        <v>-2.9888734102386148E-2</v>
      </c>
    </row>
    <row r="3539" spans="7:8">
      <c r="G3539">
        <v>3529</v>
      </c>
      <c r="H3539">
        <f t="shared" ca="1" si="63"/>
        <v>-1.4873730029047015E-2</v>
      </c>
    </row>
    <row r="3540" spans="7:8">
      <c r="G3540">
        <v>3530</v>
      </c>
      <c r="H3540">
        <f t="shared" ca="1" si="63"/>
        <v>3.3737387460702845E-2</v>
      </c>
    </row>
    <row r="3541" spans="7:8">
      <c r="G3541">
        <v>3531</v>
      </c>
      <c r="H3541">
        <f t="shared" ca="1" si="63"/>
        <v>2.2372872313210564E-2</v>
      </c>
    </row>
    <row r="3542" spans="7:8">
      <c r="G3542">
        <v>3532</v>
      </c>
      <c r="H3542">
        <f t="shared" ca="1" si="63"/>
        <v>6.3013572730855422E-2</v>
      </c>
    </row>
    <row r="3543" spans="7:8">
      <c r="G3543">
        <v>3533</v>
      </c>
      <c r="H3543">
        <f t="shared" ca="1" si="63"/>
        <v>-1.5485058740999598E-2</v>
      </c>
    </row>
    <row r="3544" spans="7:8">
      <c r="G3544">
        <v>3534</v>
      </c>
      <c r="H3544">
        <f t="shared" ca="1" si="63"/>
        <v>-2.9678163432124174E-2</v>
      </c>
    </row>
    <row r="3545" spans="7:8">
      <c r="G3545">
        <v>3535</v>
      </c>
      <c r="H3545">
        <f t="shared" ca="1" si="63"/>
        <v>-1.3798325094401862E-2</v>
      </c>
    </row>
    <row r="3546" spans="7:8">
      <c r="G3546">
        <v>3536</v>
      </c>
      <c r="H3546">
        <f t="shared" ca="1" si="63"/>
        <v>1.3537101780924951E-2</v>
      </c>
    </row>
    <row r="3547" spans="7:8">
      <c r="G3547">
        <v>3537</v>
      </c>
      <c r="H3547">
        <f t="shared" ca="1" si="63"/>
        <v>-2.7322639225885591E-2</v>
      </c>
    </row>
    <row r="3548" spans="7:8">
      <c r="G3548">
        <v>3538</v>
      </c>
      <c r="H3548">
        <f t="shared" ca="1" si="63"/>
        <v>-2.4587739799214917E-2</v>
      </c>
    </row>
    <row r="3549" spans="7:8">
      <c r="G3549">
        <v>3539</v>
      </c>
      <c r="H3549">
        <f t="shared" ca="1" si="63"/>
        <v>-1.4447823334840074E-2</v>
      </c>
    </row>
    <row r="3550" spans="7:8">
      <c r="G3550">
        <v>3540</v>
      </c>
      <c r="H3550">
        <f t="shared" ca="1" si="63"/>
        <v>-4.151074228782866E-2</v>
      </c>
    </row>
    <row r="3551" spans="7:8">
      <c r="G3551">
        <v>3541</v>
      </c>
      <c r="H3551">
        <f t="shared" ca="1" si="63"/>
        <v>2.2791773726322788E-2</v>
      </c>
    </row>
    <row r="3552" spans="7:8">
      <c r="G3552">
        <v>3542</v>
      </c>
      <c r="H3552">
        <f t="shared" ca="1" si="63"/>
        <v>2.1297885914258404E-2</v>
      </c>
    </row>
    <row r="3553" spans="7:8">
      <c r="G3553">
        <v>3543</v>
      </c>
      <c r="H3553">
        <f t="shared" ca="1" si="63"/>
        <v>-9.3027520015317045E-3</v>
      </c>
    </row>
    <row r="3554" spans="7:8">
      <c r="G3554">
        <v>3544</v>
      </c>
      <c r="H3554">
        <f t="shared" ca="1" si="63"/>
        <v>4.7908316806452508E-2</v>
      </c>
    </row>
    <row r="3555" spans="7:8">
      <c r="G3555">
        <v>3545</v>
      </c>
      <c r="H3555">
        <f t="shared" ca="1" si="63"/>
        <v>1.3828227845524226E-2</v>
      </c>
    </row>
    <row r="3556" spans="7:8">
      <c r="G3556">
        <v>3546</v>
      </c>
      <c r="H3556">
        <f t="shared" ca="1" si="63"/>
        <v>-2.8634299872121651E-2</v>
      </c>
    </row>
    <row r="3557" spans="7:8">
      <c r="G3557">
        <v>3547</v>
      </c>
      <c r="H3557">
        <f t="shared" ca="1" si="63"/>
        <v>-1.0859568259128946E-2</v>
      </c>
    </row>
    <row r="3558" spans="7:8">
      <c r="G3558">
        <v>3548</v>
      </c>
      <c r="H3558">
        <f t="shared" ca="1" si="63"/>
        <v>9.0126586344085376E-3</v>
      </c>
    </row>
    <row r="3559" spans="7:8">
      <c r="G3559">
        <v>3549</v>
      </c>
      <c r="H3559">
        <f t="shared" ca="1" si="63"/>
        <v>-4.6923716388134556E-2</v>
      </c>
    </row>
    <row r="3560" spans="7:8">
      <c r="G3560">
        <v>3550</v>
      </c>
      <c r="H3560">
        <f t="shared" ca="1" si="63"/>
        <v>-2.7611227996983838E-2</v>
      </c>
    </row>
    <row r="3561" spans="7:8">
      <c r="G3561">
        <v>3551</v>
      </c>
      <c r="H3561">
        <f t="shared" ca="1" si="63"/>
        <v>1.5447926387290619E-2</v>
      </c>
    </row>
    <row r="3562" spans="7:8">
      <c r="G3562">
        <v>3552</v>
      </c>
      <c r="H3562">
        <f t="shared" ca="1" si="63"/>
        <v>-1.089706103879487E-2</v>
      </c>
    </row>
    <row r="3563" spans="7:8">
      <c r="G3563">
        <v>3553</v>
      </c>
      <c r="H3563">
        <f t="shared" ca="1" si="63"/>
        <v>1.2983066517194518E-2</v>
      </c>
    </row>
    <row r="3564" spans="7:8">
      <c r="G3564">
        <v>3554</v>
      </c>
      <c r="H3564">
        <f t="shared" ca="1" si="63"/>
        <v>1.3817099261376633E-2</v>
      </c>
    </row>
    <row r="3565" spans="7:8">
      <c r="G3565">
        <v>3555</v>
      </c>
      <c r="H3565">
        <f t="shared" ca="1" si="63"/>
        <v>-2.4326742907551113E-2</v>
      </c>
    </row>
    <row r="3566" spans="7:8">
      <c r="G3566">
        <v>3556</v>
      </c>
      <c r="H3566">
        <f t="shared" ca="1" si="63"/>
        <v>-1.3125487254776046E-2</v>
      </c>
    </row>
    <row r="3567" spans="7:8">
      <c r="G3567">
        <v>3557</v>
      </c>
      <c r="H3567">
        <f t="shared" ca="1" si="63"/>
        <v>2.5960648549297066E-2</v>
      </c>
    </row>
    <row r="3568" spans="7:8">
      <c r="G3568">
        <v>3558</v>
      </c>
      <c r="H3568">
        <f t="shared" ca="1" si="63"/>
        <v>-7.9906762475976407E-3</v>
      </c>
    </row>
    <row r="3569" spans="7:8">
      <c r="G3569">
        <v>3559</v>
      </c>
      <c r="H3569">
        <f t="shared" ca="1" si="63"/>
        <v>4.1423366686878259E-2</v>
      </c>
    </row>
    <row r="3570" spans="7:8">
      <c r="G3570">
        <v>3560</v>
      </c>
      <c r="H3570">
        <f t="shared" ca="1" si="63"/>
        <v>-4.7540946053059386E-3</v>
      </c>
    </row>
    <row r="3571" spans="7:8">
      <c r="G3571">
        <v>3561</v>
      </c>
      <c r="H3571">
        <f t="shared" ca="1" si="63"/>
        <v>-6.2225713607210395E-3</v>
      </c>
    </row>
    <row r="3572" spans="7:8">
      <c r="G3572">
        <v>3562</v>
      </c>
      <c r="H3572">
        <f t="shared" ca="1" si="63"/>
        <v>-4.7958293684622552E-3</v>
      </c>
    </row>
    <row r="3573" spans="7:8">
      <c r="G3573">
        <v>3563</v>
      </c>
      <c r="H3573">
        <f t="shared" ca="1" si="63"/>
        <v>-4.9522992582149263E-3</v>
      </c>
    </row>
    <row r="3574" spans="7:8">
      <c r="G3574">
        <v>3564</v>
      </c>
      <c r="H3574">
        <f t="shared" ca="1" si="63"/>
        <v>-1.6519717877256219E-2</v>
      </c>
    </row>
    <row r="3575" spans="7:8">
      <c r="G3575">
        <v>3565</v>
      </c>
      <c r="H3575">
        <f t="shared" ca="1" si="63"/>
        <v>3.2955533377182183E-2</v>
      </c>
    </row>
    <row r="3576" spans="7:8">
      <c r="G3576">
        <v>3566</v>
      </c>
      <c r="H3576">
        <f t="shared" ca="1" si="63"/>
        <v>1.487082946185176E-2</v>
      </c>
    </row>
    <row r="3577" spans="7:8">
      <c r="G3577">
        <v>3567</v>
      </c>
      <c r="H3577">
        <f t="shared" ca="1" si="63"/>
        <v>4.9115371550192185E-3</v>
      </c>
    </row>
    <row r="3578" spans="7:8">
      <c r="G3578">
        <v>3568</v>
      </c>
      <c r="H3578">
        <f t="shared" ca="1" si="63"/>
        <v>3.2706134437099674E-2</v>
      </c>
    </row>
    <row r="3579" spans="7:8">
      <c r="G3579">
        <v>3569</v>
      </c>
      <c r="H3579">
        <f t="shared" ca="1" si="63"/>
        <v>2.1810321304680476E-2</v>
      </c>
    </row>
    <row r="3580" spans="7:8">
      <c r="G3580">
        <v>3570</v>
      </c>
      <c r="H3580">
        <f t="shared" ca="1" si="63"/>
        <v>-1.6606904444707752E-2</v>
      </c>
    </row>
    <row r="3581" spans="7:8">
      <c r="G3581">
        <v>3571</v>
      </c>
      <c r="H3581">
        <f t="shared" ca="1" si="63"/>
        <v>1.9979964340229656E-2</v>
      </c>
    </row>
    <row r="3582" spans="7:8">
      <c r="G3582">
        <v>3572</v>
      </c>
      <c r="H3582">
        <f t="shared" ca="1" si="63"/>
        <v>-2.7229968404283017E-2</v>
      </c>
    </row>
    <row r="3583" spans="7:8">
      <c r="G3583">
        <v>3573</v>
      </c>
      <c r="H3583">
        <f t="shared" ca="1" si="63"/>
        <v>-1.1319300061562896E-2</v>
      </c>
    </row>
    <row r="3584" spans="7:8">
      <c r="G3584">
        <v>3574</v>
      </c>
      <c r="H3584">
        <f t="shared" ca="1" si="63"/>
        <v>6.2499236477846455E-3</v>
      </c>
    </row>
    <row r="3585" spans="7:8">
      <c r="G3585">
        <v>3575</v>
      </c>
      <c r="H3585">
        <f t="shared" ca="1" si="63"/>
        <v>3.808046611340081E-2</v>
      </c>
    </row>
    <row r="3586" spans="7:8">
      <c r="G3586">
        <v>3576</v>
      </c>
      <c r="H3586">
        <f t="shared" ca="1" si="63"/>
        <v>-4.1703333838809167E-3</v>
      </c>
    </row>
    <row r="3587" spans="7:8">
      <c r="G3587">
        <v>3577</v>
      </c>
      <c r="H3587">
        <f t="shared" ca="1" si="63"/>
        <v>2.1280760747853022E-2</v>
      </c>
    </row>
    <row r="3588" spans="7:8">
      <c r="G3588">
        <v>3578</v>
      </c>
      <c r="H3588">
        <f t="shared" ca="1" si="63"/>
        <v>-1.2284414445741394E-2</v>
      </c>
    </row>
    <row r="3589" spans="7:8">
      <c r="G3589">
        <v>3579</v>
      </c>
      <c r="H3589">
        <f t="shared" ca="1" si="63"/>
        <v>-2.6100474755726504E-2</v>
      </c>
    </row>
    <row r="3590" spans="7:8">
      <c r="G3590">
        <v>3580</v>
      </c>
      <c r="H3590">
        <f t="shared" ca="1" si="63"/>
        <v>-7.1581132589073801E-4</v>
      </c>
    </row>
    <row r="3591" spans="7:8">
      <c r="G3591">
        <v>3581</v>
      </c>
      <c r="H3591">
        <f t="shared" ca="1" si="63"/>
        <v>-4.1833382961777986E-2</v>
      </c>
    </row>
    <row r="3592" spans="7:8">
      <c r="G3592">
        <v>3582</v>
      </c>
      <c r="H3592">
        <f t="shared" ca="1" si="63"/>
        <v>-3.8211926846758165E-4</v>
      </c>
    </row>
    <row r="3593" spans="7:8">
      <c r="G3593">
        <v>3583</v>
      </c>
      <c r="H3593">
        <f t="shared" ca="1" si="63"/>
        <v>2.6805002341009798E-2</v>
      </c>
    </row>
    <row r="3594" spans="7:8">
      <c r="G3594">
        <v>3584</v>
      </c>
      <c r="H3594">
        <f t="shared" ca="1" si="63"/>
        <v>-1.8000016911536342E-3</v>
      </c>
    </row>
    <row r="3595" spans="7:8">
      <c r="G3595">
        <v>3585</v>
      </c>
      <c r="H3595">
        <f t="shared" ca="1" si="63"/>
        <v>-6.3441883563742823E-3</v>
      </c>
    </row>
    <row r="3596" spans="7:8">
      <c r="G3596">
        <v>3586</v>
      </c>
      <c r="H3596">
        <f t="shared" ref="H3596:H3659" ca="1" si="64">_xlfn.NORM.INV(RAND(),N$13,N$14)</f>
        <v>-2.5072299466880835E-2</v>
      </c>
    </row>
    <row r="3597" spans="7:8">
      <c r="G3597">
        <v>3587</v>
      </c>
      <c r="H3597">
        <f t="shared" ca="1" si="64"/>
        <v>-2.7363253470156172E-2</v>
      </c>
    </row>
    <row r="3598" spans="7:8">
      <c r="G3598">
        <v>3588</v>
      </c>
      <c r="H3598">
        <f t="shared" ca="1" si="64"/>
        <v>-5.1044502051850883E-2</v>
      </c>
    </row>
    <row r="3599" spans="7:8">
      <c r="G3599">
        <v>3589</v>
      </c>
      <c r="H3599">
        <f t="shared" ca="1" si="64"/>
        <v>2.4312648061855001E-3</v>
      </c>
    </row>
    <row r="3600" spans="7:8">
      <c r="G3600">
        <v>3590</v>
      </c>
      <c r="H3600">
        <f t="shared" ca="1" si="64"/>
        <v>1.2272592604058389E-2</v>
      </c>
    </row>
    <row r="3601" spans="7:8">
      <c r="G3601">
        <v>3591</v>
      </c>
      <c r="H3601">
        <f t="shared" ca="1" si="64"/>
        <v>1.074737750782437E-2</v>
      </c>
    </row>
    <row r="3602" spans="7:8">
      <c r="G3602">
        <v>3592</v>
      </c>
      <c r="H3602">
        <f t="shared" ca="1" si="64"/>
        <v>6.048892143124567E-3</v>
      </c>
    </row>
    <row r="3603" spans="7:8">
      <c r="G3603">
        <v>3593</v>
      </c>
      <c r="H3603">
        <f t="shared" ca="1" si="64"/>
        <v>7.7363882804629058E-3</v>
      </c>
    </row>
    <row r="3604" spans="7:8">
      <c r="G3604">
        <v>3594</v>
      </c>
      <c r="H3604">
        <f t="shared" ca="1" si="64"/>
        <v>-4.2404774231115515E-2</v>
      </c>
    </row>
    <row r="3605" spans="7:8">
      <c r="G3605">
        <v>3595</v>
      </c>
      <c r="H3605">
        <f t="shared" ca="1" si="64"/>
        <v>-2.9176880338754655E-2</v>
      </c>
    </row>
    <row r="3606" spans="7:8">
      <c r="G3606">
        <v>3596</v>
      </c>
      <c r="H3606">
        <f t="shared" ca="1" si="64"/>
        <v>9.5644277100868196E-3</v>
      </c>
    </row>
    <row r="3607" spans="7:8">
      <c r="G3607">
        <v>3597</v>
      </c>
      <c r="H3607">
        <f t="shared" ca="1" si="64"/>
        <v>2.3863281106978072E-2</v>
      </c>
    </row>
    <row r="3608" spans="7:8">
      <c r="G3608">
        <v>3598</v>
      </c>
      <c r="H3608">
        <f t="shared" ca="1" si="64"/>
        <v>2.4461607944335335E-3</v>
      </c>
    </row>
    <row r="3609" spans="7:8">
      <c r="G3609">
        <v>3599</v>
      </c>
      <c r="H3609">
        <f t="shared" ca="1" si="64"/>
        <v>2.5652514234687986E-2</v>
      </c>
    </row>
    <row r="3610" spans="7:8">
      <c r="G3610">
        <v>3600</v>
      </c>
      <c r="H3610">
        <f t="shared" ca="1" si="64"/>
        <v>-1.3904831924868093E-2</v>
      </c>
    </row>
    <row r="3611" spans="7:8">
      <c r="G3611">
        <v>3601</v>
      </c>
      <c r="H3611">
        <f t="shared" ca="1" si="64"/>
        <v>6.7207566283634779E-2</v>
      </c>
    </row>
    <row r="3612" spans="7:8">
      <c r="G3612">
        <v>3602</v>
      </c>
      <c r="H3612">
        <f t="shared" ca="1" si="64"/>
        <v>-1.0194496909247487E-2</v>
      </c>
    </row>
    <row r="3613" spans="7:8">
      <c r="G3613">
        <v>3603</v>
      </c>
      <c r="H3613">
        <f t="shared" ca="1" si="64"/>
        <v>4.6708016363311414E-2</v>
      </c>
    </row>
    <row r="3614" spans="7:8">
      <c r="G3614">
        <v>3604</v>
      </c>
      <c r="H3614">
        <f t="shared" ca="1" si="64"/>
        <v>-1.2189449444501455E-3</v>
      </c>
    </row>
    <row r="3615" spans="7:8">
      <c r="G3615">
        <v>3605</v>
      </c>
      <c r="H3615">
        <f t="shared" ca="1" si="64"/>
        <v>2.2433905062194021E-2</v>
      </c>
    </row>
    <row r="3616" spans="7:8">
      <c r="G3616">
        <v>3606</v>
      </c>
      <c r="H3616">
        <f t="shared" ca="1" si="64"/>
        <v>-1.5657591002556683E-2</v>
      </c>
    </row>
    <row r="3617" spans="7:8">
      <c r="G3617">
        <v>3607</v>
      </c>
      <c r="H3617">
        <f t="shared" ca="1" si="64"/>
        <v>2.4086346153639263E-2</v>
      </c>
    </row>
    <row r="3618" spans="7:8">
      <c r="G3618">
        <v>3608</v>
      </c>
      <c r="H3618">
        <f t="shared" ca="1" si="64"/>
        <v>2.1765064639284758E-2</v>
      </c>
    </row>
    <row r="3619" spans="7:8">
      <c r="G3619">
        <v>3609</v>
      </c>
      <c r="H3619">
        <f t="shared" ca="1" si="64"/>
        <v>2.0650792288725826E-2</v>
      </c>
    </row>
    <row r="3620" spans="7:8">
      <c r="G3620">
        <v>3610</v>
      </c>
      <c r="H3620">
        <f t="shared" ca="1" si="64"/>
        <v>-3.5955783203662412E-3</v>
      </c>
    </row>
    <row r="3621" spans="7:8">
      <c r="G3621">
        <v>3611</v>
      </c>
      <c r="H3621">
        <f t="shared" ca="1" si="64"/>
        <v>-2.8111771285827009E-2</v>
      </c>
    </row>
    <row r="3622" spans="7:8">
      <c r="G3622">
        <v>3612</v>
      </c>
      <c r="H3622">
        <f t="shared" ca="1" si="64"/>
        <v>7.3755281442483677E-3</v>
      </c>
    </row>
    <row r="3623" spans="7:8">
      <c r="G3623">
        <v>3613</v>
      </c>
      <c r="H3623">
        <f t="shared" ca="1" si="64"/>
        <v>1.4656800563522776E-2</v>
      </c>
    </row>
    <row r="3624" spans="7:8">
      <c r="G3624">
        <v>3614</v>
      </c>
      <c r="H3624">
        <f t="shared" ca="1" si="64"/>
        <v>-2.3128479395251488E-2</v>
      </c>
    </row>
    <row r="3625" spans="7:8">
      <c r="G3625">
        <v>3615</v>
      </c>
      <c r="H3625">
        <f t="shared" ca="1" si="64"/>
        <v>-1.7507089124867746E-3</v>
      </c>
    </row>
    <row r="3626" spans="7:8">
      <c r="G3626">
        <v>3616</v>
      </c>
      <c r="H3626">
        <f t="shared" ca="1" si="64"/>
        <v>-9.5412988159748763E-3</v>
      </c>
    </row>
    <row r="3627" spans="7:8">
      <c r="G3627">
        <v>3617</v>
      </c>
      <c r="H3627">
        <f t="shared" ca="1" si="64"/>
        <v>-4.2428783089484272E-2</v>
      </c>
    </row>
    <row r="3628" spans="7:8">
      <c r="G3628">
        <v>3618</v>
      </c>
      <c r="H3628">
        <f t="shared" ca="1" si="64"/>
        <v>-1.0920733026595344E-2</v>
      </c>
    </row>
    <row r="3629" spans="7:8">
      <c r="G3629">
        <v>3619</v>
      </c>
      <c r="H3629">
        <f t="shared" ca="1" si="64"/>
        <v>3.017917815066912E-2</v>
      </c>
    </row>
    <row r="3630" spans="7:8">
      <c r="G3630">
        <v>3620</v>
      </c>
      <c r="H3630">
        <f t="shared" ca="1" si="64"/>
        <v>-2.2256273012693804E-2</v>
      </c>
    </row>
    <row r="3631" spans="7:8">
      <c r="G3631">
        <v>3621</v>
      </c>
      <c r="H3631">
        <f t="shared" ca="1" si="64"/>
        <v>4.4933794625313652E-3</v>
      </c>
    </row>
    <row r="3632" spans="7:8">
      <c r="G3632">
        <v>3622</v>
      </c>
      <c r="H3632">
        <f t="shared" ca="1" si="64"/>
        <v>1.7903738870017873E-2</v>
      </c>
    </row>
    <row r="3633" spans="7:8">
      <c r="G3633">
        <v>3623</v>
      </c>
      <c r="H3633">
        <f t="shared" ca="1" si="64"/>
        <v>1.6696552518112761E-2</v>
      </c>
    </row>
    <row r="3634" spans="7:8">
      <c r="G3634">
        <v>3624</v>
      </c>
      <c r="H3634">
        <f t="shared" ca="1" si="64"/>
        <v>2.4784510529426738E-2</v>
      </c>
    </row>
    <row r="3635" spans="7:8">
      <c r="G3635">
        <v>3625</v>
      </c>
      <c r="H3635">
        <f t="shared" ca="1" si="64"/>
        <v>2.8578435053185137E-3</v>
      </c>
    </row>
    <row r="3636" spans="7:8">
      <c r="G3636">
        <v>3626</v>
      </c>
      <c r="H3636">
        <f t="shared" ca="1" si="64"/>
        <v>1.1986780266663658E-3</v>
      </c>
    </row>
    <row r="3637" spans="7:8">
      <c r="G3637">
        <v>3627</v>
      </c>
      <c r="H3637">
        <f t="shared" ca="1" si="64"/>
        <v>-8.8975917915131673E-3</v>
      </c>
    </row>
    <row r="3638" spans="7:8">
      <c r="G3638">
        <v>3628</v>
      </c>
      <c r="H3638">
        <f t="shared" ca="1" si="64"/>
        <v>1.4481368550941153E-2</v>
      </c>
    </row>
    <row r="3639" spans="7:8">
      <c r="G3639">
        <v>3629</v>
      </c>
      <c r="H3639">
        <f t="shared" ca="1" si="64"/>
        <v>-2.6614856429057535E-2</v>
      </c>
    </row>
    <row r="3640" spans="7:8">
      <c r="G3640">
        <v>3630</v>
      </c>
      <c r="H3640">
        <f t="shared" ca="1" si="64"/>
        <v>-8.5748586383280704E-3</v>
      </c>
    </row>
    <row r="3641" spans="7:8">
      <c r="G3641">
        <v>3631</v>
      </c>
      <c r="H3641">
        <f t="shared" ca="1" si="64"/>
        <v>-3.7069121795881517E-2</v>
      </c>
    </row>
    <row r="3642" spans="7:8">
      <c r="G3642">
        <v>3632</v>
      </c>
      <c r="H3642">
        <f t="shared" ca="1" si="64"/>
        <v>-1.6700251566673246E-2</v>
      </c>
    </row>
    <row r="3643" spans="7:8">
      <c r="G3643">
        <v>3633</v>
      </c>
      <c r="H3643">
        <f t="shared" ca="1" si="64"/>
        <v>1.9688422681154179E-2</v>
      </c>
    </row>
    <row r="3644" spans="7:8">
      <c r="G3644">
        <v>3634</v>
      </c>
      <c r="H3644">
        <f t="shared" ca="1" si="64"/>
        <v>1.2047455403906839E-2</v>
      </c>
    </row>
    <row r="3645" spans="7:8">
      <c r="G3645">
        <v>3635</v>
      </c>
      <c r="H3645">
        <f t="shared" ca="1" si="64"/>
        <v>1.228257206916469E-2</v>
      </c>
    </row>
    <row r="3646" spans="7:8">
      <c r="G3646">
        <v>3636</v>
      </c>
      <c r="H3646">
        <f t="shared" ca="1" si="64"/>
        <v>-3.4924606412879704E-3</v>
      </c>
    </row>
    <row r="3647" spans="7:8">
      <c r="G3647">
        <v>3637</v>
      </c>
      <c r="H3647">
        <f t="shared" ca="1" si="64"/>
        <v>-9.8641701157879524E-3</v>
      </c>
    </row>
    <row r="3648" spans="7:8">
      <c r="G3648">
        <v>3638</v>
      </c>
      <c r="H3648">
        <f t="shared" ca="1" si="64"/>
        <v>8.9752202412746694E-3</v>
      </c>
    </row>
    <row r="3649" spans="7:8">
      <c r="G3649">
        <v>3639</v>
      </c>
      <c r="H3649">
        <f t="shared" ca="1" si="64"/>
        <v>1.7337103861745442E-2</v>
      </c>
    </row>
    <row r="3650" spans="7:8">
      <c r="G3650">
        <v>3640</v>
      </c>
      <c r="H3650">
        <f t="shared" ca="1" si="64"/>
        <v>2.7518733016240596E-2</v>
      </c>
    </row>
    <row r="3651" spans="7:8">
      <c r="G3651">
        <v>3641</v>
      </c>
      <c r="H3651">
        <f t="shared" ca="1" si="64"/>
        <v>3.0547665886063686E-2</v>
      </c>
    </row>
    <row r="3652" spans="7:8">
      <c r="G3652">
        <v>3642</v>
      </c>
      <c r="H3652">
        <f t="shared" ca="1" si="64"/>
        <v>-1.5652138966226574E-2</v>
      </c>
    </row>
    <row r="3653" spans="7:8">
      <c r="G3653">
        <v>3643</v>
      </c>
      <c r="H3653">
        <f t="shared" ca="1" si="64"/>
        <v>-6.7742186422450387E-3</v>
      </c>
    </row>
    <row r="3654" spans="7:8">
      <c r="G3654">
        <v>3644</v>
      </c>
      <c r="H3654">
        <f t="shared" ca="1" si="64"/>
        <v>-4.4448081055968505E-3</v>
      </c>
    </row>
    <row r="3655" spans="7:8">
      <c r="G3655">
        <v>3645</v>
      </c>
      <c r="H3655">
        <f t="shared" ca="1" si="64"/>
        <v>-1.4571380666135883E-2</v>
      </c>
    </row>
    <row r="3656" spans="7:8">
      <c r="G3656">
        <v>3646</v>
      </c>
      <c r="H3656">
        <f t="shared" ca="1" si="64"/>
        <v>-1.2260491606740052E-3</v>
      </c>
    </row>
    <row r="3657" spans="7:8">
      <c r="G3657">
        <v>3647</v>
      </c>
      <c r="H3657">
        <f t="shared" ca="1" si="64"/>
        <v>5.6447518833549161E-3</v>
      </c>
    </row>
    <row r="3658" spans="7:8">
      <c r="G3658">
        <v>3648</v>
      </c>
      <c r="H3658">
        <f t="shared" ca="1" si="64"/>
        <v>-4.6342294644739282E-2</v>
      </c>
    </row>
    <row r="3659" spans="7:8">
      <c r="G3659">
        <v>3649</v>
      </c>
      <c r="H3659">
        <f t="shared" ca="1" si="64"/>
        <v>2.1009383893526622E-3</v>
      </c>
    </row>
    <row r="3660" spans="7:8">
      <c r="G3660">
        <v>3650</v>
      </c>
      <c r="H3660">
        <f t="shared" ref="H3660:H3723" ca="1" si="65">_xlfn.NORM.INV(RAND(),N$13,N$14)</f>
        <v>-1.8998672928957041E-2</v>
      </c>
    </row>
    <row r="3661" spans="7:8">
      <c r="G3661">
        <v>3651</v>
      </c>
      <c r="H3661">
        <f t="shared" ca="1" si="65"/>
        <v>-6.1375825297435753E-3</v>
      </c>
    </row>
    <row r="3662" spans="7:8">
      <c r="G3662">
        <v>3652</v>
      </c>
      <c r="H3662">
        <f t="shared" ca="1" si="65"/>
        <v>-1.2465404388254818E-2</v>
      </c>
    </row>
    <row r="3663" spans="7:8">
      <c r="G3663">
        <v>3653</v>
      </c>
      <c r="H3663">
        <f t="shared" ca="1" si="65"/>
        <v>2.7965358916672931E-3</v>
      </c>
    </row>
    <row r="3664" spans="7:8">
      <c r="G3664">
        <v>3654</v>
      </c>
      <c r="H3664">
        <f t="shared" ca="1" si="65"/>
        <v>-2.4809733073936056E-2</v>
      </c>
    </row>
    <row r="3665" spans="7:8">
      <c r="G3665">
        <v>3655</v>
      </c>
      <c r="H3665">
        <f t="shared" ca="1" si="65"/>
        <v>3.4143400045773837E-3</v>
      </c>
    </row>
    <row r="3666" spans="7:8">
      <c r="G3666">
        <v>3656</v>
      </c>
      <c r="H3666">
        <f t="shared" ca="1" si="65"/>
        <v>2.38901418706675E-2</v>
      </c>
    </row>
    <row r="3667" spans="7:8">
      <c r="G3667">
        <v>3657</v>
      </c>
      <c r="H3667">
        <f t="shared" ca="1" si="65"/>
        <v>3.0101892313518879E-2</v>
      </c>
    </row>
    <row r="3668" spans="7:8">
      <c r="G3668">
        <v>3658</v>
      </c>
      <c r="H3668">
        <f t="shared" ca="1" si="65"/>
        <v>-2.34822221204944E-2</v>
      </c>
    </row>
    <row r="3669" spans="7:8">
      <c r="G3669">
        <v>3659</v>
      </c>
      <c r="H3669">
        <f t="shared" ca="1" si="65"/>
        <v>-4.5358519310987937E-2</v>
      </c>
    </row>
    <row r="3670" spans="7:8">
      <c r="G3670">
        <v>3660</v>
      </c>
      <c r="H3670">
        <f t="shared" ca="1" si="65"/>
        <v>8.9251059127679454E-3</v>
      </c>
    </row>
    <row r="3671" spans="7:8">
      <c r="G3671">
        <v>3661</v>
      </c>
      <c r="H3671">
        <f t="shared" ca="1" si="65"/>
        <v>-1.5305690817910948E-2</v>
      </c>
    </row>
    <row r="3672" spans="7:8">
      <c r="G3672">
        <v>3662</v>
      </c>
      <c r="H3672">
        <f t="shared" ca="1" si="65"/>
        <v>1.2250044153552797E-2</v>
      </c>
    </row>
    <row r="3673" spans="7:8">
      <c r="G3673">
        <v>3663</v>
      </c>
      <c r="H3673">
        <f t="shared" ca="1" si="65"/>
        <v>2.9775563593841377E-2</v>
      </c>
    </row>
    <row r="3674" spans="7:8">
      <c r="G3674">
        <v>3664</v>
      </c>
      <c r="H3674">
        <f t="shared" ca="1" si="65"/>
        <v>1.4839983718623801E-3</v>
      </c>
    </row>
    <row r="3675" spans="7:8">
      <c r="G3675">
        <v>3665</v>
      </c>
      <c r="H3675">
        <f t="shared" ca="1" si="65"/>
        <v>-1.8249982587020593E-2</v>
      </c>
    </row>
    <row r="3676" spans="7:8">
      <c r="G3676">
        <v>3666</v>
      </c>
      <c r="H3676">
        <f t="shared" ca="1" si="65"/>
        <v>-6.9296594789404239E-2</v>
      </c>
    </row>
    <row r="3677" spans="7:8">
      <c r="G3677">
        <v>3667</v>
      </c>
      <c r="H3677">
        <f t="shared" ca="1" si="65"/>
        <v>1.753456022092395E-2</v>
      </c>
    </row>
    <row r="3678" spans="7:8">
      <c r="G3678">
        <v>3668</v>
      </c>
      <c r="H3678">
        <f t="shared" ca="1" si="65"/>
        <v>3.3549181244781333E-4</v>
      </c>
    </row>
    <row r="3679" spans="7:8">
      <c r="G3679">
        <v>3669</v>
      </c>
      <c r="H3679">
        <f t="shared" ca="1" si="65"/>
        <v>1.6833589532435241E-2</v>
      </c>
    </row>
    <row r="3680" spans="7:8">
      <c r="G3680">
        <v>3670</v>
      </c>
      <c r="H3680">
        <f t="shared" ca="1" si="65"/>
        <v>-1.8885608502239148E-2</v>
      </c>
    </row>
    <row r="3681" spans="7:8">
      <c r="G3681">
        <v>3671</v>
      </c>
      <c r="H3681">
        <f t="shared" ca="1" si="65"/>
        <v>4.6801105504319009E-3</v>
      </c>
    </row>
    <row r="3682" spans="7:8">
      <c r="G3682">
        <v>3672</v>
      </c>
      <c r="H3682">
        <f t="shared" ca="1" si="65"/>
        <v>-1.2073249261403646E-2</v>
      </c>
    </row>
    <row r="3683" spans="7:8">
      <c r="G3683">
        <v>3673</v>
      </c>
      <c r="H3683">
        <f t="shared" ca="1" si="65"/>
        <v>1.0197161866657763E-2</v>
      </c>
    </row>
    <row r="3684" spans="7:8">
      <c r="G3684">
        <v>3674</v>
      </c>
      <c r="H3684">
        <f t="shared" ca="1" si="65"/>
        <v>-3.8105344665839584E-2</v>
      </c>
    </row>
    <row r="3685" spans="7:8">
      <c r="G3685">
        <v>3675</v>
      </c>
      <c r="H3685">
        <f t="shared" ca="1" si="65"/>
        <v>-1.3649175818722697E-2</v>
      </c>
    </row>
    <row r="3686" spans="7:8">
      <c r="G3686">
        <v>3676</v>
      </c>
      <c r="H3686">
        <f t="shared" ca="1" si="65"/>
        <v>-1.7895665344456659E-2</v>
      </c>
    </row>
    <row r="3687" spans="7:8">
      <c r="G3687">
        <v>3677</v>
      </c>
      <c r="H3687">
        <f t="shared" ca="1" si="65"/>
        <v>3.0717238230214817E-2</v>
      </c>
    </row>
    <row r="3688" spans="7:8">
      <c r="G3688">
        <v>3678</v>
      </c>
      <c r="H3688">
        <f t="shared" ca="1" si="65"/>
        <v>1.7533026604225795E-2</v>
      </c>
    </row>
    <row r="3689" spans="7:8">
      <c r="G3689">
        <v>3679</v>
      </c>
      <c r="H3689">
        <f t="shared" ca="1" si="65"/>
        <v>-1.3937249336733822E-2</v>
      </c>
    </row>
    <row r="3690" spans="7:8">
      <c r="G3690">
        <v>3680</v>
      </c>
      <c r="H3690">
        <f t="shared" ca="1" si="65"/>
        <v>-2.4660178483657095E-2</v>
      </c>
    </row>
    <row r="3691" spans="7:8">
      <c r="G3691">
        <v>3681</v>
      </c>
      <c r="H3691">
        <f t="shared" ca="1" si="65"/>
        <v>-5.1513395289653055E-2</v>
      </c>
    </row>
    <row r="3692" spans="7:8">
      <c r="G3692">
        <v>3682</v>
      </c>
      <c r="H3692">
        <f t="shared" ca="1" si="65"/>
        <v>1.8486554143040044E-2</v>
      </c>
    </row>
    <row r="3693" spans="7:8">
      <c r="G3693">
        <v>3683</v>
      </c>
      <c r="H3693">
        <f t="shared" ca="1" si="65"/>
        <v>2.3252178904291113E-2</v>
      </c>
    </row>
    <row r="3694" spans="7:8">
      <c r="G3694">
        <v>3684</v>
      </c>
      <c r="H3694">
        <f t="shared" ca="1" si="65"/>
        <v>9.3263289483840502E-3</v>
      </c>
    </row>
    <row r="3695" spans="7:8">
      <c r="G3695">
        <v>3685</v>
      </c>
      <c r="H3695">
        <f t="shared" ca="1" si="65"/>
        <v>4.5253860079030967E-3</v>
      </c>
    </row>
    <row r="3696" spans="7:8">
      <c r="G3696">
        <v>3686</v>
      </c>
      <c r="H3696">
        <f t="shared" ca="1" si="65"/>
        <v>1.0438015531718517E-2</v>
      </c>
    </row>
    <row r="3697" spans="7:8">
      <c r="G3697">
        <v>3687</v>
      </c>
      <c r="H3697">
        <f t="shared" ca="1" si="65"/>
        <v>-9.4949988110012654E-3</v>
      </c>
    </row>
    <row r="3698" spans="7:8">
      <c r="G3698">
        <v>3688</v>
      </c>
      <c r="H3698">
        <f t="shared" ca="1" si="65"/>
        <v>-3.5822622058848063E-3</v>
      </c>
    </row>
    <row r="3699" spans="7:8">
      <c r="G3699">
        <v>3689</v>
      </c>
      <c r="H3699">
        <f t="shared" ca="1" si="65"/>
        <v>-2.9298629116906026E-2</v>
      </c>
    </row>
    <row r="3700" spans="7:8">
      <c r="G3700">
        <v>3690</v>
      </c>
      <c r="H3700">
        <f t="shared" ca="1" si="65"/>
        <v>-5.0545131201596609E-3</v>
      </c>
    </row>
    <row r="3701" spans="7:8">
      <c r="G3701">
        <v>3691</v>
      </c>
      <c r="H3701">
        <f t="shared" ca="1" si="65"/>
        <v>2.2514551344879775E-2</v>
      </c>
    </row>
    <row r="3702" spans="7:8">
      <c r="G3702">
        <v>3692</v>
      </c>
      <c r="H3702">
        <f t="shared" ca="1" si="65"/>
        <v>-1.0395096918296002E-3</v>
      </c>
    </row>
    <row r="3703" spans="7:8">
      <c r="G3703">
        <v>3693</v>
      </c>
      <c r="H3703">
        <f t="shared" ca="1" si="65"/>
        <v>5.289700770809206E-3</v>
      </c>
    </row>
    <row r="3704" spans="7:8">
      <c r="G3704">
        <v>3694</v>
      </c>
      <c r="H3704">
        <f t="shared" ca="1" si="65"/>
        <v>3.1312275329465178E-2</v>
      </c>
    </row>
    <row r="3705" spans="7:8">
      <c r="G3705">
        <v>3695</v>
      </c>
      <c r="H3705">
        <f t="shared" ca="1" si="65"/>
        <v>5.296815453370342E-3</v>
      </c>
    </row>
    <row r="3706" spans="7:8">
      <c r="G3706">
        <v>3696</v>
      </c>
      <c r="H3706">
        <f t="shared" ca="1" si="65"/>
        <v>-2.3611077044980226E-2</v>
      </c>
    </row>
    <row r="3707" spans="7:8">
      <c r="G3707">
        <v>3697</v>
      </c>
      <c r="H3707">
        <f t="shared" ca="1" si="65"/>
        <v>-1.2234063867301973E-2</v>
      </c>
    </row>
    <row r="3708" spans="7:8">
      <c r="G3708">
        <v>3698</v>
      </c>
      <c r="H3708">
        <f t="shared" ca="1" si="65"/>
        <v>4.367319616991383E-2</v>
      </c>
    </row>
    <row r="3709" spans="7:8">
      <c r="G3709">
        <v>3699</v>
      </c>
      <c r="H3709">
        <f t="shared" ca="1" si="65"/>
        <v>-7.3325596681737566E-3</v>
      </c>
    </row>
    <row r="3710" spans="7:8">
      <c r="G3710">
        <v>3700</v>
      </c>
      <c r="H3710">
        <f t="shared" ca="1" si="65"/>
        <v>9.6640777103211822E-3</v>
      </c>
    </row>
    <row r="3711" spans="7:8">
      <c r="G3711">
        <v>3701</v>
      </c>
      <c r="H3711">
        <f t="shared" ca="1" si="65"/>
        <v>-1.3957686675378221E-2</v>
      </c>
    </row>
    <row r="3712" spans="7:8">
      <c r="G3712">
        <v>3702</v>
      </c>
      <c r="H3712">
        <f t="shared" ca="1" si="65"/>
        <v>-3.0264187395740053E-2</v>
      </c>
    </row>
    <row r="3713" spans="7:8">
      <c r="G3713">
        <v>3703</v>
      </c>
      <c r="H3713">
        <f t="shared" ca="1" si="65"/>
        <v>-1.3187453510178483E-2</v>
      </c>
    </row>
    <row r="3714" spans="7:8">
      <c r="G3714">
        <v>3704</v>
      </c>
      <c r="H3714">
        <f t="shared" ca="1" si="65"/>
        <v>1.2204026271203847E-2</v>
      </c>
    </row>
    <row r="3715" spans="7:8">
      <c r="G3715">
        <v>3705</v>
      </c>
      <c r="H3715">
        <f t="shared" ca="1" si="65"/>
        <v>-2.2523811887068403E-2</v>
      </c>
    </row>
    <row r="3716" spans="7:8">
      <c r="G3716">
        <v>3706</v>
      </c>
      <c r="H3716">
        <f t="shared" ca="1" si="65"/>
        <v>2.4824422074755437E-2</v>
      </c>
    </row>
    <row r="3717" spans="7:8">
      <c r="G3717">
        <v>3707</v>
      </c>
      <c r="H3717">
        <f t="shared" ca="1" si="65"/>
        <v>-2.0544368585163862E-2</v>
      </c>
    </row>
    <row r="3718" spans="7:8">
      <c r="G3718">
        <v>3708</v>
      </c>
      <c r="H3718">
        <f t="shared" ca="1" si="65"/>
        <v>-3.1727620964486856E-2</v>
      </c>
    </row>
    <row r="3719" spans="7:8">
      <c r="G3719">
        <v>3709</v>
      </c>
      <c r="H3719">
        <f t="shared" ca="1" si="65"/>
        <v>-1.1511537625563385E-2</v>
      </c>
    </row>
    <row r="3720" spans="7:8">
      <c r="G3720">
        <v>3710</v>
      </c>
      <c r="H3720">
        <f t="shared" ca="1" si="65"/>
        <v>-7.0667939279742123E-3</v>
      </c>
    </row>
    <row r="3721" spans="7:8">
      <c r="G3721">
        <v>3711</v>
      </c>
      <c r="H3721">
        <f t="shared" ca="1" si="65"/>
        <v>-1.7577492273156876E-2</v>
      </c>
    </row>
    <row r="3722" spans="7:8">
      <c r="G3722">
        <v>3712</v>
      </c>
      <c r="H3722">
        <f t="shared" ca="1" si="65"/>
        <v>-1.7089906742528187E-2</v>
      </c>
    </row>
    <row r="3723" spans="7:8">
      <c r="G3723">
        <v>3713</v>
      </c>
      <c r="H3723">
        <f t="shared" ca="1" si="65"/>
        <v>1.8131176367242065E-2</v>
      </c>
    </row>
    <row r="3724" spans="7:8">
      <c r="G3724">
        <v>3714</v>
      </c>
      <c r="H3724">
        <f t="shared" ref="H3724:H3787" ca="1" si="66">_xlfn.NORM.INV(RAND(),N$13,N$14)</f>
        <v>3.1808408013864697E-2</v>
      </c>
    </row>
    <row r="3725" spans="7:8">
      <c r="G3725">
        <v>3715</v>
      </c>
      <c r="H3725">
        <f t="shared" ca="1" si="66"/>
        <v>-1.7970216526806887E-2</v>
      </c>
    </row>
    <row r="3726" spans="7:8">
      <c r="G3726">
        <v>3716</v>
      </c>
      <c r="H3726">
        <f t="shared" ca="1" si="66"/>
        <v>2.0521721171611523E-2</v>
      </c>
    </row>
    <row r="3727" spans="7:8">
      <c r="G3727">
        <v>3717</v>
      </c>
      <c r="H3727">
        <f t="shared" ca="1" si="66"/>
        <v>-1.8399585312425932E-2</v>
      </c>
    </row>
    <row r="3728" spans="7:8">
      <c r="G3728">
        <v>3718</v>
      </c>
      <c r="H3728">
        <f t="shared" ca="1" si="66"/>
        <v>-4.7485102786627275E-3</v>
      </c>
    </row>
    <row r="3729" spans="7:8">
      <c r="G3729">
        <v>3719</v>
      </c>
      <c r="H3729">
        <f t="shared" ca="1" si="66"/>
        <v>1.4414712227955411E-2</v>
      </c>
    </row>
    <row r="3730" spans="7:8">
      <c r="G3730">
        <v>3720</v>
      </c>
      <c r="H3730">
        <f t="shared" ca="1" si="66"/>
        <v>8.9252406687362548E-3</v>
      </c>
    </row>
    <row r="3731" spans="7:8">
      <c r="G3731">
        <v>3721</v>
      </c>
      <c r="H3731">
        <f t="shared" ca="1" si="66"/>
        <v>-2.6249139166101339E-2</v>
      </c>
    </row>
    <row r="3732" spans="7:8">
      <c r="G3732">
        <v>3722</v>
      </c>
      <c r="H3732">
        <f t="shared" ca="1" si="66"/>
        <v>8.8251505081922803E-3</v>
      </c>
    </row>
    <row r="3733" spans="7:8">
      <c r="G3733">
        <v>3723</v>
      </c>
      <c r="H3733">
        <f t="shared" ca="1" si="66"/>
        <v>-5.2456425030745287E-4</v>
      </c>
    </row>
    <row r="3734" spans="7:8">
      <c r="G3734">
        <v>3724</v>
      </c>
      <c r="H3734">
        <f t="shared" ca="1" si="66"/>
        <v>2.3465038613062417E-2</v>
      </c>
    </row>
    <row r="3735" spans="7:8">
      <c r="G3735">
        <v>3725</v>
      </c>
      <c r="H3735">
        <f t="shared" ca="1" si="66"/>
        <v>5.5959640522974231E-2</v>
      </c>
    </row>
    <row r="3736" spans="7:8">
      <c r="G3736">
        <v>3726</v>
      </c>
      <c r="H3736">
        <f t="shared" ca="1" si="66"/>
        <v>-5.0290684521308322E-3</v>
      </c>
    </row>
    <row r="3737" spans="7:8">
      <c r="G3737">
        <v>3727</v>
      </c>
      <c r="H3737">
        <f t="shared" ca="1" si="66"/>
        <v>-9.4892256679927831E-3</v>
      </c>
    </row>
    <row r="3738" spans="7:8">
      <c r="G3738">
        <v>3728</v>
      </c>
      <c r="H3738">
        <f t="shared" ca="1" si="66"/>
        <v>7.2458375901934907E-2</v>
      </c>
    </row>
    <row r="3739" spans="7:8">
      <c r="G3739">
        <v>3729</v>
      </c>
      <c r="H3739">
        <f t="shared" ca="1" si="66"/>
        <v>-1.7724334556434008E-2</v>
      </c>
    </row>
    <row r="3740" spans="7:8">
      <c r="G3740">
        <v>3730</v>
      </c>
      <c r="H3740">
        <f t="shared" ca="1" si="66"/>
        <v>-1.2867600592461908E-2</v>
      </c>
    </row>
    <row r="3741" spans="7:8">
      <c r="G3741">
        <v>3731</v>
      </c>
      <c r="H3741">
        <f t="shared" ca="1" si="66"/>
        <v>1.6249215090209219E-3</v>
      </c>
    </row>
    <row r="3742" spans="7:8">
      <c r="G3742">
        <v>3732</v>
      </c>
      <c r="H3742">
        <f t="shared" ca="1" si="66"/>
        <v>-1.9810971973638101E-2</v>
      </c>
    </row>
    <row r="3743" spans="7:8">
      <c r="G3743">
        <v>3733</v>
      </c>
      <c r="H3743">
        <f t="shared" ca="1" si="66"/>
        <v>-2.1100146635435794E-2</v>
      </c>
    </row>
    <row r="3744" spans="7:8">
      <c r="G3744">
        <v>3734</v>
      </c>
      <c r="H3744">
        <f t="shared" ca="1" si="66"/>
        <v>-1.8137152073808092E-2</v>
      </c>
    </row>
    <row r="3745" spans="7:8">
      <c r="G3745">
        <v>3735</v>
      </c>
      <c r="H3745">
        <f t="shared" ca="1" si="66"/>
        <v>-2.8639265921941062E-2</v>
      </c>
    </row>
    <row r="3746" spans="7:8">
      <c r="G3746">
        <v>3736</v>
      </c>
      <c r="H3746">
        <f t="shared" ca="1" si="66"/>
        <v>1.4969589901649876E-2</v>
      </c>
    </row>
    <row r="3747" spans="7:8">
      <c r="G3747">
        <v>3737</v>
      </c>
      <c r="H3747">
        <f t="shared" ca="1" si="66"/>
        <v>-2.6916468617737315E-2</v>
      </c>
    </row>
    <row r="3748" spans="7:8">
      <c r="G3748">
        <v>3738</v>
      </c>
      <c r="H3748">
        <f t="shared" ca="1" si="66"/>
        <v>-2.3064573665662329E-2</v>
      </c>
    </row>
    <row r="3749" spans="7:8">
      <c r="G3749">
        <v>3739</v>
      </c>
      <c r="H3749">
        <f t="shared" ca="1" si="66"/>
        <v>-1.8086179670514874E-2</v>
      </c>
    </row>
    <row r="3750" spans="7:8">
      <c r="G3750">
        <v>3740</v>
      </c>
      <c r="H3750">
        <f t="shared" ca="1" si="66"/>
        <v>-2.8563869984887132E-2</v>
      </c>
    </row>
    <row r="3751" spans="7:8">
      <c r="G3751">
        <v>3741</v>
      </c>
      <c r="H3751">
        <f t="shared" ca="1" si="66"/>
        <v>-5.8199876797520094E-3</v>
      </c>
    </row>
    <row r="3752" spans="7:8">
      <c r="G3752">
        <v>3742</v>
      </c>
      <c r="H3752">
        <f t="shared" ca="1" si="66"/>
        <v>-6.9042685078362902E-3</v>
      </c>
    </row>
    <row r="3753" spans="7:8">
      <c r="G3753">
        <v>3743</v>
      </c>
      <c r="H3753">
        <f t="shared" ca="1" si="66"/>
        <v>2.0831714392251871E-2</v>
      </c>
    </row>
    <row r="3754" spans="7:8">
      <c r="G3754">
        <v>3744</v>
      </c>
      <c r="H3754">
        <f t="shared" ca="1" si="66"/>
        <v>-2.0896204923012879E-2</v>
      </c>
    </row>
    <row r="3755" spans="7:8">
      <c r="G3755">
        <v>3745</v>
      </c>
      <c r="H3755">
        <f t="shared" ca="1" si="66"/>
        <v>2.3189016749576002E-2</v>
      </c>
    </row>
    <row r="3756" spans="7:8">
      <c r="G3756">
        <v>3746</v>
      </c>
      <c r="H3756">
        <f t="shared" ca="1" si="66"/>
        <v>-1.1877063372622657E-2</v>
      </c>
    </row>
    <row r="3757" spans="7:8">
      <c r="G3757">
        <v>3747</v>
      </c>
      <c r="H3757">
        <f t="shared" ca="1" si="66"/>
        <v>9.1464882366393708E-3</v>
      </c>
    </row>
    <row r="3758" spans="7:8">
      <c r="G3758">
        <v>3748</v>
      </c>
      <c r="H3758">
        <f t="shared" ca="1" si="66"/>
        <v>-3.8872755202296688E-2</v>
      </c>
    </row>
    <row r="3759" spans="7:8">
      <c r="G3759">
        <v>3749</v>
      </c>
      <c r="H3759">
        <f t="shared" ca="1" si="66"/>
        <v>-9.3054064529569051E-3</v>
      </c>
    </row>
    <row r="3760" spans="7:8">
      <c r="G3760">
        <v>3750</v>
      </c>
      <c r="H3760">
        <f t="shared" ca="1" si="66"/>
        <v>-2.8046037081928217E-2</v>
      </c>
    </row>
    <row r="3761" spans="7:8">
      <c r="G3761">
        <v>3751</v>
      </c>
      <c r="H3761">
        <f t="shared" ca="1" si="66"/>
        <v>-2.9711087673125788E-2</v>
      </c>
    </row>
    <row r="3762" spans="7:8">
      <c r="G3762">
        <v>3752</v>
      </c>
      <c r="H3762">
        <f t="shared" ca="1" si="66"/>
        <v>-3.6709773427243492E-2</v>
      </c>
    </row>
    <row r="3763" spans="7:8">
      <c r="G3763">
        <v>3753</v>
      </c>
      <c r="H3763">
        <f t="shared" ca="1" si="66"/>
        <v>3.2438555234661166E-2</v>
      </c>
    </row>
    <row r="3764" spans="7:8">
      <c r="G3764">
        <v>3754</v>
      </c>
      <c r="H3764">
        <f t="shared" ca="1" si="66"/>
        <v>-3.3235395040150773E-2</v>
      </c>
    </row>
    <row r="3765" spans="7:8">
      <c r="G3765">
        <v>3755</v>
      </c>
      <c r="H3765">
        <f t="shared" ca="1" si="66"/>
        <v>-1.2620314400469859E-2</v>
      </c>
    </row>
    <row r="3766" spans="7:8">
      <c r="G3766">
        <v>3756</v>
      </c>
      <c r="H3766">
        <f t="shared" ca="1" si="66"/>
        <v>-2.3444806954123033E-2</v>
      </c>
    </row>
    <row r="3767" spans="7:8">
      <c r="G3767">
        <v>3757</v>
      </c>
      <c r="H3767">
        <f t="shared" ca="1" si="66"/>
        <v>4.2340824642426021E-2</v>
      </c>
    </row>
    <row r="3768" spans="7:8">
      <c r="G3768">
        <v>3758</v>
      </c>
      <c r="H3768">
        <f t="shared" ca="1" si="66"/>
        <v>9.1698603167111731E-3</v>
      </c>
    </row>
    <row r="3769" spans="7:8">
      <c r="G3769">
        <v>3759</v>
      </c>
      <c r="H3769">
        <f t="shared" ca="1" si="66"/>
        <v>-1.2834198488769676E-2</v>
      </c>
    </row>
    <row r="3770" spans="7:8">
      <c r="G3770">
        <v>3760</v>
      </c>
      <c r="H3770">
        <f t="shared" ca="1" si="66"/>
        <v>-1.6623275900734594E-2</v>
      </c>
    </row>
    <row r="3771" spans="7:8">
      <c r="G3771">
        <v>3761</v>
      </c>
      <c r="H3771">
        <f t="shared" ca="1" si="66"/>
        <v>8.532478981311091E-4</v>
      </c>
    </row>
    <row r="3772" spans="7:8">
      <c r="G3772">
        <v>3762</v>
      </c>
      <c r="H3772">
        <f t="shared" ca="1" si="66"/>
        <v>3.2171923724463224E-2</v>
      </c>
    </row>
    <row r="3773" spans="7:8">
      <c r="G3773">
        <v>3763</v>
      </c>
      <c r="H3773">
        <f t="shared" ca="1" si="66"/>
        <v>2.4217056263004581E-2</v>
      </c>
    </row>
    <row r="3774" spans="7:8">
      <c r="G3774">
        <v>3764</v>
      </c>
      <c r="H3774">
        <f t="shared" ca="1" si="66"/>
        <v>-1.3748543774161338E-2</v>
      </c>
    </row>
    <row r="3775" spans="7:8">
      <c r="G3775">
        <v>3765</v>
      </c>
      <c r="H3775">
        <f t="shared" ca="1" si="66"/>
        <v>1.4014201060283071E-2</v>
      </c>
    </row>
    <row r="3776" spans="7:8">
      <c r="G3776">
        <v>3766</v>
      </c>
      <c r="H3776">
        <f t="shared" ca="1" si="66"/>
        <v>-3.4979139880853716E-2</v>
      </c>
    </row>
    <row r="3777" spans="7:8">
      <c r="G3777">
        <v>3767</v>
      </c>
      <c r="H3777">
        <f t="shared" ca="1" si="66"/>
        <v>1.1079949945950364E-2</v>
      </c>
    </row>
    <row r="3778" spans="7:8">
      <c r="G3778">
        <v>3768</v>
      </c>
      <c r="H3778">
        <f t="shared" ca="1" si="66"/>
        <v>2.1211069861449525E-2</v>
      </c>
    </row>
    <row r="3779" spans="7:8">
      <c r="G3779">
        <v>3769</v>
      </c>
      <c r="H3779">
        <f t="shared" ca="1" si="66"/>
        <v>7.8438726553160965E-3</v>
      </c>
    </row>
    <row r="3780" spans="7:8">
      <c r="G3780">
        <v>3770</v>
      </c>
      <c r="H3780">
        <f t="shared" ca="1" si="66"/>
        <v>3.206059391491773E-2</v>
      </c>
    </row>
    <row r="3781" spans="7:8">
      <c r="G3781">
        <v>3771</v>
      </c>
      <c r="H3781">
        <f t="shared" ca="1" si="66"/>
        <v>-6.3084308924517454E-2</v>
      </c>
    </row>
    <row r="3782" spans="7:8">
      <c r="G3782">
        <v>3772</v>
      </c>
      <c r="H3782">
        <f t="shared" ca="1" si="66"/>
        <v>-1.4965913399283821E-3</v>
      </c>
    </row>
    <row r="3783" spans="7:8">
      <c r="G3783">
        <v>3773</v>
      </c>
      <c r="H3783">
        <f t="shared" ca="1" si="66"/>
        <v>-6.8668996751713599E-3</v>
      </c>
    </row>
    <row r="3784" spans="7:8">
      <c r="G3784">
        <v>3774</v>
      </c>
      <c r="H3784">
        <f t="shared" ca="1" si="66"/>
        <v>1.1265135574022301E-2</v>
      </c>
    </row>
    <row r="3785" spans="7:8">
      <c r="G3785">
        <v>3775</v>
      </c>
      <c r="H3785">
        <f t="shared" ca="1" si="66"/>
        <v>3.5032441287841234E-2</v>
      </c>
    </row>
    <row r="3786" spans="7:8">
      <c r="G3786">
        <v>3776</v>
      </c>
      <c r="H3786">
        <f t="shared" ca="1" si="66"/>
        <v>-3.9090458964254763E-3</v>
      </c>
    </row>
    <row r="3787" spans="7:8">
      <c r="G3787">
        <v>3777</v>
      </c>
      <c r="H3787">
        <f t="shared" ca="1" si="66"/>
        <v>8.5663266623422774E-3</v>
      </c>
    </row>
    <row r="3788" spans="7:8">
      <c r="G3788">
        <v>3778</v>
      </c>
      <c r="H3788">
        <f t="shared" ref="H3788:H3851" ca="1" si="67">_xlfn.NORM.INV(RAND(),N$13,N$14)</f>
        <v>5.1870879118797626E-2</v>
      </c>
    </row>
    <row r="3789" spans="7:8">
      <c r="G3789">
        <v>3779</v>
      </c>
      <c r="H3789">
        <f t="shared" ca="1" si="67"/>
        <v>9.9825122264289839E-3</v>
      </c>
    </row>
    <row r="3790" spans="7:8">
      <c r="G3790">
        <v>3780</v>
      </c>
      <c r="H3790">
        <f t="shared" ca="1" si="67"/>
        <v>3.6345790526992702E-2</v>
      </c>
    </row>
    <row r="3791" spans="7:8">
      <c r="G3791">
        <v>3781</v>
      </c>
      <c r="H3791">
        <f t="shared" ca="1" si="67"/>
        <v>-1.0370521062158595E-2</v>
      </c>
    </row>
    <row r="3792" spans="7:8">
      <c r="G3792">
        <v>3782</v>
      </c>
      <c r="H3792">
        <f t="shared" ca="1" si="67"/>
        <v>4.5623973850957176E-3</v>
      </c>
    </row>
    <row r="3793" spans="7:8">
      <c r="G3793">
        <v>3783</v>
      </c>
      <c r="H3793">
        <f t="shared" ca="1" si="67"/>
        <v>1.4470914144582727E-2</v>
      </c>
    </row>
    <row r="3794" spans="7:8">
      <c r="G3794">
        <v>3784</v>
      </c>
      <c r="H3794">
        <f t="shared" ca="1" si="67"/>
        <v>2.4852003220860265E-2</v>
      </c>
    </row>
    <row r="3795" spans="7:8">
      <c r="G3795">
        <v>3785</v>
      </c>
      <c r="H3795">
        <f t="shared" ca="1" si="67"/>
        <v>-1.9025625221188461E-2</v>
      </c>
    </row>
    <row r="3796" spans="7:8">
      <c r="G3796">
        <v>3786</v>
      </c>
      <c r="H3796">
        <f t="shared" ca="1" si="67"/>
        <v>1.7379013967044658E-2</v>
      </c>
    </row>
    <row r="3797" spans="7:8">
      <c r="G3797">
        <v>3787</v>
      </c>
      <c r="H3797">
        <f t="shared" ca="1" si="67"/>
        <v>1.1880601821674757E-3</v>
      </c>
    </row>
    <row r="3798" spans="7:8">
      <c r="G3798">
        <v>3788</v>
      </c>
      <c r="H3798">
        <f t="shared" ca="1" si="67"/>
        <v>-5.3829572876467023E-3</v>
      </c>
    </row>
    <row r="3799" spans="7:8">
      <c r="G3799">
        <v>3789</v>
      </c>
      <c r="H3799">
        <f t="shared" ca="1" si="67"/>
        <v>-7.6947804937258111E-3</v>
      </c>
    </row>
    <row r="3800" spans="7:8">
      <c r="G3800">
        <v>3790</v>
      </c>
      <c r="H3800">
        <f t="shared" ca="1" si="67"/>
        <v>-7.5726905205428961E-3</v>
      </c>
    </row>
    <row r="3801" spans="7:8">
      <c r="G3801">
        <v>3791</v>
      </c>
      <c r="H3801">
        <f t="shared" ca="1" si="67"/>
        <v>-2.4201518539253432E-2</v>
      </c>
    </row>
    <row r="3802" spans="7:8">
      <c r="G3802">
        <v>3792</v>
      </c>
      <c r="H3802">
        <f t="shared" ca="1" si="67"/>
        <v>5.7289684437054136E-3</v>
      </c>
    </row>
    <row r="3803" spans="7:8">
      <c r="G3803">
        <v>3793</v>
      </c>
      <c r="H3803">
        <f t="shared" ca="1" si="67"/>
        <v>-3.0692810535307598E-2</v>
      </c>
    </row>
    <row r="3804" spans="7:8">
      <c r="G3804">
        <v>3794</v>
      </c>
      <c r="H3804">
        <f t="shared" ca="1" si="67"/>
        <v>-2.4857802770890396E-3</v>
      </c>
    </row>
    <row r="3805" spans="7:8">
      <c r="G3805">
        <v>3795</v>
      </c>
      <c r="H3805">
        <f t="shared" ca="1" si="67"/>
        <v>-5.5356787437229112E-2</v>
      </c>
    </row>
    <row r="3806" spans="7:8">
      <c r="G3806">
        <v>3796</v>
      </c>
      <c r="H3806">
        <f t="shared" ca="1" si="67"/>
        <v>-1.7734937203072731E-2</v>
      </c>
    </row>
    <row r="3807" spans="7:8">
      <c r="G3807">
        <v>3797</v>
      </c>
      <c r="H3807">
        <f t="shared" ca="1" si="67"/>
        <v>-1.754189450763418E-2</v>
      </c>
    </row>
    <row r="3808" spans="7:8">
      <c r="G3808">
        <v>3798</v>
      </c>
      <c r="H3808">
        <f t="shared" ca="1" si="67"/>
        <v>1.5447332866280578E-2</v>
      </c>
    </row>
    <row r="3809" spans="7:8">
      <c r="G3809">
        <v>3799</v>
      </c>
      <c r="H3809">
        <f t="shared" ca="1" si="67"/>
        <v>1.1058155089976087E-2</v>
      </c>
    </row>
    <row r="3810" spans="7:8">
      <c r="G3810">
        <v>3800</v>
      </c>
      <c r="H3810">
        <f t="shared" ca="1" si="67"/>
        <v>-1.0889285150178108E-3</v>
      </c>
    </row>
    <row r="3811" spans="7:8">
      <c r="G3811">
        <v>3801</v>
      </c>
      <c r="H3811">
        <f t="shared" ca="1" si="67"/>
        <v>2.9138059069072873E-2</v>
      </c>
    </row>
    <row r="3812" spans="7:8">
      <c r="G3812">
        <v>3802</v>
      </c>
      <c r="H3812">
        <f t="shared" ca="1" si="67"/>
        <v>-2.8743549173048649E-2</v>
      </c>
    </row>
    <row r="3813" spans="7:8">
      <c r="G3813">
        <v>3803</v>
      </c>
      <c r="H3813">
        <f t="shared" ca="1" si="67"/>
        <v>7.4337345861653025E-4</v>
      </c>
    </row>
    <row r="3814" spans="7:8">
      <c r="G3814">
        <v>3804</v>
      </c>
      <c r="H3814">
        <f t="shared" ca="1" si="67"/>
        <v>-4.4802592450688761E-3</v>
      </c>
    </row>
    <row r="3815" spans="7:8">
      <c r="G3815">
        <v>3805</v>
      </c>
      <c r="H3815">
        <f t="shared" ca="1" si="67"/>
        <v>9.3500057054696113E-3</v>
      </c>
    </row>
    <row r="3816" spans="7:8">
      <c r="G3816">
        <v>3806</v>
      </c>
      <c r="H3816">
        <f t="shared" ca="1" si="67"/>
        <v>-2.9427338712124684E-3</v>
      </c>
    </row>
    <row r="3817" spans="7:8">
      <c r="G3817">
        <v>3807</v>
      </c>
      <c r="H3817">
        <f t="shared" ca="1" si="67"/>
        <v>-2.3409007540301893E-2</v>
      </c>
    </row>
    <row r="3818" spans="7:8">
      <c r="G3818">
        <v>3808</v>
      </c>
      <c r="H3818">
        <f t="shared" ca="1" si="67"/>
        <v>2.8358792206102375E-2</v>
      </c>
    </row>
    <row r="3819" spans="7:8">
      <c r="G3819">
        <v>3809</v>
      </c>
      <c r="H3819">
        <f t="shared" ca="1" si="67"/>
        <v>-1.3250562886236012E-2</v>
      </c>
    </row>
    <row r="3820" spans="7:8">
      <c r="G3820">
        <v>3810</v>
      </c>
      <c r="H3820">
        <f t="shared" ca="1" si="67"/>
        <v>6.2277851775285872E-2</v>
      </c>
    </row>
    <row r="3821" spans="7:8">
      <c r="G3821">
        <v>3811</v>
      </c>
      <c r="H3821">
        <f t="shared" ca="1" si="67"/>
        <v>1.0088451208567514E-2</v>
      </c>
    </row>
    <row r="3822" spans="7:8">
      <c r="G3822">
        <v>3812</v>
      </c>
      <c r="H3822">
        <f t="shared" ca="1" si="67"/>
        <v>-6.2767680841929819E-3</v>
      </c>
    </row>
    <row r="3823" spans="7:8">
      <c r="G3823">
        <v>3813</v>
      </c>
      <c r="H3823">
        <f t="shared" ca="1" si="67"/>
        <v>1.1972175943494491E-2</v>
      </c>
    </row>
    <row r="3824" spans="7:8">
      <c r="G3824">
        <v>3814</v>
      </c>
      <c r="H3824">
        <f t="shared" ca="1" si="67"/>
        <v>1.3392868395865631E-2</v>
      </c>
    </row>
    <row r="3825" spans="7:8">
      <c r="G3825">
        <v>3815</v>
      </c>
      <c r="H3825">
        <f t="shared" ca="1" si="67"/>
        <v>-6.0355107068246466E-3</v>
      </c>
    </row>
    <row r="3826" spans="7:8">
      <c r="G3826">
        <v>3816</v>
      </c>
      <c r="H3826">
        <f t="shared" ca="1" si="67"/>
        <v>-2.3190156407605678E-2</v>
      </c>
    </row>
    <row r="3827" spans="7:8">
      <c r="G3827">
        <v>3817</v>
      </c>
      <c r="H3827">
        <f t="shared" ca="1" si="67"/>
        <v>-3.7965585091199912E-2</v>
      </c>
    </row>
    <row r="3828" spans="7:8">
      <c r="G3828">
        <v>3818</v>
      </c>
      <c r="H3828">
        <f t="shared" ca="1" si="67"/>
        <v>-3.0352247835010965E-3</v>
      </c>
    </row>
    <row r="3829" spans="7:8">
      <c r="G3829">
        <v>3819</v>
      </c>
      <c r="H3829">
        <f t="shared" ca="1" si="67"/>
        <v>-2.1781842400721899E-2</v>
      </c>
    </row>
    <row r="3830" spans="7:8">
      <c r="G3830">
        <v>3820</v>
      </c>
      <c r="H3830">
        <f t="shared" ca="1" si="67"/>
        <v>-1.1408580124863165E-3</v>
      </c>
    </row>
    <row r="3831" spans="7:8">
      <c r="G3831">
        <v>3821</v>
      </c>
      <c r="H3831">
        <f t="shared" ca="1" si="67"/>
        <v>-5.0186404645914855E-3</v>
      </c>
    </row>
    <row r="3832" spans="7:8">
      <c r="G3832">
        <v>3822</v>
      </c>
      <c r="H3832">
        <f t="shared" ca="1" si="67"/>
        <v>-7.5799046037723196E-3</v>
      </c>
    </row>
    <row r="3833" spans="7:8">
      <c r="G3833">
        <v>3823</v>
      </c>
      <c r="H3833">
        <f t="shared" ca="1" si="67"/>
        <v>5.8967314423839911E-3</v>
      </c>
    </row>
    <row r="3834" spans="7:8">
      <c r="G3834">
        <v>3824</v>
      </c>
      <c r="H3834">
        <f t="shared" ca="1" si="67"/>
        <v>2.5920867213362876E-2</v>
      </c>
    </row>
    <row r="3835" spans="7:8">
      <c r="G3835">
        <v>3825</v>
      </c>
      <c r="H3835">
        <f t="shared" ca="1" si="67"/>
        <v>-5.3565591590668564E-3</v>
      </c>
    </row>
    <row r="3836" spans="7:8">
      <c r="G3836">
        <v>3826</v>
      </c>
      <c r="H3836">
        <f t="shared" ca="1" si="67"/>
        <v>5.896318980133034E-3</v>
      </c>
    </row>
    <row r="3837" spans="7:8">
      <c r="G3837">
        <v>3827</v>
      </c>
      <c r="H3837">
        <f t="shared" ca="1" si="67"/>
        <v>1.261092604694836E-2</v>
      </c>
    </row>
    <row r="3838" spans="7:8">
      <c r="G3838">
        <v>3828</v>
      </c>
      <c r="H3838">
        <f t="shared" ca="1" si="67"/>
        <v>7.4787662667441285E-4</v>
      </c>
    </row>
    <row r="3839" spans="7:8">
      <c r="G3839">
        <v>3829</v>
      </c>
      <c r="H3839">
        <f t="shared" ca="1" si="67"/>
        <v>2.0604033786695522E-2</v>
      </c>
    </row>
    <row r="3840" spans="7:8">
      <c r="G3840">
        <v>3830</v>
      </c>
      <c r="H3840">
        <f t="shared" ca="1" si="67"/>
        <v>2.0803497993360717E-2</v>
      </c>
    </row>
    <row r="3841" spans="7:8">
      <c r="G3841">
        <v>3831</v>
      </c>
      <c r="H3841">
        <f t="shared" ca="1" si="67"/>
        <v>2.3042515779253532E-3</v>
      </c>
    </row>
    <row r="3842" spans="7:8">
      <c r="G3842">
        <v>3832</v>
      </c>
      <c r="H3842">
        <f t="shared" ca="1" si="67"/>
        <v>8.8339943541373821E-3</v>
      </c>
    </row>
    <row r="3843" spans="7:8">
      <c r="G3843">
        <v>3833</v>
      </c>
      <c r="H3843">
        <f t="shared" ca="1" si="67"/>
        <v>-3.5028768122959457E-2</v>
      </c>
    </row>
    <row r="3844" spans="7:8">
      <c r="G3844">
        <v>3834</v>
      </c>
      <c r="H3844">
        <f t="shared" ca="1" si="67"/>
        <v>-1.0488804080358913E-2</v>
      </c>
    </row>
    <row r="3845" spans="7:8">
      <c r="G3845">
        <v>3835</v>
      </c>
      <c r="H3845">
        <f t="shared" ca="1" si="67"/>
        <v>-1.4901410022453696E-2</v>
      </c>
    </row>
    <row r="3846" spans="7:8">
      <c r="G3846">
        <v>3836</v>
      </c>
      <c r="H3846">
        <f t="shared" ca="1" si="67"/>
        <v>2.862569769444382E-2</v>
      </c>
    </row>
    <row r="3847" spans="7:8">
      <c r="G3847">
        <v>3837</v>
      </c>
      <c r="H3847">
        <f t="shared" ca="1" si="67"/>
        <v>3.1539682693864597E-2</v>
      </c>
    </row>
    <row r="3848" spans="7:8">
      <c r="G3848">
        <v>3838</v>
      </c>
      <c r="H3848">
        <f t="shared" ca="1" si="67"/>
        <v>-1.6721194169252787E-2</v>
      </c>
    </row>
    <row r="3849" spans="7:8">
      <c r="G3849">
        <v>3839</v>
      </c>
      <c r="H3849">
        <f t="shared" ca="1" si="67"/>
        <v>1.7001624380893407E-2</v>
      </c>
    </row>
    <row r="3850" spans="7:8">
      <c r="G3850">
        <v>3840</v>
      </c>
      <c r="H3850">
        <f t="shared" ca="1" si="67"/>
        <v>-2.6721291501866574E-2</v>
      </c>
    </row>
    <row r="3851" spans="7:8">
      <c r="G3851">
        <v>3841</v>
      </c>
      <c r="H3851">
        <f t="shared" ca="1" si="67"/>
        <v>1.1951252688253112E-2</v>
      </c>
    </row>
    <row r="3852" spans="7:8">
      <c r="G3852">
        <v>3842</v>
      </c>
      <c r="H3852">
        <f t="shared" ref="H3852:H3915" ca="1" si="68">_xlfn.NORM.INV(RAND(),N$13,N$14)</f>
        <v>1.9281137835186566E-2</v>
      </c>
    </row>
    <row r="3853" spans="7:8">
      <c r="G3853">
        <v>3843</v>
      </c>
      <c r="H3853">
        <f t="shared" ca="1" si="68"/>
        <v>9.7679931857799721E-3</v>
      </c>
    </row>
    <row r="3854" spans="7:8">
      <c r="G3854">
        <v>3844</v>
      </c>
      <c r="H3854">
        <f t="shared" ca="1" si="68"/>
        <v>-4.8507705359251288E-3</v>
      </c>
    </row>
    <row r="3855" spans="7:8">
      <c r="G3855">
        <v>3845</v>
      </c>
      <c r="H3855">
        <f t="shared" ca="1" si="68"/>
        <v>-1.7960765272080181E-2</v>
      </c>
    </row>
    <row r="3856" spans="7:8">
      <c r="G3856">
        <v>3846</v>
      </c>
      <c r="H3856">
        <f t="shared" ca="1" si="68"/>
        <v>2.5708931021357607E-2</v>
      </c>
    </row>
    <row r="3857" spans="7:8">
      <c r="G3857">
        <v>3847</v>
      </c>
      <c r="H3857">
        <f t="shared" ca="1" si="68"/>
        <v>-2.8911408360399729E-3</v>
      </c>
    </row>
    <row r="3858" spans="7:8">
      <c r="G3858">
        <v>3848</v>
      </c>
      <c r="H3858">
        <f t="shared" ca="1" si="68"/>
        <v>-2.1779061981632555E-2</v>
      </c>
    </row>
    <row r="3859" spans="7:8">
      <c r="G3859">
        <v>3849</v>
      </c>
      <c r="H3859">
        <f t="shared" ca="1" si="68"/>
        <v>2.6478358783262247E-2</v>
      </c>
    </row>
    <row r="3860" spans="7:8">
      <c r="G3860">
        <v>3850</v>
      </c>
      <c r="H3860">
        <f t="shared" ca="1" si="68"/>
        <v>-1.0744971143587677E-2</v>
      </c>
    </row>
    <row r="3861" spans="7:8">
      <c r="G3861">
        <v>3851</v>
      </c>
      <c r="H3861">
        <f t="shared" ca="1" si="68"/>
        <v>-2.6078331908787111E-2</v>
      </c>
    </row>
    <row r="3862" spans="7:8">
      <c r="G3862">
        <v>3852</v>
      </c>
      <c r="H3862">
        <f t="shared" ca="1" si="68"/>
        <v>-3.2417322885071626E-2</v>
      </c>
    </row>
    <row r="3863" spans="7:8">
      <c r="G3863">
        <v>3853</v>
      </c>
      <c r="H3863">
        <f t="shared" ca="1" si="68"/>
        <v>8.2640288837469121E-3</v>
      </c>
    </row>
    <row r="3864" spans="7:8">
      <c r="G3864">
        <v>3854</v>
      </c>
      <c r="H3864">
        <f t="shared" ca="1" si="68"/>
        <v>-7.0834434948169392E-3</v>
      </c>
    </row>
    <row r="3865" spans="7:8">
      <c r="G3865">
        <v>3855</v>
      </c>
      <c r="H3865">
        <f t="shared" ca="1" si="68"/>
        <v>1.8386654523291295E-2</v>
      </c>
    </row>
    <row r="3866" spans="7:8">
      <c r="G3866">
        <v>3856</v>
      </c>
      <c r="H3866">
        <f t="shared" ca="1" si="68"/>
        <v>-1.5336067794846767E-2</v>
      </c>
    </row>
    <row r="3867" spans="7:8">
      <c r="G3867">
        <v>3857</v>
      </c>
      <c r="H3867">
        <f t="shared" ca="1" si="68"/>
        <v>6.6620113497744453E-3</v>
      </c>
    </row>
    <row r="3868" spans="7:8">
      <c r="G3868">
        <v>3858</v>
      </c>
      <c r="H3868">
        <f t="shared" ca="1" si="68"/>
        <v>1.5975954493650565E-2</v>
      </c>
    </row>
    <row r="3869" spans="7:8">
      <c r="G3869">
        <v>3859</v>
      </c>
      <c r="H3869">
        <f t="shared" ca="1" si="68"/>
        <v>-1.1324611375970364E-2</v>
      </c>
    </row>
    <row r="3870" spans="7:8">
      <c r="G3870">
        <v>3860</v>
      </c>
      <c r="H3870">
        <f t="shared" ca="1" si="68"/>
        <v>-1.6006868448397972E-2</v>
      </c>
    </row>
    <row r="3871" spans="7:8">
      <c r="G3871">
        <v>3861</v>
      </c>
      <c r="H3871">
        <f t="shared" ca="1" si="68"/>
        <v>3.2905310473773544E-3</v>
      </c>
    </row>
    <row r="3872" spans="7:8">
      <c r="G3872">
        <v>3862</v>
      </c>
      <c r="H3872">
        <f t="shared" ca="1" si="68"/>
        <v>5.7451674226724744E-2</v>
      </c>
    </row>
    <row r="3873" spans="7:8">
      <c r="G3873">
        <v>3863</v>
      </c>
      <c r="H3873">
        <f t="shared" ca="1" si="68"/>
        <v>-4.5344705936709237E-2</v>
      </c>
    </row>
    <row r="3874" spans="7:8">
      <c r="G3874">
        <v>3864</v>
      </c>
      <c r="H3874">
        <f t="shared" ca="1" si="68"/>
        <v>1.8038426251544903E-2</v>
      </c>
    </row>
    <row r="3875" spans="7:8">
      <c r="G3875">
        <v>3865</v>
      </c>
      <c r="H3875">
        <f t="shared" ca="1" si="68"/>
        <v>2.5503965267182738E-2</v>
      </c>
    </row>
    <row r="3876" spans="7:8">
      <c r="G3876">
        <v>3866</v>
      </c>
      <c r="H3876">
        <f t="shared" ca="1" si="68"/>
        <v>-2.7522763956790562E-2</v>
      </c>
    </row>
    <row r="3877" spans="7:8">
      <c r="G3877">
        <v>3867</v>
      </c>
      <c r="H3877">
        <f t="shared" ca="1" si="68"/>
        <v>-1.6484177385009027E-2</v>
      </c>
    </row>
    <row r="3878" spans="7:8">
      <c r="G3878">
        <v>3868</v>
      </c>
      <c r="H3878">
        <f t="shared" ca="1" si="68"/>
        <v>-4.1278457547453885E-2</v>
      </c>
    </row>
    <row r="3879" spans="7:8">
      <c r="G3879">
        <v>3869</v>
      </c>
      <c r="H3879">
        <f t="shared" ca="1" si="68"/>
        <v>-8.1901649101491589E-3</v>
      </c>
    </row>
    <row r="3880" spans="7:8">
      <c r="G3880">
        <v>3870</v>
      </c>
      <c r="H3880">
        <f t="shared" ca="1" si="68"/>
        <v>-6.3332625370396975E-3</v>
      </c>
    </row>
    <row r="3881" spans="7:8">
      <c r="G3881">
        <v>3871</v>
      </c>
      <c r="H3881">
        <f t="shared" ca="1" si="68"/>
        <v>-1.3466395293825578E-2</v>
      </c>
    </row>
    <row r="3882" spans="7:8">
      <c r="G3882">
        <v>3872</v>
      </c>
      <c r="H3882">
        <f t="shared" ca="1" si="68"/>
        <v>2.9598719211448417E-2</v>
      </c>
    </row>
    <row r="3883" spans="7:8">
      <c r="G3883">
        <v>3873</v>
      </c>
      <c r="H3883">
        <f t="shared" ca="1" si="68"/>
        <v>1.3497709322155983E-2</v>
      </c>
    </row>
    <row r="3884" spans="7:8">
      <c r="G3884">
        <v>3874</v>
      </c>
      <c r="H3884">
        <f t="shared" ca="1" si="68"/>
        <v>1.1825367876314941E-2</v>
      </c>
    </row>
    <row r="3885" spans="7:8">
      <c r="G3885">
        <v>3875</v>
      </c>
      <c r="H3885">
        <f t="shared" ca="1" si="68"/>
        <v>2.2754703742511543E-2</v>
      </c>
    </row>
    <row r="3886" spans="7:8">
      <c r="G3886">
        <v>3876</v>
      </c>
      <c r="H3886">
        <f t="shared" ca="1" si="68"/>
        <v>4.3467238332826723E-2</v>
      </c>
    </row>
    <row r="3887" spans="7:8">
      <c r="G3887">
        <v>3877</v>
      </c>
      <c r="H3887">
        <f t="shared" ca="1" si="68"/>
        <v>1.8586882614192442E-2</v>
      </c>
    </row>
    <row r="3888" spans="7:8">
      <c r="G3888">
        <v>3878</v>
      </c>
      <c r="H3888">
        <f t="shared" ca="1" si="68"/>
        <v>5.105965392926552E-3</v>
      </c>
    </row>
    <row r="3889" spans="7:8">
      <c r="G3889">
        <v>3879</v>
      </c>
      <c r="H3889">
        <f t="shared" ca="1" si="68"/>
        <v>8.4610925990397344E-3</v>
      </c>
    </row>
    <row r="3890" spans="7:8">
      <c r="G3890">
        <v>3880</v>
      </c>
      <c r="H3890">
        <f t="shared" ca="1" si="68"/>
        <v>1.6371286529797181E-2</v>
      </c>
    </row>
    <row r="3891" spans="7:8">
      <c r="G3891">
        <v>3881</v>
      </c>
      <c r="H3891">
        <f t="shared" ca="1" si="68"/>
        <v>2.7113941006798682E-2</v>
      </c>
    </row>
    <row r="3892" spans="7:8">
      <c r="G3892">
        <v>3882</v>
      </c>
      <c r="H3892">
        <f t="shared" ca="1" si="68"/>
        <v>-2.4213808997636632E-3</v>
      </c>
    </row>
    <row r="3893" spans="7:8">
      <c r="G3893">
        <v>3883</v>
      </c>
      <c r="H3893">
        <f t="shared" ca="1" si="68"/>
        <v>-1.4746500842638297E-2</v>
      </c>
    </row>
    <row r="3894" spans="7:8">
      <c r="G3894">
        <v>3884</v>
      </c>
      <c r="H3894">
        <f t="shared" ca="1" si="68"/>
        <v>2.5754537991650044E-2</v>
      </c>
    </row>
    <row r="3895" spans="7:8">
      <c r="G3895">
        <v>3885</v>
      </c>
      <c r="H3895">
        <f t="shared" ca="1" si="68"/>
        <v>3.6579883057597809E-2</v>
      </c>
    </row>
    <row r="3896" spans="7:8">
      <c r="G3896">
        <v>3886</v>
      </c>
      <c r="H3896">
        <f t="shared" ca="1" si="68"/>
        <v>-2.9457087390021355E-2</v>
      </c>
    </row>
    <row r="3897" spans="7:8">
      <c r="G3897">
        <v>3887</v>
      </c>
      <c r="H3897">
        <f t="shared" ca="1" si="68"/>
        <v>1.031090624243629E-2</v>
      </c>
    </row>
    <row r="3898" spans="7:8">
      <c r="G3898">
        <v>3888</v>
      </c>
      <c r="H3898">
        <f t="shared" ca="1" si="68"/>
        <v>-4.4440297340483477E-3</v>
      </c>
    </row>
    <row r="3899" spans="7:8">
      <c r="G3899">
        <v>3889</v>
      </c>
      <c r="H3899">
        <f t="shared" ca="1" si="68"/>
        <v>-3.3594792878386744E-2</v>
      </c>
    </row>
    <row r="3900" spans="7:8">
      <c r="G3900">
        <v>3890</v>
      </c>
      <c r="H3900">
        <f t="shared" ca="1" si="68"/>
        <v>-2.2009493396943883E-3</v>
      </c>
    </row>
    <row r="3901" spans="7:8">
      <c r="G3901">
        <v>3891</v>
      </c>
      <c r="H3901">
        <f t="shared" ca="1" si="68"/>
        <v>2.0913487126086729E-2</v>
      </c>
    </row>
    <row r="3902" spans="7:8">
      <c r="G3902">
        <v>3892</v>
      </c>
      <c r="H3902">
        <f t="shared" ca="1" si="68"/>
        <v>-3.297668415395319E-2</v>
      </c>
    </row>
    <row r="3903" spans="7:8">
      <c r="G3903">
        <v>3893</v>
      </c>
      <c r="H3903">
        <f t="shared" ca="1" si="68"/>
        <v>-2.4015682204821524E-2</v>
      </c>
    </row>
    <row r="3904" spans="7:8">
      <c r="G3904">
        <v>3894</v>
      </c>
      <c r="H3904">
        <f t="shared" ca="1" si="68"/>
        <v>1.7047866648517231E-2</v>
      </c>
    </row>
    <row r="3905" spans="7:8">
      <c r="G3905">
        <v>3895</v>
      </c>
      <c r="H3905">
        <f t="shared" ca="1" si="68"/>
        <v>8.961628823901089E-3</v>
      </c>
    </row>
    <row r="3906" spans="7:8">
      <c r="G3906">
        <v>3896</v>
      </c>
      <c r="H3906">
        <f t="shared" ca="1" si="68"/>
        <v>-1.9789496651499473E-2</v>
      </c>
    </row>
    <row r="3907" spans="7:8">
      <c r="G3907">
        <v>3897</v>
      </c>
      <c r="H3907">
        <f t="shared" ca="1" si="68"/>
        <v>1.5938785392656672E-2</v>
      </c>
    </row>
    <row r="3908" spans="7:8">
      <c r="G3908">
        <v>3898</v>
      </c>
      <c r="H3908">
        <f t="shared" ca="1" si="68"/>
        <v>3.1774347354380998E-2</v>
      </c>
    </row>
    <row r="3909" spans="7:8">
      <c r="G3909">
        <v>3899</v>
      </c>
      <c r="H3909">
        <f t="shared" ca="1" si="68"/>
        <v>1.7856701085370935E-2</v>
      </c>
    </row>
    <row r="3910" spans="7:8">
      <c r="G3910">
        <v>3900</v>
      </c>
      <c r="H3910">
        <f t="shared" ca="1" si="68"/>
        <v>-2.3859537291574452E-2</v>
      </c>
    </row>
    <row r="3911" spans="7:8">
      <c r="G3911">
        <v>3901</v>
      </c>
      <c r="H3911">
        <f t="shared" ca="1" si="68"/>
        <v>-1.8468633266577945E-2</v>
      </c>
    </row>
    <row r="3912" spans="7:8">
      <c r="G3912">
        <v>3902</v>
      </c>
      <c r="H3912">
        <f t="shared" ca="1" si="68"/>
        <v>-4.405147669397042E-3</v>
      </c>
    </row>
    <row r="3913" spans="7:8">
      <c r="G3913">
        <v>3903</v>
      </c>
      <c r="H3913">
        <f t="shared" ca="1" si="68"/>
        <v>1.8125635642337334E-2</v>
      </c>
    </row>
    <row r="3914" spans="7:8">
      <c r="G3914">
        <v>3904</v>
      </c>
      <c r="H3914">
        <f t="shared" ca="1" si="68"/>
        <v>-1.147076147005251E-2</v>
      </c>
    </row>
    <row r="3915" spans="7:8">
      <c r="G3915">
        <v>3905</v>
      </c>
      <c r="H3915">
        <f t="shared" ca="1" si="68"/>
        <v>3.7684445315693774E-2</v>
      </c>
    </row>
    <row r="3916" spans="7:8">
      <c r="G3916">
        <v>3906</v>
      </c>
      <c r="H3916">
        <f t="shared" ref="H3916:H3979" ca="1" si="69">_xlfn.NORM.INV(RAND(),N$13,N$14)</f>
        <v>-8.9968981814358409E-4</v>
      </c>
    </row>
    <row r="3917" spans="7:8">
      <c r="G3917">
        <v>3907</v>
      </c>
      <c r="H3917">
        <f t="shared" ca="1" si="69"/>
        <v>4.0018264007918294E-3</v>
      </c>
    </row>
    <row r="3918" spans="7:8">
      <c r="G3918">
        <v>3908</v>
      </c>
      <c r="H3918">
        <f t="shared" ca="1" si="69"/>
        <v>2.7206096564867327E-3</v>
      </c>
    </row>
    <row r="3919" spans="7:8">
      <c r="G3919">
        <v>3909</v>
      </c>
      <c r="H3919">
        <f t="shared" ca="1" si="69"/>
        <v>1.0574218911537344E-2</v>
      </c>
    </row>
    <row r="3920" spans="7:8">
      <c r="G3920">
        <v>3910</v>
      </c>
      <c r="H3920">
        <f t="shared" ca="1" si="69"/>
        <v>-5.7696292363136545E-2</v>
      </c>
    </row>
    <row r="3921" spans="7:8">
      <c r="G3921">
        <v>3911</v>
      </c>
      <c r="H3921">
        <f t="shared" ca="1" si="69"/>
        <v>-1.0119474572057266E-2</v>
      </c>
    </row>
    <row r="3922" spans="7:8">
      <c r="G3922">
        <v>3912</v>
      </c>
      <c r="H3922">
        <f t="shared" ca="1" si="69"/>
        <v>-4.441571768896907E-2</v>
      </c>
    </row>
    <row r="3923" spans="7:8">
      <c r="G3923">
        <v>3913</v>
      </c>
      <c r="H3923">
        <f t="shared" ca="1" si="69"/>
        <v>-2.7215277665313741E-2</v>
      </c>
    </row>
    <row r="3924" spans="7:8">
      <c r="G3924">
        <v>3914</v>
      </c>
      <c r="H3924">
        <f t="shared" ca="1" si="69"/>
        <v>-2.6999017777336029E-2</v>
      </c>
    </row>
    <row r="3925" spans="7:8">
      <c r="G3925">
        <v>3915</v>
      </c>
      <c r="H3925">
        <f t="shared" ca="1" si="69"/>
        <v>-1.8110069147277669E-2</v>
      </c>
    </row>
    <row r="3926" spans="7:8">
      <c r="G3926">
        <v>3916</v>
      </c>
      <c r="H3926">
        <f t="shared" ca="1" si="69"/>
        <v>2.3185511421728301E-2</v>
      </c>
    </row>
    <row r="3927" spans="7:8">
      <c r="G3927">
        <v>3917</v>
      </c>
      <c r="H3927">
        <f t="shared" ca="1" si="69"/>
        <v>-2.662531934254499E-2</v>
      </c>
    </row>
    <row r="3928" spans="7:8">
      <c r="G3928">
        <v>3918</v>
      </c>
      <c r="H3928">
        <f t="shared" ca="1" si="69"/>
        <v>-3.6032746274994886E-3</v>
      </c>
    </row>
    <row r="3929" spans="7:8">
      <c r="G3929">
        <v>3919</v>
      </c>
      <c r="H3929">
        <f t="shared" ca="1" si="69"/>
        <v>1.095078640270709E-2</v>
      </c>
    </row>
    <row r="3930" spans="7:8">
      <c r="G3930">
        <v>3920</v>
      </c>
      <c r="H3930">
        <f t="shared" ca="1" si="69"/>
        <v>-3.3165429972546692E-2</v>
      </c>
    </row>
    <row r="3931" spans="7:8">
      <c r="G3931">
        <v>3921</v>
      </c>
      <c r="H3931">
        <f t="shared" ca="1" si="69"/>
        <v>-2.7736346580847775E-2</v>
      </c>
    </row>
    <row r="3932" spans="7:8">
      <c r="G3932">
        <v>3922</v>
      </c>
      <c r="H3932">
        <f t="shared" ca="1" si="69"/>
        <v>4.6130635477483424E-2</v>
      </c>
    </row>
    <row r="3933" spans="7:8">
      <c r="G3933">
        <v>3923</v>
      </c>
      <c r="H3933">
        <f t="shared" ca="1" si="69"/>
        <v>-3.1517588606654663E-2</v>
      </c>
    </row>
    <row r="3934" spans="7:8">
      <c r="G3934">
        <v>3924</v>
      </c>
      <c r="H3934">
        <f t="shared" ca="1" si="69"/>
        <v>-1.5209254470788115E-2</v>
      </c>
    </row>
    <row r="3935" spans="7:8">
      <c r="G3935">
        <v>3925</v>
      </c>
      <c r="H3935">
        <f t="shared" ca="1" si="69"/>
        <v>1.0704064074152839E-2</v>
      </c>
    </row>
    <row r="3936" spans="7:8">
      <c r="G3936">
        <v>3926</v>
      </c>
      <c r="H3936">
        <f t="shared" ca="1" si="69"/>
        <v>5.6631240345517983E-3</v>
      </c>
    </row>
    <row r="3937" spans="7:8">
      <c r="G3937">
        <v>3927</v>
      </c>
      <c r="H3937">
        <f t="shared" ca="1" si="69"/>
        <v>-1.3708855041368135E-2</v>
      </c>
    </row>
    <row r="3938" spans="7:8">
      <c r="G3938">
        <v>3928</v>
      </c>
      <c r="H3938">
        <f t="shared" ca="1" si="69"/>
        <v>-1.3347748677555978E-2</v>
      </c>
    </row>
    <row r="3939" spans="7:8">
      <c r="G3939">
        <v>3929</v>
      </c>
      <c r="H3939">
        <f t="shared" ca="1" si="69"/>
        <v>3.4859289450032964E-2</v>
      </c>
    </row>
    <row r="3940" spans="7:8">
      <c r="G3940">
        <v>3930</v>
      </c>
      <c r="H3940">
        <f t="shared" ca="1" si="69"/>
        <v>2.1378211909964771E-2</v>
      </c>
    </row>
    <row r="3941" spans="7:8">
      <c r="G3941">
        <v>3931</v>
      </c>
      <c r="H3941">
        <f t="shared" ca="1" si="69"/>
        <v>3.9967180654240592E-3</v>
      </c>
    </row>
    <row r="3942" spans="7:8">
      <c r="G3942">
        <v>3932</v>
      </c>
      <c r="H3942">
        <f t="shared" ca="1" si="69"/>
        <v>-1.5720132245962228E-2</v>
      </c>
    </row>
    <row r="3943" spans="7:8">
      <c r="G3943">
        <v>3933</v>
      </c>
      <c r="H3943">
        <f t="shared" ca="1" si="69"/>
        <v>1.877690179131675E-2</v>
      </c>
    </row>
    <row r="3944" spans="7:8">
      <c r="G3944">
        <v>3934</v>
      </c>
      <c r="H3944">
        <f t="shared" ca="1" si="69"/>
        <v>-6.4528979892074026E-3</v>
      </c>
    </row>
    <row r="3945" spans="7:8">
      <c r="G3945">
        <v>3935</v>
      </c>
      <c r="H3945">
        <f t="shared" ca="1" si="69"/>
        <v>-2.5363388134112042E-2</v>
      </c>
    </row>
    <row r="3946" spans="7:8">
      <c r="G3946">
        <v>3936</v>
      </c>
      <c r="H3946">
        <f t="shared" ca="1" si="69"/>
        <v>-2.3619227139236448E-2</v>
      </c>
    </row>
    <row r="3947" spans="7:8">
      <c r="G3947">
        <v>3937</v>
      </c>
      <c r="H3947">
        <f t="shared" ca="1" si="69"/>
        <v>-3.7080255926227712E-2</v>
      </c>
    </row>
    <row r="3948" spans="7:8">
      <c r="G3948">
        <v>3938</v>
      </c>
      <c r="H3948">
        <f t="shared" ca="1" si="69"/>
        <v>3.6804550321270058E-2</v>
      </c>
    </row>
    <row r="3949" spans="7:8">
      <c r="G3949">
        <v>3939</v>
      </c>
      <c r="H3949">
        <f t="shared" ca="1" si="69"/>
        <v>2.9972672857556507E-2</v>
      </c>
    </row>
    <row r="3950" spans="7:8">
      <c r="G3950">
        <v>3940</v>
      </c>
      <c r="H3950">
        <f t="shared" ca="1" si="69"/>
        <v>1.3763296792621855E-2</v>
      </c>
    </row>
    <row r="3951" spans="7:8">
      <c r="G3951">
        <v>3941</v>
      </c>
      <c r="H3951">
        <f t="shared" ca="1" si="69"/>
        <v>1.5532713230739135E-3</v>
      </c>
    </row>
    <row r="3952" spans="7:8">
      <c r="G3952">
        <v>3942</v>
      </c>
      <c r="H3952">
        <f t="shared" ca="1" si="69"/>
        <v>3.3311268983707468E-2</v>
      </c>
    </row>
    <row r="3953" spans="7:8">
      <c r="G3953">
        <v>3943</v>
      </c>
      <c r="H3953">
        <f t="shared" ca="1" si="69"/>
        <v>1.4098815144767195E-2</v>
      </c>
    </row>
    <row r="3954" spans="7:8">
      <c r="G3954">
        <v>3944</v>
      </c>
      <c r="H3954">
        <f t="shared" ca="1" si="69"/>
        <v>-1.4031215820915077E-2</v>
      </c>
    </row>
    <row r="3955" spans="7:8">
      <c r="G3955">
        <v>3945</v>
      </c>
      <c r="H3955">
        <f t="shared" ca="1" si="69"/>
        <v>-2.0123385931236002E-2</v>
      </c>
    </row>
    <row r="3956" spans="7:8">
      <c r="G3956">
        <v>3946</v>
      </c>
      <c r="H3956">
        <f t="shared" ca="1" si="69"/>
        <v>1.1597210325159811E-2</v>
      </c>
    </row>
    <row r="3957" spans="7:8">
      <c r="G3957">
        <v>3947</v>
      </c>
      <c r="H3957">
        <f t="shared" ca="1" si="69"/>
        <v>1.9438329830675921E-2</v>
      </c>
    </row>
    <row r="3958" spans="7:8">
      <c r="G3958">
        <v>3948</v>
      </c>
      <c r="H3958">
        <f t="shared" ca="1" si="69"/>
        <v>-3.5209398153550585E-3</v>
      </c>
    </row>
    <row r="3959" spans="7:8">
      <c r="G3959">
        <v>3949</v>
      </c>
      <c r="H3959">
        <f t="shared" ca="1" si="69"/>
        <v>1.5802468181953223E-2</v>
      </c>
    </row>
    <row r="3960" spans="7:8">
      <c r="G3960">
        <v>3950</v>
      </c>
      <c r="H3960">
        <f t="shared" ca="1" si="69"/>
        <v>-2.2332493223783021E-3</v>
      </c>
    </row>
    <row r="3961" spans="7:8">
      <c r="G3961">
        <v>3951</v>
      </c>
      <c r="H3961">
        <f t="shared" ca="1" si="69"/>
        <v>9.7081072491181936E-3</v>
      </c>
    </row>
    <row r="3962" spans="7:8">
      <c r="G3962">
        <v>3952</v>
      </c>
      <c r="H3962">
        <f t="shared" ca="1" si="69"/>
        <v>1.4848107288566025E-2</v>
      </c>
    </row>
    <row r="3963" spans="7:8">
      <c r="G3963">
        <v>3953</v>
      </c>
      <c r="H3963">
        <f t="shared" ca="1" si="69"/>
        <v>-3.2900337337336008E-2</v>
      </c>
    </row>
    <row r="3964" spans="7:8">
      <c r="G3964">
        <v>3954</v>
      </c>
      <c r="H3964">
        <f t="shared" ca="1" si="69"/>
        <v>-8.1835331543513683E-3</v>
      </c>
    </row>
    <row r="3965" spans="7:8">
      <c r="G3965">
        <v>3955</v>
      </c>
      <c r="H3965">
        <f t="shared" ca="1" si="69"/>
        <v>3.0772715391142198E-2</v>
      </c>
    </row>
    <row r="3966" spans="7:8">
      <c r="G3966">
        <v>3956</v>
      </c>
      <c r="H3966">
        <f t="shared" ca="1" si="69"/>
        <v>-4.9755876696087557E-3</v>
      </c>
    </row>
    <row r="3967" spans="7:8">
      <c r="G3967">
        <v>3957</v>
      </c>
      <c r="H3967">
        <f t="shared" ca="1" si="69"/>
        <v>1.1675141281115927E-2</v>
      </c>
    </row>
    <row r="3968" spans="7:8">
      <c r="G3968">
        <v>3958</v>
      </c>
      <c r="H3968">
        <f t="shared" ca="1" si="69"/>
        <v>6.1272471853673828E-2</v>
      </c>
    </row>
    <row r="3969" spans="7:8">
      <c r="G3969">
        <v>3959</v>
      </c>
      <c r="H3969">
        <f t="shared" ca="1" si="69"/>
        <v>2.0265415623992641E-2</v>
      </c>
    </row>
    <row r="3970" spans="7:8">
      <c r="G3970">
        <v>3960</v>
      </c>
      <c r="H3970">
        <f t="shared" ca="1" si="69"/>
        <v>2.5369894250213836E-2</v>
      </c>
    </row>
    <row r="3971" spans="7:8">
      <c r="G3971">
        <v>3961</v>
      </c>
      <c r="H3971">
        <f t="shared" ca="1" si="69"/>
        <v>-2.2099496959534386E-2</v>
      </c>
    </row>
    <row r="3972" spans="7:8">
      <c r="G3972">
        <v>3962</v>
      </c>
      <c r="H3972">
        <f t="shared" ca="1" si="69"/>
        <v>8.437369104265945E-3</v>
      </c>
    </row>
    <row r="3973" spans="7:8">
      <c r="G3973">
        <v>3963</v>
      </c>
      <c r="H3973">
        <f t="shared" ca="1" si="69"/>
        <v>1.3960732403473054E-2</v>
      </c>
    </row>
    <row r="3974" spans="7:8">
      <c r="G3974">
        <v>3964</v>
      </c>
      <c r="H3974">
        <f t="shared" ca="1" si="69"/>
        <v>-9.0471615252078873E-3</v>
      </c>
    </row>
    <row r="3975" spans="7:8">
      <c r="G3975">
        <v>3965</v>
      </c>
      <c r="H3975">
        <f t="shared" ca="1" si="69"/>
        <v>1.2144318595088155E-2</v>
      </c>
    </row>
    <row r="3976" spans="7:8">
      <c r="G3976">
        <v>3966</v>
      </c>
      <c r="H3976">
        <f t="shared" ca="1" si="69"/>
        <v>-2.4751789032425212E-2</v>
      </c>
    </row>
    <row r="3977" spans="7:8">
      <c r="G3977">
        <v>3967</v>
      </c>
      <c r="H3977">
        <f t="shared" ca="1" si="69"/>
        <v>-5.3863473608264873E-3</v>
      </c>
    </row>
    <row r="3978" spans="7:8">
      <c r="G3978">
        <v>3968</v>
      </c>
      <c r="H3978">
        <f t="shared" ca="1" si="69"/>
        <v>1.9577748749498917E-2</v>
      </c>
    </row>
    <row r="3979" spans="7:8">
      <c r="G3979">
        <v>3969</v>
      </c>
      <c r="H3979">
        <f t="shared" ca="1" si="69"/>
        <v>-9.8252598309287982E-4</v>
      </c>
    </row>
    <row r="3980" spans="7:8">
      <c r="G3980">
        <v>3970</v>
      </c>
      <c r="H3980">
        <f t="shared" ref="H3980:H4043" ca="1" si="70">_xlfn.NORM.INV(RAND(),N$13,N$14)</f>
        <v>1.9529573216203052E-3</v>
      </c>
    </row>
    <row r="3981" spans="7:8">
      <c r="G3981">
        <v>3971</v>
      </c>
      <c r="H3981">
        <f t="shared" ca="1" si="70"/>
        <v>-3.3279981278305087E-2</v>
      </c>
    </row>
    <row r="3982" spans="7:8">
      <c r="G3982">
        <v>3972</v>
      </c>
      <c r="H3982">
        <f t="shared" ca="1" si="70"/>
        <v>6.7378300561377249E-3</v>
      </c>
    </row>
    <row r="3983" spans="7:8">
      <c r="G3983">
        <v>3973</v>
      </c>
      <c r="H3983">
        <f t="shared" ca="1" si="70"/>
        <v>7.9605877733317121E-2</v>
      </c>
    </row>
    <row r="3984" spans="7:8">
      <c r="G3984">
        <v>3974</v>
      </c>
      <c r="H3984">
        <f t="shared" ca="1" si="70"/>
        <v>-2.5628035370273049E-2</v>
      </c>
    </row>
    <row r="3985" spans="7:8">
      <c r="G3985">
        <v>3975</v>
      </c>
      <c r="H3985">
        <f t="shared" ca="1" si="70"/>
        <v>2.2765187761246756E-2</v>
      </c>
    </row>
    <row r="3986" spans="7:8">
      <c r="G3986">
        <v>3976</v>
      </c>
      <c r="H3986">
        <f t="shared" ca="1" si="70"/>
        <v>2.8594979265795552E-3</v>
      </c>
    </row>
    <row r="3987" spans="7:8">
      <c r="G3987">
        <v>3977</v>
      </c>
      <c r="H3987">
        <f t="shared" ca="1" si="70"/>
        <v>-2.6912260664590317E-2</v>
      </c>
    </row>
    <row r="3988" spans="7:8">
      <c r="G3988">
        <v>3978</v>
      </c>
      <c r="H3988">
        <f t="shared" ca="1" si="70"/>
        <v>-5.4297497457872718E-5</v>
      </c>
    </row>
    <row r="3989" spans="7:8">
      <c r="G3989">
        <v>3979</v>
      </c>
      <c r="H3989">
        <f t="shared" ca="1" si="70"/>
        <v>-2.2927239738521853E-2</v>
      </c>
    </row>
    <row r="3990" spans="7:8">
      <c r="G3990">
        <v>3980</v>
      </c>
      <c r="H3990">
        <f t="shared" ca="1" si="70"/>
        <v>-4.7319719584363318E-2</v>
      </c>
    </row>
    <row r="3991" spans="7:8">
      <c r="G3991">
        <v>3981</v>
      </c>
      <c r="H3991">
        <f t="shared" ca="1" si="70"/>
        <v>1.2060895864633873E-2</v>
      </c>
    </row>
    <row r="3992" spans="7:8">
      <c r="G3992">
        <v>3982</v>
      </c>
      <c r="H3992">
        <f t="shared" ca="1" si="70"/>
        <v>2.0718677988898371E-2</v>
      </c>
    </row>
    <row r="3993" spans="7:8">
      <c r="G3993">
        <v>3983</v>
      </c>
      <c r="H3993">
        <f t="shared" ca="1" si="70"/>
        <v>8.9973441842193941E-3</v>
      </c>
    </row>
    <row r="3994" spans="7:8">
      <c r="G3994">
        <v>3984</v>
      </c>
      <c r="H3994">
        <f t="shared" ca="1" si="70"/>
        <v>2.1234321717324183E-2</v>
      </c>
    </row>
    <row r="3995" spans="7:8">
      <c r="G3995">
        <v>3985</v>
      </c>
      <c r="H3995">
        <f t="shared" ca="1" si="70"/>
        <v>-1.3987624530980073E-2</v>
      </c>
    </row>
    <row r="3996" spans="7:8">
      <c r="G3996">
        <v>3986</v>
      </c>
      <c r="H3996">
        <f t="shared" ca="1" si="70"/>
        <v>-3.4784215752146851E-3</v>
      </c>
    </row>
    <row r="3997" spans="7:8">
      <c r="G3997">
        <v>3987</v>
      </c>
      <c r="H3997">
        <f t="shared" ca="1" si="70"/>
        <v>-2.4760764845211308E-2</v>
      </c>
    </row>
    <row r="3998" spans="7:8">
      <c r="G3998">
        <v>3988</v>
      </c>
      <c r="H3998">
        <f t="shared" ca="1" si="70"/>
        <v>-3.2913922005343099E-2</v>
      </c>
    </row>
    <row r="3999" spans="7:8">
      <c r="G3999">
        <v>3989</v>
      </c>
      <c r="H3999">
        <f t="shared" ca="1" si="70"/>
        <v>-1.99512585113477E-2</v>
      </c>
    </row>
    <row r="4000" spans="7:8">
      <c r="G4000">
        <v>3990</v>
      </c>
      <c r="H4000">
        <f t="shared" ca="1" si="70"/>
        <v>-1.2200472444670934E-3</v>
      </c>
    </row>
    <row r="4001" spans="7:8">
      <c r="G4001">
        <v>3991</v>
      </c>
      <c r="H4001">
        <f t="shared" ca="1" si="70"/>
        <v>2.664133642587704E-2</v>
      </c>
    </row>
    <row r="4002" spans="7:8">
      <c r="G4002">
        <v>3992</v>
      </c>
      <c r="H4002">
        <f t="shared" ca="1" si="70"/>
        <v>5.3203714534156175E-3</v>
      </c>
    </row>
    <row r="4003" spans="7:8">
      <c r="G4003">
        <v>3993</v>
      </c>
      <c r="H4003">
        <f t="shared" ca="1" si="70"/>
        <v>-8.6721710300260903E-4</v>
      </c>
    </row>
    <row r="4004" spans="7:8">
      <c r="G4004">
        <v>3994</v>
      </c>
      <c r="H4004">
        <f t="shared" ca="1" si="70"/>
        <v>2.1258191948327315E-2</v>
      </c>
    </row>
    <row r="4005" spans="7:8">
      <c r="G4005">
        <v>3995</v>
      </c>
      <c r="H4005">
        <f t="shared" ca="1" si="70"/>
        <v>2.1173111616332743E-2</v>
      </c>
    </row>
    <row r="4006" spans="7:8">
      <c r="G4006">
        <v>3996</v>
      </c>
      <c r="H4006">
        <f t="shared" ca="1" si="70"/>
        <v>2.8216272039427036E-3</v>
      </c>
    </row>
    <row r="4007" spans="7:8">
      <c r="G4007">
        <v>3997</v>
      </c>
      <c r="H4007">
        <f t="shared" ca="1" si="70"/>
        <v>-8.1647465592660853E-3</v>
      </c>
    </row>
    <row r="4008" spans="7:8">
      <c r="G4008">
        <v>3998</v>
      </c>
      <c r="H4008">
        <f t="shared" ca="1" si="70"/>
        <v>1.1210342546717973E-2</v>
      </c>
    </row>
    <row r="4009" spans="7:8">
      <c r="G4009">
        <v>3999</v>
      </c>
      <c r="H4009">
        <f t="shared" ca="1" si="70"/>
        <v>-1.2414595796944237E-2</v>
      </c>
    </row>
    <row r="4010" spans="7:8">
      <c r="G4010">
        <v>4000</v>
      </c>
      <c r="H4010">
        <f t="shared" ca="1" si="70"/>
        <v>6.8293555504712737E-5</v>
      </c>
    </row>
    <row r="4011" spans="7:8">
      <c r="G4011">
        <v>4001</v>
      </c>
      <c r="H4011">
        <f t="shared" ca="1" si="70"/>
        <v>6.1057072614631239E-3</v>
      </c>
    </row>
    <row r="4012" spans="7:8">
      <c r="G4012">
        <v>4002</v>
      </c>
      <c r="H4012">
        <f t="shared" ca="1" si="70"/>
        <v>6.1999916081872261E-2</v>
      </c>
    </row>
    <row r="4013" spans="7:8">
      <c r="G4013">
        <v>4003</v>
      </c>
      <c r="H4013">
        <f t="shared" ca="1" si="70"/>
        <v>8.3687542926410442E-3</v>
      </c>
    </row>
    <row r="4014" spans="7:8">
      <c r="G4014">
        <v>4004</v>
      </c>
      <c r="H4014">
        <f t="shared" ca="1" si="70"/>
        <v>4.209341753996796E-2</v>
      </c>
    </row>
    <row r="4015" spans="7:8">
      <c r="G4015">
        <v>4005</v>
      </c>
      <c r="H4015">
        <f t="shared" ca="1" si="70"/>
        <v>-1.1406988356691746E-3</v>
      </c>
    </row>
    <row r="4016" spans="7:8">
      <c r="G4016">
        <v>4006</v>
      </c>
      <c r="H4016">
        <f t="shared" ca="1" si="70"/>
        <v>-1.4058314738046365E-3</v>
      </c>
    </row>
    <row r="4017" spans="7:8">
      <c r="G4017">
        <v>4007</v>
      </c>
      <c r="H4017">
        <f t="shared" ca="1" si="70"/>
        <v>-8.1381406235359419E-3</v>
      </c>
    </row>
    <row r="4018" spans="7:8">
      <c r="G4018">
        <v>4008</v>
      </c>
      <c r="H4018">
        <f t="shared" ca="1" si="70"/>
        <v>-4.4546644409086105E-3</v>
      </c>
    </row>
    <row r="4019" spans="7:8">
      <c r="G4019">
        <v>4009</v>
      </c>
      <c r="H4019">
        <f t="shared" ca="1" si="70"/>
        <v>-5.9258439993946244E-3</v>
      </c>
    </row>
    <row r="4020" spans="7:8">
      <c r="G4020">
        <v>4010</v>
      </c>
      <c r="H4020">
        <f t="shared" ca="1" si="70"/>
        <v>1.8776551444123019E-2</v>
      </c>
    </row>
    <row r="4021" spans="7:8">
      <c r="G4021">
        <v>4011</v>
      </c>
      <c r="H4021">
        <f t="shared" ca="1" si="70"/>
        <v>-3.8617669729692237E-2</v>
      </c>
    </row>
    <row r="4022" spans="7:8">
      <c r="G4022">
        <v>4012</v>
      </c>
      <c r="H4022">
        <f t="shared" ca="1" si="70"/>
        <v>-2.7644057282654871E-2</v>
      </c>
    </row>
    <row r="4023" spans="7:8">
      <c r="G4023">
        <v>4013</v>
      </c>
      <c r="H4023">
        <f t="shared" ca="1" si="70"/>
        <v>2.0157063899992042E-2</v>
      </c>
    </row>
    <row r="4024" spans="7:8">
      <c r="G4024">
        <v>4014</v>
      </c>
      <c r="H4024">
        <f t="shared" ca="1" si="70"/>
        <v>2.4372432046232708E-2</v>
      </c>
    </row>
    <row r="4025" spans="7:8">
      <c r="G4025">
        <v>4015</v>
      </c>
      <c r="H4025">
        <f t="shared" ca="1" si="70"/>
        <v>-1.4708064484027427E-2</v>
      </c>
    </row>
    <row r="4026" spans="7:8">
      <c r="G4026">
        <v>4016</v>
      </c>
      <c r="H4026">
        <f t="shared" ca="1" si="70"/>
        <v>-6.0739489413527145E-3</v>
      </c>
    </row>
    <row r="4027" spans="7:8">
      <c r="G4027">
        <v>4017</v>
      </c>
      <c r="H4027">
        <f t="shared" ca="1" si="70"/>
        <v>1.3132242968959398E-2</v>
      </c>
    </row>
    <row r="4028" spans="7:8">
      <c r="G4028">
        <v>4018</v>
      </c>
      <c r="H4028">
        <f t="shared" ca="1" si="70"/>
        <v>-4.1924328371045275E-2</v>
      </c>
    </row>
    <row r="4029" spans="7:8">
      <c r="G4029">
        <v>4019</v>
      </c>
      <c r="H4029">
        <f t="shared" ca="1" si="70"/>
        <v>4.0995623333814006E-2</v>
      </c>
    </row>
    <row r="4030" spans="7:8">
      <c r="G4030">
        <v>4020</v>
      </c>
      <c r="H4030">
        <f t="shared" ca="1" si="70"/>
        <v>-2.7788394041417886E-3</v>
      </c>
    </row>
    <row r="4031" spans="7:8">
      <c r="G4031">
        <v>4021</v>
      </c>
      <c r="H4031">
        <f t="shared" ca="1" si="70"/>
        <v>-1.1706047625382502E-3</v>
      </c>
    </row>
    <row r="4032" spans="7:8">
      <c r="G4032">
        <v>4022</v>
      </c>
      <c r="H4032">
        <f t="shared" ca="1" si="70"/>
        <v>5.1629829421656642E-2</v>
      </c>
    </row>
    <row r="4033" spans="7:8">
      <c r="G4033">
        <v>4023</v>
      </c>
      <c r="H4033">
        <f t="shared" ca="1" si="70"/>
        <v>-9.8284771107459389E-3</v>
      </c>
    </row>
    <row r="4034" spans="7:8">
      <c r="G4034">
        <v>4024</v>
      </c>
      <c r="H4034">
        <f t="shared" ca="1" si="70"/>
        <v>5.4365743628397899E-3</v>
      </c>
    </row>
    <row r="4035" spans="7:8">
      <c r="G4035">
        <v>4025</v>
      </c>
      <c r="H4035">
        <f t="shared" ca="1" si="70"/>
        <v>1.5740914573972132E-2</v>
      </c>
    </row>
    <row r="4036" spans="7:8">
      <c r="G4036">
        <v>4026</v>
      </c>
      <c r="H4036">
        <f t="shared" ca="1" si="70"/>
        <v>4.5381517311206612E-2</v>
      </c>
    </row>
    <row r="4037" spans="7:8">
      <c r="G4037">
        <v>4027</v>
      </c>
      <c r="H4037">
        <f t="shared" ca="1" si="70"/>
        <v>-1.7091002487158155E-2</v>
      </c>
    </row>
    <row r="4038" spans="7:8">
      <c r="G4038">
        <v>4028</v>
      </c>
      <c r="H4038">
        <f t="shared" ca="1" si="70"/>
        <v>-2.3762139500160585E-2</v>
      </c>
    </row>
    <row r="4039" spans="7:8">
      <c r="G4039">
        <v>4029</v>
      </c>
      <c r="H4039">
        <f t="shared" ca="1" si="70"/>
        <v>-4.0488627082300452E-3</v>
      </c>
    </row>
    <row r="4040" spans="7:8">
      <c r="G4040">
        <v>4030</v>
      </c>
      <c r="H4040">
        <f t="shared" ca="1" si="70"/>
        <v>3.5670162639122822E-2</v>
      </c>
    </row>
    <row r="4041" spans="7:8">
      <c r="G4041">
        <v>4031</v>
      </c>
      <c r="H4041">
        <f t="shared" ca="1" si="70"/>
        <v>-1.2445807339640028E-2</v>
      </c>
    </row>
    <row r="4042" spans="7:8">
      <c r="G4042">
        <v>4032</v>
      </c>
      <c r="H4042">
        <f t="shared" ca="1" si="70"/>
        <v>-5.6530075458932509E-2</v>
      </c>
    </row>
    <row r="4043" spans="7:8">
      <c r="G4043">
        <v>4033</v>
      </c>
      <c r="H4043">
        <f t="shared" ca="1" si="70"/>
        <v>9.3679144424348472E-3</v>
      </c>
    </row>
    <row r="4044" spans="7:8">
      <c r="G4044">
        <v>4034</v>
      </c>
      <c r="H4044">
        <f t="shared" ref="H4044:H4107" ca="1" si="71">_xlfn.NORM.INV(RAND(),N$13,N$14)</f>
        <v>-2.7607747422735671E-2</v>
      </c>
    </row>
    <row r="4045" spans="7:8">
      <c r="G4045">
        <v>4035</v>
      </c>
      <c r="H4045">
        <f t="shared" ca="1" si="71"/>
        <v>-1.9588807670044887E-2</v>
      </c>
    </row>
    <row r="4046" spans="7:8">
      <c r="G4046">
        <v>4036</v>
      </c>
      <c r="H4046">
        <f t="shared" ca="1" si="71"/>
        <v>-3.0122004953310421E-2</v>
      </c>
    </row>
    <row r="4047" spans="7:8">
      <c r="G4047">
        <v>4037</v>
      </c>
      <c r="H4047">
        <f t="shared" ca="1" si="71"/>
        <v>-5.0303937078567652E-2</v>
      </c>
    </row>
    <row r="4048" spans="7:8">
      <c r="G4048">
        <v>4038</v>
      </c>
      <c r="H4048">
        <f t="shared" ca="1" si="71"/>
        <v>1.1945089381432572E-2</v>
      </c>
    </row>
    <row r="4049" spans="7:8">
      <c r="G4049">
        <v>4039</v>
      </c>
      <c r="H4049">
        <f t="shared" ca="1" si="71"/>
        <v>2.6665998357316568E-2</v>
      </c>
    </row>
    <row r="4050" spans="7:8">
      <c r="G4050">
        <v>4040</v>
      </c>
      <c r="H4050">
        <f t="shared" ca="1" si="71"/>
        <v>6.04756523254285E-3</v>
      </c>
    </row>
    <row r="4051" spans="7:8">
      <c r="G4051">
        <v>4041</v>
      </c>
      <c r="H4051">
        <f t="shared" ca="1" si="71"/>
        <v>2.967863573349612E-2</v>
      </c>
    </row>
    <row r="4052" spans="7:8">
      <c r="G4052">
        <v>4042</v>
      </c>
      <c r="H4052">
        <f t="shared" ca="1" si="71"/>
        <v>2.661467137383865E-3</v>
      </c>
    </row>
    <row r="4053" spans="7:8">
      <c r="G4053">
        <v>4043</v>
      </c>
      <c r="H4053">
        <f t="shared" ca="1" si="71"/>
        <v>4.7143614920020498E-2</v>
      </c>
    </row>
    <row r="4054" spans="7:8">
      <c r="G4054">
        <v>4044</v>
      </c>
      <c r="H4054">
        <f t="shared" ca="1" si="71"/>
        <v>2.1009963270839777E-2</v>
      </c>
    </row>
    <row r="4055" spans="7:8">
      <c r="G4055">
        <v>4045</v>
      </c>
      <c r="H4055">
        <f t="shared" ca="1" si="71"/>
        <v>-5.1351064742339268E-3</v>
      </c>
    </row>
    <row r="4056" spans="7:8">
      <c r="G4056">
        <v>4046</v>
      </c>
      <c r="H4056">
        <f t="shared" ca="1" si="71"/>
        <v>1.1347384812340546E-2</v>
      </c>
    </row>
    <row r="4057" spans="7:8">
      <c r="G4057">
        <v>4047</v>
      </c>
      <c r="H4057">
        <f t="shared" ca="1" si="71"/>
        <v>1.8259615312978657E-2</v>
      </c>
    </row>
    <row r="4058" spans="7:8">
      <c r="G4058">
        <v>4048</v>
      </c>
      <c r="H4058">
        <f t="shared" ca="1" si="71"/>
        <v>1.3675704332220606E-2</v>
      </c>
    </row>
    <row r="4059" spans="7:8">
      <c r="G4059">
        <v>4049</v>
      </c>
      <c r="H4059">
        <f t="shared" ca="1" si="71"/>
        <v>4.7969392605235577E-2</v>
      </c>
    </row>
    <row r="4060" spans="7:8">
      <c r="G4060">
        <v>4050</v>
      </c>
      <c r="H4060">
        <f t="shared" ca="1" si="71"/>
        <v>-2.158301166109412E-2</v>
      </c>
    </row>
    <row r="4061" spans="7:8">
      <c r="G4061">
        <v>4051</v>
      </c>
      <c r="H4061">
        <f t="shared" ca="1" si="71"/>
        <v>2.0946299445244013E-2</v>
      </c>
    </row>
    <row r="4062" spans="7:8">
      <c r="G4062">
        <v>4052</v>
      </c>
      <c r="H4062">
        <f t="shared" ca="1" si="71"/>
        <v>-6.9280948067026241E-3</v>
      </c>
    </row>
    <row r="4063" spans="7:8">
      <c r="G4063">
        <v>4053</v>
      </c>
      <c r="H4063">
        <f t="shared" ca="1" si="71"/>
        <v>-1.9220792860283619E-2</v>
      </c>
    </row>
    <row r="4064" spans="7:8">
      <c r="G4064">
        <v>4054</v>
      </c>
      <c r="H4064">
        <f t="shared" ca="1" si="71"/>
        <v>4.8433132827754265E-2</v>
      </c>
    </row>
    <row r="4065" spans="7:8">
      <c r="G4065">
        <v>4055</v>
      </c>
      <c r="H4065">
        <f t="shared" ca="1" si="71"/>
        <v>4.2080107820431395E-2</v>
      </c>
    </row>
    <row r="4066" spans="7:8">
      <c r="G4066">
        <v>4056</v>
      </c>
      <c r="H4066">
        <f t="shared" ca="1" si="71"/>
        <v>-1.1716860920134197E-2</v>
      </c>
    </row>
    <row r="4067" spans="7:8">
      <c r="G4067">
        <v>4057</v>
      </c>
      <c r="H4067">
        <f t="shared" ca="1" si="71"/>
        <v>-1.2127857175926827E-2</v>
      </c>
    </row>
    <row r="4068" spans="7:8">
      <c r="G4068">
        <v>4058</v>
      </c>
      <c r="H4068">
        <f t="shared" ca="1" si="71"/>
        <v>-3.5115640356168751E-2</v>
      </c>
    </row>
    <row r="4069" spans="7:8">
      <c r="G4069">
        <v>4059</v>
      </c>
      <c r="H4069">
        <f t="shared" ca="1" si="71"/>
        <v>-5.4838722367759989E-6</v>
      </c>
    </row>
    <row r="4070" spans="7:8">
      <c r="G4070">
        <v>4060</v>
      </c>
      <c r="H4070">
        <f t="shared" ca="1" si="71"/>
        <v>-2.4483351630703611E-2</v>
      </c>
    </row>
    <row r="4071" spans="7:8">
      <c r="G4071">
        <v>4061</v>
      </c>
      <c r="H4071">
        <f t="shared" ca="1" si="71"/>
        <v>-3.3888815354204994E-2</v>
      </c>
    </row>
    <row r="4072" spans="7:8">
      <c r="G4072">
        <v>4062</v>
      </c>
      <c r="H4072">
        <f t="shared" ca="1" si="71"/>
        <v>-2.4915221965540194E-2</v>
      </c>
    </row>
    <row r="4073" spans="7:8">
      <c r="G4073">
        <v>4063</v>
      </c>
      <c r="H4073">
        <f t="shared" ca="1" si="71"/>
        <v>1.3716244123756619E-2</v>
      </c>
    </row>
    <row r="4074" spans="7:8">
      <c r="G4074">
        <v>4064</v>
      </c>
      <c r="H4074">
        <f t="shared" ca="1" si="71"/>
        <v>8.7958560456203941E-3</v>
      </c>
    </row>
    <row r="4075" spans="7:8">
      <c r="G4075">
        <v>4065</v>
      </c>
      <c r="H4075">
        <f t="shared" ca="1" si="71"/>
        <v>1.9866722023109594E-2</v>
      </c>
    </row>
    <row r="4076" spans="7:8">
      <c r="G4076">
        <v>4066</v>
      </c>
      <c r="H4076">
        <f t="shared" ca="1" si="71"/>
        <v>1.2690899738123127E-2</v>
      </c>
    </row>
    <row r="4077" spans="7:8">
      <c r="G4077">
        <v>4067</v>
      </c>
      <c r="H4077">
        <f t="shared" ca="1" si="71"/>
        <v>6.8638463913330231E-3</v>
      </c>
    </row>
    <row r="4078" spans="7:8">
      <c r="G4078">
        <v>4068</v>
      </c>
      <c r="H4078">
        <f t="shared" ca="1" si="71"/>
        <v>5.5260894241009866E-3</v>
      </c>
    </row>
    <row r="4079" spans="7:8">
      <c r="G4079">
        <v>4069</v>
      </c>
      <c r="H4079">
        <f t="shared" ca="1" si="71"/>
        <v>4.2341016579323043E-2</v>
      </c>
    </row>
    <row r="4080" spans="7:8">
      <c r="G4080">
        <v>4070</v>
      </c>
      <c r="H4080">
        <f t="shared" ca="1" si="71"/>
        <v>-4.2048862554413041E-3</v>
      </c>
    </row>
    <row r="4081" spans="7:8">
      <c r="G4081">
        <v>4071</v>
      </c>
      <c r="H4081">
        <f t="shared" ca="1" si="71"/>
        <v>9.5645606853103863E-3</v>
      </c>
    </row>
    <row r="4082" spans="7:8">
      <c r="G4082">
        <v>4072</v>
      </c>
      <c r="H4082">
        <f t="shared" ca="1" si="71"/>
        <v>1.2751345729780768E-2</v>
      </c>
    </row>
    <row r="4083" spans="7:8">
      <c r="G4083">
        <v>4073</v>
      </c>
      <c r="H4083">
        <f t="shared" ca="1" si="71"/>
        <v>2.0762286510768599E-2</v>
      </c>
    </row>
    <row r="4084" spans="7:8">
      <c r="G4084">
        <v>4074</v>
      </c>
      <c r="H4084">
        <f t="shared" ca="1" si="71"/>
        <v>2.9429371541913065E-3</v>
      </c>
    </row>
    <row r="4085" spans="7:8">
      <c r="G4085">
        <v>4075</v>
      </c>
      <c r="H4085">
        <f t="shared" ca="1" si="71"/>
        <v>2.1655674961157161E-2</v>
      </c>
    </row>
    <row r="4086" spans="7:8">
      <c r="G4086">
        <v>4076</v>
      </c>
      <c r="H4086">
        <f t="shared" ca="1" si="71"/>
        <v>-1.4775117461158003E-2</v>
      </c>
    </row>
    <row r="4087" spans="7:8">
      <c r="G4087">
        <v>4077</v>
      </c>
      <c r="H4087">
        <f t="shared" ca="1" si="71"/>
        <v>-4.5977287362944402E-2</v>
      </c>
    </row>
    <row r="4088" spans="7:8">
      <c r="G4088">
        <v>4078</v>
      </c>
      <c r="H4088">
        <f t="shared" ca="1" si="71"/>
        <v>5.5389029157919588E-3</v>
      </c>
    </row>
    <row r="4089" spans="7:8">
      <c r="G4089">
        <v>4079</v>
      </c>
      <c r="H4089">
        <f t="shared" ca="1" si="71"/>
        <v>-3.8984918368628538E-2</v>
      </c>
    </row>
    <row r="4090" spans="7:8">
      <c r="G4090">
        <v>4080</v>
      </c>
      <c r="H4090">
        <f t="shared" ca="1" si="71"/>
        <v>1.878825637948401E-2</v>
      </c>
    </row>
    <row r="4091" spans="7:8">
      <c r="G4091">
        <v>4081</v>
      </c>
      <c r="H4091">
        <f t="shared" ca="1" si="71"/>
        <v>-9.8998120560464496E-3</v>
      </c>
    </row>
    <row r="4092" spans="7:8">
      <c r="G4092">
        <v>4082</v>
      </c>
      <c r="H4092">
        <f t="shared" ca="1" si="71"/>
        <v>3.8745247174340513E-3</v>
      </c>
    </row>
    <row r="4093" spans="7:8">
      <c r="G4093">
        <v>4083</v>
      </c>
      <c r="H4093">
        <f t="shared" ca="1" si="71"/>
        <v>3.5125017251384935E-2</v>
      </c>
    </row>
    <row r="4094" spans="7:8">
      <c r="G4094">
        <v>4084</v>
      </c>
      <c r="H4094">
        <f t="shared" ca="1" si="71"/>
        <v>1.9092703106092252E-2</v>
      </c>
    </row>
    <row r="4095" spans="7:8">
      <c r="G4095">
        <v>4085</v>
      </c>
      <c r="H4095">
        <f t="shared" ca="1" si="71"/>
        <v>-2.7207251748310578E-2</v>
      </c>
    </row>
    <row r="4096" spans="7:8">
      <c r="G4096">
        <v>4086</v>
      </c>
      <c r="H4096">
        <f t="shared" ca="1" si="71"/>
        <v>-2.7266537900493482E-2</v>
      </c>
    </row>
    <row r="4097" spans="7:8">
      <c r="G4097">
        <v>4087</v>
      </c>
      <c r="H4097">
        <f t="shared" ca="1" si="71"/>
        <v>1.2214684955367051E-3</v>
      </c>
    </row>
    <row r="4098" spans="7:8">
      <c r="G4098">
        <v>4088</v>
      </c>
      <c r="H4098">
        <f t="shared" ca="1" si="71"/>
        <v>-2.2247555908559324E-2</v>
      </c>
    </row>
    <row r="4099" spans="7:8">
      <c r="G4099">
        <v>4089</v>
      </c>
      <c r="H4099">
        <f t="shared" ca="1" si="71"/>
        <v>2.2764588797999172E-2</v>
      </c>
    </row>
    <row r="4100" spans="7:8">
      <c r="G4100">
        <v>4090</v>
      </c>
      <c r="H4100">
        <f t="shared" ca="1" si="71"/>
        <v>-9.9554206662148814E-3</v>
      </c>
    </row>
    <row r="4101" spans="7:8">
      <c r="G4101">
        <v>4091</v>
      </c>
      <c r="H4101">
        <f t="shared" ca="1" si="71"/>
        <v>2.8951892794117106E-3</v>
      </c>
    </row>
    <row r="4102" spans="7:8">
      <c r="G4102">
        <v>4092</v>
      </c>
      <c r="H4102">
        <f t="shared" ca="1" si="71"/>
        <v>1.7144821296985215E-3</v>
      </c>
    </row>
    <row r="4103" spans="7:8">
      <c r="G4103">
        <v>4093</v>
      </c>
      <c r="H4103">
        <f t="shared" ca="1" si="71"/>
        <v>3.1309071224208264E-2</v>
      </c>
    </row>
    <row r="4104" spans="7:8">
      <c r="G4104">
        <v>4094</v>
      </c>
      <c r="H4104">
        <f t="shared" ca="1" si="71"/>
        <v>1.9648473879656604E-2</v>
      </c>
    </row>
    <row r="4105" spans="7:8">
      <c r="G4105">
        <v>4095</v>
      </c>
      <c r="H4105">
        <f t="shared" ca="1" si="71"/>
        <v>-3.3177844136759595E-2</v>
      </c>
    </row>
    <row r="4106" spans="7:8">
      <c r="G4106">
        <v>4096</v>
      </c>
      <c r="H4106">
        <f t="shared" ca="1" si="71"/>
        <v>-3.1025276124304921E-3</v>
      </c>
    </row>
    <row r="4107" spans="7:8">
      <c r="G4107">
        <v>4097</v>
      </c>
      <c r="H4107">
        <f t="shared" ca="1" si="71"/>
        <v>-5.1674144800869628E-3</v>
      </c>
    </row>
    <row r="4108" spans="7:8">
      <c r="G4108">
        <v>4098</v>
      </c>
      <c r="H4108">
        <f t="shared" ref="H4108:H4171" ca="1" si="72">_xlfn.NORM.INV(RAND(),N$13,N$14)</f>
        <v>4.5894049226252454E-3</v>
      </c>
    </row>
    <row r="4109" spans="7:8">
      <c r="G4109">
        <v>4099</v>
      </c>
      <c r="H4109">
        <f t="shared" ca="1" si="72"/>
        <v>-1.2276340811493298E-2</v>
      </c>
    </row>
    <row r="4110" spans="7:8">
      <c r="G4110">
        <v>4100</v>
      </c>
      <c r="H4110">
        <f t="shared" ca="1" si="72"/>
        <v>-1.3442130297947162E-2</v>
      </c>
    </row>
    <row r="4111" spans="7:8">
      <c r="G4111">
        <v>4101</v>
      </c>
      <c r="H4111">
        <f t="shared" ca="1" si="72"/>
        <v>-0.10003533131819713</v>
      </c>
    </row>
    <row r="4112" spans="7:8">
      <c r="G4112">
        <v>4102</v>
      </c>
      <c r="H4112">
        <f t="shared" ca="1" si="72"/>
        <v>-3.060264206628167E-2</v>
      </c>
    </row>
    <row r="4113" spans="7:8">
      <c r="G4113">
        <v>4103</v>
      </c>
      <c r="H4113">
        <f t="shared" ca="1" si="72"/>
        <v>-5.384790757541327E-3</v>
      </c>
    </row>
    <row r="4114" spans="7:8">
      <c r="G4114">
        <v>4104</v>
      </c>
      <c r="H4114">
        <f t="shared" ca="1" si="72"/>
        <v>-4.3072703530794509E-2</v>
      </c>
    </row>
    <row r="4115" spans="7:8">
      <c r="G4115">
        <v>4105</v>
      </c>
      <c r="H4115">
        <f t="shared" ca="1" si="72"/>
        <v>-2.0884570957943674E-2</v>
      </c>
    </row>
    <row r="4116" spans="7:8">
      <c r="G4116">
        <v>4106</v>
      </c>
      <c r="H4116">
        <f t="shared" ca="1" si="72"/>
        <v>-6.6636097944401439E-3</v>
      </c>
    </row>
    <row r="4117" spans="7:8">
      <c r="G4117">
        <v>4107</v>
      </c>
      <c r="H4117">
        <f t="shared" ca="1" si="72"/>
        <v>-5.4470719268287547E-3</v>
      </c>
    </row>
    <row r="4118" spans="7:8">
      <c r="G4118">
        <v>4108</v>
      </c>
      <c r="H4118">
        <f t="shared" ca="1" si="72"/>
        <v>8.7865194635465341E-3</v>
      </c>
    </row>
    <row r="4119" spans="7:8">
      <c r="G4119">
        <v>4109</v>
      </c>
      <c r="H4119">
        <f t="shared" ca="1" si="72"/>
        <v>-4.9089812200505262E-2</v>
      </c>
    </row>
    <row r="4120" spans="7:8">
      <c r="G4120">
        <v>4110</v>
      </c>
      <c r="H4120">
        <f t="shared" ca="1" si="72"/>
        <v>1.5791050673674756E-2</v>
      </c>
    </row>
    <row r="4121" spans="7:8">
      <c r="G4121">
        <v>4111</v>
      </c>
      <c r="H4121">
        <f t="shared" ca="1" si="72"/>
        <v>-4.3586941156848101E-2</v>
      </c>
    </row>
    <row r="4122" spans="7:8">
      <c r="G4122">
        <v>4112</v>
      </c>
      <c r="H4122">
        <f t="shared" ca="1" si="72"/>
        <v>8.3125851154099359E-3</v>
      </c>
    </row>
    <row r="4123" spans="7:8">
      <c r="G4123">
        <v>4113</v>
      </c>
      <c r="H4123">
        <f t="shared" ca="1" si="72"/>
        <v>1.2220840875225665E-3</v>
      </c>
    </row>
    <row r="4124" spans="7:8">
      <c r="G4124">
        <v>4114</v>
      </c>
      <c r="H4124">
        <f t="shared" ca="1" si="72"/>
        <v>7.7213496895074023E-3</v>
      </c>
    </row>
    <row r="4125" spans="7:8">
      <c r="G4125">
        <v>4115</v>
      </c>
      <c r="H4125">
        <f t="shared" ca="1" si="72"/>
        <v>-3.3470327904119898E-2</v>
      </c>
    </row>
    <row r="4126" spans="7:8">
      <c r="G4126">
        <v>4116</v>
      </c>
      <c r="H4126">
        <f t="shared" ca="1" si="72"/>
        <v>5.3451629027763209E-2</v>
      </c>
    </row>
    <row r="4127" spans="7:8">
      <c r="G4127">
        <v>4117</v>
      </c>
      <c r="H4127">
        <f t="shared" ca="1" si="72"/>
        <v>-6.2729860619044333E-3</v>
      </c>
    </row>
    <row r="4128" spans="7:8">
      <c r="G4128">
        <v>4118</v>
      </c>
      <c r="H4128">
        <f t="shared" ca="1" si="72"/>
        <v>-1.3049473689463987E-2</v>
      </c>
    </row>
    <row r="4129" spans="7:8">
      <c r="G4129">
        <v>4119</v>
      </c>
      <c r="H4129">
        <f t="shared" ca="1" si="72"/>
        <v>-4.2627483178418232E-2</v>
      </c>
    </row>
    <row r="4130" spans="7:8">
      <c r="G4130">
        <v>4120</v>
      </c>
      <c r="H4130">
        <f t="shared" ca="1" si="72"/>
        <v>1.1818284419258111E-2</v>
      </c>
    </row>
    <row r="4131" spans="7:8">
      <c r="G4131">
        <v>4121</v>
      </c>
      <c r="H4131">
        <f t="shared" ca="1" si="72"/>
        <v>-5.3750964642032238E-2</v>
      </c>
    </row>
    <row r="4132" spans="7:8">
      <c r="G4132">
        <v>4122</v>
      </c>
      <c r="H4132">
        <f t="shared" ca="1" si="72"/>
        <v>-1.3088105252072171E-2</v>
      </c>
    </row>
    <row r="4133" spans="7:8">
      <c r="G4133">
        <v>4123</v>
      </c>
      <c r="H4133">
        <f t="shared" ca="1" si="72"/>
        <v>-4.3700535438316564E-3</v>
      </c>
    </row>
    <row r="4134" spans="7:8">
      <c r="G4134">
        <v>4124</v>
      </c>
      <c r="H4134">
        <f t="shared" ca="1" si="72"/>
        <v>-2.4216299792982066E-3</v>
      </c>
    </row>
    <row r="4135" spans="7:8">
      <c r="G4135">
        <v>4125</v>
      </c>
      <c r="H4135">
        <f t="shared" ca="1" si="72"/>
        <v>-4.7328336857922716E-3</v>
      </c>
    </row>
    <row r="4136" spans="7:8">
      <c r="G4136">
        <v>4126</v>
      </c>
      <c r="H4136">
        <f t="shared" ca="1" si="72"/>
        <v>3.678357809246157E-2</v>
      </c>
    </row>
    <row r="4137" spans="7:8">
      <c r="G4137">
        <v>4127</v>
      </c>
      <c r="H4137">
        <f t="shared" ca="1" si="72"/>
        <v>1.1151539885653722E-2</v>
      </c>
    </row>
    <row r="4138" spans="7:8">
      <c r="G4138">
        <v>4128</v>
      </c>
      <c r="H4138">
        <f t="shared" ca="1" si="72"/>
        <v>-1.8308679795613084E-2</v>
      </c>
    </row>
    <row r="4139" spans="7:8">
      <c r="G4139">
        <v>4129</v>
      </c>
      <c r="H4139">
        <f t="shared" ca="1" si="72"/>
        <v>7.910114570524672E-3</v>
      </c>
    </row>
    <row r="4140" spans="7:8">
      <c r="G4140">
        <v>4130</v>
      </c>
      <c r="H4140">
        <f t="shared" ca="1" si="72"/>
        <v>3.0741588517858428E-3</v>
      </c>
    </row>
    <row r="4141" spans="7:8">
      <c r="G4141">
        <v>4131</v>
      </c>
      <c r="H4141">
        <f t="shared" ca="1" si="72"/>
        <v>-1.1617457738851823E-2</v>
      </c>
    </row>
    <row r="4142" spans="7:8">
      <c r="G4142">
        <v>4132</v>
      </c>
      <c r="H4142">
        <f t="shared" ca="1" si="72"/>
        <v>2.6884435081961047E-2</v>
      </c>
    </row>
    <row r="4143" spans="7:8">
      <c r="G4143">
        <v>4133</v>
      </c>
      <c r="H4143">
        <f t="shared" ca="1" si="72"/>
        <v>-9.8591718975850513E-3</v>
      </c>
    </row>
    <row r="4144" spans="7:8">
      <c r="G4144">
        <v>4134</v>
      </c>
      <c r="H4144">
        <f t="shared" ca="1" si="72"/>
        <v>-1.0009345068480157E-2</v>
      </c>
    </row>
    <row r="4145" spans="7:8">
      <c r="G4145">
        <v>4135</v>
      </c>
      <c r="H4145">
        <f t="shared" ca="1" si="72"/>
        <v>3.1983448250651948E-2</v>
      </c>
    </row>
    <row r="4146" spans="7:8">
      <c r="G4146">
        <v>4136</v>
      </c>
      <c r="H4146">
        <f t="shared" ca="1" si="72"/>
        <v>-1.5083755962514147E-2</v>
      </c>
    </row>
    <row r="4147" spans="7:8">
      <c r="G4147">
        <v>4137</v>
      </c>
      <c r="H4147">
        <f t="shared" ca="1" si="72"/>
        <v>-1.1202537640563297E-2</v>
      </c>
    </row>
    <row r="4148" spans="7:8">
      <c r="G4148">
        <v>4138</v>
      </c>
      <c r="H4148">
        <f t="shared" ca="1" si="72"/>
        <v>3.8339470412023485E-2</v>
      </c>
    </row>
    <row r="4149" spans="7:8">
      <c r="G4149">
        <v>4139</v>
      </c>
      <c r="H4149">
        <f t="shared" ca="1" si="72"/>
        <v>1.1077924415170083E-2</v>
      </c>
    </row>
    <row r="4150" spans="7:8">
      <c r="G4150">
        <v>4140</v>
      </c>
      <c r="H4150">
        <f t="shared" ca="1" si="72"/>
        <v>-5.4614822813885258E-2</v>
      </c>
    </row>
    <row r="4151" spans="7:8">
      <c r="G4151">
        <v>4141</v>
      </c>
      <c r="H4151">
        <f t="shared" ca="1" si="72"/>
        <v>-1.201390463778507E-2</v>
      </c>
    </row>
    <row r="4152" spans="7:8">
      <c r="G4152">
        <v>4142</v>
      </c>
      <c r="H4152">
        <f t="shared" ca="1" si="72"/>
        <v>-1.0254553671731552E-2</v>
      </c>
    </row>
    <row r="4153" spans="7:8">
      <c r="G4153">
        <v>4143</v>
      </c>
      <c r="H4153">
        <f t="shared" ca="1" si="72"/>
        <v>3.2489829418790389E-2</v>
      </c>
    </row>
    <row r="4154" spans="7:8">
      <c r="G4154">
        <v>4144</v>
      </c>
      <c r="H4154">
        <f t="shared" ca="1" si="72"/>
        <v>-2.3698381891881115E-2</v>
      </c>
    </row>
    <row r="4155" spans="7:8">
      <c r="G4155">
        <v>4145</v>
      </c>
      <c r="H4155">
        <f t="shared" ca="1" si="72"/>
        <v>-3.4613261351112513E-2</v>
      </c>
    </row>
    <row r="4156" spans="7:8">
      <c r="G4156">
        <v>4146</v>
      </c>
      <c r="H4156">
        <f t="shared" ca="1" si="72"/>
        <v>-1.9876615852651141E-2</v>
      </c>
    </row>
    <row r="4157" spans="7:8">
      <c r="G4157">
        <v>4147</v>
      </c>
      <c r="H4157">
        <f t="shared" ca="1" si="72"/>
        <v>1.7846731522512455E-2</v>
      </c>
    </row>
    <row r="4158" spans="7:8">
      <c r="G4158">
        <v>4148</v>
      </c>
      <c r="H4158">
        <f t="shared" ca="1" si="72"/>
        <v>-1.3464416190183707E-3</v>
      </c>
    </row>
    <row r="4159" spans="7:8">
      <c r="G4159">
        <v>4149</v>
      </c>
      <c r="H4159">
        <f t="shared" ca="1" si="72"/>
        <v>-7.2737069398898938E-3</v>
      </c>
    </row>
    <row r="4160" spans="7:8">
      <c r="G4160">
        <v>4150</v>
      </c>
      <c r="H4160">
        <f t="shared" ca="1" si="72"/>
        <v>-4.8737324607164505E-2</v>
      </c>
    </row>
    <row r="4161" spans="7:8">
      <c r="G4161">
        <v>4151</v>
      </c>
      <c r="H4161">
        <f t="shared" ca="1" si="72"/>
        <v>-2.7539471285800601E-2</v>
      </c>
    </row>
    <row r="4162" spans="7:8">
      <c r="G4162">
        <v>4152</v>
      </c>
      <c r="H4162">
        <f t="shared" ca="1" si="72"/>
        <v>-2.4724328573079012E-2</v>
      </c>
    </row>
    <row r="4163" spans="7:8">
      <c r="G4163">
        <v>4153</v>
      </c>
      <c r="H4163">
        <f t="shared" ca="1" si="72"/>
        <v>2.3802134237242263E-2</v>
      </c>
    </row>
    <row r="4164" spans="7:8">
      <c r="G4164">
        <v>4154</v>
      </c>
      <c r="H4164">
        <f t="shared" ca="1" si="72"/>
        <v>-3.899428310935639E-2</v>
      </c>
    </row>
    <row r="4165" spans="7:8">
      <c r="G4165">
        <v>4155</v>
      </c>
      <c r="H4165">
        <f t="shared" ca="1" si="72"/>
        <v>3.3126332970209213E-2</v>
      </c>
    </row>
    <row r="4166" spans="7:8">
      <c r="G4166">
        <v>4156</v>
      </c>
      <c r="H4166">
        <f t="shared" ca="1" si="72"/>
        <v>-5.4463152218941577E-3</v>
      </c>
    </row>
    <row r="4167" spans="7:8">
      <c r="G4167">
        <v>4157</v>
      </c>
      <c r="H4167">
        <f t="shared" ca="1" si="72"/>
        <v>-5.8200513583657881E-3</v>
      </c>
    </row>
    <row r="4168" spans="7:8">
      <c r="G4168">
        <v>4158</v>
      </c>
      <c r="H4168">
        <f t="shared" ca="1" si="72"/>
        <v>-1.7878837868727415E-2</v>
      </c>
    </row>
    <row r="4169" spans="7:8">
      <c r="G4169">
        <v>4159</v>
      </c>
      <c r="H4169">
        <f t="shared" ca="1" si="72"/>
        <v>-5.5048353144541214E-2</v>
      </c>
    </row>
    <row r="4170" spans="7:8">
      <c r="G4170">
        <v>4160</v>
      </c>
      <c r="H4170">
        <f t="shared" ca="1" si="72"/>
        <v>-5.4000266996986216E-3</v>
      </c>
    </row>
    <row r="4171" spans="7:8">
      <c r="G4171">
        <v>4161</v>
      </c>
      <c r="H4171">
        <f t="shared" ca="1" si="72"/>
        <v>-1.8106248647508715E-2</v>
      </c>
    </row>
    <row r="4172" spans="7:8">
      <c r="G4172">
        <v>4162</v>
      </c>
      <c r="H4172">
        <f t="shared" ref="H4172:H4235" ca="1" si="73">_xlfn.NORM.INV(RAND(),N$13,N$14)</f>
        <v>1.7794689199201652E-3</v>
      </c>
    </row>
    <row r="4173" spans="7:8">
      <c r="G4173">
        <v>4163</v>
      </c>
      <c r="H4173">
        <f t="shared" ca="1" si="73"/>
        <v>1.7429881716549279E-2</v>
      </c>
    </row>
    <row r="4174" spans="7:8">
      <c r="G4174">
        <v>4164</v>
      </c>
      <c r="H4174">
        <f t="shared" ca="1" si="73"/>
        <v>5.5875297434519536E-3</v>
      </c>
    </row>
    <row r="4175" spans="7:8">
      <c r="G4175">
        <v>4165</v>
      </c>
      <c r="H4175">
        <f t="shared" ca="1" si="73"/>
        <v>1.2644407261084642E-2</v>
      </c>
    </row>
    <row r="4176" spans="7:8">
      <c r="G4176">
        <v>4166</v>
      </c>
      <c r="H4176">
        <f t="shared" ca="1" si="73"/>
        <v>5.8432810286763439E-3</v>
      </c>
    </row>
    <row r="4177" spans="7:8">
      <c r="G4177">
        <v>4167</v>
      </c>
      <c r="H4177">
        <f t="shared" ca="1" si="73"/>
        <v>2.2959769242120044E-2</v>
      </c>
    </row>
    <row r="4178" spans="7:8">
      <c r="G4178">
        <v>4168</v>
      </c>
      <c r="H4178">
        <f t="shared" ca="1" si="73"/>
        <v>-2.8361743416710196E-4</v>
      </c>
    </row>
    <row r="4179" spans="7:8">
      <c r="G4179">
        <v>4169</v>
      </c>
      <c r="H4179">
        <f t="shared" ca="1" si="73"/>
        <v>-2.8594401122110119E-2</v>
      </c>
    </row>
    <row r="4180" spans="7:8">
      <c r="G4180">
        <v>4170</v>
      </c>
      <c r="H4180">
        <f t="shared" ca="1" si="73"/>
        <v>8.5179712269630968E-3</v>
      </c>
    </row>
    <row r="4181" spans="7:8">
      <c r="G4181">
        <v>4171</v>
      </c>
      <c r="H4181">
        <f t="shared" ca="1" si="73"/>
        <v>1.2863732178867408E-2</v>
      </c>
    </row>
    <row r="4182" spans="7:8">
      <c r="G4182">
        <v>4172</v>
      </c>
      <c r="H4182">
        <f t="shared" ca="1" si="73"/>
        <v>8.36992964807939E-4</v>
      </c>
    </row>
    <row r="4183" spans="7:8">
      <c r="G4183">
        <v>4173</v>
      </c>
      <c r="H4183">
        <f t="shared" ca="1" si="73"/>
        <v>4.0519694116271749E-3</v>
      </c>
    </row>
    <row r="4184" spans="7:8">
      <c r="G4184">
        <v>4174</v>
      </c>
      <c r="H4184">
        <f t="shared" ca="1" si="73"/>
        <v>-1.7960960303111009E-3</v>
      </c>
    </row>
    <row r="4185" spans="7:8">
      <c r="G4185">
        <v>4175</v>
      </c>
      <c r="H4185">
        <f t="shared" ca="1" si="73"/>
        <v>-5.3143848884672391E-3</v>
      </c>
    </row>
    <row r="4186" spans="7:8">
      <c r="G4186">
        <v>4176</v>
      </c>
      <c r="H4186">
        <f t="shared" ca="1" si="73"/>
        <v>7.4484343541874826E-3</v>
      </c>
    </row>
    <row r="4187" spans="7:8">
      <c r="G4187">
        <v>4177</v>
      </c>
      <c r="H4187">
        <f t="shared" ca="1" si="73"/>
        <v>-3.9840914881523418E-3</v>
      </c>
    </row>
    <row r="4188" spans="7:8">
      <c r="G4188">
        <v>4178</v>
      </c>
      <c r="H4188">
        <f t="shared" ca="1" si="73"/>
        <v>5.3079814731486694E-3</v>
      </c>
    </row>
    <row r="4189" spans="7:8">
      <c r="G4189">
        <v>4179</v>
      </c>
      <c r="H4189">
        <f t="shared" ca="1" si="73"/>
        <v>-2.3796638216313705E-2</v>
      </c>
    </row>
    <row r="4190" spans="7:8">
      <c r="G4190">
        <v>4180</v>
      </c>
      <c r="H4190">
        <f t="shared" ca="1" si="73"/>
        <v>-1.8600450731974725E-2</v>
      </c>
    </row>
    <row r="4191" spans="7:8">
      <c r="G4191">
        <v>4181</v>
      </c>
      <c r="H4191">
        <f t="shared" ca="1" si="73"/>
        <v>1.8977653265045934E-2</v>
      </c>
    </row>
    <row r="4192" spans="7:8">
      <c r="G4192">
        <v>4182</v>
      </c>
      <c r="H4192">
        <f t="shared" ca="1" si="73"/>
        <v>4.6002604297589851E-2</v>
      </c>
    </row>
    <row r="4193" spans="7:8">
      <c r="G4193">
        <v>4183</v>
      </c>
      <c r="H4193">
        <f t="shared" ca="1" si="73"/>
        <v>-2.4462187280694592E-2</v>
      </c>
    </row>
    <row r="4194" spans="7:8">
      <c r="G4194">
        <v>4184</v>
      </c>
      <c r="H4194">
        <f t="shared" ca="1" si="73"/>
        <v>-1.966149631063225E-2</v>
      </c>
    </row>
    <row r="4195" spans="7:8">
      <c r="G4195">
        <v>4185</v>
      </c>
      <c r="H4195">
        <f t="shared" ca="1" si="73"/>
        <v>-1.0819180664437855E-2</v>
      </c>
    </row>
    <row r="4196" spans="7:8">
      <c r="G4196">
        <v>4186</v>
      </c>
      <c r="H4196">
        <f t="shared" ca="1" si="73"/>
        <v>1.3273325096187076E-2</v>
      </c>
    </row>
    <row r="4197" spans="7:8">
      <c r="G4197">
        <v>4187</v>
      </c>
      <c r="H4197">
        <f t="shared" ca="1" si="73"/>
        <v>-2.3075644605830913E-2</v>
      </c>
    </row>
    <row r="4198" spans="7:8">
      <c r="G4198">
        <v>4188</v>
      </c>
      <c r="H4198">
        <f t="shared" ca="1" si="73"/>
        <v>2.0601366408310142E-2</v>
      </c>
    </row>
    <row r="4199" spans="7:8">
      <c r="G4199">
        <v>4189</v>
      </c>
      <c r="H4199">
        <f t="shared" ca="1" si="73"/>
        <v>-4.2476301221737997E-2</v>
      </c>
    </row>
    <row r="4200" spans="7:8">
      <c r="G4200">
        <v>4190</v>
      </c>
      <c r="H4200">
        <f t="shared" ca="1" si="73"/>
        <v>2.3925289598863003E-2</v>
      </c>
    </row>
    <row r="4201" spans="7:8">
      <c r="G4201">
        <v>4191</v>
      </c>
      <c r="H4201">
        <f t="shared" ca="1" si="73"/>
        <v>2.2675901071403291E-2</v>
      </c>
    </row>
    <row r="4202" spans="7:8">
      <c r="G4202">
        <v>4192</v>
      </c>
      <c r="H4202">
        <f t="shared" ca="1" si="73"/>
        <v>3.0649533740348379E-2</v>
      </c>
    </row>
    <row r="4203" spans="7:8">
      <c r="G4203">
        <v>4193</v>
      </c>
      <c r="H4203">
        <f t="shared" ca="1" si="73"/>
        <v>-1.1372889321587575E-2</v>
      </c>
    </row>
    <row r="4204" spans="7:8">
      <c r="G4204">
        <v>4194</v>
      </c>
      <c r="H4204">
        <f t="shared" ca="1" si="73"/>
        <v>-2.0646522688824262E-2</v>
      </c>
    </row>
    <row r="4205" spans="7:8">
      <c r="G4205">
        <v>4195</v>
      </c>
      <c r="H4205">
        <f t="shared" ca="1" si="73"/>
        <v>-2.3297009922872637E-3</v>
      </c>
    </row>
    <row r="4206" spans="7:8">
      <c r="G4206">
        <v>4196</v>
      </c>
      <c r="H4206">
        <f t="shared" ca="1" si="73"/>
        <v>6.397444145524598E-3</v>
      </c>
    </row>
    <row r="4207" spans="7:8">
      <c r="G4207">
        <v>4197</v>
      </c>
      <c r="H4207">
        <f t="shared" ca="1" si="73"/>
        <v>4.6268044682197376E-2</v>
      </c>
    </row>
    <row r="4208" spans="7:8">
      <c r="G4208">
        <v>4198</v>
      </c>
      <c r="H4208">
        <f t="shared" ca="1" si="73"/>
        <v>-1.4380903205414769E-2</v>
      </c>
    </row>
    <row r="4209" spans="7:8">
      <c r="G4209">
        <v>4199</v>
      </c>
      <c r="H4209">
        <f t="shared" ca="1" si="73"/>
        <v>1.433758460680036E-2</v>
      </c>
    </row>
    <row r="4210" spans="7:8">
      <c r="G4210">
        <v>4200</v>
      </c>
      <c r="H4210">
        <f t="shared" ca="1" si="73"/>
        <v>-1.2392339950859102E-2</v>
      </c>
    </row>
    <row r="4211" spans="7:8">
      <c r="G4211">
        <v>4201</v>
      </c>
      <c r="H4211">
        <f t="shared" ca="1" si="73"/>
        <v>-1.7897284320411259E-2</v>
      </c>
    </row>
    <row r="4212" spans="7:8">
      <c r="G4212">
        <v>4202</v>
      </c>
      <c r="H4212">
        <f t="shared" ca="1" si="73"/>
        <v>5.5926604029063041E-2</v>
      </c>
    </row>
    <row r="4213" spans="7:8">
      <c r="G4213">
        <v>4203</v>
      </c>
      <c r="H4213">
        <f t="shared" ca="1" si="73"/>
        <v>1.9606057996679943E-2</v>
      </c>
    </row>
    <row r="4214" spans="7:8">
      <c r="G4214">
        <v>4204</v>
      </c>
      <c r="H4214">
        <f t="shared" ca="1" si="73"/>
        <v>-3.8366021853676123E-2</v>
      </c>
    </row>
    <row r="4215" spans="7:8">
      <c r="G4215">
        <v>4205</v>
      </c>
      <c r="H4215">
        <f t="shared" ca="1" si="73"/>
        <v>-5.7438446408909251E-3</v>
      </c>
    </row>
    <row r="4216" spans="7:8">
      <c r="G4216">
        <v>4206</v>
      </c>
      <c r="H4216">
        <f t="shared" ca="1" si="73"/>
        <v>-6.5493091381407693E-3</v>
      </c>
    </row>
    <row r="4217" spans="7:8">
      <c r="G4217">
        <v>4207</v>
      </c>
      <c r="H4217">
        <f t="shared" ca="1" si="73"/>
        <v>-9.6173020141901416E-3</v>
      </c>
    </row>
    <row r="4218" spans="7:8">
      <c r="G4218">
        <v>4208</v>
      </c>
      <c r="H4218">
        <f t="shared" ca="1" si="73"/>
        <v>2.1547882564822061E-2</v>
      </c>
    </row>
    <row r="4219" spans="7:8">
      <c r="G4219">
        <v>4209</v>
      </c>
      <c r="H4219">
        <f t="shared" ca="1" si="73"/>
        <v>-7.4870517846328489E-3</v>
      </c>
    </row>
    <row r="4220" spans="7:8">
      <c r="G4220">
        <v>4210</v>
      </c>
      <c r="H4220">
        <f t="shared" ca="1" si="73"/>
        <v>2.2246774733668626E-2</v>
      </c>
    </row>
    <row r="4221" spans="7:8">
      <c r="G4221">
        <v>4211</v>
      </c>
      <c r="H4221">
        <f t="shared" ca="1" si="73"/>
        <v>-1.3576050294583288E-2</v>
      </c>
    </row>
    <row r="4222" spans="7:8">
      <c r="G4222">
        <v>4212</v>
      </c>
      <c r="H4222">
        <f t="shared" ca="1" si="73"/>
        <v>-4.7923152310146155E-2</v>
      </c>
    </row>
    <row r="4223" spans="7:8">
      <c r="G4223">
        <v>4213</v>
      </c>
      <c r="H4223">
        <f t="shared" ca="1" si="73"/>
        <v>-1.4109984975378185E-2</v>
      </c>
    </row>
    <row r="4224" spans="7:8">
      <c r="G4224">
        <v>4214</v>
      </c>
      <c r="H4224">
        <f t="shared" ca="1" si="73"/>
        <v>2.1046644596605844E-2</v>
      </c>
    </row>
    <row r="4225" spans="7:8">
      <c r="G4225">
        <v>4215</v>
      </c>
      <c r="H4225">
        <f t="shared" ca="1" si="73"/>
        <v>-2.6907069578636717E-2</v>
      </c>
    </row>
    <row r="4226" spans="7:8">
      <c r="G4226">
        <v>4216</v>
      </c>
      <c r="H4226">
        <f t="shared" ca="1" si="73"/>
        <v>2.3485907119293412E-2</v>
      </c>
    </row>
    <row r="4227" spans="7:8">
      <c r="G4227">
        <v>4217</v>
      </c>
      <c r="H4227">
        <f t="shared" ca="1" si="73"/>
        <v>1.2752193843294981E-2</v>
      </c>
    </row>
    <row r="4228" spans="7:8">
      <c r="G4228">
        <v>4218</v>
      </c>
      <c r="H4228">
        <f t="shared" ca="1" si="73"/>
        <v>-7.3596187163134357E-3</v>
      </c>
    </row>
    <row r="4229" spans="7:8">
      <c r="G4229">
        <v>4219</v>
      </c>
      <c r="H4229">
        <f t="shared" ca="1" si="73"/>
        <v>2.291506553321741E-2</v>
      </c>
    </row>
    <row r="4230" spans="7:8">
      <c r="G4230">
        <v>4220</v>
      </c>
      <c r="H4230">
        <f t="shared" ca="1" si="73"/>
        <v>2.9864683906854945E-2</v>
      </c>
    </row>
    <row r="4231" spans="7:8">
      <c r="G4231">
        <v>4221</v>
      </c>
      <c r="H4231">
        <f t="shared" ca="1" si="73"/>
        <v>4.8388924465035843E-2</v>
      </c>
    </row>
    <row r="4232" spans="7:8">
      <c r="G4232">
        <v>4222</v>
      </c>
      <c r="H4232">
        <f t="shared" ca="1" si="73"/>
        <v>2.1558216709824285E-3</v>
      </c>
    </row>
    <row r="4233" spans="7:8">
      <c r="G4233">
        <v>4223</v>
      </c>
      <c r="H4233">
        <f t="shared" ca="1" si="73"/>
        <v>-1.3156891015862494E-2</v>
      </c>
    </row>
    <row r="4234" spans="7:8">
      <c r="G4234">
        <v>4224</v>
      </c>
      <c r="H4234">
        <f t="shared" ca="1" si="73"/>
        <v>-1.8041961792467219E-2</v>
      </c>
    </row>
    <row r="4235" spans="7:8">
      <c r="G4235">
        <v>4225</v>
      </c>
      <c r="H4235">
        <f t="shared" ca="1" si="73"/>
        <v>2.5646290224282067E-2</v>
      </c>
    </row>
    <row r="4236" spans="7:8">
      <c r="G4236">
        <v>4226</v>
      </c>
      <c r="H4236">
        <f t="shared" ref="H4236:H4299" ca="1" si="74">_xlfn.NORM.INV(RAND(),N$13,N$14)</f>
        <v>3.0671844053357891E-2</v>
      </c>
    </row>
    <row r="4237" spans="7:8">
      <c r="G4237">
        <v>4227</v>
      </c>
      <c r="H4237">
        <f t="shared" ca="1" si="74"/>
        <v>-2.6989967979434874E-2</v>
      </c>
    </row>
    <row r="4238" spans="7:8">
      <c r="G4238">
        <v>4228</v>
      </c>
      <c r="H4238">
        <f t="shared" ca="1" si="74"/>
        <v>-8.1009362827447352E-3</v>
      </c>
    </row>
    <row r="4239" spans="7:8">
      <c r="G4239">
        <v>4229</v>
      </c>
      <c r="H4239">
        <f t="shared" ca="1" si="74"/>
        <v>-3.266025817520974E-2</v>
      </c>
    </row>
    <row r="4240" spans="7:8">
      <c r="G4240">
        <v>4230</v>
      </c>
      <c r="H4240">
        <f t="shared" ca="1" si="74"/>
        <v>1.7271813252519724E-3</v>
      </c>
    </row>
    <row r="4241" spans="7:8">
      <c r="G4241">
        <v>4231</v>
      </c>
      <c r="H4241">
        <f t="shared" ca="1" si="74"/>
        <v>2.6849993934000158E-2</v>
      </c>
    </row>
    <row r="4242" spans="7:8">
      <c r="G4242">
        <v>4232</v>
      </c>
      <c r="H4242">
        <f t="shared" ca="1" si="74"/>
        <v>8.5935083975891523E-3</v>
      </c>
    </row>
    <row r="4243" spans="7:8">
      <c r="G4243">
        <v>4233</v>
      </c>
      <c r="H4243">
        <f t="shared" ca="1" si="74"/>
        <v>-2.7953396743087325E-3</v>
      </c>
    </row>
    <row r="4244" spans="7:8">
      <c r="G4244">
        <v>4234</v>
      </c>
      <c r="H4244">
        <f t="shared" ca="1" si="74"/>
        <v>-1.7671585375724504E-2</v>
      </c>
    </row>
    <row r="4245" spans="7:8">
      <c r="G4245">
        <v>4235</v>
      </c>
      <c r="H4245">
        <f t="shared" ca="1" si="74"/>
        <v>-3.2614272919703627E-3</v>
      </c>
    </row>
    <row r="4246" spans="7:8">
      <c r="G4246">
        <v>4236</v>
      </c>
      <c r="H4246">
        <f t="shared" ca="1" si="74"/>
        <v>-4.7287260555973166E-3</v>
      </c>
    </row>
    <row r="4247" spans="7:8">
      <c r="G4247">
        <v>4237</v>
      </c>
      <c r="H4247">
        <f t="shared" ca="1" si="74"/>
        <v>4.2059703999412945E-2</v>
      </c>
    </row>
    <row r="4248" spans="7:8">
      <c r="G4248">
        <v>4238</v>
      </c>
      <c r="H4248">
        <f t="shared" ca="1" si="74"/>
        <v>-3.9080969253492952E-3</v>
      </c>
    </row>
    <row r="4249" spans="7:8">
      <c r="G4249">
        <v>4239</v>
      </c>
      <c r="H4249">
        <f t="shared" ca="1" si="74"/>
        <v>-1.143344369776219E-2</v>
      </c>
    </row>
    <row r="4250" spans="7:8">
      <c r="G4250">
        <v>4240</v>
      </c>
      <c r="H4250">
        <f t="shared" ca="1" si="74"/>
        <v>-9.9165914992074421E-4</v>
      </c>
    </row>
    <row r="4251" spans="7:8">
      <c r="G4251">
        <v>4241</v>
      </c>
      <c r="H4251">
        <f t="shared" ca="1" si="74"/>
        <v>-1.3871944007968899E-2</v>
      </c>
    </row>
    <row r="4252" spans="7:8">
      <c r="G4252">
        <v>4242</v>
      </c>
      <c r="H4252">
        <f t="shared" ca="1" si="74"/>
        <v>-2.1943043790319493E-2</v>
      </c>
    </row>
    <row r="4253" spans="7:8">
      <c r="G4253">
        <v>4243</v>
      </c>
      <c r="H4253">
        <f t="shared" ca="1" si="74"/>
        <v>9.7817076151352558E-3</v>
      </c>
    </row>
    <row r="4254" spans="7:8">
      <c r="G4254">
        <v>4244</v>
      </c>
      <c r="H4254">
        <f t="shared" ca="1" si="74"/>
        <v>2.5845041114847232E-2</v>
      </c>
    </row>
    <row r="4255" spans="7:8">
      <c r="G4255">
        <v>4245</v>
      </c>
      <c r="H4255">
        <f t="shared" ca="1" si="74"/>
        <v>-1.1171141860725005E-3</v>
      </c>
    </row>
    <row r="4256" spans="7:8">
      <c r="G4256">
        <v>4246</v>
      </c>
      <c r="H4256">
        <f t="shared" ca="1" si="74"/>
        <v>1.6750774884993689E-2</v>
      </c>
    </row>
    <row r="4257" spans="7:8">
      <c r="G4257">
        <v>4247</v>
      </c>
      <c r="H4257">
        <f t="shared" ca="1" si="74"/>
        <v>-4.5075272982609384E-3</v>
      </c>
    </row>
    <row r="4258" spans="7:8">
      <c r="G4258">
        <v>4248</v>
      </c>
      <c r="H4258">
        <f t="shared" ca="1" si="74"/>
        <v>-5.9268170951120754E-3</v>
      </c>
    </row>
    <row r="4259" spans="7:8">
      <c r="G4259">
        <v>4249</v>
      </c>
      <c r="H4259">
        <f t="shared" ca="1" si="74"/>
        <v>4.0774763083855931E-3</v>
      </c>
    </row>
    <row r="4260" spans="7:8">
      <c r="G4260">
        <v>4250</v>
      </c>
      <c r="H4260">
        <f t="shared" ca="1" si="74"/>
        <v>-1.3575020211021112E-2</v>
      </c>
    </row>
    <row r="4261" spans="7:8">
      <c r="G4261">
        <v>4251</v>
      </c>
      <c r="H4261">
        <f t="shared" ca="1" si="74"/>
        <v>-5.3372698470393861E-3</v>
      </c>
    </row>
    <row r="4262" spans="7:8">
      <c r="G4262">
        <v>4252</v>
      </c>
      <c r="H4262">
        <f t="shared" ca="1" si="74"/>
        <v>-3.922176325550681E-2</v>
      </c>
    </row>
    <row r="4263" spans="7:8">
      <c r="G4263">
        <v>4253</v>
      </c>
      <c r="H4263">
        <f t="shared" ca="1" si="74"/>
        <v>-1.1684633902409935E-2</v>
      </c>
    </row>
    <row r="4264" spans="7:8">
      <c r="G4264">
        <v>4254</v>
      </c>
      <c r="H4264">
        <f t="shared" ca="1" si="74"/>
        <v>-2.5500094767613404E-4</v>
      </c>
    </row>
    <row r="4265" spans="7:8">
      <c r="G4265">
        <v>4255</v>
      </c>
      <c r="H4265">
        <f t="shared" ca="1" si="74"/>
        <v>-1.6309042246485744E-2</v>
      </c>
    </row>
    <row r="4266" spans="7:8">
      <c r="G4266">
        <v>4256</v>
      </c>
      <c r="H4266">
        <f t="shared" ca="1" si="74"/>
        <v>4.4821062859112082E-2</v>
      </c>
    </row>
    <row r="4267" spans="7:8">
      <c r="G4267">
        <v>4257</v>
      </c>
      <c r="H4267">
        <f t="shared" ca="1" si="74"/>
        <v>-3.8785097040125471E-3</v>
      </c>
    </row>
    <row r="4268" spans="7:8">
      <c r="G4268">
        <v>4258</v>
      </c>
      <c r="H4268">
        <f t="shared" ca="1" si="74"/>
        <v>-1.9841288512239551E-2</v>
      </c>
    </row>
    <row r="4269" spans="7:8">
      <c r="G4269">
        <v>4259</v>
      </c>
      <c r="H4269">
        <f t="shared" ca="1" si="74"/>
        <v>6.7621008939321046E-3</v>
      </c>
    </row>
    <row r="4270" spans="7:8">
      <c r="G4270">
        <v>4260</v>
      </c>
      <c r="H4270">
        <f t="shared" ca="1" si="74"/>
        <v>-4.7631389815139865E-3</v>
      </c>
    </row>
    <row r="4271" spans="7:8">
      <c r="G4271">
        <v>4261</v>
      </c>
      <c r="H4271">
        <f t="shared" ca="1" si="74"/>
        <v>-1.7412054175131812E-2</v>
      </c>
    </row>
    <row r="4272" spans="7:8">
      <c r="G4272">
        <v>4262</v>
      </c>
      <c r="H4272">
        <f t="shared" ca="1" si="74"/>
        <v>-1.7275498493104554E-2</v>
      </c>
    </row>
    <row r="4273" spans="7:8">
      <c r="G4273">
        <v>4263</v>
      </c>
      <c r="H4273">
        <f t="shared" ca="1" si="74"/>
        <v>-4.7890490183409705E-2</v>
      </c>
    </row>
    <row r="4274" spans="7:8">
      <c r="G4274">
        <v>4264</v>
      </c>
      <c r="H4274">
        <f t="shared" ca="1" si="74"/>
        <v>1.3455216834582657E-2</v>
      </c>
    </row>
    <row r="4275" spans="7:8">
      <c r="G4275">
        <v>4265</v>
      </c>
      <c r="H4275">
        <f t="shared" ca="1" si="74"/>
        <v>3.3620802491093726E-2</v>
      </c>
    </row>
    <row r="4276" spans="7:8">
      <c r="G4276">
        <v>4266</v>
      </c>
      <c r="H4276">
        <f t="shared" ca="1" si="74"/>
        <v>1.6630255854916162E-2</v>
      </c>
    </row>
    <row r="4277" spans="7:8">
      <c r="G4277">
        <v>4267</v>
      </c>
      <c r="H4277">
        <f t="shared" ca="1" si="74"/>
        <v>-5.7447123345476594E-3</v>
      </c>
    </row>
    <row r="4278" spans="7:8">
      <c r="G4278">
        <v>4268</v>
      </c>
      <c r="H4278">
        <f t="shared" ca="1" si="74"/>
        <v>-8.7028885259716644E-3</v>
      </c>
    </row>
    <row r="4279" spans="7:8">
      <c r="G4279">
        <v>4269</v>
      </c>
      <c r="H4279">
        <f t="shared" ca="1" si="74"/>
        <v>-3.1004601024518564E-2</v>
      </c>
    </row>
    <row r="4280" spans="7:8">
      <c r="G4280">
        <v>4270</v>
      </c>
      <c r="H4280">
        <f t="shared" ca="1" si="74"/>
        <v>2.9813543150664051E-3</v>
      </c>
    </row>
    <row r="4281" spans="7:8">
      <c r="G4281">
        <v>4271</v>
      </c>
      <c r="H4281">
        <f t="shared" ca="1" si="74"/>
        <v>-1.4354345575379001E-2</v>
      </c>
    </row>
    <row r="4282" spans="7:8">
      <c r="G4282">
        <v>4272</v>
      </c>
      <c r="H4282">
        <f t="shared" ca="1" si="74"/>
        <v>4.2569099072173756E-3</v>
      </c>
    </row>
    <row r="4283" spans="7:8">
      <c r="G4283">
        <v>4273</v>
      </c>
      <c r="H4283">
        <f t="shared" ca="1" si="74"/>
        <v>-4.0606671420499403E-2</v>
      </c>
    </row>
    <row r="4284" spans="7:8">
      <c r="G4284">
        <v>4274</v>
      </c>
      <c r="H4284">
        <f t="shared" ca="1" si="74"/>
        <v>9.3730697641647778E-3</v>
      </c>
    </row>
    <row r="4285" spans="7:8">
      <c r="G4285">
        <v>4275</v>
      </c>
      <c r="H4285">
        <f t="shared" ca="1" si="74"/>
        <v>-1.6848397356897304E-2</v>
      </c>
    </row>
    <row r="4286" spans="7:8">
      <c r="G4286">
        <v>4276</v>
      </c>
      <c r="H4286">
        <f t="shared" ca="1" si="74"/>
        <v>-1.7386730570493822E-2</v>
      </c>
    </row>
    <row r="4287" spans="7:8">
      <c r="G4287">
        <v>4277</v>
      </c>
      <c r="H4287">
        <f t="shared" ca="1" si="74"/>
        <v>1.2664803563407652E-3</v>
      </c>
    </row>
    <row r="4288" spans="7:8">
      <c r="G4288">
        <v>4278</v>
      </c>
      <c r="H4288">
        <f t="shared" ca="1" si="74"/>
        <v>3.1691631545723513E-2</v>
      </c>
    </row>
    <row r="4289" spans="7:8">
      <c r="G4289">
        <v>4279</v>
      </c>
      <c r="H4289">
        <f t="shared" ca="1" si="74"/>
        <v>1.8578731123208701E-2</v>
      </c>
    </row>
    <row r="4290" spans="7:8">
      <c r="G4290">
        <v>4280</v>
      </c>
      <c r="H4290">
        <f t="shared" ca="1" si="74"/>
        <v>-1.9730558790765195E-2</v>
      </c>
    </row>
    <row r="4291" spans="7:8">
      <c r="G4291">
        <v>4281</v>
      </c>
      <c r="H4291">
        <f t="shared" ca="1" si="74"/>
        <v>1.0367084769343294E-2</v>
      </c>
    </row>
    <row r="4292" spans="7:8">
      <c r="G4292">
        <v>4282</v>
      </c>
      <c r="H4292">
        <f t="shared" ca="1" si="74"/>
        <v>6.0550415840257893E-3</v>
      </c>
    </row>
    <row r="4293" spans="7:8">
      <c r="G4293">
        <v>4283</v>
      </c>
      <c r="H4293">
        <f t="shared" ca="1" si="74"/>
        <v>-2.5198793777415664E-2</v>
      </c>
    </row>
    <row r="4294" spans="7:8">
      <c r="G4294">
        <v>4284</v>
      </c>
      <c r="H4294">
        <f t="shared" ca="1" si="74"/>
        <v>2.8151592823150058E-2</v>
      </c>
    </row>
    <row r="4295" spans="7:8">
      <c r="G4295">
        <v>4285</v>
      </c>
      <c r="H4295">
        <f t="shared" ca="1" si="74"/>
        <v>-2.5429925689419135E-2</v>
      </c>
    </row>
    <row r="4296" spans="7:8">
      <c r="G4296">
        <v>4286</v>
      </c>
      <c r="H4296">
        <f t="shared" ca="1" si="74"/>
        <v>2.2348855484124286E-3</v>
      </c>
    </row>
    <row r="4297" spans="7:8">
      <c r="G4297">
        <v>4287</v>
      </c>
      <c r="H4297">
        <f t="shared" ca="1" si="74"/>
        <v>-8.3180305511729585E-3</v>
      </c>
    </row>
    <row r="4298" spans="7:8">
      <c r="G4298">
        <v>4288</v>
      </c>
      <c r="H4298">
        <f t="shared" ca="1" si="74"/>
        <v>-1.4076795514263173E-2</v>
      </c>
    </row>
    <row r="4299" spans="7:8">
      <c r="G4299">
        <v>4289</v>
      </c>
      <c r="H4299">
        <f t="shared" ca="1" si="74"/>
        <v>-8.4125676843514588E-2</v>
      </c>
    </row>
    <row r="4300" spans="7:8">
      <c r="G4300">
        <v>4290</v>
      </c>
      <c r="H4300">
        <f t="shared" ref="H4300:H4363" ca="1" si="75">_xlfn.NORM.INV(RAND(),N$13,N$14)</f>
        <v>1.0711409970003484E-2</v>
      </c>
    </row>
    <row r="4301" spans="7:8">
      <c r="G4301">
        <v>4291</v>
      </c>
      <c r="H4301">
        <f t="shared" ca="1" si="75"/>
        <v>-2.1253110198313414E-3</v>
      </c>
    </row>
    <row r="4302" spans="7:8">
      <c r="G4302">
        <v>4292</v>
      </c>
      <c r="H4302">
        <f t="shared" ca="1" si="75"/>
        <v>-1.62952185391473E-2</v>
      </c>
    </row>
    <row r="4303" spans="7:8">
      <c r="G4303">
        <v>4293</v>
      </c>
      <c r="H4303">
        <f t="shared" ca="1" si="75"/>
        <v>-3.0617451309088595E-2</v>
      </c>
    </row>
    <row r="4304" spans="7:8">
      <c r="G4304">
        <v>4294</v>
      </c>
      <c r="H4304">
        <f t="shared" ca="1" si="75"/>
        <v>-4.3780200035487826E-3</v>
      </c>
    </row>
    <row r="4305" spans="7:8">
      <c r="G4305">
        <v>4295</v>
      </c>
      <c r="H4305">
        <f t="shared" ca="1" si="75"/>
        <v>8.5898970357086608E-3</v>
      </c>
    </row>
    <row r="4306" spans="7:8">
      <c r="G4306">
        <v>4296</v>
      </c>
      <c r="H4306">
        <f t="shared" ca="1" si="75"/>
        <v>-2.3604151185612949E-2</v>
      </c>
    </row>
    <row r="4307" spans="7:8">
      <c r="G4307">
        <v>4297</v>
      </c>
      <c r="H4307">
        <f t="shared" ca="1" si="75"/>
        <v>3.904482447871719E-2</v>
      </c>
    </row>
    <row r="4308" spans="7:8">
      <c r="G4308">
        <v>4298</v>
      </c>
      <c r="H4308">
        <f t="shared" ca="1" si="75"/>
        <v>-2.7074620331441736E-2</v>
      </c>
    </row>
    <row r="4309" spans="7:8">
      <c r="G4309">
        <v>4299</v>
      </c>
      <c r="H4309">
        <f t="shared" ca="1" si="75"/>
        <v>1.3588590515504696E-2</v>
      </c>
    </row>
    <row r="4310" spans="7:8">
      <c r="G4310">
        <v>4300</v>
      </c>
      <c r="H4310">
        <f t="shared" ca="1" si="75"/>
        <v>1.8286978767832151E-2</v>
      </c>
    </row>
    <row r="4311" spans="7:8">
      <c r="G4311">
        <v>4301</v>
      </c>
      <c r="H4311">
        <f t="shared" ca="1" si="75"/>
        <v>-3.2800858922178606E-2</v>
      </c>
    </row>
    <row r="4312" spans="7:8">
      <c r="G4312">
        <v>4302</v>
      </c>
      <c r="H4312">
        <f t="shared" ca="1" si="75"/>
        <v>2.8919909723611276E-2</v>
      </c>
    </row>
    <row r="4313" spans="7:8">
      <c r="G4313">
        <v>4303</v>
      </c>
      <c r="H4313">
        <f t="shared" ca="1" si="75"/>
        <v>3.1095317012520555E-2</v>
      </c>
    </row>
    <row r="4314" spans="7:8">
      <c r="G4314">
        <v>4304</v>
      </c>
      <c r="H4314">
        <f t="shared" ca="1" si="75"/>
        <v>5.2023952756800615E-3</v>
      </c>
    </row>
    <row r="4315" spans="7:8">
      <c r="G4315">
        <v>4305</v>
      </c>
      <c r="H4315">
        <f t="shared" ca="1" si="75"/>
        <v>-2.1901659322649456E-2</v>
      </c>
    </row>
    <row r="4316" spans="7:8">
      <c r="G4316">
        <v>4306</v>
      </c>
      <c r="H4316">
        <f t="shared" ca="1" si="75"/>
        <v>2.0651206993203366E-3</v>
      </c>
    </row>
    <row r="4317" spans="7:8">
      <c r="G4317">
        <v>4307</v>
      </c>
      <c r="H4317">
        <f t="shared" ca="1" si="75"/>
        <v>1.3566801238772176E-2</v>
      </c>
    </row>
    <row r="4318" spans="7:8">
      <c r="G4318">
        <v>4308</v>
      </c>
      <c r="H4318">
        <f t="shared" ca="1" si="75"/>
        <v>1.2092948092404794E-3</v>
      </c>
    </row>
    <row r="4319" spans="7:8">
      <c r="G4319">
        <v>4309</v>
      </c>
      <c r="H4319">
        <f t="shared" ca="1" si="75"/>
        <v>1.3372000719371243E-2</v>
      </c>
    </row>
    <row r="4320" spans="7:8">
      <c r="G4320">
        <v>4310</v>
      </c>
      <c r="H4320">
        <f t="shared" ca="1" si="75"/>
        <v>-3.547627725696368E-2</v>
      </c>
    </row>
    <row r="4321" spans="7:8">
      <c r="G4321">
        <v>4311</v>
      </c>
      <c r="H4321">
        <f t="shared" ca="1" si="75"/>
        <v>5.3129321915553881E-3</v>
      </c>
    </row>
    <row r="4322" spans="7:8">
      <c r="G4322">
        <v>4312</v>
      </c>
      <c r="H4322">
        <f t="shared" ca="1" si="75"/>
        <v>-1.4462266131920695E-2</v>
      </c>
    </row>
    <row r="4323" spans="7:8">
      <c r="G4323">
        <v>4313</v>
      </c>
      <c r="H4323">
        <f t="shared" ca="1" si="75"/>
        <v>-1.0393592142571921E-2</v>
      </c>
    </row>
    <row r="4324" spans="7:8">
      <c r="G4324">
        <v>4314</v>
      </c>
      <c r="H4324">
        <f t="shared" ca="1" si="75"/>
        <v>1.4839006034108692E-2</v>
      </c>
    </row>
    <row r="4325" spans="7:8">
      <c r="G4325">
        <v>4315</v>
      </c>
      <c r="H4325">
        <f t="shared" ca="1" si="75"/>
        <v>6.228920490308913E-3</v>
      </c>
    </row>
    <row r="4326" spans="7:8">
      <c r="G4326">
        <v>4316</v>
      </c>
      <c r="H4326">
        <f t="shared" ca="1" si="75"/>
        <v>-3.1171769148781952E-4</v>
      </c>
    </row>
    <row r="4327" spans="7:8">
      <c r="G4327">
        <v>4317</v>
      </c>
      <c r="H4327">
        <f t="shared" ca="1" si="75"/>
        <v>-2.0482632820812519E-2</v>
      </c>
    </row>
    <row r="4328" spans="7:8">
      <c r="G4328">
        <v>4318</v>
      </c>
      <c r="H4328">
        <f t="shared" ca="1" si="75"/>
        <v>-3.7797526297218696E-3</v>
      </c>
    </row>
    <row r="4329" spans="7:8">
      <c r="G4329">
        <v>4319</v>
      </c>
      <c r="H4329">
        <f t="shared" ca="1" si="75"/>
        <v>6.1682654759316505E-4</v>
      </c>
    </row>
    <row r="4330" spans="7:8">
      <c r="G4330">
        <v>4320</v>
      </c>
      <c r="H4330">
        <f t="shared" ca="1" si="75"/>
        <v>2.0444376443106527E-2</v>
      </c>
    </row>
    <row r="4331" spans="7:8">
      <c r="G4331">
        <v>4321</v>
      </c>
      <c r="H4331">
        <f t="shared" ca="1" si="75"/>
        <v>-2.4772399915483508E-3</v>
      </c>
    </row>
    <row r="4332" spans="7:8">
      <c r="G4332">
        <v>4322</v>
      </c>
      <c r="H4332">
        <f t="shared" ca="1" si="75"/>
        <v>-8.2285637442375756E-3</v>
      </c>
    </row>
    <row r="4333" spans="7:8">
      <c r="G4333">
        <v>4323</v>
      </c>
      <c r="H4333">
        <f t="shared" ca="1" si="75"/>
        <v>5.3608187106104543E-2</v>
      </c>
    </row>
    <row r="4334" spans="7:8">
      <c r="G4334">
        <v>4324</v>
      </c>
      <c r="H4334">
        <f t="shared" ca="1" si="75"/>
        <v>5.3349816604808531E-3</v>
      </c>
    </row>
    <row r="4335" spans="7:8">
      <c r="G4335">
        <v>4325</v>
      </c>
      <c r="H4335">
        <f t="shared" ca="1" si="75"/>
        <v>-4.0459444228330083E-3</v>
      </c>
    </row>
    <row r="4336" spans="7:8">
      <c r="G4336">
        <v>4326</v>
      </c>
      <c r="H4336">
        <f t="shared" ca="1" si="75"/>
        <v>-1.311816300399357E-2</v>
      </c>
    </row>
    <row r="4337" spans="7:8">
      <c r="G4337">
        <v>4327</v>
      </c>
      <c r="H4337">
        <f t="shared" ca="1" si="75"/>
        <v>-1.419354981926655E-2</v>
      </c>
    </row>
    <row r="4338" spans="7:8">
      <c r="G4338">
        <v>4328</v>
      </c>
      <c r="H4338">
        <f t="shared" ca="1" si="75"/>
        <v>-6.1104617798062575E-4</v>
      </c>
    </row>
    <row r="4339" spans="7:8">
      <c r="G4339">
        <v>4329</v>
      </c>
      <c r="H4339">
        <f t="shared" ca="1" si="75"/>
        <v>9.8123122373228022E-3</v>
      </c>
    </row>
    <row r="4340" spans="7:8">
      <c r="G4340">
        <v>4330</v>
      </c>
      <c r="H4340">
        <f t="shared" ca="1" si="75"/>
        <v>8.2343401773621715E-3</v>
      </c>
    </row>
    <row r="4341" spans="7:8">
      <c r="G4341">
        <v>4331</v>
      </c>
      <c r="H4341">
        <f t="shared" ca="1" si="75"/>
        <v>6.7076011565735385E-3</v>
      </c>
    </row>
    <row r="4342" spans="7:8">
      <c r="G4342">
        <v>4332</v>
      </c>
      <c r="H4342">
        <f t="shared" ca="1" si="75"/>
        <v>7.5204100993598831E-3</v>
      </c>
    </row>
    <row r="4343" spans="7:8">
      <c r="G4343">
        <v>4333</v>
      </c>
      <c r="H4343">
        <f t="shared" ca="1" si="75"/>
        <v>2.6492303493721287E-3</v>
      </c>
    </row>
    <row r="4344" spans="7:8">
      <c r="G4344">
        <v>4334</v>
      </c>
      <c r="H4344">
        <f t="shared" ca="1" si="75"/>
        <v>3.0573558231740735E-3</v>
      </c>
    </row>
    <row r="4345" spans="7:8">
      <c r="G4345">
        <v>4335</v>
      </c>
      <c r="H4345">
        <f t="shared" ca="1" si="75"/>
        <v>3.8977675026578312E-2</v>
      </c>
    </row>
    <row r="4346" spans="7:8">
      <c r="G4346">
        <v>4336</v>
      </c>
      <c r="H4346">
        <f t="shared" ca="1" si="75"/>
        <v>1.867104166388309E-3</v>
      </c>
    </row>
    <row r="4347" spans="7:8">
      <c r="G4347">
        <v>4337</v>
      </c>
      <c r="H4347">
        <f t="shared" ca="1" si="75"/>
        <v>6.7642145763599929E-3</v>
      </c>
    </row>
    <row r="4348" spans="7:8">
      <c r="G4348">
        <v>4338</v>
      </c>
      <c r="H4348">
        <f t="shared" ca="1" si="75"/>
        <v>-2.3750724409244837E-2</v>
      </c>
    </row>
    <row r="4349" spans="7:8">
      <c r="G4349">
        <v>4339</v>
      </c>
      <c r="H4349">
        <f t="shared" ca="1" si="75"/>
        <v>2.2509903138685223E-3</v>
      </c>
    </row>
    <row r="4350" spans="7:8">
      <c r="G4350">
        <v>4340</v>
      </c>
      <c r="H4350">
        <f t="shared" ca="1" si="75"/>
        <v>1.4548099275194248E-2</v>
      </c>
    </row>
    <row r="4351" spans="7:8">
      <c r="G4351">
        <v>4341</v>
      </c>
      <c r="H4351">
        <f t="shared" ca="1" si="75"/>
        <v>3.2588319296187138E-3</v>
      </c>
    </row>
    <row r="4352" spans="7:8">
      <c r="G4352">
        <v>4342</v>
      </c>
      <c r="H4352">
        <f t="shared" ca="1" si="75"/>
        <v>2.2597291147093659E-2</v>
      </c>
    </row>
    <row r="4353" spans="7:8">
      <c r="G4353">
        <v>4343</v>
      </c>
      <c r="H4353">
        <f t="shared" ca="1" si="75"/>
        <v>3.8788445568096158E-2</v>
      </c>
    </row>
    <row r="4354" spans="7:8">
      <c r="G4354">
        <v>4344</v>
      </c>
      <c r="H4354">
        <f t="shared" ca="1" si="75"/>
        <v>2.2316794316264692E-2</v>
      </c>
    </row>
    <row r="4355" spans="7:8">
      <c r="G4355">
        <v>4345</v>
      </c>
      <c r="H4355">
        <f t="shared" ca="1" si="75"/>
        <v>8.3704335549648103E-3</v>
      </c>
    </row>
    <row r="4356" spans="7:8">
      <c r="G4356">
        <v>4346</v>
      </c>
      <c r="H4356">
        <f t="shared" ca="1" si="75"/>
        <v>7.08894304306443E-3</v>
      </c>
    </row>
    <row r="4357" spans="7:8">
      <c r="G4357">
        <v>4347</v>
      </c>
      <c r="H4357">
        <f t="shared" ca="1" si="75"/>
        <v>1.9664496897650745E-2</v>
      </c>
    </row>
    <row r="4358" spans="7:8">
      <c r="G4358">
        <v>4348</v>
      </c>
      <c r="H4358">
        <f t="shared" ca="1" si="75"/>
        <v>-7.980798094870763E-3</v>
      </c>
    </row>
    <row r="4359" spans="7:8">
      <c r="G4359">
        <v>4349</v>
      </c>
      <c r="H4359">
        <f t="shared" ca="1" si="75"/>
        <v>-4.7325094539568902E-4</v>
      </c>
    </row>
    <row r="4360" spans="7:8">
      <c r="G4360">
        <v>4350</v>
      </c>
      <c r="H4360">
        <f t="shared" ca="1" si="75"/>
        <v>3.0558926075143548E-2</v>
      </c>
    </row>
    <row r="4361" spans="7:8">
      <c r="G4361">
        <v>4351</v>
      </c>
      <c r="H4361">
        <f t="shared" ca="1" si="75"/>
        <v>3.6999337745979681E-2</v>
      </c>
    </row>
    <row r="4362" spans="7:8">
      <c r="G4362">
        <v>4352</v>
      </c>
      <c r="H4362">
        <f t="shared" ca="1" si="75"/>
        <v>-3.516517927687575E-3</v>
      </c>
    </row>
    <row r="4363" spans="7:8">
      <c r="G4363">
        <v>4353</v>
      </c>
      <c r="H4363">
        <f t="shared" ca="1" si="75"/>
        <v>5.1073933649453214E-3</v>
      </c>
    </row>
    <row r="4364" spans="7:8">
      <c r="G4364">
        <v>4354</v>
      </c>
      <c r="H4364">
        <f t="shared" ref="H4364:H4427" ca="1" si="76">_xlfn.NORM.INV(RAND(),N$13,N$14)</f>
        <v>4.9593521513811075E-3</v>
      </c>
    </row>
    <row r="4365" spans="7:8">
      <c r="G4365">
        <v>4355</v>
      </c>
      <c r="H4365">
        <f t="shared" ca="1" si="76"/>
        <v>-5.400455174119829E-3</v>
      </c>
    </row>
    <row r="4366" spans="7:8">
      <c r="G4366">
        <v>4356</v>
      </c>
      <c r="H4366">
        <f t="shared" ca="1" si="76"/>
        <v>4.4918345880020277E-2</v>
      </c>
    </row>
    <row r="4367" spans="7:8">
      <c r="G4367">
        <v>4357</v>
      </c>
      <c r="H4367">
        <f t="shared" ca="1" si="76"/>
        <v>2.1767928258814274E-2</v>
      </c>
    </row>
    <row r="4368" spans="7:8">
      <c r="G4368">
        <v>4358</v>
      </c>
      <c r="H4368">
        <f t="shared" ca="1" si="76"/>
        <v>9.4672784917916031E-3</v>
      </c>
    </row>
    <row r="4369" spans="7:8">
      <c r="G4369">
        <v>4359</v>
      </c>
      <c r="H4369">
        <f t="shared" ca="1" si="76"/>
        <v>3.6322157261719679E-3</v>
      </c>
    </row>
    <row r="4370" spans="7:8">
      <c r="G4370">
        <v>4360</v>
      </c>
      <c r="H4370">
        <f t="shared" ca="1" si="76"/>
        <v>-2.4210966484050769E-2</v>
      </c>
    </row>
    <row r="4371" spans="7:8">
      <c r="G4371">
        <v>4361</v>
      </c>
      <c r="H4371">
        <f t="shared" ca="1" si="76"/>
        <v>-1.3857062389694069E-2</v>
      </c>
    </row>
    <row r="4372" spans="7:8">
      <c r="G4372">
        <v>4362</v>
      </c>
      <c r="H4372">
        <f t="shared" ca="1" si="76"/>
        <v>2.4021800966449975E-2</v>
      </c>
    </row>
    <row r="4373" spans="7:8">
      <c r="G4373">
        <v>4363</v>
      </c>
      <c r="H4373">
        <f t="shared" ca="1" si="76"/>
        <v>-2.6048657144083921E-2</v>
      </c>
    </row>
    <row r="4374" spans="7:8">
      <c r="G4374">
        <v>4364</v>
      </c>
      <c r="H4374">
        <f t="shared" ca="1" si="76"/>
        <v>2.7581928902035827E-2</v>
      </c>
    </row>
    <row r="4375" spans="7:8">
      <c r="G4375">
        <v>4365</v>
      </c>
      <c r="H4375">
        <f t="shared" ca="1" si="76"/>
        <v>-1.0332003541533583E-2</v>
      </c>
    </row>
    <row r="4376" spans="7:8">
      <c r="G4376">
        <v>4366</v>
      </c>
      <c r="H4376">
        <f t="shared" ca="1" si="76"/>
        <v>4.6147297490359736E-3</v>
      </c>
    </row>
    <row r="4377" spans="7:8">
      <c r="G4377">
        <v>4367</v>
      </c>
      <c r="H4377">
        <f t="shared" ca="1" si="76"/>
        <v>-3.7291048559929475E-3</v>
      </c>
    </row>
    <row r="4378" spans="7:8">
      <c r="G4378">
        <v>4368</v>
      </c>
      <c r="H4378">
        <f t="shared" ca="1" si="76"/>
        <v>-2.3465389543554573E-2</v>
      </c>
    </row>
    <row r="4379" spans="7:8">
      <c r="G4379">
        <v>4369</v>
      </c>
      <c r="H4379">
        <f t="shared" ca="1" si="76"/>
        <v>2.3353480814870303E-2</v>
      </c>
    </row>
    <row r="4380" spans="7:8">
      <c r="G4380">
        <v>4370</v>
      </c>
      <c r="H4380">
        <f t="shared" ca="1" si="76"/>
        <v>-1.3574190292199107E-2</v>
      </c>
    </row>
    <row r="4381" spans="7:8">
      <c r="G4381">
        <v>4371</v>
      </c>
      <c r="H4381">
        <f t="shared" ca="1" si="76"/>
        <v>1.2845371890412986E-2</v>
      </c>
    </row>
    <row r="4382" spans="7:8">
      <c r="G4382">
        <v>4372</v>
      </c>
      <c r="H4382">
        <f t="shared" ca="1" si="76"/>
        <v>1.3640878589171861E-2</v>
      </c>
    </row>
    <row r="4383" spans="7:8">
      <c r="G4383">
        <v>4373</v>
      </c>
      <c r="H4383">
        <f t="shared" ca="1" si="76"/>
        <v>-5.2620168957214088E-2</v>
      </c>
    </row>
    <row r="4384" spans="7:8">
      <c r="G4384">
        <v>4374</v>
      </c>
      <c r="H4384">
        <f t="shared" ca="1" si="76"/>
        <v>3.7003024214455472E-3</v>
      </c>
    </row>
    <row r="4385" spans="7:8">
      <c r="G4385">
        <v>4375</v>
      </c>
      <c r="H4385">
        <f t="shared" ca="1" si="76"/>
        <v>3.8676216607819253E-2</v>
      </c>
    </row>
    <row r="4386" spans="7:8">
      <c r="G4386">
        <v>4376</v>
      </c>
      <c r="H4386">
        <f t="shared" ca="1" si="76"/>
        <v>1.1319929838135883E-2</v>
      </c>
    </row>
    <row r="4387" spans="7:8">
      <c r="G4387">
        <v>4377</v>
      </c>
      <c r="H4387">
        <f t="shared" ca="1" si="76"/>
        <v>-3.7258476162658434E-2</v>
      </c>
    </row>
    <row r="4388" spans="7:8">
      <c r="G4388">
        <v>4378</v>
      </c>
      <c r="H4388">
        <f t="shared" ca="1" si="76"/>
        <v>-4.0022776715353917E-4</v>
      </c>
    </row>
    <row r="4389" spans="7:8">
      <c r="G4389">
        <v>4379</v>
      </c>
      <c r="H4389">
        <f t="shared" ca="1" si="76"/>
        <v>1.8502571426052706E-2</v>
      </c>
    </row>
    <row r="4390" spans="7:8">
      <c r="G4390">
        <v>4380</v>
      </c>
      <c r="H4390">
        <f t="shared" ca="1" si="76"/>
        <v>4.7388971430388352E-2</v>
      </c>
    </row>
    <row r="4391" spans="7:8">
      <c r="G4391">
        <v>4381</v>
      </c>
      <c r="H4391">
        <f t="shared" ca="1" si="76"/>
        <v>3.95799904327905E-2</v>
      </c>
    </row>
    <row r="4392" spans="7:8">
      <c r="G4392">
        <v>4382</v>
      </c>
      <c r="H4392">
        <f t="shared" ca="1" si="76"/>
        <v>2.3445814950749103E-2</v>
      </c>
    </row>
    <row r="4393" spans="7:8">
      <c r="G4393">
        <v>4383</v>
      </c>
      <c r="H4393">
        <f t="shared" ca="1" si="76"/>
        <v>-3.3736517789575149E-2</v>
      </c>
    </row>
    <row r="4394" spans="7:8">
      <c r="G4394">
        <v>4384</v>
      </c>
      <c r="H4394">
        <f t="shared" ca="1" si="76"/>
        <v>-2.2772648702573332E-2</v>
      </c>
    </row>
    <row r="4395" spans="7:8">
      <c r="G4395">
        <v>4385</v>
      </c>
      <c r="H4395">
        <f t="shared" ca="1" si="76"/>
        <v>4.5444711584069798E-2</v>
      </c>
    </row>
    <row r="4396" spans="7:8">
      <c r="G4396">
        <v>4386</v>
      </c>
      <c r="H4396">
        <f t="shared" ca="1" si="76"/>
        <v>-1.0235309364942293E-2</v>
      </c>
    </row>
    <row r="4397" spans="7:8">
      <c r="G4397">
        <v>4387</v>
      </c>
      <c r="H4397">
        <f t="shared" ca="1" si="76"/>
        <v>-1.9796759122983477E-3</v>
      </c>
    </row>
    <row r="4398" spans="7:8">
      <c r="G4398">
        <v>4388</v>
      </c>
      <c r="H4398">
        <f t="shared" ca="1" si="76"/>
        <v>-8.6553466295585489E-3</v>
      </c>
    </row>
    <row r="4399" spans="7:8">
      <c r="G4399">
        <v>4389</v>
      </c>
      <c r="H4399">
        <f t="shared" ca="1" si="76"/>
        <v>4.5950537516136064E-3</v>
      </c>
    </row>
    <row r="4400" spans="7:8">
      <c r="G4400">
        <v>4390</v>
      </c>
      <c r="H4400">
        <f t="shared" ca="1" si="76"/>
        <v>4.9600605913884988E-2</v>
      </c>
    </row>
    <row r="4401" spans="7:8">
      <c r="G4401">
        <v>4391</v>
      </c>
      <c r="H4401">
        <f t="shared" ca="1" si="76"/>
        <v>-3.1144969224484332E-2</v>
      </c>
    </row>
    <row r="4402" spans="7:8">
      <c r="G4402">
        <v>4392</v>
      </c>
      <c r="H4402">
        <f t="shared" ca="1" si="76"/>
        <v>-1.0815832530437892E-2</v>
      </c>
    </row>
    <row r="4403" spans="7:8">
      <c r="G4403">
        <v>4393</v>
      </c>
      <c r="H4403">
        <f t="shared" ca="1" si="76"/>
        <v>6.0206994451834596E-3</v>
      </c>
    </row>
    <row r="4404" spans="7:8">
      <c r="G4404">
        <v>4394</v>
      </c>
      <c r="H4404">
        <f t="shared" ca="1" si="76"/>
        <v>-4.2000908306947969E-3</v>
      </c>
    </row>
    <row r="4405" spans="7:8">
      <c r="G4405">
        <v>4395</v>
      </c>
      <c r="H4405">
        <f t="shared" ca="1" si="76"/>
        <v>2.5684924818092929E-3</v>
      </c>
    </row>
    <row r="4406" spans="7:8">
      <c r="G4406">
        <v>4396</v>
      </c>
      <c r="H4406">
        <f t="shared" ca="1" si="76"/>
        <v>-1.5636198960671456E-2</v>
      </c>
    </row>
    <row r="4407" spans="7:8">
      <c r="G4407">
        <v>4397</v>
      </c>
      <c r="H4407">
        <f t="shared" ca="1" si="76"/>
        <v>-2.2142026064172902E-2</v>
      </c>
    </row>
    <row r="4408" spans="7:8">
      <c r="G4408">
        <v>4398</v>
      </c>
      <c r="H4408">
        <f t="shared" ca="1" si="76"/>
        <v>1.5201689841952457E-2</v>
      </c>
    </row>
    <row r="4409" spans="7:8">
      <c r="G4409">
        <v>4399</v>
      </c>
      <c r="H4409">
        <f t="shared" ca="1" si="76"/>
        <v>-3.729563902043341E-2</v>
      </c>
    </row>
    <row r="4410" spans="7:8">
      <c r="G4410">
        <v>4400</v>
      </c>
      <c r="H4410">
        <f t="shared" ca="1" si="76"/>
        <v>-5.1199880414040744E-3</v>
      </c>
    </row>
    <row r="4411" spans="7:8">
      <c r="G4411">
        <v>4401</v>
      </c>
      <c r="H4411">
        <f t="shared" ca="1" si="76"/>
        <v>-7.4100173404372943E-3</v>
      </c>
    </row>
    <row r="4412" spans="7:8">
      <c r="G4412">
        <v>4402</v>
      </c>
      <c r="H4412">
        <f t="shared" ca="1" si="76"/>
        <v>1.6903693216247611E-2</v>
      </c>
    </row>
    <row r="4413" spans="7:8">
      <c r="G4413">
        <v>4403</v>
      </c>
      <c r="H4413">
        <f t="shared" ca="1" si="76"/>
        <v>5.4547193371762273E-3</v>
      </c>
    </row>
    <row r="4414" spans="7:8">
      <c r="G4414">
        <v>4404</v>
      </c>
      <c r="H4414">
        <f t="shared" ca="1" si="76"/>
        <v>-2.1013161669246563E-2</v>
      </c>
    </row>
    <row r="4415" spans="7:8">
      <c r="G4415">
        <v>4405</v>
      </c>
      <c r="H4415">
        <f t="shared" ca="1" si="76"/>
        <v>-2.26253145762467E-2</v>
      </c>
    </row>
    <row r="4416" spans="7:8">
      <c r="G4416">
        <v>4406</v>
      </c>
      <c r="H4416">
        <f t="shared" ca="1" si="76"/>
        <v>1.4675478482723187E-2</v>
      </c>
    </row>
    <row r="4417" spans="7:8">
      <c r="G4417">
        <v>4407</v>
      </c>
      <c r="H4417">
        <f t="shared" ca="1" si="76"/>
        <v>-1.4781455646137061E-2</v>
      </c>
    </row>
    <row r="4418" spans="7:8">
      <c r="G4418">
        <v>4408</v>
      </c>
      <c r="H4418">
        <f t="shared" ca="1" si="76"/>
        <v>-1.5680101373600118E-2</v>
      </c>
    </row>
    <row r="4419" spans="7:8">
      <c r="G4419">
        <v>4409</v>
      </c>
      <c r="H4419">
        <f t="shared" ca="1" si="76"/>
        <v>-1.8508538192061434E-2</v>
      </c>
    </row>
    <row r="4420" spans="7:8">
      <c r="G4420">
        <v>4410</v>
      </c>
      <c r="H4420">
        <f t="shared" ca="1" si="76"/>
        <v>-4.0797805520768018E-2</v>
      </c>
    </row>
    <row r="4421" spans="7:8">
      <c r="G4421">
        <v>4411</v>
      </c>
      <c r="H4421">
        <f t="shared" ca="1" si="76"/>
        <v>4.3284868698500456E-2</v>
      </c>
    </row>
    <row r="4422" spans="7:8">
      <c r="G4422">
        <v>4412</v>
      </c>
      <c r="H4422">
        <f t="shared" ca="1" si="76"/>
        <v>-7.0585848426687873E-4</v>
      </c>
    </row>
    <row r="4423" spans="7:8">
      <c r="G4423">
        <v>4413</v>
      </c>
      <c r="H4423">
        <f t="shared" ca="1" si="76"/>
        <v>2.627248271607514E-2</v>
      </c>
    </row>
    <row r="4424" spans="7:8">
      <c r="G4424">
        <v>4414</v>
      </c>
      <c r="H4424">
        <f t="shared" ca="1" si="76"/>
        <v>-3.3597556214169162E-2</v>
      </c>
    </row>
    <row r="4425" spans="7:8">
      <c r="G4425">
        <v>4415</v>
      </c>
      <c r="H4425">
        <f t="shared" ca="1" si="76"/>
        <v>-3.343696958734192E-3</v>
      </c>
    </row>
    <row r="4426" spans="7:8">
      <c r="G4426">
        <v>4416</v>
      </c>
      <c r="H4426">
        <f t="shared" ca="1" si="76"/>
        <v>-3.3420457997672466E-2</v>
      </c>
    </row>
    <row r="4427" spans="7:8">
      <c r="G4427">
        <v>4417</v>
      </c>
      <c r="H4427">
        <f t="shared" ca="1" si="76"/>
        <v>1.4864427891193025E-2</v>
      </c>
    </row>
    <row r="4428" spans="7:8">
      <c r="G4428">
        <v>4418</v>
      </c>
      <c r="H4428">
        <f t="shared" ref="H4428:H4491" ca="1" si="77">_xlfn.NORM.INV(RAND(),N$13,N$14)</f>
        <v>2.7288940149786313E-2</v>
      </c>
    </row>
    <row r="4429" spans="7:8">
      <c r="G4429">
        <v>4419</v>
      </c>
      <c r="H4429">
        <f t="shared" ca="1" si="77"/>
        <v>-1.0824980315537965E-2</v>
      </c>
    </row>
    <row r="4430" spans="7:8">
      <c r="G4430">
        <v>4420</v>
      </c>
      <c r="H4430">
        <f t="shared" ca="1" si="77"/>
        <v>-1.1455838474760597E-2</v>
      </c>
    </row>
    <row r="4431" spans="7:8">
      <c r="G4431">
        <v>4421</v>
      </c>
      <c r="H4431">
        <f t="shared" ca="1" si="77"/>
        <v>-1.6655409307607068E-2</v>
      </c>
    </row>
    <row r="4432" spans="7:8">
      <c r="G4432">
        <v>4422</v>
      </c>
      <c r="H4432">
        <f t="shared" ca="1" si="77"/>
        <v>2.4379757400554147E-2</v>
      </c>
    </row>
    <row r="4433" spans="7:8">
      <c r="G4433">
        <v>4423</v>
      </c>
      <c r="H4433">
        <f t="shared" ca="1" si="77"/>
        <v>5.9968867059516937E-3</v>
      </c>
    </row>
    <row r="4434" spans="7:8">
      <c r="G4434">
        <v>4424</v>
      </c>
      <c r="H4434">
        <f t="shared" ca="1" si="77"/>
        <v>1.4670695704748311E-2</v>
      </c>
    </row>
    <row r="4435" spans="7:8">
      <c r="G4435">
        <v>4425</v>
      </c>
      <c r="H4435">
        <f t="shared" ca="1" si="77"/>
        <v>6.2102292016966423E-3</v>
      </c>
    </row>
    <row r="4436" spans="7:8">
      <c r="G4436">
        <v>4426</v>
      </c>
      <c r="H4436">
        <f t="shared" ca="1" si="77"/>
        <v>-2.2820439294426127E-2</v>
      </c>
    </row>
    <row r="4437" spans="7:8">
      <c r="G4437">
        <v>4427</v>
      </c>
      <c r="H4437">
        <f t="shared" ca="1" si="77"/>
        <v>-2.0341022779736255E-2</v>
      </c>
    </row>
    <row r="4438" spans="7:8">
      <c r="G4438">
        <v>4428</v>
      </c>
      <c r="H4438">
        <f t="shared" ca="1" si="77"/>
        <v>2.7695432343439624E-3</v>
      </c>
    </row>
    <row r="4439" spans="7:8">
      <c r="G4439">
        <v>4429</v>
      </c>
      <c r="H4439">
        <f t="shared" ca="1" si="77"/>
        <v>-2.654819990440313E-2</v>
      </c>
    </row>
    <row r="4440" spans="7:8">
      <c r="G4440">
        <v>4430</v>
      </c>
      <c r="H4440">
        <f t="shared" ca="1" si="77"/>
        <v>9.7567685633020117E-3</v>
      </c>
    </row>
    <row r="4441" spans="7:8">
      <c r="G4441">
        <v>4431</v>
      </c>
      <c r="H4441">
        <f t="shared" ca="1" si="77"/>
        <v>-2.0837963397970657E-2</v>
      </c>
    </row>
    <row r="4442" spans="7:8">
      <c r="G4442">
        <v>4432</v>
      </c>
      <c r="H4442">
        <f t="shared" ca="1" si="77"/>
        <v>6.7462745619731208E-3</v>
      </c>
    </row>
    <row r="4443" spans="7:8">
      <c r="G4443">
        <v>4433</v>
      </c>
      <c r="H4443">
        <f t="shared" ca="1" si="77"/>
        <v>1.3377704998002008E-2</v>
      </c>
    </row>
    <row r="4444" spans="7:8">
      <c r="G4444">
        <v>4434</v>
      </c>
      <c r="H4444">
        <f t="shared" ca="1" si="77"/>
        <v>-2.9890619723343674E-3</v>
      </c>
    </row>
    <row r="4445" spans="7:8">
      <c r="G4445">
        <v>4435</v>
      </c>
      <c r="H4445">
        <f t="shared" ca="1" si="77"/>
        <v>2.5810564951546121E-2</v>
      </c>
    </row>
    <row r="4446" spans="7:8">
      <c r="G4446">
        <v>4436</v>
      </c>
      <c r="H4446">
        <f t="shared" ca="1" si="77"/>
        <v>3.9155556576792393E-2</v>
      </c>
    </row>
    <row r="4447" spans="7:8">
      <c r="G4447">
        <v>4437</v>
      </c>
      <c r="H4447">
        <f t="shared" ca="1" si="77"/>
        <v>1.8046652759291775E-2</v>
      </c>
    </row>
    <row r="4448" spans="7:8">
      <c r="G4448">
        <v>4438</v>
      </c>
      <c r="H4448">
        <f t="shared" ca="1" si="77"/>
        <v>2.2528435498801552E-2</v>
      </c>
    </row>
    <row r="4449" spans="7:8">
      <c r="G4449">
        <v>4439</v>
      </c>
      <c r="H4449">
        <f t="shared" ca="1" si="77"/>
        <v>-1.1960990966424619E-2</v>
      </c>
    </row>
    <row r="4450" spans="7:8">
      <c r="G4450">
        <v>4440</v>
      </c>
      <c r="H4450">
        <f t="shared" ca="1" si="77"/>
        <v>-1.3813678966362328E-2</v>
      </c>
    </row>
    <row r="4451" spans="7:8">
      <c r="G4451">
        <v>4441</v>
      </c>
      <c r="H4451">
        <f t="shared" ca="1" si="77"/>
        <v>-1.8502058019097393E-3</v>
      </c>
    </row>
    <row r="4452" spans="7:8">
      <c r="G4452">
        <v>4442</v>
      </c>
      <c r="H4452">
        <f t="shared" ca="1" si="77"/>
        <v>6.5458776911311196E-3</v>
      </c>
    </row>
    <row r="4453" spans="7:8">
      <c r="G4453">
        <v>4443</v>
      </c>
      <c r="H4453">
        <f t="shared" ca="1" si="77"/>
        <v>-1.6220823082577492E-2</v>
      </c>
    </row>
    <row r="4454" spans="7:8">
      <c r="G4454">
        <v>4444</v>
      </c>
      <c r="H4454">
        <f t="shared" ca="1" si="77"/>
        <v>2.9065195954086395E-2</v>
      </c>
    </row>
    <row r="4455" spans="7:8">
      <c r="G4455">
        <v>4445</v>
      </c>
      <c r="H4455">
        <f t="shared" ca="1" si="77"/>
        <v>1.5139512803487153E-2</v>
      </c>
    </row>
    <row r="4456" spans="7:8">
      <c r="G4456">
        <v>4446</v>
      </c>
      <c r="H4456">
        <f t="shared" ca="1" si="77"/>
        <v>-4.1161789462012537E-2</v>
      </c>
    </row>
    <row r="4457" spans="7:8">
      <c r="G4457">
        <v>4447</v>
      </c>
      <c r="H4457">
        <f t="shared" ca="1" si="77"/>
        <v>3.5881208491401063E-2</v>
      </c>
    </row>
    <row r="4458" spans="7:8">
      <c r="G4458">
        <v>4448</v>
      </c>
      <c r="H4458">
        <f t="shared" ca="1" si="77"/>
        <v>2.182095511867135E-2</v>
      </c>
    </row>
    <row r="4459" spans="7:8">
      <c r="G4459">
        <v>4449</v>
      </c>
      <c r="H4459">
        <f t="shared" ca="1" si="77"/>
        <v>-2.0110399170359689E-2</v>
      </c>
    </row>
    <row r="4460" spans="7:8">
      <c r="G4460">
        <v>4450</v>
      </c>
      <c r="H4460">
        <f t="shared" ca="1" si="77"/>
        <v>-1.3186830980845752E-2</v>
      </c>
    </row>
    <row r="4461" spans="7:8">
      <c r="G4461">
        <v>4451</v>
      </c>
      <c r="H4461">
        <f t="shared" ca="1" si="77"/>
        <v>1.8814562935380585E-2</v>
      </c>
    </row>
    <row r="4462" spans="7:8">
      <c r="G4462">
        <v>4452</v>
      </c>
      <c r="H4462">
        <f t="shared" ca="1" si="77"/>
        <v>2.113368920864514E-2</v>
      </c>
    </row>
    <row r="4463" spans="7:8">
      <c r="G4463">
        <v>4453</v>
      </c>
      <c r="H4463">
        <f t="shared" ca="1" si="77"/>
        <v>-1.6229221235334997E-2</v>
      </c>
    </row>
    <row r="4464" spans="7:8">
      <c r="G4464">
        <v>4454</v>
      </c>
      <c r="H4464">
        <f t="shared" ca="1" si="77"/>
        <v>-2.9677708836862576E-2</v>
      </c>
    </row>
    <row r="4465" spans="7:8">
      <c r="G4465">
        <v>4455</v>
      </c>
      <c r="H4465">
        <f t="shared" ca="1" si="77"/>
        <v>-2.1985393387527218E-2</v>
      </c>
    </row>
    <row r="4466" spans="7:8">
      <c r="G4466">
        <v>4456</v>
      </c>
      <c r="H4466">
        <f t="shared" ca="1" si="77"/>
        <v>2.9588981997698091E-2</v>
      </c>
    </row>
    <row r="4467" spans="7:8">
      <c r="G4467">
        <v>4457</v>
      </c>
      <c r="H4467">
        <f t="shared" ca="1" si="77"/>
        <v>-9.7801212286618699E-3</v>
      </c>
    </row>
    <row r="4468" spans="7:8">
      <c r="G4468">
        <v>4458</v>
      </c>
      <c r="H4468">
        <f t="shared" ca="1" si="77"/>
        <v>-2.8886542579675465E-2</v>
      </c>
    </row>
    <row r="4469" spans="7:8">
      <c r="G4469">
        <v>4459</v>
      </c>
      <c r="H4469">
        <f t="shared" ca="1" si="77"/>
        <v>4.2895492727420929E-3</v>
      </c>
    </row>
    <row r="4470" spans="7:8">
      <c r="G4470">
        <v>4460</v>
      </c>
      <c r="H4470">
        <f t="shared" ca="1" si="77"/>
        <v>7.2657909394310176E-3</v>
      </c>
    </row>
    <row r="4471" spans="7:8">
      <c r="G4471">
        <v>4461</v>
      </c>
      <c r="H4471">
        <f t="shared" ca="1" si="77"/>
        <v>-5.6076953770156325E-3</v>
      </c>
    </row>
    <row r="4472" spans="7:8">
      <c r="G4472">
        <v>4462</v>
      </c>
      <c r="H4472">
        <f t="shared" ca="1" si="77"/>
        <v>1.1110399183609119E-2</v>
      </c>
    </row>
    <row r="4473" spans="7:8">
      <c r="G4473">
        <v>4463</v>
      </c>
      <c r="H4473">
        <f t="shared" ca="1" si="77"/>
        <v>-1.5462217848112334E-2</v>
      </c>
    </row>
    <row r="4474" spans="7:8">
      <c r="G4474">
        <v>4464</v>
      </c>
      <c r="H4474">
        <f t="shared" ca="1" si="77"/>
        <v>-2.3534972075236272E-3</v>
      </c>
    </row>
    <row r="4475" spans="7:8">
      <c r="G4475">
        <v>4465</v>
      </c>
      <c r="H4475">
        <f t="shared" ca="1" si="77"/>
        <v>-1.5539722661338337E-2</v>
      </c>
    </row>
    <row r="4476" spans="7:8">
      <c r="G4476">
        <v>4466</v>
      </c>
      <c r="H4476">
        <f t="shared" ca="1" si="77"/>
        <v>3.3131666712153097E-2</v>
      </c>
    </row>
    <row r="4477" spans="7:8">
      <c r="G4477">
        <v>4467</v>
      </c>
      <c r="H4477">
        <f t="shared" ca="1" si="77"/>
        <v>-1.638903590039437E-2</v>
      </c>
    </row>
    <row r="4478" spans="7:8">
      <c r="G4478">
        <v>4468</v>
      </c>
      <c r="H4478">
        <f t="shared" ca="1" si="77"/>
        <v>-1.8286120931140622E-2</v>
      </c>
    </row>
    <row r="4479" spans="7:8">
      <c r="G4479">
        <v>4469</v>
      </c>
      <c r="H4479">
        <f t="shared" ca="1" si="77"/>
        <v>3.597660971287131E-2</v>
      </c>
    </row>
    <row r="4480" spans="7:8">
      <c r="G4480">
        <v>4470</v>
      </c>
      <c r="H4480">
        <f t="shared" ca="1" si="77"/>
        <v>-1.9007852897899953E-3</v>
      </c>
    </row>
    <row r="4481" spans="7:8">
      <c r="G4481">
        <v>4471</v>
      </c>
      <c r="H4481">
        <f t="shared" ca="1" si="77"/>
        <v>1.0047705599853816E-2</v>
      </c>
    </row>
    <row r="4482" spans="7:8">
      <c r="G4482">
        <v>4472</v>
      </c>
      <c r="H4482">
        <f t="shared" ca="1" si="77"/>
        <v>3.8339636785791088E-2</v>
      </c>
    </row>
    <row r="4483" spans="7:8">
      <c r="G4483">
        <v>4473</v>
      </c>
      <c r="H4483">
        <f t="shared" ca="1" si="77"/>
        <v>2.5452970704060184E-2</v>
      </c>
    </row>
    <row r="4484" spans="7:8">
      <c r="G4484">
        <v>4474</v>
      </c>
      <c r="H4484">
        <f t="shared" ca="1" si="77"/>
        <v>-2.2244241489234539E-3</v>
      </c>
    </row>
    <row r="4485" spans="7:8">
      <c r="G4485">
        <v>4475</v>
      </c>
      <c r="H4485">
        <f t="shared" ca="1" si="77"/>
        <v>1.3648315168713204E-2</v>
      </c>
    </row>
    <row r="4486" spans="7:8">
      <c r="G4486">
        <v>4476</v>
      </c>
      <c r="H4486">
        <f t="shared" ca="1" si="77"/>
        <v>-2.033372492724262E-2</v>
      </c>
    </row>
    <row r="4487" spans="7:8">
      <c r="G4487">
        <v>4477</v>
      </c>
      <c r="H4487">
        <f t="shared" ca="1" si="77"/>
        <v>6.9831859200646038E-3</v>
      </c>
    </row>
    <row r="4488" spans="7:8">
      <c r="G4488">
        <v>4478</v>
      </c>
      <c r="H4488">
        <f t="shared" ca="1" si="77"/>
        <v>-5.8163675120734655E-3</v>
      </c>
    </row>
    <row r="4489" spans="7:8">
      <c r="G4489">
        <v>4479</v>
      </c>
      <c r="H4489">
        <f t="shared" ca="1" si="77"/>
        <v>-3.2505718684748913E-2</v>
      </c>
    </row>
    <row r="4490" spans="7:8">
      <c r="G4490">
        <v>4480</v>
      </c>
      <c r="H4490">
        <f t="shared" ca="1" si="77"/>
        <v>2.4800162164675382E-2</v>
      </c>
    </row>
    <row r="4491" spans="7:8">
      <c r="G4491">
        <v>4481</v>
      </c>
      <c r="H4491">
        <f t="shared" ca="1" si="77"/>
        <v>7.6747127172850302E-3</v>
      </c>
    </row>
    <row r="4492" spans="7:8">
      <c r="G4492">
        <v>4482</v>
      </c>
      <c r="H4492">
        <f t="shared" ref="H4492:H4555" ca="1" si="78">_xlfn.NORM.INV(RAND(),N$13,N$14)</f>
        <v>-6.5157991968456744E-3</v>
      </c>
    </row>
    <row r="4493" spans="7:8">
      <c r="G4493">
        <v>4483</v>
      </c>
      <c r="H4493">
        <f t="shared" ca="1" si="78"/>
        <v>-1.5142340270829826E-2</v>
      </c>
    </row>
    <row r="4494" spans="7:8">
      <c r="G4494">
        <v>4484</v>
      </c>
      <c r="H4494">
        <f t="shared" ca="1" si="78"/>
        <v>-1.4867930748104082E-2</v>
      </c>
    </row>
    <row r="4495" spans="7:8">
      <c r="G4495">
        <v>4485</v>
      </c>
      <c r="H4495">
        <f t="shared" ca="1" si="78"/>
        <v>3.1576003079776581E-4</v>
      </c>
    </row>
    <row r="4496" spans="7:8">
      <c r="G4496">
        <v>4486</v>
      </c>
      <c r="H4496">
        <f t="shared" ca="1" si="78"/>
        <v>8.6375139835030076E-3</v>
      </c>
    </row>
    <row r="4497" spans="7:8">
      <c r="G4497">
        <v>4487</v>
      </c>
      <c r="H4497">
        <f t="shared" ca="1" si="78"/>
        <v>2.0884221153328417E-3</v>
      </c>
    </row>
    <row r="4498" spans="7:8">
      <c r="G4498">
        <v>4488</v>
      </c>
      <c r="H4498">
        <f t="shared" ca="1" si="78"/>
        <v>-1.0275455343868313E-2</v>
      </c>
    </row>
    <row r="4499" spans="7:8">
      <c r="G4499">
        <v>4489</v>
      </c>
      <c r="H4499">
        <f t="shared" ca="1" si="78"/>
        <v>-1.2980895957404134E-2</v>
      </c>
    </row>
    <row r="4500" spans="7:8">
      <c r="G4500">
        <v>4490</v>
      </c>
      <c r="H4500">
        <f t="shared" ca="1" si="78"/>
        <v>-1.768587341670157E-2</v>
      </c>
    </row>
    <row r="4501" spans="7:8">
      <c r="G4501">
        <v>4491</v>
      </c>
      <c r="H4501">
        <f t="shared" ca="1" si="78"/>
        <v>3.3456112794374461E-4</v>
      </c>
    </row>
    <row r="4502" spans="7:8">
      <c r="G4502">
        <v>4492</v>
      </c>
      <c r="H4502">
        <f t="shared" ca="1" si="78"/>
        <v>1.2390381354591518E-2</v>
      </c>
    </row>
    <row r="4503" spans="7:8">
      <c r="G4503">
        <v>4493</v>
      </c>
      <c r="H4503">
        <f t="shared" ca="1" si="78"/>
        <v>1.446703769262781E-2</v>
      </c>
    </row>
    <row r="4504" spans="7:8">
      <c r="G4504">
        <v>4494</v>
      </c>
      <c r="H4504">
        <f t="shared" ca="1" si="78"/>
        <v>1.7541568891767383E-2</v>
      </c>
    </row>
    <row r="4505" spans="7:8">
      <c r="G4505">
        <v>4495</v>
      </c>
      <c r="H4505">
        <f t="shared" ca="1" si="78"/>
        <v>-5.7206135655127307E-3</v>
      </c>
    </row>
    <row r="4506" spans="7:8">
      <c r="G4506">
        <v>4496</v>
      </c>
      <c r="H4506">
        <f t="shared" ca="1" si="78"/>
        <v>-2.9959559513933914E-3</v>
      </c>
    </row>
    <row r="4507" spans="7:8">
      <c r="G4507">
        <v>4497</v>
      </c>
      <c r="H4507">
        <f t="shared" ca="1" si="78"/>
        <v>-2.2464342400896072E-2</v>
      </c>
    </row>
    <row r="4508" spans="7:8">
      <c r="G4508">
        <v>4498</v>
      </c>
      <c r="H4508">
        <f t="shared" ca="1" si="78"/>
        <v>-2.3908293453154213E-2</v>
      </c>
    </row>
    <row r="4509" spans="7:8">
      <c r="G4509">
        <v>4499</v>
      </c>
      <c r="H4509">
        <f t="shared" ca="1" si="78"/>
        <v>5.2533753875755656E-3</v>
      </c>
    </row>
    <row r="4510" spans="7:8">
      <c r="G4510">
        <v>4500</v>
      </c>
      <c r="H4510">
        <f t="shared" ca="1" si="78"/>
        <v>-9.198572419131551E-3</v>
      </c>
    </row>
    <row r="4511" spans="7:8">
      <c r="G4511">
        <v>4501</v>
      </c>
      <c r="H4511">
        <f t="shared" ca="1" si="78"/>
        <v>-1.808850277789056E-2</v>
      </c>
    </row>
    <row r="4512" spans="7:8">
      <c r="G4512">
        <v>4502</v>
      </c>
      <c r="H4512">
        <f t="shared" ca="1" si="78"/>
        <v>-1.935539348185859E-2</v>
      </c>
    </row>
    <row r="4513" spans="7:8">
      <c r="G4513">
        <v>4503</v>
      </c>
      <c r="H4513">
        <f t="shared" ca="1" si="78"/>
        <v>1.8312127355281211E-3</v>
      </c>
    </row>
    <row r="4514" spans="7:8">
      <c r="G4514">
        <v>4504</v>
      </c>
      <c r="H4514">
        <f t="shared" ca="1" si="78"/>
        <v>6.9131994310780878E-4</v>
      </c>
    </row>
    <row r="4515" spans="7:8">
      <c r="G4515">
        <v>4505</v>
      </c>
      <c r="H4515">
        <f t="shared" ca="1" si="78"/>
        <v>-1.7541436077354713E-2</v>
      </c>
    </row>
    <row r="4516" spans="7:8">
      <c r="G4516">
        <v>4506</v>
      </c>
      <c r="H4516">
        <f t="shared" ca="1" si="78"/>
        <v>6.5620928897296722E-3</v>
      </c>
    </row>
    <row r="4517" spans="7:8">
      <c r="G4517">
        <v>4507</v>
      </c>
      <c r="H4517">
        <f t="shared" ca="1" si="78"/>
        <v>-1.6135341720138986E-3</v>
      </c>
    </row>
    <row r="4518" spans="7:8">
      <c r="G4518">
        <v>4508</v>
      </c>
      <c r="H4518">
        <f t="shared" ca="1" si="78"/>
        <v>4.4505661220091836E-3</v>
      </c>
    </row>
    <row r="4519" spans="7:8">
      <c r="G4519">
        <v>4509</v>
      </c>
      <c r="H4519">
        <f t="shared" ca="1" si="78"/>
        <v>6.050782205662518E-2</v>
      </c>
    </row>
    <row r="4520" spans="7:8">
      <c r="G4520">
        <v>4510</v>
      </c>
      <c r="H4520">
        <f t="shared" ca="1" si="78"/>
        <v>-6.6836834289281779E-3</v>
      </c>
    </row>
    <row r="4521" spans="7:8">
      <c r="G4521">
        <v>4511</v>
      </c>
      <c r="H4521">
        <f t="shared" ca="1" si="78"/>
        <v>-4.423104948221273E-3</v>
      </c>
    </row>
    <row r="4522" spans="7:8">
      <c r="G4522">
        <v>4512</v>
      </c>
      <c r="H4522">
        <f t="shared" ca="1" si="78"/>
        <v>-2.5707951254298915E-2</v>
      </c>
    </row>
    <row r="4523" spans="7:8">
      <c r="G4523">
        <v>4513</v>
      </c>
      <c r="H4523">
        <f t="shared" ca="1" si="78"/>
        <v>-1.3546588317356055E-2</v>
      </c>
    </row>
    <row r="4524" spans="7:8">
      <c r="G4524">
        <v>4514</v>
      </c>
      <c r="H4524">
        <f t="shared" ca="1" si="78"/>
        <v>-1.0961155882342756E-2</v>
      </c>
    </row>
    <row r="4525" spans="7:8">
      <c r="G4525">
        <v>4515</v>
      </c>
      <c r="H4525">
        <f t="shared" ca="1" si="78"/>
        <v>-1.1817706984798596E-2</v>
      </c>
    </row>
    <row r="4526" spans="7:8">
      <c r="G4526">
        <v>4516</v>
      </c>
      <c r="H4526">
        <f t="shared" ca="1" si="78"/>
        <v>1.245002196823649E-2</v>
      </c>
    </row>
    <row r="4527" spans="7:8">
      <c r="G4527">
        <v>4517</v>
      </c>
      <c r="H4527">
        <f t="shared" ca="1" si="78"/>
        <v>-7.1070371675405848E-4</v>
      </c>
    </row>
    <row r="4528" spans="7:8">
      <c r="G4528">
        <v>4518</v>
      </c>
      <c r="H4528">
        <f t="shared" ca="1" si="78"/>
        <v>5.1768066339183691E-3</v>
      </c>
    </row>
    <row r="4529" spans="7:8">
      <c r="G4529">
        <v>4519</v>
      </c>
      <c r="H4529">
        <f t="shared" ca="1" si="78"/>
        <v>3.9840250303446048E-3</v>
      </c>
    </row>
    <row r="4530" spans="7:8">
      <c r="G4530">
        <v>4520</v>
      </c>
      <c r="H4530">
        <f t="shared" ca="1" si="78"/>
        <v>2.4931756424820675E-2</v>
      </c>
    </row>
    <row r="4531" spans="7:8">
      <c r="G4531">
        <v>4521</v>
      </c>
      <c r="H4531">
        <f t="shared" ca="1" si="78"/>
        <v>-2.5341486510108816E-2</v>
      </c>
    </row>
    <row r="4532" spans="7:8">
      <c r="G4532">
        <v>4522</v>
      </c>
      <c r="H4532">
        <f t="shared" ca="1" si="78"/>
        <v>1.5425539168729416E-3</v>
      </c>
    </row>
    <row r="4533" spans="7:8">
      <c r="G4533">
        <v>4523</v>
      </c>
      <c r="H4533">
        <f t="shared" ca="1" si="78"/>
        <v>4.0246290836551263E-3</v>
      </c>
    </row>
    <row r="4534" spans="7:8">
      <c r="G4534">
        <v>4524</v>
      </c>
      <c r="H4534">
        <f t="shared" ca="1" si="78"/>
        <v>-1.9736800229890182E-2</v>
      </c>
    </row>
    <row r="4535" spans="7:8">
      <c r="G4535">
        <v>4525</v>
      </c>
      <c r="H4535">
        <f t="shared" ca="1" si="78"/>
        <v>3.3198872123045807E-2</v>
      </c>
    </row>
    <row r="4536" spans="7:8">
      <c r="G4536">
        <v>4526</v>
      </c>
      <c r="H4536">
        <f t="shared" ca="1" si="78"/>
        <v>-3.8871341359614464E-4</v>
      </c>
    </row>
    <row r="4537" spans="7:8">
      <c r="G4537">
        <v>4527</v>
      </c>
      <c r="H4537">
        <f t="shared" ca="1" si="78"/>
        <v>3.3740049505960337E-2</v>
      </c>
    </row>
    <row r="4538" spans="7:8">
      <c r="G4538">
        <v>4528</v>
      </c>
      <c r="H4538">
        <f t="shared" ca="1" si="78"/>
        <v>-2.8113810429282772E-2</v>
      </c>
    </row>
    <row r="4539" spans="7:8">
      <c r="G4539">
        <v>4529</v>
      </c>
      <c r="H4539">
        <f t="shared" ca="1" si="78"/>
        <v>2.2594286531956363E-2</v>
      </c>
    </row>
    <row r="4540" spans="7:8">
      <c r="G4540">
        <v>4530</v>
      </c>
      <c r="H4540">
        <f t="shared" ca="1" si="78"/>
        <v>-1.9298570871740015E-2</v>
      </c>
    </row>
    <row r="4541" spans="7:8">
      <c r="G4541">
        <v>4531</v>
      </c>
      <c r="H4541">
        <f t="shared" ca="1" si="78"/>
        <v>-2.2428717380628457E-2</v>
      </c>
    </row>
    <row r="4542" spans="7:8">
      <c r="G4542">
        <v>4532</v>
      </c>
      <c r="H4542">
        <f t="shared" ca="1" si="78"/>
        <v>-6.4324837182261216E-2</v>
      </c>
    </row>
    <row r="4543" spans="7:8">
      <c r="G4543">
        <v>4533</v>
      </c>
      <c r="H4543">
        <f t="shared" ca="1" si="78"/>
        <v>6.3659154324003393E-3</v>
      </c>
    </row>
    <row r="4544" spans="7:8">
      <c r="G4544">
        <v>4534</v>
      </c>
      <c r="H4544">
        <f t="shared" ca="1" si="78"/>
        <v>1.9832142684176161E-2</v>
      </c>
    </row>
    <row r="4545" spans="7:8">
      <c r="G4545">
        <v>4535</v>
      </c>
      <c r="H4545">
        <f t="shared" ca="1" si="78"/>
        <v>1.6953816669579243E-2</v>
      </c>
    </row>
    <row r="4546" spans="7:8">
      <c r="G4546">
        <v>4536</v>
      </c>
      <c r="H4546">
        <f t="shared" ca="1" si="78"/>
        <v>1.9632653368068496E-2</v>
      </c>
    </row>
    <row r="4547" spans="7:8">
      <c r="G4547">
        <v>4537</v>
      </c>
      <c r="H4547">
        <f t="shared" ca="1" si="78"/>
        <v>-9.0211823700081725E-3</v>
      </c>
    </row>
    <row r="4548" spans="7:8">
      <c r="G4548">
        <v>4538</v>
      </c>
      <c r="H4548">
        <f t="shared" ca="1" si="78"/>
        <v>-4.3563604295109564E-3</v>
      </c>
    </row>
    <row r="4549" spans="7:8">
      <c r="G4549">
        <v>4539</v>
      </c>
      <c r="H4549">
        <f t="shared" ca="1" si="78"/>
        <v>8.9449738582331011E-3</v>
      </c>
    </row>
    <row r="4550" spans="7:8">
      <c r="G4550">
        <v>4540</v>
      </c>
      <c r="H4550">
        <f t="shared" ca="1" si="78"/>
        <v>1.1992825744182032E-2</v>
      </c>
    </row>
    <row r="4551" spans="7:8">
      <c r="G4551">
        <v>4541</v>
      </c>
      <c r="H4551">
        <f t="shared" ca="1" si="78"/>
        <v>8.877609007838115E-4</v>
      </c>
    </row>
    <row r="4552" spans="7:8">
      <c r="G4552">
        <v>4542</v>
      </c>
      <c r="H4552">
        <f t="shared" ca="1" si="78"/>
        <v>-2.3055823852927881E-2</v>
      </c>
    </row>
    <row r="4553" spans="7:8">
      <c r="G4553">
        <v>4543</v>
      </c>
      <c r="H4553">
        <f t="shared" ca="1" si="78"/>
        <v>2.2837944592290247E-2</v>
      </c>
    </row>
    <row r="4554" spans="7:8">
      <c r="G4554">
        <v>4544</v>
      </c>
      <c r="H4554">
        <f t="shared" ca="1" si="78"/>
        <v>-4.5410224914799173E-2</v>
      </c>
    </row>
    <row r="4555" spans="7:8">
      <c r="G4555">
        <v>4545</v>
      </c>
      <c r="H4555">
        <f t="shared" ca="1" si="78"/>
        <v>-1.1925320398142361E-2</v>
      </c>
    </row>
    <row r="4556" spans="7:8">
      <c r="G4556">
        <v>4546</v>
      </c>
      <c r="H4556">
        <f t="shared" ref="H4556:H4619" ca="1" si="79">_xlfn.NORM.INV(RAND(),N$13,N$14)</f>
        <v>-1.2622622205706025E-3</v>
      </c>
    </row>
    <row r="4557" spans="7:8">
      <c r="G4557">
        <v>4547</v>
      </c>
      <c r="H4557">
        <f t="shared" ca="1" si="79"/>
        <v>3.7108494487547196E-2</v>
      </c>
    </row>
    <row r="4558" spans="7:8">
      <c r="G4558">
        <v>4548</v>
      </c>
      <c r="H4558">
        <f t="shared" ca="1" si="79"/>
        <v>3.3911925627546635E-2</v>
      </c>
    </row>
    <row r="4559" spans="7:8">
      <c r="G4559">
        <v>4549</v>
      </c>
      <c r="H4559">
        <f t="shared" ca="1" si="79"/>
        <v>-2.8493278068526549E-2</v>
      </c>
    </row>
    <row r="4560" spans="7:8">
      <c r="G4560">
        <v>4550</v>
      </c>
      <c r="H4560">
        <f t="shared" ca="1" si="79"/>
        <v>-5.8072791736518388E-4</v>
      </c>
    </row>
    <row r="4561" spans="7:8">
      <c r="G4561">
        <v>4551</v>
      </c>
      <c r="H4561">
        <f t="shared" ca="1" si="79"/>
        <v>2.3123228283445447E-2</v>
      </c>
    </row>
    <row r="4562" spans="7:8">
      <c r="G4562">
        <v>4552</v>
      </c>
      <c r="H4562">
        <f t="shared" ca="1" si="79"/>
        <v>3.1410808912905548E-2</v>
      </c>
    </row>
    <row r="4563" spans="7:8">
      <c r="G4563">
        <v>4553</v>
      </c>
      <c r="H4563">
        <f t="shared" ca="1" si="79"/>
        <v>4.1243191758768984E-2</v>
      </c>
    </row>
    <row r="4564" spans="7:8">
      <c r="G4564">
        <v>4554</v>
      </c>
      <c r="H4564">
        <f t="shared" ca="1" si="79"/>
        <v>-2.1061692720041547E-2</v>
      </c>
    </row>
    <row r="4565" spans="7:8">
      <c r="G4565">
        <v>4555</v>
      </c>
      <c r="H4565">
        <f t="shared" ca="1" si="79"/>
        <v>-3.9611489979025409E-2</v>
      </c>
    </row>
    <row r="4566" spans="7:8">
      <c r="G4566">
        <v>4556</v>
      </c>
      <c r="H4566">
        <f t="shared" ca="1" si="79"/>
        <v>-6.4011423823818079E-3</v>
      </c>
    </row>
    <row r="4567" spans="7:8">
      <c r="G4567">
        <v>4557</v>
      </c>
      <c r="H4567">
        <f t="shared" ca="1" si="79"/>
        <v>1.5612017389240443E-2</v>
      </c>
    </row>
    <row r="4568" spans="7:8">
      <c r="G4568">
        <v>4558</v>
      </c>
      <c r="H4568">
        <f t="shared" ca="1" si="79"/>
        <v>-1.3068586892059399E-3</v>
      </c>
    </row>
    <row r="4569" spans="7:8">
      <c r="G4569">
        <v>4559</v>
      </c>
      <c r="H4569">
        <f t="shared" ca="1" si="79"/>
        <v>-8.8809161864027743E-3</v>
      </c>
    </row>
    <row r="4570" spans="7:8">
      <c r="G4570">
        <v>4560</v>
      </c>
      <c r="H4570">
        <f t="shared" ca="1" si="79"/>
        <v>-1.1901262820728425E-2</v>
      </c>
    </row>
    <row r="4571" spans="7:8">
      <c r="G4571">
        <v>4561</v>
      </c>
      <c r="H4571">
        <f t="shared" ca="1" si="79"/>
        <v>-5.2060089371067139E-2</v>
      </c>
    </row>
    <row r="4572" spans="7:8">
      <c r="G4572">
        <v>4562</v>
      </c>
      <c r="H4572">
        <f t="shared" ca="1" si="79"/>
        <v>-2.2518824034142922E-3</v>
      </c>
    </row>
    <row r="4573" spans="7:8">
      <c r="G4573">
        <v>4563</v>
      </c>
      <c r="H4573">
        <f t="shared" ca="1" si="79"/>
        <v>-1.6657570214098652E-2</v>
      </c>
    </row>
    <row r="4574" spans="7:8">
      <c r="G4574">
        <v>4564</v>
      </c>
      <c r="H4574">
        <f t="shared" ca="1" si="79"/>
        <v>7.1685144990610555E-3</v>
      </c>
    </row>
    <row r="4575" spans="7:8">
      <c r="G4575">
        <v>4565</v>
      </c>
      <c r="H4575">
        <f t="shared" ca="1" si="79"/>
        <v>-1.6321391044553164E-2</v>
      </c>
    </row>
    <row r="4576" spans="7:8">
      <c r="G4576">
        <v>4566</v>
      </c>
      <c r="H4576">
        <f t="shared" ca="1" si="79"/>
        <v>8.6915189770397E-2</v>
      </c>
    </row>
    <row r="4577" spans="7:8">
      <c r="G4577">
        <v>4567</v>
      </c>
      <c r="H4577">
        <f t="shared" ca="1" si="79"/>
        <v>-2.4782256553263639E-2</v>
      </c>
    </row>
    <row r="4578" spans="7:8">
      <c r="G4578">
        <v>4568</v>
      </c>
      <c r="H4578">
        <f t="shared" ca="1" si="79"/>
        <v>-3.6253849706082503E-2</v>
      </c>
    </row>
    <row r="4579" spans="7:8">
      <c r="G4579">
        <v>4569</v>
      </c>
      <c r="H4579">
        <f t="shared" ca="1" si="79"/>
        <v>1.4941864541969926E-2</v>
      </c>
    </row>
    <row r="4580" spans="7:8">
      <c r="G4580">
        <v>4570</v>
      </c>
      <c r="H4580">
        <f t="shared" ca="1" si="79"/>
        <v>-9.2520568124195394E-3</v>
      </c>
    </row>
    <row r="4581" spans="7:8">
      <c r="G4581">
        <v>4571</v>
      </c>
      <c r="H4581">
        <f t="shared" ca="1" si="79"/>
        <v>-1.5590985289839869E-2</v>
      </c>
    </row>
    <row r="4582" spans="7:8">
      <c r="G4582">
        <v>4572</v>
      </c>
      <c r="H4582">
        <f t="shared" ca="1" si="79"/>
        <v>1.7387318885207132E-2</v>
      </c>
    </row>
    <row r="4583" spans="7:8">
      <c r="G4583">
        <v>4573</v>
      </c>
      <c r="H4583">
        <f t="shared" ca="1" si="79"/>
        <v>2.4417309550424194E-2</v>
      </c>
    </row>
    <row r="4584" spans="7:8">
      <c r="G4584">
        <v>4574</v>
      </c>
      <c r="H4584">
        <f t="shared" ca="1" si="79"/>
        <v>3.1551810315364838E-2</v>
      </c>
    </row>
    <row r="4585" spans="7:8">
      <c r="G4585">
        <v>4575</v>
      </c>
      <c r="H4585">
        <f t="shared" ca="1" si="79"/>
        <v>-4.1740371051651112E-2</v>
      </c>
    </row>
    <row r="4586" spans="7:8">
      <c r="G4586">
        <v>4576</v>
      </c>
      <c r="H4586">
        <f t="shared" ca="1" si="79"/>
        <v>-1.2691340679429799E-2</v>
      </c>
    </row>
    <row r="4587" spans="7:8">
      <c r="G4587">
        <v>4577</v>
      </c>
      <c r="H4587">
        <f t="shared" ca="1" si="79"/>
        <v>-4.213244990261851E-2</v>
      </c>
    </row>
    <row r="4588" spans="7:8">
      <c r="G4588">
        <v>4578</v>
      </c>
      <c r="H4588">
        <f t="shared" ca="1" si="79"/>
        <v>-5.0104079140412719E-2</v>
      </c>
    </row>
    <row r="4589" spans="7:8">
      <c r="G4589">
        <v>4579</v>
      </c>
      <c r="H4589">
        <f t="shared" ca="1" si="79"/>
        <v>-1.0597478493766329E-2</v>
      </c>
    </row>
    <row r="4590" spans="7:8">
      <c r="G4590">
        <v>4580</v>
      </c>
      <c r="H4590">
        <f t="shared" ca="1" si="79"/>
        <v>1.1032320710671679E-2</v>
      </c>
    </row>
    <row r="4591" spans="7:8">
      <c r="G4591">
        <v>4581</v>
      </c>
      <c r="H4591">
        <f t="shared" ca="1" si="79"/>
        <v>-2.9958050096852311E-2</v>
      </c>
    </row>
    <row r="4592" spans="7:8">
      <c r="G4592">
        <v>4582</v>
      </c>
      <c r="H4592">
        <f t="shared" ca="1" si="79"/>
        <v>-9.7178404539628189E-3</v>
      </c>
    </row>
    <row r="4593" spans="7:8">
      <c r="G4593">
        <v>4583</v>
      </c>
      <c r="H4593">
        <f t="shared" ca="1" si="79"/>
        <v>8.5637444555979204E-3</v>
      </c>
    </row>
    <row r="4594" spans="7:8">
      <c r="G4594">
        <v>4584</v>
      </c>
      <c r="H4594">
        <f t="shared" ca="1" si="79"/>
        <v>3.4584371117266352E-2</v>
      </c>
    </row>
    <row r="4595" spans="7:8">
      <c r="G4595">
        <v>4585</v>
      </c>
      <c r="H4595">
        <f t="shared" ca="1" si="79"/>
        <v>-1.8294576561691537E-2</v>
      </c>
    </row>
    <row r="4596" spans="7:8">
      <c r="G4596">
        <v>4586</v>
      </c>
      <c r="H4596">
        <f t="shared" ca="1" si="79"/>
        <v>3.3154119813165225E-2</v>
      </c>
    </row>
    <row r="4597" spans="7:8">
      <c r="G4597">
        <v>4587</v>
      </c>
      <c r="H4597">
        <f t="shared" ca="1" si="79"/>
        <v>3.9736786587267599E-2</v>
      </c>
    </row>
    <row r="4598" spans="7:8">
      <c r="G4598">
        <v>4588</v>
      </c>
      <c r="H4598">
        <f t="shared" ca="1" si="79"/>
        <v>-1.8449969734989212E-2</v>
      </c>
    </row>
    <row r="4599" spans="7:8">
      <c r="G4599">
        <v>4589</v>
      </c>
      <c r="H4599">
        <f t="shared" ca="1" si="79"/>
        <v>-1.2733373850831751E-2</v>
      </c>
    </row>
    <row r="4600" spans="7:8">
      <c r="G4600">
        <v>4590</v>
      </c>
      <c r="H4600">
        <f t="shared" ca="1" si="79"/>
        <v>2.6534631018704725E-2</v>
      </c>
    </row>
    <row r="4601" spans="7:8">
      <c r="G4601">
        <v>4591</v>
      </c>
      <c r="H4601">
        <f t="shared" ca="1" si="79"/>
        <v>-1.7608375802739301E-2</v>
      </c>
    </row>
    <row r="4602" spans="7:8">
      <c r="G4602">
        <v>4592</v>
      </c>
      <c r="H4602">
        <f t="shared" ca="1" si="79"/>
        <v>-2.7305088403539825E-2</v>
      </c>
    </row>
    <row r="4603" spans="7:8">
      <c r="G4603">
        <v>4593</v>
      </c>
      <c r="H4603">
        <f t="shared" ca="1" si="79"/>
        <v>3.2851154891074916E-2</v>
      </c>
    </row>
    <row r="4604" spans="7:8">
      <c r="G4604">
        <v>4594</v>
      </c>
      <c r="H4604">
        <f t="shared" ca="1" si="79"/>
        <v>3.22876347734945E-2</v>
      </c>
    </row>
    <row r="4605" spans="7:8">
      <c r="G4605">
        <v>4595</v>
      </c>
      <c r="H4605">
        <f t="shared" ca="1" si="79"/>
        <v>-9.5004297978923818E-3</v>
      </c>
    </row>
    <row r="4606" spans="7:8">
      <c r="G4606">
        <v>4596</v>
      </c>
      <c r="H4606">
        <f t="shared" ca="1" si="79"/>
        <v>-2.887816358459697E-2</v>
      </c>
    </row>
    <row r="4607" spans="7:8">
      <c r="G4607">
        <v>4597</v>
      </c>
      <c r="H4607">
        <f t="shared" ca="1" si="79"/>
        <v>-9.6079364956534376E-3</v>
      </c>
    </row>
    <row r="4608" spans="7:8">
      <c r="G4608">
        <v>4598</v>
      </c>
      <c r="H4608">
        <f t="shared" ca="1" si="79"/>
        <v>-2.1753894874799732E-2</v>
      </c>
    </row>
    <row r="4609" spans="7:8">
      <c r="G4609">
        <v>4599</v>
      </c>
      <c r="H4609">
        <f t="shared" ca="1" si="79"/>
        <v>-2.9625428619488896E-2</v>
      </c>
    </row>
    <row r="4610" spans="7:8">
      <c r="G4610">
        <v>4600</v>
      </c>
      <c r="H4610">
        <f t="shared" ca="1" si="79"/>
        <v>1.6416776478830934E-2</v>
      </c>
    </row>
    <row r="4611" spans="7:8">
      <c r="G4611">
        <v>4601</v>
      </c>
      <c r="H4611">
        <f t="shared" ca="1" si="79"/>
        <v>2.7186142411122948E-2</v>
      </c>
    </row>
    <row r="4612" spans="7:8">
      <c r="G4612">
        <v>4602</v>
      </c>
      <c r="H4612">
        <f t="shared" ca="1" si="79"/>
        <v>8.3862056260633772E-3</v>
      </c>
    </row>
    <row r="4613" spans="7:8">
      <c r="G4613">
        <v>4603</v>
      </c>
      <c r="H4613">
        <f t="shared" ca="1" si="79"/>
        <v>-4.2740562721521262E-2</v>
      </c>
    </row>
    <row r="4614" spans="7:8">
      <c r="G4614">
        <v>4604</v>
      </c>
      <c r="H4614">
        <f t="shared" ca="1" si="79"/>
        <v>-2.315406151480336E-2</v>
      </c>
    </row>
    <row r="4615" spans="7:8">
      <c r="G4615">
        <v>4605</v>
      </c>
      <c r="H4615">
        <f t="shared" ca="1" si="79"/>
        <v>-1.655373928056033E-2</v>
      </c>
    </row>
    <row r="4616" spans="7:8">
      <c r="G4616">
        <v>4606</v>
      </c>
      <c r="H4616">
        <f t="shared" ca="1" si="79"/>
        <v>-2.2952850530469211E-2</v>
      </c>
    </row>
    <row r="4617" spans="7:8">
      <c r="G4617">
        <v>4607</v>
      </c>
      <c r="H4617">
        <f t="shared" ca="1" si="79"/>
        <v>-1.7378315223787692E-2</v>
      </c>
    </row>
    <row r="4618" spans="7:8">
      <c r="G4618">
        <v>4608</v>
      </c>
      <c r="H4618">
        <f t="shared" ca="1" si="79"/>
        <v>1.8609875503928942E-2</v>
      </c>
    </row>
    <row r="4619" spans="7:8">
      <c r="G4619">
        <v>4609</v>
      </c>
      <c r="H4619">
        <f t="shared" ca="1" si="79"/>
        <v>-2.5732365398688201E-2</v>
      </c>
    </row>
    <row r="4620" spans="7:8">
      <c r="G4620">
        <v>4610</v>
      </c>
      <c r="H4620">
        <f t="shared" ref="H4620:H4683" ca="1" si="80">_xlfn.NORM.INV(RAND(),N$13,N$14)</f>
        <v>5.681090895676256E-3</v>
      </c>
    </row>
    <row r="4621" spans="7:8">
      <c r="G4621">
        <v>4611</v>
      </c>
      <c r="H4621">
        <f t="shared" ca="1" si="80"/>
        <v>-4.0490999451406433E-2</v>
      </c>
    </row>
    <row r="4622" spans="7:8">
      <c r="G4622">
        <v>4612</v>
      </c>
      <c r="H4622">
        <f t="shared" ca="1" si="80"/>
        <v>-9.6615561125465311E-3</v>
      </c>
    </row>
    <row r="4623" spans="7:8">
      <c r="G4623">
        <v>4613</v>
      </c>
      <c r="H4623">
        <f t="shared" ca="1" si="80"/>
        <v>1.6760109378224506E-2</v>
      </c>
    </row>
    <row r="4624" spans="7:8">
      <c r="G4624">
        <v>4614</v>
      </c>
      <c r="H4624">
        <f t="shared" ca="1" si="80"/>
        <v>1.993955166744606E-2</v>
      </c>
    </row>
    <row r="4625" spans="7:8">
      <c r="G4625">
        <v>4615</v>
      </c>
      <c r="H4625">
        <f t="shared" ca="1" si="80"/>
        <v>-9.6009502061115293E-3</v>
      </c>
    </row>
    <row r="4626" spans="7:8">
      <c r="G4626">
        <v>4616</v>
      </c>
      <c r="H4626">
        <f t="shared" ca="1" si="80"/>
        <v>-4.0434417708393261E-2</v>
      </c>
    </row>
    <row r="4627" spans="7:8">
      <c r="G4627">
        <v>4617</v>
      </c>
      <c r="H4627">
        <f t="shared" ca="1" si="80"/>
        <v>-1.4684948682734157E-2</v>
      </c>
    </row>
    <row r="4628" spans="7:8">
      <c r="G4628">
        <v>4618</v>
      </c>
      <c r="H4628">
        <f t="shared" ca="1" si="80"/>
        <v>4.6575858166895846E-3</v>
      </c>
    </row>
    <row r="4629" spans="7:8">
      <c r="G4629">
        <v>4619</v>
      </c>
      <c r="H4629">
        <f t="shared" ca="1" si="80"/>
        <v>-3.822083715478964E-2</v>
      </c>
    </row>
    <row r="4630" spans="7:8">
      <c r="G4630">
        <v>4620</v>
      </c>
      <c r="H4630">
        <f t="shared" ca="1" si="80"/>
        <v>-2.1292112270221208E-2</v>
      </c>
    </row>
    <row r="4631" spans="7:8">
      <c r="G4631">
        <v>4621</v>
      </c>
      <c r="H4631">
        <f t="shared" ca="1" si="80"/>
        <v>-1.9610919215476599E-2</v>
      </c>
    </row>
    <row r="4632" spans="7:8">
      <c r="G4632">
        <v>4622</v>
      </c>
      <c r="H4632">
        <f t="shared" ca="1" si="80"/>
        <v>-2.2790287537644095E-2</v>
      </c>
    </row>
    <row r="4633" spans="7:8">
      <c r="G4633">
        <v>4623</v>
      </c>
      <c r="H4633">
        <f t="shared" ca="1" si="80"/>
        <v>-6.4782930630305248E-3</v>
      </c>
    </row>
    <row r="4634" spans="7:8">
      <c r="G4634">
        <v>4624</v>
      </c>
      <c r="H4634">
        <f t="shared" ca="1" si="80"/>
        <v>-5.4336479325481201E-3</v>
      </c>
    </row>
    <row r="4635" spans="7:8">
      <c r="G4635">
        <v>4625</v>
      </c>
      <c r="H4635">
        <f t="shared" ca="1" si="80"/>
        <v>-2.8474172367412315E-2</v>
      </c>
    </row>
    <row r="4636" spans="7:8">
      <c r="G4636">
        <v>4626</v>
      </c>
      <c r="H4636">
        <f t="shared" ca="1" si="80"/>
        <v>2.1963041782785745E-2</v>
      </c>
    </row>
    <row r="4637" spans="7:8">
      <c r="G4637">
        <v>4627</v>
      </c>
      <c r="H4637">
        <f t="shared" ca="1" si="80"/>
        <v>2.554415092394359E-2</v>
      </c>
    </row>
    <row r="4638" spans="7:8">
      <c r="G4638">
        <v>4628</v>
      </c>
      <c r="H4638">
        <f t="shared" ca="1" si="80"/>
        <v>3.8135648621661848E-2</v>
      </c>
    </row>
    <row r="4639" spans="7:8">
      <c r="G4639">
        <v>4629</v>
      </c>
      <c r="H4639">
        <f t="shared" ca="1" si="80"/>
        <v>1.461368600999987E-2</v>
      </c>
    </row>
    <row r="4640" spans="7:8">
      <c r="G4640">
        <v>4630</v>
      </c>
      <c r="H4640">
        <f t="shared" ca="1" si="80"/>
        <v>-4.1591351246733091E-2</v>
      </c>
    </row>
    <row r="4641" spans="7:8">
      <c r="G4641">
        <v>4631</v>
      </c>
      <c r="H4641">
        <f t="shared" ca="1" si="80"/>
        <v>-6.586460043234689E-3</v>
      </c>
    </row>
    <row r="4642" spans="7:8">
      <c r="G4642">
        <v>4632</v>
      </c>
      <c r="H4642">
        <f t="shared" ca="1" si="80"/>
        <v>-1.2990406117105002E-2</v>
      </c>
    </row>
    <row r="4643" spans="7:8">
      <c r="G4643">
        <v>4633</v>
      </c>
      <c r="H4643">
        <f t="shared" ca="1" si="80"/>
        <v>-1.811599585956053E-2</v>
      </c>
    </row>
    <row r="4644" spans="7:8">
      <c r="G4644">
        <v>4634</v>
      </c>
      <c r="H4644">
        <f t="shared" ca="1" si="80"/>
        <v>-1.8928493386082976E-2</v>
      </c>
    </row>
    <row r="4645" spans="7:8">
      <c r="G4645">
        <v>4635</v>
      </c>
      <c r="H4645">
        <f t="shared" ca="1" si="80"/>
        <v>-8.5505358621701388E-3</v>
      </c>
    </row>
    <row r="4646" spans="7:8">
      <c r="G4646">
        <v>4636</v>
      </c>
      <c r="H4646">
        <f t="shared" ca="1" si="80"/>
        <v>6.8779181175241235E-3</v>
      </c>
    </row>
    <row r="4647" spans="7:8">
      <c r="G4647">
        <v>4637</v>
      </c>
      <c r="H4647">
        <f t="shared" ca="1" si="80"/>
        <v>1.8231618831946302E-2</v>
      </c>
    </row>
    <row r="4648" spans="7:8">
      <c r="G4648">
        <v>4638</v>
      </c>
      <c r="H4648">
        <f t="shared" ca="1" si="80"/>
        <v>-1.9527638915878893E-2</v>
      </c>
    </row>
    <row r="4649" spans="7:8">
      <c r="G4649">
        <v>4639</v>
      </c>
      <c r="H4649">
        <f t="shared" ca="1" si="80"/>
        <v>2.6985426335895225E-2</v>
      </c>
    </row>
    <row r="4650" spans="7:8">
      <c r="G4650">
        <v>4640</v>
      </c>
      <c r="H4650">
        <f t="shared" ca="1" si="80"/>
        <v>1.2524615134232373E-2</v>
      </c>
    </row>
    <row r="4651" spans="7:8">
      <c r="G4651">
        <v>4641</v>
      </c>
      <c r="H4651">
        <f t="shared" ca="1" si="80"/>
        <v>-1.7951737736312708E-2</v>
      </c>
    </row>
    <row r="4652" spans="7:8">
      <c r="G4652">
        <v>4642</v>
      </c>
      <c r="H4652">
        <f t="shared" ca="1" si="80"/>
        <v>1.2487545636963861E-2</v>
      </c>
    </row>
    <row r="4653" spans="7:8">
      <c r="G4653">
        <v>4643</v>
      </c>
      <c r="H4653">
        <f t="shared" ca="1" si="80"/>
        <v>3.4145827292069934E-2</v>
      </c>
    </row>
    <row r="4654" spans="7:8">
      <c r="G4654">
        <v>4644</v>
      </c>
      <c r="H4654">
        <f t="shared" ca="1" si="80"/>
        <v>2.9224360156795019E-2</v>
      </c>
    </row>
    <row r="4655" spans="7:8">
      <c r="G4655">
        <v>4645</v>
      </c>
      <c r="H4655">
        <f t="shared" ca="1" si="80"/>
        <v>3.6791133789593068E-2</v>
      </c>
    </row>
    <row r="4656" spans="7:8">
      <c r="G4656">
        <v>4646</v>
      </c>
      <c r="H4656">
        <f t="shared" ca="1" si="80"/>
        <v>1.0019814754413093E-2</v>
      </c>
    </row>
    <row r="4657" spans="7:8">
      <c r="G4657">
        <v>4647</v>
      </c>
      <c r="H4657">
        <f t="shared" ca="1" si="80"/>
        <v>-7.9647448508779542E-3</v>
      </c>
    </row>
    <row r="4658" spans="7:8">
      <c r="G4658">
        <v>4648</v>
      </c>
      <c r="H4658">
        <f t="shared" ca="1" si="80"/>
        <v>-1.134374899370537E-2</v>
      </c>
    </row>
    <row r="4659" spans="7:8">
      <c r="G4659">
        <v>4649</v>
      </c>
      <c r="H4659">
        <f t="shared" ca="1" si="80"/>
        <v>-9.9468783854655112E-3</v>
      </c>
    </row>
    <row r="4660" spans="7:8">
      <c r="G4660">
        <v>4650</v>
      </c>
      <c r="H4660">
        <f t="shared" ca="1" si="80"/>
        <v>-1.0749504959079149E-2</v>
      </c>
    </row>
    <row r="4661" spans="7:8">
      <c r="G4661">
        <v>4651</v>
      </c>
      <c r="H4661">
        <f t="shared" ca="1" si="80"/>
        <v>-1.4896572095715944E-2</v>
      </c>
    </row>
    <row r="4662" spans="7:8">
      <c r="G4662">
        <v>4652</v>
      </c>
      <c r="H4662">
        <f t="shared" ca="1" si="80"/>
        <v>2.6636453485107389E-2</v>
      </c>
    </row>
    <row r="4663" spans="7:8">
      <c r="G4663">
        <v>4653</v>
      </c>
      <c r="H4663">
        <f t="shared" ca="1" si="80"/>
        <v>-9.571668095445721E-3</v>
      </c>
    </row>
    <row r="4664" spans="7:8">
      <c r="G4664">
        <v>4654</v>
      </c>
      <c r="H4664">
        <f t="shared" ca="1" si="80"/>
        <v>-1.6118944037393614E-3</v>
      </c>
    </row>
    <row r="4665" spans="7:8">
      <c r="G4665">
        <v>4655</v>
      </c>
      <c r="H4665">
        <f t="shared" ca="1" si="80"/>
        <v>-1.9728148965664099E-3</v>
      </c>
    </row>
    <row r="4666" spans="7:8">
      <c r="G4666">
        <v>4656</v>
      </c>
      <c r="H4666">
        <f t="shared" ca="1" si="80"/>
        <v>-2.1557196479628029E-2</v>
      </c>
    </row>
    <row r="4667" spans="7:8">
      <c r="G4667">
        <v>4657</v>
      </c>
      <c r="H4667">
        <f t="shared" ca="1" si="80"/>
        <v>-3.9476527536238037E-2</v>
      </c>
    </row>
    <row r="4668" spans="7:8">
      <c r="G4668">
        <v>4658</v>
      </c>
      <c r="H4668">
        <f t="shared" ca="1" si="80"/>
        <v>1.7074214956865778E-2</v>
      </c>
    </row>
    <row r="4669" spans="7:8">
      <c r="G4669">
        <v>4659</v>
      </c>
      <c r="H4669">
        <f t="shared" ca="1" si="80"/>
        <v>1.9370430528184851E-2</v>
      </c>
    </row>
    <row r="4670" spans="7:8">
      <c r="G4670">
        <v>4660</v>
      </c>
      <c r="H4670">
        <f t="shared" ca="1" si="80"/>
        <v>2.9783455034511658E-2</v>
      </c>
    </row>
    <row r="4671" spans="7:8">
      <c r="G4671">
        <v>4661</v>
      </c>
      <c r="H4671">
        <f t="shared" ca="1" si="80"/>
        <v>-1.9809415243086517E-2</v>
      </c>
    </row>
    <row r="4672" spans="7:8">
      <c r="G4672">
        <v>4662</v>
      </c>
      <c r="H4672">
        <f t="shared" ca="1" si="80"/>
        <v>2.6603015211256062E-2</v>
      </c>
    </row>
    <row r="4673" spans="7:8">
      <c r="G4673">
        <v>4663</v>
      </c>
      <c r="H4673">
        <f t="shared" ca="1" si="80"/>
        <v>-1.8434619868917375E-2</v>
      </c>
    </row>
    <row r="4674" spans="7:8">
      <c r="G4674">
        <v>4664</v>
      </c>
      <c r="H4674">
        <f t="shared" ca="1" si="80"/>
        <v>5.868937577131912E-3</v>
      </c>
    </row>
    <row r="4675" spans="7:8">
      <c r="G4675">
        <v>4665</v>
      </c>
      <c r="H4675">
        <f t="shared" ca="1" si="80"/>
        <v>3.9538132809569356E-4</v>
      </c>
    </row>
    <row r="4676" spans="7:8">
      <c r="G4676">
        <v>4666</v>
      </c>
      <c r="H4676">
        <f t="shared" ca="1" si="80"/>
        <v>-2.4067951345792659E-2</v>
      </c>
    </row>
    <row r="4677" spans="7:8">
      <c r="G4677">
        <v>4667</v>
      </c>
      <c r="H4677">
        <f t="shared" ca="1" si="80"/>
        <v>-3.5892607062211969E-3</v>
      </c>
    </row>
    <row r="4678" spans="7:8">
      <c r="G4678">
        <v>4668</v>
      </c>
      <c r="H4678">
        <f t="shared" ca="1" si="80"/>
        <v>1.4522417835650206E-2</v>
      </c>
    </row>
    <row r="4679" spans="7:8">
      <c r="G4679">
        <v>4669</v>
      </c>
      <c r="H4679">
        <f t="shared" ca="1" si="80"/>
        <v>2.1806304385242532E-3</v>
      </c>
    </row>
    <row r="4680" spans="7:8">
      <c r="G4680">
        <v>4670</v>
      </c>
      <c r="H4680">
        <f t="shared" ca="1" si="80"/>
        <v>-2.9732558226460072E-2</v>
      </c>
    </row>
    <row r="4681" spans="7:8">
      <c r="G4681">
        <v>4671</v>
      </c>
      <c r="H4681">
        <f t="shared" ca="1" si="80"/>
        <v>7.0078054736059598E-3</v>
      </c>
    </row>
    <row r="4682" spans="7:8">
      <c r="G4682">
        <v>4672</v>
      </c>
      <c r="H4682">
        <f t="shared" ca="1" si="80"/>
        <v>1.5090505896691727E-2</v>
      </c>
    </row>
    <row r="4683" spans="7:8">
      <c r="G4683">
        <v>4673</v>
      </c>
      <c r="H4683">
        <f t="shared" ca="1" si="80"/>
        <v>-6.8799536408247477E-3</v>
      </c>
    </row>
    <row r="4684" spans="7:8">
      <c r="G4684">
        <v>4674</v>
      </c>
      <c r="H4684">
        <f t="shared" ref="H4684:H4747" ca="1" si="81">_xlfn.NORM.INV(RAND(),N$13,N$14)</f>
        <v>-9.3640694247693595E-3</v>
      </c>
    </row>
    <row r="4685" spans="7:8">
      <c r="G4685">
        <v>4675</v>
      </c>
      <c r="H4685">
        <f t="shared" ca="1" si="81"/>
        <v>-4.6378463005199579E-2</v>
      </c>
    </row>
    <row r="4686" spans="7:8">
      <c r="G4686">
        <v>4676</v>
      </c>
      <c r="H4686">
        <f t="shared" ca="1" si="81"/>
        <v>-1.8929475742815241E-3</v>
      </c>
    </row>
    <row r="4687" spans="7:8">
      <c r="G4687">
        <v>4677</v>
      </c>
      <c r="H4687">
        <f t="shared" ca="1" si="81"/>
        <v>-6.0982719742703065E-3</v>
      </c>
    </row>
    <row r="4688" spans="7:8">
      <c r="G4688">
        <v>4678</v>
      </c>
      <c r="H4688">
        <f t="shared" ca="1" si="81"/>
        <v>2.9275953373519314E-3</v>
      </c>
    </row>
    <row r="4689" spans="7:8">
      <c r="G4689">
        <v>4679</v>
      </c>
      <c r="H4689">
        <f t="shared" ca="1" si="81"/>
        <v>1.3469544810663822E-2</v>
      </c>
    </row>
    <row r="4690" spans="7:8">
      <c r="G4690">
        <v>4680</v>
      </c>
      <c r="H4690">
        <f t="shared" ca="1" si="81"/>
        <v>2.6329629208888716E-2</v>
      </c>
    </row>
    <row r="4691" spans="7:8">
      <c r="G4691">
        <v>4681</v>
      </c>
      <c r="H4691">
        <f t="shared" ca="1" si="81"/>
        <v>-8.5341134828453465E-3</v>
      </c>
    </row>
    <row r="4692" spans="7:8">
      <c r="G4692">
        <v>4682</v>
      </c>
      <c r="H4692">
        <f t="shared" ca="1" si="81"/>
        <v>-2.7194751845629916E-2</v>
      </c>
    </row>
    <row r="4693" spans="7:8">
      <c r="G4693">
        <v>4683</v>
      </c>
      <c r="H4693">
        <f t="shared" ca="1" si="81"/>
        <v>-1.4115000794538052E-2</v>
      </c>
    </row>
    <row r="4694" spans="7:8">
      <c r="G4694">
        <v>4684</v>
      </c>
      <c r="H4694">
        <f t="shared" ca="1" si="81"/>
        <v>-4.2863911591773636E-3</v>
      </c>
    </row>
    <row r="4695" spans="7:8">
      <c r="G4695">
        <v>4685</v>
      </c>
      <c r="H4695">
        <f t="shared" ca="1" si="81"/>
        <v>1.3312242827895929E-2</v>
      </c>
    </row>
    <row r="4696" spans="7:8">
      <c r="G4696">
        <v>4686</v>
      </c>
      <c r="H4696">
        <f t="shared" ca="1" si="81"/>
        <v>-3.4089916018885676E-2</v>
      </c>
    </row>
    <row r="4697" spans="7:8">
      <c r="G4697">
        <v>4687</v>
      </c>
      <c r="H4697">
        <f t="shared" ca="1" si="81"/>
        <v>1.8282486526865652E-2</v>
      </c>
    </row>
    <row r="4698" spans="7:8">
      <c r="G4698">
        <v>4688</v>
      </c>
      <c r="H4698">
        <f t="shared" ca="1" si="81"/>
        <v>-3.5108142907436482E-2</v>
      </c>
    </row>
    <row r="4699" spans="7:8">
      <c r="G4699">
        <v>4689</v>
      </c>
      <c r="H4699">
        <f t="shared" ca="1" si="81"/>
        <v>6.3171278411034964E-3</v>
      </c>
    </row>
    <row r="4700" spans="7:8">
      <c r="G4700">
        <v>4690</v>
      </c>
      <c r="H4700">
        <f t="shared" ca="1" si="81"/>
        <v>1.1080457295840878E-2</v>
      </c>
    </row>
    <row r="4701" spans="7:8">
      <c r="G4701">
        <v>4691</v>
      </c>
      <c r="H4701">
        <f t="shared" ca="1" si="81"/>
        <v>-1.366228921880901E-2</v>
      </c>
    </row>
    <row r="4702" spans="7:8">
      <c r="G4702">
        <v>4692</v>
      </c>
      <c r="H4702">
        <f t="shared" ca="1" si="81"/>
        <v>4.5515272433115567E-2</v>
      </c>
    </row>
    <row r="4703" spans="7:8">
      <c r="G4703">
        <v>4693</v>
      </c>
      <c r="H4703">
        <f t="shared" ca="1" si="81"/>
        <v>4.5940661547248116E-2</v>
      </c>
    </row>
    <row r="4704" spans="7:8">
      <c r="G4704">
        <v>4694</v>
      </c>
      <c r="H4704">
        <f t="shared" ca="1" si="81"/>
        <v>2.0564562447744707E-2</v>
      </c>
    </row>
    <row r="4705" spans="7:8">
      <c r="G4705">
        <v>4695</v>
      </c>
      <c r="H4705">
        <f t="shared" ca="1" si="81"/>
        <v>5.1867724612953284E-3</v>
      </c>
    </row>
    <row r="4706" spans="7:8">
      <c r="G4706">
        <v>4696</v>
      </c>
      <c r="H4706">
        <f t="shared" ca="1" si="81"/>
        <v>-3.1744631443221406E-2</v>
      </c>
    </row>
    <row r="4707" spans="7:8">
      <c r="G4707">
        <v>4697</v>
      </c>
      <c r="H4707">
        <f t="shared" ca="1" si="81"/>
        <v>-3.0933439118956085E-2</v>
      </c>
    </row>
    <row r="4708" spans="7:8">
      <c r="G4708">
        <v>4698</v>
      </c>
      <c r="H4708">
        <f t="shared" ca="1" si="81"/>
        <v>1.858891568362106E-2</v>
      </c>
    </row>
    <row r="4709" spans="7:8">
      <c r="G4709">
        <v>4699</v>
      </c>
      <c r="H4709">
        <f t="shared" ca="1" si="81"/>
        <v>8.9820236336162484E-3</v>
      </c>
    </row>
    <row r="4710" spans="7:8">
      <c r="G4710">
        <v>4700</v>
      </c>
      <c r="H4710">
        <f t="shared" ca="1" si="81"/>
        <v>1.1793450703421195E-2</v>
      </c>
    </row>
    <row r="4711" spans="7:8">
      <c r="G4711">
        <v>4701</v>
      </c>
      <c r="H4711">
        <f t="shared" ca="1" si="81"/>
        <v>4.7041771626847619E-2</v>
      </c>
    </row>
    <row r="4712" spans="7:8">
      <c r="G4712">
        <v>4702</v>
      </c>
      <c r="H4712">
        <f t="shared" ca="1" si="81"/>
        <v>-1.5350740226035577E-2</v>
      </c>
    </row>
    <row r="4713" spans="7:8">
      <c r="G4713">
        <v>4703</v>
      </c>
      <c r="H4713">
        <f t="shared" ca="1" si="81"/>
        <v>7.7146032649208166E-3</v>
      </c>
    </row>
    <row r="4714" spans="7:8">
      <c r="G4714">
        <v>4704</v>
      </c>
      <c r="H4714">
        <f t="shared" ca="1" si="81"/>
        <v>-7.7041949209187719E-3</v>
      </c>
    </row>
    <row r="4715" spans="7:8">
      <c r="G4715">
        <v>4705</v>
      </c>
      <c r="H4715">
        <f t="shared" ca="1" si="81"/>
        <v>-3.439891244713391E-2</v>
      </c>
    </row>
    <row r="4716" spans="7:8">
      <c r="G4716">
        <v>4706</v>
      </c>
      <c r="H4716">
        <f t="shared" ca="1" si="81"/>
        <v>4.3957114047757347E-3</v>
      </c>
    </row>
    <row r="4717" spans="7:8">
      <c r="G4717">
        <v>4707</v>
      </c>
      <c r="H4717">
        <f t="shared" ca="1" si="81"/>
        <v>3.7640324911482575E-3</v>
      </c>
    </row>
    <row r="4718" spans="7:8">
      <c r="G4718">
        <v>4708</v>
      </c>
      <c r="H4718">
        <f t="shared" ca="1" si="81"/>
        <v>1.7009352197323926E-2</v>
      </c>
    </row>
    <row r="4719" spans="7:8">
      <c r="G4719">
        <v>4709</v>
      </c>
      <c r="H4719">
        <f t="shared" ca="1" si="81"/>
        <v>3.0114204579321947E-2</v>
      </c>
    </row>
    <row r="4720" spans="7:8">
      <c r="G4720">
        <v>4710</v>
      </c>
      <c r="H4720">
        <f t="shared" ca="1" si="81"/>
        <v>-2.0681514234105927E-2</v>
      </c>
    </row>
    <row r="4721" spans="7:8">
      <c r="G4721">
        <v>4711</v>
      </c>
      <c r="H4721">
        <f t="shared" ca="1" si="81"/>
        <v>8.7557599424908841E-4</v>
      </c>
    </row>
    <row r="4722" spans="7:8">
      <c r="G4722">
        <v>4712</v>
      </c>
      <c r="H4722">
        <f t="shared" ca="1" si="81"/>
        <v>3.0740752235336143E-3</v>
      </c>
    </row>
    <row r="4723" spans="7:8">
      <c r="G4723">
        <v>4713</v>
      </c>
      <c r="H4723">
        <f t="shared" ca="1" si="81"/>
        <v>-9.4600580115071671E-4</v>
      </c>
    </row>
    <row r="4724" spans="7:8">
      <c r="G4724">
        <v>4714</v>
      </c>
      <c r="H4724">
        <f t="shared" ca="1" si="81"/>
        <v>1.842712749508111E-2</v>
      </c>
    </row>
    <row r="4725" spans="7:8">
      <c r="G4725">
        <v>4715</v>
      </c>
      <c r="H4725">
        <f t="shared" ca="1" si="81"/>
        <v>-3.8838054391336029E-3</v>
      </c>
    </row>
    <row r="4726" spans="7:8">
      <c r="G4726">
        <v>4716</v>
      </c>
      <c r="H4726">
        <f t="shared" ca="1" si="81"/>
        <v>-1.9519780827087336E-3</v>
      </c>
    </row>
    <row r="4727" spans="7:8">
      <c r="G4727">
        <v>4717</v>
      </c>
      <c r="H4727">
        <f t="shared" ca="1" si="81"/>
        <v>-4.7798299385030758E-3</v>
      </c>
    </row>
    <row r="4728" spans="7:8">
      <c r="G4728">
        <v>4718</v>
      </c>
      <c r="H4728">
        <f t="shared" ca="1" si="81"/>
        <v>-3.1549954088040404E-3</v>
      </c>
    </row>
    <row r="4729" spans="7:8">
      <c r="G4729">
        <v>4719</v>
      </c>
      <c r="H4729">
        <f t="shared" ca="1" si="81"/>
        <v>-2.5725867602226601E-2</v>
      </c>
    </row>
    <row r="4730" spans="7:8">
      <c r="G4730">
        <v>4720</v>
      </c>
      <c r="H4730">
        <f t="shared" ca="1" si="81"/>
        <v>-9.9813728450326988E-3</v>
      </c>
    </row>
    <row r="4731" spans="7:8">
      <c r="G4731">
        <v>4721</v>
      </c>
      <c r="H4731">
        <f t="shared" ca="1" si="81"/>
        <v>-2.193032143661313E-2</v>
      </c>
    </row>
    <row r="4732" spans="7:8">
      <c r="G4732">
        <v>4722</v>
      </c>
      <c r="H4732">
        <f t="shared" ca="1" si="81"/>
        <v>8.9852322195869052E-3</v>
      </c>
    </row>
    <row r="4733" spans="7:8">
      <c r="G4733">
        <v>4723</v>
      </c>
      <c r="H4733">
        <f t="shared" ca="1" si="81"/>
        <v>3.3544799332063105E-3</v>
      </c>
    </row>
    <row r="4734" spans="7:8">
      <c r="G4734">
        <v>4724</v>
      </c>
      <c r="H4734">
        <f t="shared" ca="1" si="81"/>
        <v>1.2236640441839357E-2</v>
      </c>
    </row>
    <row r="4735" spans="7:8">
      <c r="G4735">
        <v>4725</v>
      </c>
      <c r="H4735">
        <f t="shared" ca="1" si="81"/>
        <v>4.466802525556212E-3</v>
      </c>
    </row>
    <row r="4736" spans="7:8">
      <c r="G4736">
        <v>4726</v>
      </c>
      <c r="H4736">
        <f t="shared" ca="1" si="81"/>
        <v>-1.1885881824181403E-2</v>
      </c>
    </row>
    <row r="4737" spans="7:8">
      <c r="G4737">
        <v>4727</v>
      </c>
      <c r="H4737">
        <f t="shared" ca="1" si="81"/>
        <v>-1.1084083578412557E-2</v>
      </c>
    </row>
    <row r="4738" spans="7:8">
      <c r="G4738">
        <v>4728</v>
      </c>
      <c r="H4738">
        <f t="shared" ca="1" si="81"/>
        <v>-3.9360500935645346E-2</v>
      </c>
    </row>
    <row r="4739" spans="7:8">
      <c r="G4739">
        <v>4729</v>
      </c>
      <c r="H4739">
        <f t="shared" ca="1" si="81"/>
        <v>-3.8719371410110608E-2</v>
      </c>
    </row>
    <row r="4740" spans="7:8">
      <c r="G4740">
        <v>4730</v>
      </c>
      <c r="H4740">
        <f t="shared" ca="1" si="81"/>
        <v>-4.5568669847553924E-3</v>
      </c>
    </row>
    <row r="4741" spans="7:8">
      <c r="G4741">
        <v>4731</v>
      </c>
      <c r="H4741">
        <f t="shared" ca="1" si="81"/>
        <v>-1.7709945248304677E-2</v>
      </c>
    </row>
    <row r="4742" spans="7:8">
      <c r="G4742">
        <v>4732</v>
      </c>
      <c r="H4742">
        <f t="shared" ca="1" si="81"/>
        <v>-3.1216636957902211E-2</v>
      </c>
    </row>
    <row r="4743" spans="7:8">
      <c r="G4743">
        <v>4733</v>
      </c>
      <c r="H4743">
        <f t="shared" ca="1" si="81"/>
        <v>1.5029240634455873E-2</v>
      </c>
    </row>
    <row r="4744" spans="7:8">
      <c r="G4744">
        <v>4734</v>
      </c>
      <c r="H4744">
        <f t="shared" ca="1" si="81"/>
        <v>-1.254939928911844E-2</v>
      </c>
    </row>
    <row r="4745" spans="7:8">
      <c r="G4745">
        <v>4735</v>
      </c>
      <c r="H4745">
        <f t="shared" ca="1" si="81"/>
        <v>2.9432823719048873E-2</v>
      </c>
    </row>
    <row r="4746" spans="7:8">
      <c r="G4746">
        <v>4736</v>
      </c>
      <c r="H4746">
        <f t="shared" ca="1" si="81"/>
        <v>-1.4189339884697862E-2</v>
      </c>
    </row>
    <row r="4747" spans="7:8">
      <c r="G4747">
        <v>4737</v>
      </c>
      <c r="H4747">
        <f t="shared" ca="1" si="81"/>
        <v>-7.2422737153253697E-3</v>
      </c>
    </row>
    <row r="4748" spans="7:8">
      <c r="G4748">
        <v>4738</v>
      </c>
      <c r="H4748">
        <f t="shared" ref="H4748:H4811" ca="1" si="82">_xlfn.NORM.INV(RAND(),N$13,N$14)</f>
        <v>-1.1812532305034528E-2</v>
      </c>
    </row>
    <row r="4749" spans="7:8">
      <c r="G4749">
        <v>4739</v>
      </c>
      <c r="H4749">
        <f t="shared" ca="1" si="82"/>
        <v>-1.405089757657905E-2</v>
      </c>
    </row>
    <row r="4750" spans="7:8">
      <c r="G4750">
        <v>4740</v>
      </c>
      <c r="H4750">
        <f t="shared" ca="1" si="82"/>
        <v>1.4244303948957851E-2</v>
      </c>
    </row>
    <row r="4751" spans="7:8">
      <c r="G4751">
        <v>4741</v>
      </c>
      <c r="H4751">
        <f t="shared" ca="1" si="82"/>
        <v>1.672994916272456E-2</v>
      </c>
    </row>
    <row r="4752" spans="7:8">
      <c r="G4752">
        <v>4742</v>
      </c>
      <c r="H4752">
        <f t="shared" ca="1" si="82"/>
        <v>9.1968266105460408E-3</v>
      </c>
    </row>
    <row r="4753" spans="7:8">
      <c r="G4753">
        <v>4743</v>
      </c>
      <c r="H4753">
        <f t="shared" ca="1" si="82"/>
        <v>-2.5589294445379371E-2</v>
      </c>
    </row>
    <row r="4754" spans="7:8">
      <c r="G4754">
        <v>4744</v>
      </c>
      <c r="H4754">
        <f t="shared" ca="1" si="82"/>
        <v>2.8974411667123008E-2</v>
      </c>
    </row>
    <row r="4755" spans="7:8">
      <c r="G4755">
        <v>4745</v>
      </c>
      <c r="H4755">
        <f t="shared" ca="1" si="82"/>
        <v>1.8950611183043177E-2</v>
      </c>
    </row>
    <row r="4756" spans="7:8">
      <c r="G4756">
        <v>4746</v>
      </c>
      <c r="H4756">
        <f t="shared" ca="1" si="82"/>
        <v>2.9276639773172845E-2</v>
      </c>
    </row>
    <row r="4757" spans="7:8">
      <c r="G4757">
        <v>4747</v>
      </c>
      <c r="H4757">
        <f t="shared" ca="1" si="82"/>
        <v>3.3509418619766078E-2</v>
      </c>
    </row>
    <row r="4758" spans="7:8">
      <c r="G4758">
        <v>4748</v>
      </c>
      <c r="H4758">
        <f t="shared" ca="1" si="82"/>
        <v>-1.0352991751938882E-2</v>
      </c>
    </row>
    <row r="4759" spans="7:8">
      <c r="G4759">
        <v>4749</v>
      </c>
      <c r="H4759">
        <f t="shared" ca="1" si="82"/>
        <v>7.6056146545561212E-3</v>
      </c>
    </row>
    <row r="4760" spans="7:8">
      <c r="G4760">
        <v>4750</v>
      </c>
      <c r="H4760">
        <f t="shared" ca="1" si="82"/>
        <v>1.4341202926106729E-2</v>
      </c>
    </row>
    <row r="4761" spans="7:8">
      <c r="G4761">
        <v>4751</v>
      </c>
      <c r="H4761">
        <f t="shared" ca="1" si="82"/>
        <v>5.9127064630807554E-3</v>
      </c>
    </row>
    <row r="4762" spans="7:8">
      <c r="G4762">
        <v>4752</v>
      </c>
      <c r="H4762">
        <f t="shared" ca="1" si="82"/>
        <v>1.4501221547863532E-2</v>
      </c>
    </row>
    <row r="4763" spans="7:8">
      <c r="G4763">
        <v>4753</v>
      </c>
      <c r="H4763">
        <f t="shared" ca="1" si="82"/>
        <v>1.4232555023121008E-2</v>
      </c>
    </row>
    <row r="4764" spans="7:8">
      <c r="G4764">
        <v>4754</v>
      </c>
      <c r="H4764">
        <f t="shared" ca="1" si="82"/>
        <v>-5.5618494829205445E-3</v>
      </c>
    </row>
    <row r="4765" spans="7:8">
      <c r="G4765">
        <v>4755</v>
      </c>
      <c r="H4765">
        <f t="shared" ca="1" si="82"/>
        <v>-3.0470521294046003E-2</v>
      </c>
    </row>
    <row r="4766" spans="7:8">
      <c r="G4766">
        <v>4756</v>
      </c>
      <c r="H4766">
        <f t="shared" ca="1" si="82"/>
        <v>4.0455531359481781E-2</v>
      </c>
    </row>
    <row r="4767" spans="7:8">
      <c r="G4767">
        <v>4757</v>
      </c>
      <c r="H4767">
        <f t="shared" ca="1" si="82"/>
        <v>-4.4849357150972171E-5</v>
      </c>
    </row>
    <row r="4768" spans="7:8">
      <c r="G4768">
        <v>4758</v>
      </c>
      <c r="H4768">
        <f t="shared" ca="1" si="82"/>
        <v>2.7281623083190293E-2</v>
      </c>
    </row>
    <row r="4769" spans="7:8">
      <c r="G4769">
        <v>4759</v>
      </c>
      <c r="H4769">
        <f t="shared" ca="1" si="82"/>
        <v>1.4943075521568145E-2</v>
      </c>
    </row>
    <row r="4770" spans="7:8">
      <c r="G4770">
        <v>4760</v>
      </c>
      <c r="H4770">
        <f t="shared" ca="1" si="82"/>
        <v>1.8689566600685072E-2</v>
      </c>
    </row>
    <row r="4771" spans="7:8">
      <c r="G4771">
        <v>4761</v>
      </c>
      <c r="H4771">
        <f t="shared" ca="1" si="82"/>
        <v>2.2294538211893148E-2</v>
      </c>
    </row>
    <row r="4772" spans="7:8">
      <c r="G4772">
        <v>4762</v>
      </c>
      <c r="H4772">
        <f t="shared" ca="1" si="82"/>
        <v>1.2048005255281683E-2</v>
      </c>
    </row>
    <row r="4773" spans="7:8">
      <c r="G4773">
        <v>4763</v>
      </c>
      <c r="H4773">
        <f t="shared" ca="1" si="82"/>
        <v>3.9509684610602537E-2</v>
      </c>
    </row>
    <row r="4774" spans="7:8">
      <c r="G4774">
        <v>4764</v>
      </c>
      <c r="H4774">
        <f t="shared" ca="1" si="82"/>
        <v>-2.172433766610922E-2</v>
      </c>
    </row>
    <row r="4775" spans="7:8">
      <c r="G4775">
        <v>4765</v>
      </c>
      <c r="H4775">
        <f t="shared" ca="1" si="82"/>
        <v>-1.2174275848270629E-2</v>
      </c>
    </row>
    <row r="4776" spans="7:8">
      <c r="G4776">
        <v>4766</v>
      </c>
      <c r="H4776">
        <f t="shared" ca="1" si="82"/>
        <v>-4.1025261669371177E-2</v>
      </c>
    </row>
    <row r="4777" spans="7:8">
      <c r="G4777">
        <v>4767</v>
      </c>
      <c r="H4777">
        <f t="shared" ca="1" si="82"/>
        <v>4.1845075206082471E-3</v>
      </c>
    </row>
    <row r="4778" spans="7:8">
      <c r="G4778">
        <v>4768</v>
      </c>
      <c r="H4778">
        <f t="shared" ca="1" si="82"/>
        <v>2.0159571709044762E-2</v>
      </c>
    </row>
    <row r="4779" spans="7:8">
      <c r="G4779">
        <v>4769</v>
      </c>
      <c r="H4779">
        <f t="shared" ca="1" si="82"/>
        <v>1.0463374610709792E-3</v>
      </c>
    </row>
    <row r="4780" spans="7:8">
      <c r="G4780">
        <v>4770</v>
      </c>
      <c r="H4780">
        <f t="shared" ca="1" si="82"/>
        <v>2.0320264020629629E-3</v>
      </c>
    </row>
    <row r="4781" spans="7:8">
      <c r="G4781">
        <v>4771</v>
      </c>
      <c r="H4781">
        <f t="shared" ca="1" si="82"/>
        <v>8.7140234479357592E-3</v>
      </c>
    </row>
    <row r="4782" spans="7:8">
      <c r="G4782">
        <v>4772</v>
      </c>
      <c r="H4782">
        <f t="shared" ca="1" si="82"/>
        <v>9.2900689381513833E-3</v>
      </c>
    </row>
    <row r="4783" spans="7:8">
      <c r="G4783">
        <v>4773</v>
      </c>
      <c r="H4783">
        <f t="shared" ca="1" si="82"/>
        <v>3.1587720928176778E-2</v>
      </c>
    </row>
    <row r="4784" spans="7:8">
      <c r="G4784">
        <v>4774</v>
      </c>
      <c r="H4784">
        <f t="shared" ca="1" si="82"/>
        <v>3.5086771945684395E-2</v>
      </c>
    </row>
    <row r="4785" spans="7:8">
      <c r="G4785">
        <v>4775</v>
      </c>
      <c r="H4785">
        <f t="shared" ca="1" si="82"/>
        <v>3.1151734991140892E-2</v>
      </c>
    </row>
    <row r="4786" spans="7:8">
      <c r="G4786">
        <v>4776</v>
      </c>
      <c r="H4786">
        <f t="shared" ca="1" si="82"/>
        <v>-1.8497689291277031E-2</v>
      </c>
    </row>
    <row r="4787" spans="7:8">
      <c r="G4787">
        <v>4777</v>
      </c>
      <c r="H4787">
        <f t="shared" ca="1" si="82"/>
        <v>4.1298187483583194E-2</v>
      </c>
    </row>
    <row r="4788" spans="7:8">
      <c r="G4788">
        <v>4778</v>
      </c>
      <c r="H4788">
        <f t="shared" ca="1" si="82"/>
        <v>-1.8927198421431129E-2</v>
      </c>
    </row>
    <row r="4789" spans="7:8">
      <c r="G4789">
        <v>4779</v>
      </c>
      <c r="H4789">
        <f t="shared" ca="1" si="82"/>
        <v>2.1547759805218916E-2</v>
      </c>
    </row>
    <row r="4790" spans="7:8">
      <c r="G4790">
        <v>4780</v>
      </c>
      <c r="H4790">
        <f t="shared" ca="1" si="82"/>
        <v>5.0854016777443035E-2</v>
      </c>
    </row>
    <row r="4791" spans="7:8">
      <c r="G4791">
        <v>4781</v>
      </c>
      <c r="H4791">
        <f t="shared" ca="1" si="82"/>
        <v>-2.5402907297090188E-2</v>
      </c>
    </row>
    <row r="4792" spans="7:8">
      <c r="G4792">
        <v>4782</v>
      </c>
      <c r="H4792">
        <f t="shared" ca="1" si="82"/>
        <v>1.2080945177891654E-2</v>
      </c>
    </row>
    <row r="4793" spans="7:8">
      <c r="G4793">
        <v>4783</v>
      </c>
      <c r="H4793">
        <f t="shared" ca="1" si="82"/>
        <v>-4.3143131845594391E-3</v>
      </c>
    </row>
    <row r="4794" spans="7:8">
      <c r="G4794">
        <v>4784</v>
      </c>
      <c r="H4794">
        <f t="shared" ca="1" si="82"/>
        <v>3.739932735655887E-3</v>
      </c>
    </row>
    <row r="4795" spans="7:8">
      <c r="G4795">
        <v>4785</v>
      </c>
      <c r="H4795">
        <f t="shared" ca="1" si="82"/>
        <v>2.9821854402339615E-4</v>
      </c>
    </row>
    <row r="4796" spans="7:8">
      <c r="G4796">
        <v>4786</v>
      </c>
      <c r="H4796">
        <f t="shared" ca="1" si="82"/>
        <v>-3.763206167357562E-2</v>
      </c>
    </row>
    <row r="4797" spans="7:8">
      <c r="G4797">
        <v>4787</v>
      </c>
      <c r="H4797">
        <f t="shared" ca="1" si="82"/>
        <v>1.883348365971009E-2</v>
      </c>
    </row>
    <row r="4798" spans="7:8">
      <c r="G4798">
        <v>4788</v>
      </c>
      <c r="H4798">
        <f t="shared" ca="1" si="82"/>
        <v>7.6233869559254345E-3</v>
      </c>
    </row>
    <row r="4799" spans="7:8">
      <c r="G4799">
        <v>4789</v>
      </c>
      <c r="H4799">
        <f t="shared" ca="1" si="82"/>
        <v>-1.290001082003756E-3</v>
      </c>
    </row>
    <row r="4800" spans="7:8">
      <c r="G4800">
        <v>4790</v>
      </c>
      <c r="H4800">
        <f t="shared" ca="1" si="82"/>
        <v>-8.7754149522029454E-3</v>
      </c>
    </row>
    <row r="4801" spans="7:8">
      <c r="G4801">
        <v>4791</v>
      </c>
      <c r="H4801">
        <f t="shared" ca="1" si="82"/>
        <v>4.541993697567908E-2</v>
      </c>
    </row>
    <row r="4802" spans="7:8">
      <c r="G4802">
        <v>4792</v>
      </c>
      <c r="H4802">
        <f t="shared" ca="1" si="82"/>
        <v>1.2155610564256807E-2</v>
      </c>
    </row>
    <row r="4803" spans="7:8">
      <c r="G4803">
        <v>4793</v>
      </c>
      <c r="H4803">
        <f t="shared" ca="1" si="82"/>
        <v>-1.446243188204094E-2</v>
      </c>
    </row>
    <row r="4804" spans="7:8">
      <c r="G4804">
        <v>4794</v>
      </c>
      <c r="H4804">
        <f t="shared" ca="1" si="82"/>
        <v>-5.2499669400228204E-2</v>
      </c>
    </row>
    <row r="4805" spans="7:8">
      <c r="G4805">
        <v>4795</v>
      </c>
      <c r="H4805">
        <f t="shared" ca="1" si="82"/>
        <v>4.7448605218605652E-2</v>
      </c>
    </row>
    <row r="4806" spans="7:8">
      <c r="G4806">
        <v>4796</v>
      </c>
      <c r="H4806">
        <f t="shared" ca="1" si="82"/>
        <v>-8.5338082470510484E-3</v>
      </c>
    </row>
    <row r="4807" spans="7:8">
      <c r="G4807">
        <v>4797</v>
      </c>
      <c r="H4807">
        <f t="shared" ca="1" si="82"/>
        <v>1.3831735650052236E-2</v>
      </c>
    </row>
    <row r="4808" spans="7:8">
      <c r="G4808">
        <v>4798</v>
      </c>
      <c r="H4808">
        <f t="shared" ca="1" si="82"/>
        <v>-4.8559066564766379E-3</v>
      </c>
    </row>
    <row r="4809" spans="7:8">
      <c r="G4809">
        <v>4799</v>
      </c>
      <c r="H4809">
        <f t="shared" ca="1" si="82"/>
        <v>-2.1035646201059348E-2</v>
      </c>
    </row>
    <row r="4810" spans="7:8">
      <c r="G4810">
        <v>4800</v>
      </c>
      <c r="H4810">
        <f t="shared" ca="1" si="82"/>
        <v>-4.454181652636844E-2</v>
      </c>
    </row>
    <row r="4811" spans="7:8">
      <c r="G4811">
        <v>4801</v>
      </c>
      <c r="H4811">
        <f t="shared" ca="1" si="82"/>
        <v>5.4520987471042958E-3</v>
      </c>
    </row>
    <row r="4812" spans="7:8">
      <c r="G4812">
        <v>4802</v>
      </c>
      <c r="H4812">
        <f t="shared" ref="H4812:H4875" ca="1" si="83">_xlfn.NORM.INV(RAND(),N$13,N$14)</f>
        <v>7.0694079083253201E-3</v>
      </c>
    </row>
    <row r="4813" spans="7:8">
      <c r="G4813">
        <v>4803</v>
      </c>
      <c r="H4813">
        <f t="shared" ca="1" si="83"/>
        <v>2.7066778279477892E-2</v>
      </c>
    </row>
    <row r="4814" spans="7:8">
      <c r="G4814">
        <v>4804</v>
      </c>
      <c r="H4814">
        <f t="shared" ca="1" si="83"/>
        <v>1.1791763158458058E-2</v>
      </c>
    </row>
    <row r="4815" spans="7:8">
      <c r="G4815">
        <v>4805</v>
      </c>
      <c r="H4815">
        <f t="shared" ca="1" si="83"/>
        <v>5.5696240451231765E-3</v>
      </c>
    </row>
    <row r="4816" spans="7:8">
      <c r="G4816">
        <v>4806</v>
      </c>
      <c r="H4816">
        <f t="shared" ca="1" si="83"/>
        <v>4.1556161184889827E-2</v>
      </c>
    </row>
    <row r="4817" spans="7:8">
      <c r="G4817">
        <v>4807</v>
      </c>
      <c r="H4817">
        <f t="shared" ca="1" si="83"/>
        <v>-2.5285508685268108E-2</v>
      </c>
    </row>
    <row r="4818" spans="7:8">
      <c r="G4818">
        <v>4808</v>
      </c>
      <c r="H4818">
        <f t="shared" ca="1" si="83"/>
        <v>3.9960421323032369E-3</v>
      </c>
    </row>
    <row r="4819" spans="7:8">
      <c r="G4819">
        <v>4809</v>
      </c>
      <c r="H4819">
        <f t="shared" ca="1" si="83"/>
        <v>6.9110189095760236E-3</v>
      </c>
    </row>
    <row r="4820" spans="7:8">
      <c r="G4820">
        <v>4810</v>
      </c>
      <c r="H4820">
        <f t="shared" ca="1" si="83"/>
        <v>-2.2312024574970314E-2</v>
      </c>
    </row>
    <row r="4821" spans="7:8">
      <c r="G4821">
        <v>4811</v>
      </c>
      <c r="H4821">
        <f t="shared" ca="1" si="83"/>
        <v>-1.2669229366394074E-2</v>
      </c>
    </row>
    <row r="4822" spans="7:8">
      <c r="G4822">
        <v>4812</v>
      </c>
      <c r="H4822">
        <f t="shared" ca="1" si="83"/>
        <v>-5.9258074551397033E-2</v>
      </c>
    </row>
    <row r="4823" spans="7:8">
      <c r="G4823">
        <v>4813</v>
      </c>
      <c r="H4823">
        <f t="shared" ca="1" si="83"/>
        <v>-4.5590171483940248E-2</v>
      </c>
    </row>
    <row r="4824" spans="7:8">
      <c r="G4824">
        <v>4814</v>
      </c>
      <c r="H4824">
        <f t="shared" ca="1" si="83"/>
        <v>3.1236040857206744E-3</v>
      </c>
    </row>
    <row r="4825" spans="7:8">
      <c r="G4825">
        <v>4815</v>
      </c>
      <c r="H4825">
        <f t="shared" ca="1" si="83"/>
        <v>-3.9981923361704468E-2</v>
      </c>
    </row>
    <row r="4826" spans="7:8">
      <c r="G4826">
        <v>4816</v>
      </c>
      <c r="H4826">
        <f t="shared" ca="1" si="83"/>
        <v>2.9039974759729307E-2</v>
      </c>
    </row>
    <row r="4827" spans="7:8">
      <c r="G4827">
        <v>4817</v>
      </c>
      <c r="H4827">
        <f t="shared" ca="1" si="83"/>
        <v>3.160925980375584E-2</v>
      </c>
    </row>
    <row r="4828" spans="7:8">
      <c r="G4828">
        <v>4818</v>
      </c>
      <c r="H4828">
        <f t="shared" ca="1" si="83"/>
        <v>1.0444684564867326E-2</v>
      </c>
    </row>
    <row r="4829" spans="7:8">
      <c r="G4829">
        <v>4819</v>
      </c>
      <c r="H4829">
        <f t="shared" ca="1" si="83"/>
        <v>1.847366629994223E-2</v>
      </c>
    </row>
    <row r="4830" spans="7:8">
      <c r="G4830">
        <v>4820</v>
      </c>
      <c r="H4830">
        <f t="shared" ca="1" si="83"/>
        <v>-3.2393023967477091E-2</v>
      </c>
    </row>
    <row r="4831" spans="7:8">
      <c r="G4831">
        <v>4821</v>
      </c>
      <c r="H4831">
        <f t="shared" ca="1" si="83"/>
        <v>2.9967977828073422E-2</v>
      </c>
    </row>
    <row r="4832" spans="7:8">
      <c r="G4832">
        <v>4822</v>
      </c>
      <c r="H4832">
        <f t="shared" ca="1" si="83"/>
        <v>-4.6057337596479342E-2</v>
      </c>
    </row>
    <row r="4833" spans="7:8">
      <c r="G4833">
        <v>4823</v>
      </c>
      <c r="H4833">
        <f t="shared" ca="1" si="83"/>
        <v>-3.7684553778830391E-3</v>
      </c>
    </row>
    <row r="4834" spans="7:8">
      <c r="G4834">
        <v>4824</v>
      </c>
      <c r="H4834">
        <f t="shared" ca="1" si="83"/>
        <v>1.1865492971641215E-2</v>
      </c>
    </row>
    <row r="4835" spans="7:8">
      <c r="G4835">
        <v>4825</v>
      </c>
      <c r="H4835">
        <f t="shared" ca="1" si="83"/>
        <v>1.4743455066641478E-2</v>
      </c>
    </row>
    <row r="4836" spans="7:8">
      <c r="G4836">
        <v>4826</v>
      </c>
      <c r="H4836">
        <f t="shared" ca="1" si="83"/>
        <v>-2.9178144116333793E-2</v>
      </c>
    </row>
    <row r="4837" spans="7:8">
      <c r="G4837">
        <v>4827</v>
      </c>
      <c r="H4837">
        <f t="shared" ca="1" si="83"/>
        <v>1.2727898438397355E-2</v>
      </c>
    </row>
    <row r="4838" spans="7:8">
      <c r="G4838">
        <v>4828</v>
      </c>
      <c r="H4838">
        <f t="shared" ca="1" si="83"/>
        <v>3.3453465159886814E-3</v>
      </c>
    </row>
    <row r="4839" spans="7:8">
      <c r="G4839">
        <v>4829</v>
      </c>
      <c r="H4839">
        <f t="shared" ca="1" si="83"/>
        <v>-6.6124371044805888E-3</v>
      </c>
    </row>
    <row r="4840" spans="7:8">
      <c r="G4840">
        <v>4830</v>
      </c>
      <c r="H4840">
        <f t="shared" ca="1" si="83"/>
        <v>9.4659149546539346E-3</v>
      </c>
    </row>
    <row r="4841" spans="7:8">
      <c r="G4841">
        <v>4831</v>
      </c>
      <c r="H4841">
        <f t="shared" ca="1" si="83"/>
        <v>-2.1112274337391178E-2</v>
      </c>
    </row>
    <row r="4842" spans="7:8">
      <c r="G4842">
        <v>4832</v>
      </c>
      <c r="H4842">
        <f t="shared" ca="1" si="83"/>
        <v>1.7373045275626518E-2</v>
      </c>
    </row>
    <row r="4843" spans="7:8">
      <c r="G4843">
        <v>4833</v>
      </c>
      <c r="H4843">
        <f t="shared" ca="1" si="83"/>
        <v>-2.4682020449953608E-2</v>
      </c>
    </row>
    <row r="4844" spans="7:8">
      <c r="G4844">
        <v>4834</v>
      </c>
      <c r="H4844">
        <f t="shared" ca="1" si="83"/>
        <v>-3.5239648598106972E-2</v>
      </c>
    </row>
    <row r="4845" spans="7:8">
      <c r="G4845">
        <v>4835</v>
      </c>
      <c r="H4845">
        <f t="shared" ca="1" si="83"/>
        <v>-1.0882151017029321E-5</v>
      </c>
    </row>
    <row r="4846" spans="7:8">
      <c r="G4846">
        <v>4836</v>
      </c>
      <c r="H4846">
        <f t="shared" ca="1" si="83"/>
        <v>-3.5864563897679551E-2</v>
      </c>
    </row>
    <row r="4847" spans="7:8">
      <c r="G4847">
        <v>4837</v>
      </c>
      <c r="H4847">
        <f t="shared" ca="1" si="83"/>
        <v>-4.4639701764305206E-3</v>
      </c>
    </row>
    <row r="4848" spans="7:8">
      <c r="G4848">
        <v>4838</v>
      </c>
      <c r="H4848">
        <f t="shared" ca="1" si="83"/>
        <v>-2.2431520976099947E-2</v>
      </c>
    </row>
    <row r="4849" spans="7:8">
      <c r="G4849">
        <v>4839</v>
      </c>
      <c r="H4849">
        <f t="shared" ca="1" si="83"/>
        <v>1.4634354278296673E-2</v>
      </c>
    </row>
    <row r="4850" spans="7:8">
      <c r="G4850">
        <v>4840</v>
      </c>
      <c r="H4850">
        <f t="shared" ca="1" si="83"/>
        <v>2.5065966148025736E-2</v>
      </c>
    </row>
    <row r="4851" spans="7:8">
      <c r="G4851">
        <v>4841</v>
      </c>
      <c r="H4851">
        <f t="shared" ca="1" si="83"/>
        <v>4.675968678681254E-2</v>
      </c>
    </row>
    <row r="4852" spans="7:8">
      <c r="G4852">
        <v>4842</v>
      </c>
      <c r="H4852">
        <f t="shared" ca="1" si="83"/>
        <v>1.63032394691183E-2</v>
      </c>
    </row>
    <row r="4853" spans="7:8">
      <c r="G4853">
        <v>4843</v>
      </c>
      <c r="H4853">
        <f t="shared" ca="1" si="83"/>
        <v>1.1208568061103542E-3</v>
      </c>
    </row>
    <row r="4854" spans="7:8">
      <c r="G4854">
        <v>4844</v>
      </c>
      <c r="H4854">
        <f t="shared" ca="1" si="83"/>
        <v>-6.8977532817991018E-3</v>
      </c>
    </row>
    <row r="4855" spans="7:8">
      <c r="G4855">
        <v>4845</v>
      </c>
      <c r="H4855">
        <f t="shared" ca="1" si="83"/>
        <v>-4.2109768533559119E-3</v>
      </c>
    </row>
    <row r="4856" spans="7:8">
      <c r="G4856">
        <v>4846</v>
      </c>
      <c r="H4856">
        <f t="shared" ca="1" si="83"/>
        <v>3.4913426052352522E-2</v>
      </c>
    </row>
    <row r="4857" spans="7:8">
      <c r="G4857">
        <v>4847</v>
      </c>
      <c r="H4857">
        <f t="shared" ca="1" si="83"/>
        <v>3.6817265526191065E-2</v>
      </c>
    </row>
    <row r="4858" spans="7:8">
      <c r="G4858">
        <v>4848</v>
      </c>
      <c r="H4858">
        <f t="shared" ca="1" si="83"/>
        <v>-6.1381527930804824E-3</v>
      </c>
    </row>
    <row r="4859" spans="7:8">
      <c r="G4859">
        <v>4849</v>
      </c>
      <c r="H4859">
        <f t="shared" ca="1" si="83"/>
        <v>-2.8246521472812935E-2</v>
      </c>
    </row>
    <row r="4860" spans="7:8">
      <c r="G4860">
        <v>4850</v>
      </c>
      <c r="H4860">
        <f t="shared" ca="1" si="83"/>
        <v>-3.4922124195644554E-3</v>
      </c>
    </row>
    <row r="4861" spans="7:8">
      <c r="G4861">
        <v>4851</v>
      </c>
      <c r="H4861">
        <f t="shared" ca="1" si="83"/>
        <v>-2.7155325562018821E-2</v>
      </c>
    </row>
    <row r="4862" spans="7:8">
      <c r="G4862">
        <v>4852</v>
      </c>
      <c r="H4862">
        <f t="shared" ca="1" si="83"/>
        <v>1.5637334605752694E-2</v>
      </c>
    </row>
    <row r="4863" spans="7:8">
      <c r="G4863">
        <v>4853</v>
      </c>
      <c r="H4863">
        <f t="shared" ca="1" si="83"/>
        <v>1.0478584150465917E-2</v>
      </c>
    </row>
    <row r="4864" spans="7:8">
      <c r="G4864">
        <v>4854</v>
      </c>
      <c r="H4864">
        <f t="shared" ca="1" si="83"/>
        <v>-1.6049804469125861E-2</v>
      </c>
    </row>
    <row r="4865" spans="7:8">
      <c r="G4865">
        <v>4855</v>
      </c>
      <c r="H4865">
        <f t="shared" ca="1" si="83"/>
        <v>1.604772457684054E-2</v>
      </c>
    </row>
    <row r="4866" spans="7:8">
      <c r="G4866">
        <v>4856</v>
      </c>
      <c r="H4866">
        <f t="shared" ca="1" si="83"/>
        <v>-6.8607507973444124E-3</v>
      </c>
    </row>
    <row r="4867" spans="7:8">
      <c r="G4867">
        <v>4857</v>
      </c>
      <c r="H4867">
        <f t="shared" ca="1" si="83"/>
        <v>-1.9529912812846061E-2</v>
      </c>
    </row>
    <row r="4868" spans="7:8">
      <c r="G4868">
        <v>4858</v>
      </c>
      <c r="H4868">
        <f t="shared" ca="1" si="83"/>
        <v>-1.9022103958468043E-2</v>
      </c>
    </row>
    <row r="4869" spans="7:8">
      <c r="G4869">
        <v>4859</v>
      </c>
      <c r="H4869">
        <f t="shared" ca="1" si="83"/>
        <v>2.029096030857008E-4</v>
      </c>
    </row>
    <row r="4870" spans="7:8">
      <c r="G4870">
        <v>4860</v>
      </c>
      <c r="H4870">
        <f t="shared" ca="1" si="83"/>
        <v>4.5119516720824558E-2</v>
      </c>
    </row>
    <row r="4871" spans="7:8">
      <c r="G4871">
        <v>4861</v>
      </c>
      <c r="H4871">
        <f t="shared" ca="1" si="83"/>
        <v>1.925161894451052E-2</v>
      </c>
    </row>
    <row r="4872" spans="7:8">
      <c r="G4872">
        <v>4862</v>
      </c>
      <c r="H4872">
        <f t="shared" ca="1" si="83"/>
        <v>5.1820373047701206E-4</v>
      </c>
    </row>
    <row r="4873" spans="7:8">
      <c r="G4873">
        <v>4863</v>
      </c>
      <c r="H4873">
        <f t="shared" ca="1" si="83"/>
        <v>3.3674517655029219E-2</v>
      </c>
    </row>
    <row r="4874" spans="7:8">
      <c r="G4874">
        <v>4864</v>
      </c>
      <c r="H4874">
        <f t="shared" ca="1" si="83"/>
        <v>-8.9580749837110175E-5</v>
      </c>
    </row>
    <row r="4875" spans="7:8">
      <c r="G4875">
        <v>4865</v>
      </c>
      <c r="H4875">
        <f t="shared" ca="1" si="83"/>
        <v>-2.1888040183651262E-2</v>
      </c>
    </row>
    <row r="4876" spans="7:8">
      <c r="G4876">
        <v>4866</v>
      </c>
      <c r="H4876">
        <f t="shared" ref="H4876:H4939" ca="1" si="84">_xlfn.NORM.INV(RAND(),N$13,N$14)</f>
        <v>1.6721608843624114E-2</v>
      </c>
    </row>
    <row r="4877" spans="7:8">
      <c r="G4877">
        <v>4867</v>
      </c>
      <c r="H4877">
        <f t="shared" ca="1" si="84"/>
        <v>-9.2440233387918336E-3</v>
      </c>
    </row>
    <row r="4878" spans="7:8">
      <c r="G4878">
        <v>4868</v>
      </c>
      <c r="H4878">
        <f t="shared" ca="1" si="84"/>
        <v>2.2694221250301422E-2</v>
      </c>
    </row>
    <row r="4879" spans="7:8">
      <c r="G4879">
        <v>4869</v>
      </c>
      <c r="H4879">
        <f t="shared" ca="1" si="84"/>
        <v>1.7546798450639643E-2</v>
      </c>
    </row>
    <row r="4880" spans="7:8">
      <c r="G4880">
        <v>4870</v>
      </c>
      <c r="H4880">
        <f t="shared" ca="1" si="84"/>
        <v>1.0788714125339266E-2</v>
      </c>
    </row>
    <row r="4881" spans="7:8">
      <c r="G4881">
        <v>4871</v>
      </c>
      <c r="H4881">
        <f t="shared" ca="1" si="84"/>
        <v>-9.5484541308245123E-3</v>
      </c>
    </row>
    <row r="4882" spans="7:8">
      <c r="G4882">
        <v>4872</v>
      </c>
      <c r="H4882">
        <f t="shared" ca="1" si="84"/>
        <v>3.4601239285935908E-3</v>
      </c>
    </row>
    <row r="4883" spans="7:8">
      <c r="G4883">
        <v>4873</v>
      </c>
      <c r="H4883">
        <f t="shared" ca="1" si="84"/>
        <v>8.5626250970334897E-3</v>
      </c>
    </row>
    <row r="4884" spans="7:8">
      <c r="G4884">
        <v>4874</v>
      </c>
      <c r="H4884">
        <f t="shared" ca="1" si="84"/>
        <v>-1.1028060736014211E-2</v>
      </c>
    </row>
    <row r="4885" spans="7:8">
      <c r="G4885">
        <v>4875</v>
      </c>
      <c r="H4885">
        <f t="shared" ca="1" si="84"/>
        <v>6.12029453555097E-3</v>
      </c>
    </row>
    <row r="4886" spans="7:8">
      <c r="G4886">
        <v>4876</v>
      </c>
      <c r="H4886">
        <f t="shared" ca="1" si="84"/>
        <v>-4.9252890817619061E-4</v>
      </c>
    </row>
    <row r="4887" spans="7:8">
      <c r="G4887">
        <v>4877</v>
      </c>
      <c r="H4887">
        <f t="shared" ca="1" si="84"/>
        <v>-5.7807786230891786E-3</v>
      </c>
    </row>
    <row r="4888" spans="7:8">
      <c r="G4888">
        <v>4878</v>
      </c>
      <c r="H4888">
        <f t="shared" ca="1" si="84"/>
        <v>-1.67921102276393E-3</v>
      </c>
    </row>
    <row r="4889" spans="7:8">
      <c r="G4889">
        <v>4879</v>
      </c>
      <c r="H4889">
        <f t="shared" ca="1" si="84"/>
        <v>3.6576188393135256E-2</v>
      </c>
    </row>
    <row r="4890" spans="7:8">
      <c r="G4890">
        <v>4880</v>
      </c>
      <c r="H4890">
        <f t="shared" ca="1" si="84"/>
        <v>3.7573064563072349E-2</v>
      </c>
    </row>
    <row r="4891" spans="7:8">
      <c r="G4891">
        <v>4881</v>
      </c>
      <c r="H4891">
        <f t="shared" ca="1" si="84"/>
        <v>-2.3152189064389378E-3</v>
      </c>
    </row>
    <row r="4892" spans="7:8">
      <c r="G4892">
        <v>4882</v>
      </c>
      <c r="H4892">
        <f t="shared" ca="1" si="84"/>
        <v>1.438360204940675E-2</v>
      </c>
    </row>
    <row r="4893" spans="7:8">
      <c r="G4893">
        <v>4883</v>
      </c>
      <c r="H4893">
        <f t="shared" ca="1" si="84"/>
        <v>2.792090447885132E-2</v>
      </c>
    </row>
    <row r="4894" spans="7:8">
      <c r="G4894">
        <v>4884</v>
      </c>
      <c r="H4894">
        <f t="shared" ca="1" si="84"/>
        <v>3.4248627082170996E-2</v>
      </c>
    </row>
    <row r="4895" spans="7:8">
      <c r="G4895">
        <v>4885</v>
      </c>
      <c r="H4895">
        <f t="shared" ca="1" si="84"/>
        <v>1.4518711889321741E-2</v>
      </c>
    </row>
    <row r="4896" spans="7:8">
      <c r="G4896">
        <v>4886</v>
      </c>
      <c r="H4896">
        <f t="shared" ca="1" si="84"/>
        <v>-6.4156212019085166E-3</v>
      </c>
    </row>
    <row r="4897" spans="7:8">
      <c r="G4897">
        <v>4887</v>
      </c>
      <c r="H4897">
        <f t="shared" ca="1" si="84"/>
        <v>-1.0738881909962588E-2</v>
      </c>
    </row>
    <row r="4898" spans="7:8">
      <c r="G4898">
        <v>4888</v>
      </c>
      <c r="H4898">
        <f t="shared" ca="1" si="84"/>
        <v>3.3960299749039983E-3</v>
      </c>
    </row>
    <row r="4899" spans="7:8">
      <c r="G4899">
        <v>4889</v>
      </c>
      <c r="H4899">
        <f t="shared" ca="1" si="84"/>
        <v>5.2254589849341712E-2</v>
      </c>
    </row>
    <row r="4900" spans="7:8">
      <c r="G4900">
        <v>4890</v>
      </c>
      <c r="H4900">
        <f t="shared" ca="1" si="84"/>
        <v>1.5621396091322409E-2</v>
      </c>
    </row>
    <row r="4901" spans="7:8">
      <c r="G4901">
        <v>4891</v>
      </c>
      <c r="H4901">
        <f t="shared" ca="1" si="84"/>
        <v>2.2559144794949547E-2</v>
      </c>
    </row>
    <row r="4902" spans="7:8">
      <c r="G4902">
        <v>4892</v>
      </c>
      <c r="H4902">
        <f t="shared" ca="1" si="84"/>
        <v>-9.5576085844898285E-3</v>
      </c>
    </row>
    <row r="4903" spans="7:8">
      <c r="G4903">
        <v>4893</v>
      </c>
      <c r="H4903">
        <f t="shared" ca="1" si="84"/>
        <v>-1.224245910241213E-2</v>
      </c>
    </row>
    <row r="4904" spans="7:8">
      <c r="G4904">
        <v>4894</v>
      </c>
      <c r="H4904">
        <f t="shared" ca="1" si="84"/>
        <v>-8.9140982953596348E-3</v>
      </c>
    </row>
    <row r="4905" spans="7:8">
      <c r="G4905">
        <v>4895</v>
      </c>
      <c r="H4905">
        <f t="shared" ca="1" si="84"/>
        <v>-2.7568846887942127E-2</v>
      </c>
    </row>
    <row r="4906" spans="7:8">
      <c r="G4906">
        <v>4896</v>
      </c>
      <c r="H4906">
        <f t="shared" ca="1" si="84"/>
        <v>1.6054909804381547E-2</v>
      </c>
    </row>
    <row r="4907" spans="7:8">
      <c r="G4907">
        <v>4897</v>
      </c>
      <c r="H4907">
        <f t="shared" ca="1" si="84"/>
        <v>-2.9877773211115347E-2</v>
      </c>
    </row>
    <row r="4908" spans="7:8">
      <c r="G4908">
        <v>4898</v>
      </c>
      <c r="H4908">
        <f t="shared" ca="1" si="84"/>
        <v>-1.6441658872408768E-2</v>
      </c>
    </row>
    <row r="4909" spans="7:8">
      <c r="G4909">
        <v>4899</v>
      </c>
      <c r="H4909">
        <f t="shared" ca="1" si="84"/>
        <v>-1.7785741190525867E-4</v>
      </c>
    </row>
    <row r="4910" spans="7:8">
      <c r="G4910">
        <v>4900</v>
      </c>
      <c r="H4910">
        <f t="shared" ca="1" si="84"/>
        <v>2.3456264587321893E-2</v>
      </c>
    </row>
    <row r="4911" spans="7:8">
      <c r="G4911">
        <v>4901</v>
      </c>
      <c r="H4911">
        <f t="shared" ca="1" si="84"/>
        <v>4.2592968188146013E-3</v>
      </c>
    </row>
    <row r="4912" spans="7:8">
      <c r="G4912">
        <v>4902</v>
      </c>
      <c r="H4912">
        <f t="shared" ca="1" si="84"/>
        <v>-9.7297234057255374E-3</v>
      </c>
    </row>
    <row r="4913" spans="7:8">
      <c r="G4913">
        <v>4903</v>
      </c>
      <c r="H4913">
        <f t="shared" ca="1" si="84"/>
        <v>-6.2991758176606044E-2</v>
      </c>
    </row>
    <row r="4914" spans="7:8">
      <c r="G4914">
        <v>4904</v>
      </c>
      <c r="H4914">
        <f t="shared" ca="1" si="84"/>
        <v>-1.8213246096714056E-2</v>
      </c>
    </row>
    <row r="4915" spans="7:8">
      <c r="G4915">
        <v>4905</v>
      </c>
      <c r="H4915">
        <f t="shared" ca="1" si="84"/>
        <v>-2.0389238459910274E-2</v>
      </c>
    </row>
    <row r="4916" spans="7:8">
      <c r="G4916">
        <v>4906</v>
      </c>
      <c r="H4916">
        <f t="shared" ca="1" si="84"/>
        <v>3.9654447877482324E-3</v>
      </c>
    </row>
    <row r="4917" spans="7:8">
      <c r="G4917">
        <v>4907</v>
      </c>
      <c r="H4917">
        <f t="shared" ca="1" si="84"/>
        <v>-1.5027143735018077E-2</v>
      </c>
    </row>
    <row r="4918" spans="7:8">
      <c r="G4918">
        <v>4908</v>
      </c>
      <c r="H4918">
        <f t="shared" ca="1" si="84"/>
        <v>1.0489179352300973E-2</v>
      </c>
    </row>
    <row r="4919" spans="7:8">
      <c r="G4919">
        <v>4909</v>
      </c>
      <c r="H4919">
        <f t="shared" ca="1" si="84"/>
        <v>1.9988955115471337E-2</v>
      </c>
    </row>
    <row r="4920" spans="7:8">
      <c r="G4920">
        <v>4910</v>
      </c>
      <c r="H4920">
        <f t="shared" ca="1" si="84"/>
        <v>-1.9548068245629859E-2</v>
      </c>
    </row>
    <row r="4921" spans="7:8">
      <c r="G4921">
        <v>4911</v>
      </c>
      <c r="H4921">
        <f t="shared" ca="1" si="84"/>
        <v>1.4929392704943693E-2</v>
      </c>
    </row>
    <row r="4922" spans="7:8">
      <c r="G4922">
        <v>4912</v>
      </c>
      <c r="H4922">
        <f t="shared" ca="1" si="84"/>
        <v>-6.306561456209509E-3</v>
      </c>
    </row>
    <row r="4923" spans="7:8">
      <c r="G4923">
        <v>4913</v>
      </c>
      <c r="H4923">
        <f t="shared" ca="1" si="84"/>
        <v>-3.8084596243003137E-2</v>
      </c>
    </row>
    <row r="4924" spans="7:8">
      <c r="G4924">
        <v>4914</v>
      </c>
      <c r="H4924">
        <f t="shared" ca="1" si="84"/>
        <v>-2.9725542438520651E-2</v>
      </c>
    </row>
    <row r="4925" spans="7:8">
      <c r="G4925">
        <v>4915</v>
      </c>
      <c r="H4925">
        <f t="shared" ca="1" si="84"/>
        <v>2.0386116747387193E-2</v>
      </c>
    </row>
    <row r="4926" spans="7:8">
      <c r="G4926">
        <v>4916</v>
      </c>
      <c r="H4926">
        <f t="shared" ca="1" si="84"/>
        <v>4.179522124467315E-2</v>
      </c>
    </row>
    <row r="4927" spans="7:8">
      <c r="G4927">
        <v>4917</v>
      </c>
      <c r="H4927">
        <f t="shared" ca="1" si="84"/>
        <v>1.3306932847047308E-2</v>
      </c>
    </row>
    <row r="4928" spans="7:8">
      <c r="G4928">
        <v>4918</v>
      </c>
      <c r="H4928">
        <f t="shared" ca="1" si="84"/>
        <v>5.1507574775574039E-3</v>
      </c>
    </row>
    <row r="4929" spans="7:8">
      <c r="G4929">
        <v>4919</v>
      </c>
      <c r="H4929">
        <f t="shared" ca="1" si="84"/>
        <v>1.9086293951028656E-2</v>
      </c>
    </row>
    <row r="4930" spans="7:8">
      <c r="G4930">
        <v>4920</v>
      </c>
      <c r="H4930">
        <f t="shared" ca="1" si="84"/>
        <v>3.332468038661416E-2</v>
      </c>
    </row>
    <row r="4931" spans="7:8">
      <c r="G4931">
        <v>4921</v>
      </c>
      <c r="H4931">
        <f t="shared" ca="1" si="84"/>
        <v>1.6150370936332797E-2</v>
      </c>
    </row>
    <row r="4932" spans="7:8">
      <c r="G4932">
        <v>4922</v>
      </c>
      <c r="H4932">
        <f t="shared" ca="1" si="84"/>
        <v>1.1802791875736487E-2</v>
      </c>
    </row>
    <row r="4933" spans="7:8">
      <c r="G4933">
        <v>4923</v>
      </c>
      <c r="H4933">
        <f t="shared" ca="1" si="84"/>
        <v>-1.9304427426144018E-2</v>
      </c>
    </row>
    <row r="4934" spans="7:8">
      <c r="G4934">
        <v>4924</v>
      </c>
      <c r="H4934">
        <f t="shared" ca="1" si="84"/>
        <v>-1.5240980484460771E-2</v>
      </c>
    </row>
    <row r="4935" spans="7:8">
      <c r="G4935">
        <v>4925</v>
      </c>
      <c r="H4935">
        <f t="shared" ca="1" si="84"/>
        <v>3.2165903513340253E-3</v>
      </c>
    </row>
    <row r="4936" spans="7:8">
      <c r="G4936">
        <v>4926</v>
      </c>
      <c r="H4936">
        <f t="shared" ca="1" si="84"/>
        <v>-3.928448048937036E-3</v>
      </c>
    </row>
    <row r="4937" spans="7:8">
      <c r="G4937">
        <v>4927</v>
      </c>
      <c r="H4937">
        <f t="shared" ca="1" si="84"/>
        <v>-6.4387514159719374E-4</v>
      </c>
    </row>
    <row r="4938" spans="7:8">
      <c r="G4938">
        <v>4928</v>
      </c>
      <c r="H4938">
        <f t="shared" ca="1" si="84"/>
        <v>2.1510530997736269E-2</v>
      </c>
    </row>
    <row r="4939" spans="7:8">
      <c r="G4939">
        <v>4929</v>
      </c>
      <c r="H4939">
        <f t="shared" ca="1" si="84"/>
        <v>1.3267055229900017E-2</v>
      </c>
    </row>
    <row r="4940" spans="7:8">
      <c r="G4940">
        <v>4930</v>
      </c>
      <c r="H4940">
        <f t="shared" ref="H4940:H5003" ca="1" si="85">_xlfn.NORM.INV(RAND(),N$13,N$14)</f>
        <v>2.9442208758367189E-2</v>
      </c>
    </row>
    <row r="4941" spans="7:8">
      <c r="G4941">
        <v>4931</v>
      </c>
      <c r="H4941">
        <f t="shared" ca="1" si="85"/>
        <v>4.4058976761952362E-2</v>
      </c>
    </row>
    <row r="4942" spans="7:8">
      <c r="G4942">
        <v>4932</v>
      </c>
      <c r="H4942">
        <f t="shared" ca="1" si="85"/>
        <v>1.187166761384918E-2</v>
      </c>
    </row>
    <row r="4943" spans="7:8">
      <c r="G4943">
        <v>4933</v>
      </c>
      <c r="H4943">
        <f t="shared" ca="1" si="85"/>
        <v>3.5339511863567458E-2</v>
      </c>
    </row>
    <row r="4944" spans="7:8">
      <c r="G4944">
        <v>4934</v>
      </c>
      <c r="H4944">
        <f t="shared" ca="1" si="85"/>
        <v>2.2321987521167957E-2</v>
      </c>
    </row>
    <row r="4945" spans="7:8">
      <c r="G4945">
        <v>4935</v>
      </c>
      <c r="H4945">
        <f t="shared" ca="1" si="85"/>
        <v>5.2769727105179388E-2</v>
      </c>
    </row>
    <row r="4946" spans="7:8">
      <c r="G4946">
        <v>4936</v>
      </c>
      <c r="H4946">
        <f t="shared" ca="1" si="85"/>
        <v>4.5914762683816737E-2</v>
      </c>
    </row>
    <row r="4947" spans="7:8">
      <c r="G4947">
        <v>4937</v>
      </c>
      <c r="H4947">
        <f t="shared" ca="1" si="85"/>
        <v>-2.4393065342305214E-2</v>
      </c>
    </row>
    <row r="4948" spans="7:8">
      <c r="G4948">
        <v>4938</v>
      </c>
      <c r="H4948">
        <f t="shared" ca="1" si="85"/>
        <v>5.2848474172941364E-3</v>
      </c>
    </row>
    <row r="4949" spans="7:8">
      <c r="G4949">
        <v>4939</v>
      </c>
      <c r="H4949">
        <f t="shared" ca="1" si="85"/>
        <v>2.876404161580098E-2</v>
      </c>
    </row>
    <row r="4950" spans="7:8">
      <c r="G4950">
        <v>4940</v>
      </c>
      <c r="H4950">
        <f t="shared" ca="1" si="85"/>
        <v>1.4494075737395879E-2</v>
      </c>
    </row>
    <row r="4951" spans="7:8">
      <c r="G4951">
        <v>4941</v>
      </c>
      <c r="H4951">
        <f t="shared" ca="1" si="85"/>
        <v>1.8568903644804877E-2</v>
      </c>
    </row>
    <row r="4952" spans="7:8">
      <c r="G4952">
        <v>4942</v>
      </c>
      <c r="H4952">
        <f t="shared" ca="1" si="85"/>
        <v>-9.2216473381601088E-3</v>
      </c>
    </row>
    <row r="4953" spans="7:8">
      <c r="G4953">
        <v>4943</v>
      </c>
      <c r="H4953">
        <f t="shared" ca="1" si="85"/>
        <v>-2.862600024852132E-2</v>
      </c>
    </row>
    <row r="4954" spans="7:8">
      <c r="G4954">
        <v>4944</v>
      </c>
      <c r="H4954">
        <f t="shared" ca="1" si="85"/>
        <v>-1.3243447605575688E-3</v>
      </c>
    </row>
    <row r="4955" spans="7:8">
      <c r="G4955">
        <v>4945</v>
      </c>
      <c r="H4955">
        <f t="shared" ca="1" si="85"/>
        <v>1.0762240143815528E-2</v>
      </c>
    </row>
    <row r="4956" spans="7:8">
      <c r="G4956">
        <v>4946</v>
      </c>
      <c r="H4956">
        <f t="shared" ca="1" si="85"/>
        <v>5.2584050718480074E-3</v>
      </c>
    </row>
    <row r="4957" spans="7:8">
      <c r="G4957">
        <v>4947</v>
      </c>
      <c r="H4957">
        <f t="shared" ca="1" si="85"/>
        <v>-3.0309452412067964E-2</v>
      </c>
    </row>
    <row r="4958" spans="7:8">
      <c r="G4958">
        <v>4948</v>
      </c>
      <c r="H4958">
        <f t="shared" ca="1" si="85"/>
        <v>-1.096034691196163E-2</v>
      </c>
    </row>
    <row r="4959" spans="7:8">
      <c r="G4959">
        <v>4949</v>
      </c>
      <c r="H4959">
        <f t="shared" ca="1" si="85"/>
        <v>-2.0824781983657267E-2</v>
      </c>
    </row>
    <row r="4960" spans="7:8">
      <c r="G4960">
        <v>4950</v>
      </c>
      <c r="H4960">
        <f t="shared" ca="1" si="85"/>
        <v>1.9214925095476506E-2</v>
      </c>
    </row>
    <row r="4961" spans="7:8">
      <c r="G4961">
        <v>4951</v>
      </c>
      <c r="H4961">
        <f t="shared" ca="1" si="85"/>
        <v>-1.0960657860624588E-2</v>
      </c>
    </row>
    <row r="4962" spans="7:8">
      <c r="G4962">
        <v>4952</v>
      </c>
      <c r="H4962">
        <f t="shared" ca="1" si="85"/>
        <v>1.0347556682870844E-2</v>
      </c>
    </row>
    <row r="4963" spans="7:8">
      <c r="G4963">
        <v>4953</v>
      </c>
      <c r="H4963">
        <f t="shared" ca="1" si="85"/>
        <v>4.5889382380365974E-2</v>
      </c>
    </row>
    <row r="4964" spans="7:8">
      <c r="G4964">
        <v>4954</v>
      </c>
      <c r="H4964">
        <f t="shared" ca="1" si="85"/>
        <v>1.7561396150312092E-3</v>
      </c>
    </row>
    <row r="4965" spans="7:8">
      <c r="G4965">
        <v>4955</v>
      </c>
      <c r="H4965">
        <f t="shared" ca="1" si="85"/>
        <v>9.7998395790126792E-3</v>
      </c>
    </row>
    <row r="4966" spans="7:8">
      <c r="G4966">
        <v>4956</v>
      </c>
      <c r="H4966">
        <f t="shared" ca="1" si="85"/>
        <v>1.3012795776940428E-3</v>
      </c>
    </row>
    <row r="4967" spans="7:8">
      <c r="G4967">
        <v>4957</v>
      </c>
      <c r="H4967">
        <f t="shared" ca="1" si="85"/>
        <v>3.4710764246650996E-2</v>
      </c>
    </row>
    <row r="4968" spans="7:8">
      <c r="G4968">
        <v>4958</v>
      </c>
      <c r="H4968">
        <f t="shared" ca="1" si="85"/>
        <v>7.9450514599055874E-3</v>
      </c>
    </row>
    <row r="4969" spans="7:8">
      <c r="G4969">
        <v>4959</v>
      </c>
      <c r="H4969">
        <f t="shared" ca="1" si="85"/>
        <v>1.8294234945592999E-2</v>
      </c>
    </row>
    <row r="4970" spans="7:8">
      <c r="G4970">
        <v>4960</v>
      </c>
      <c r="H4970">
        <f t="shared" ca="1" si="85"/>
        <v>-4.1293655698625337E-2</v>
      </c>
    </row>
    <row r="4971" spans="7:8">
      <c r="G4971">
        <v>4961</v>
      </c>
      <c r="H4971">
        <f t="shared" ca="1" si="85"/>
        <v>-2.4202314065619592E-2</v>
      </c>
    </row>
    <row r="4972" spans="7:8">
      <c r="G4972">
        <v>4962</v>
      </c>
      <c r="H4972">
        <f t="shared" ca="1" si="85"/>
        <v>3.4915064194313894E-2</v>
      </c>
    </row>
    <row r="4973" spans="7:8">
      <c r="G4973">
        <v>4963</v>
      </c>
      <c r="H4973">
        <f t="shared" ca="1" si="85"/>
        <v>5.2640393263944076E-2</v>
      </c>
    </row>
    <row r="4974" spans="7:8">
      <c r="G4974">
        <v>4964</v>
      </c>
      <c r="H4974">
        <f t="shared" ca="1" si="85"/>
        <v>-1.6174518213738848E-2</v>
      </c>
    </row>
    <row r="4975" spans="7:8">
      <c r="G4975">
        <v>4965</v>
      </c>
      <c r="H4975">
        <f t="shared" ca="1" si="85"/>
        <v>5.5000427392955971E-3</v>
      </c>
    </row>
    <row r="4976" spans="7:8">
      <c r="G4976">
        <v>4966</v>
      </c>
      <c r="H4976">
        <f t="shared" ca="1" si="85"/>
        <v>6.4559110666370717E-3</v>
      </c>
    </row>
    <row r="4977" spans="7:8">
      <c r="G4977">
        <v>4967</v>
      </c>
      <c r="H4977">
        <f t="shared" ca="1" si="85"/>
        <v>-3.2474423623594782E-2</v>
      </c>
    </row>
    <row r="4978" spans="7:8">
      <c r="G4978">
        <v>4968</v>
      </c>
      <c r="H4978">
        <f t="shared" ca="1" si="85"/>
        <v>-2.1067003829454277E-2</v>
      </c>
    </row>
    <row r="4979" spans="7:8">
      <c r="G4979">
        <v>4969</v>
      </c>
      <c r="H4979">
        <f t="shared" ca="1" si="85"/>
        <v>-3.8703882632027584E-3</v>
      </c>
    </row>
    <row r="4980" spans="7:8">
      <c r="G4980">
        <v>4970</v>
      </c>
      <c r="H4980">
        <f t="shared" ca="1" si="85"/>
        <v>-3.7153465191451032E-2</v>
      </c>
    </row>
    <row r="4981" spans="7:8">
      <c r="G4981">
        <v>4971</v>
      </c>
      <c r="H4981">
        <f t="shared" ca="1" si="85"/>
        <v>-2.1678734014547507E-2</v>
      </c>
    </row>
    <row r="4982" spans="7:8">
      <c r="G4982">
        <v>4972</v>
      </c>
      <c r="H4982">
        <f t="shared" ca="1" si="85"/>
        <v>-2.8916392969292527E-2</v>
      </c>
    </row>
    <row r="4983" spans="7:8">
      <c r="G4983">
        <v>4973</v>
      </c>
      <c r="H4983">
        <f t="shared" ca="1" si="85"/>
        <v>-1.2427824739428222E-4</v>
      </c>
    </row>
    <row r="4984" spans="7:8">
      <c r="G4984">
        <v>4974</v>
      </c>
      <c r="H4984">
        <f t="shared" ca="1" si="85"/>
        <v>1.3803918863897917E-2</v>
      </c>
    </row>
    <row r="4985" spans="7:8">
      <c r="G4985">
        <v>4975</v>
      </c>
      <c r="H4985">
        <f t="shared" ca="1" si="85"/>
        <v>7.9845479416270921E-3</v>
      </c>
    </row>
    <row r="4986" spans="7:8">
      <c r="G4986">
        <v>4976</v>
      </c>
      <c r="H4986">
        <f t="shared" ca="1" si="85"/>
        <v>3.0357762838700255E-2</v>
      </c>
    </row>
    <row r="4987" spans="7:8">
      <c r="G4987">
        <v>4977</v>
      </c>
      <c r="H4987">
        <f t="shared" ca="1" si="85"/>
        <v>1.6969368183123203E-2</v>
      </c>
    </row>
    <row r="4988" spans="7:8">
      <c r="G4988">
        <v>4978</v>
      </c>
      <c r="H4988">
        <f t="shared" ca="1" si="85"/>
        <v>-1.5096221458252809E-2</v>
      </c>
    </row>
    <row r="4989" spans="7:8">
      <c r="G4989">
        <v>4979</v>
      </c>
      <c r="H4989">
        <f t="shared" ca="1" si="85"/>
        <v>-4.8448048832611321E-3</v>
      </c>
    </row>
    <row r="4990" spans="7:8">
      <c r="G4990">
        <v>4980</v>
      </c>
      <c r="H4990">
        <f t="shared" ca="1" si="85"/>
        <v>-3.4732026572061252E-2</v>
      </c>
    </row>
    <row r="4991" spans="7:8">
      <c r="G4991">
        <v>4981</v>
      </c>
      <c r="H4991">
        <f t="shared" ca="1" si="85"/>
        <v>5.5770458013342086E-2</v>
      </c>
    </row>
    <row r="4992" spans="7:8">
      <c r="G4992">
        <v>4982</v>
      </c>
      <c r="H4992">
        <f t="shared" ca="1" si="85"/>
        <v>1.3239420884792609E-2</v>
      </c>
    </row>
    <row r="4993" spans="7:8">
      <c r="G4993">
        <v>4983</v>
      </c>
      <c r="H4993">
        <f t="shared" ca="1" si="85"/>
        <v>2.7760481587942618E-2</v>
      </c>
    </row>
    <row r="4994" spans="7:8">
      <c r="G4994">
        <v>4984</v>
      </c>
      <c r="H4994">
        <f t="shared" ca="1" si="85"/>
        <v>1.1263851740860933E-2</v>
      </c>
    </row>
    <row r="4995" spans="7:8">
      <c r="G4995">
        <v>4985</v>
      </c>
      <c r="H4995">
        <f t="shared" ca="1" si="85"/>
        <v>5.235311804221033E-3</v>
      </c>
    </row>
    <row r="4996" spans="7:8">
      <c r="G4996">
        <v>4986</v>
      </c>
      <c r="H4996">
        <f t="shared" ca="1" si="85"/>
        <v>1.3463563123164499E-2</v>
      </c>
    </row>
    <row r="4997" spans="7:8">
      <c r="G4997">
        <v>4987</v>
      </c>
      <c r="H4997">
        <f t="shared" ca="1" si="85"/>
        <v>1.2522979521936208E-2</v>
      </c>
    </row>
    <row r="4998" spans="7:8">
      <c r="G4998">
        <v>4988</v>
      </c>
      <c r="H4998">
        <f t="shared" ca="1" si="85"/>
        <v>-2.7520624743111051E-3</v>
      </c>
    </row>
    <row r="4999" spans="7:8">
      <c r="G4999">
        <v>4989</v>
      </c>
      <c r="H4999">
        <f t="shared" ca="1" si="85"/>
        <v>-1.6666290703251575E-2</v>
      </c>
    </row>
    <row r="5000" spans="7:8">
      <c r="G5000">
        <v>4990</v>
      </c>
      <c r="H5000">
        <f t="shared" ca="1" si="85"/>
        <v>-1.5942913299642522E-2</v>
      </c>
    </row>
    <row r="5001" spans="7:8">
      <c r="G5001">
        <v>4991</v>
      </c>
      <c r="H5001">
        <f t="shared" ca="1" si="85"/>
        <v>-2.5633143955484342E-2</v>
      </c>
    </row>
    <row r="5002" spans="7:8">
      <c r="G5002">
        <v>4992</v>
      </c>
      <c r="H5002">
        <f t="shared" ca="1" si="85"/>
        <v>3.2402107678790055E-3</v>
      </c>
    </row>
    <row r="5003" spans="7:8">
      <c r="G5003">
        <v>4993</v>
      </c>
      <c r="H5003">
        <f t="shared" ca="1" si="85"/>
        <v>-6.925383783430307E-2</v>
      </c>
    </row>
    <row r="5004" spans="7:8">
      <c r="G5004">
        <v>4994</v>
      </c>
      <c r="H5004">
        <f t="shared" ref="H5004:H5067" ca="1" si="86">_xlfn.NORM.INV(RAND(),N$13,N$14)</f>
        <v>2.5032349359797319E-2</v>
      </c>
    </row>
    <row r="5005" spans="7:8">
      <c r="G5005">
        <v>4995</v>
      </c>
      <c r="H5005">
        <f t="shared" ca="1" si="86"/>
        <v>-1.2302296308062219E-2</v>
      </c>
    </row>
    <row r="5006" spans="7:8">
      <c r="G5006">
        <v>4996</v>
      </c>
      <c r="H5006">
        <f t="shared" ca="1" si="86"/>
        <v>-1.1215896299236834E-2</v>
      </c>
    </row>
    <row r="5007" spans="7:8">
      <c r="G5007">
        <v>4997</v>
      </c>
      <c r="H5007">
        <f t="shared" ca="1" si="86"/>
        <v>-5.9725789961303085E-3</v>
      </c>
    </row>
    <row r="5008" spans="7:8">
      <c r="G5008">
        <v>4998</v>
      </c>
      <c r="H5008">
        <f t="shared" ca="1" si="86"/>
        <v>3.2779986417483857E-2</v>
      </c>
    </row>
    <row r="5009" spans="7:8">
      <c r="G5009">
        <v>4999</v>
      </c>
      <c r="H5009">
        <f t="shared" ca="1" si="86"/>
        <v>-1.3184851978766215E-2</v>
      </c>
    </row>
    <row r="5010" spans="7:8">
      <c r="G5010">
        <v>5000</v>
      </c>
      <c r="H5010">
        <f t="shared" ca="1" si="86"/>
        <v>-2.9487564101028277E-2</v>
      </c>
    </row>
    <row r="5011" spans="7:8">
      <c r="G5011">
        <v>5001</v>
      </c>
      <c r="H5011">
        <f t="shared" ca="1" si="86"/>
        <v>3.6522439563981768E-2</v>
      </c>
    </row>
    <row r="5012" spans="7:8">
      <c r="G5012">
        <v>5002</v>
      </c>
      <c r="H5012">
        <f t="shared" ca="1" si="86"/>
        <v>-1.5540707809080095E-2</v>
      </c>
    </row>
    <row r="5013" spans="7:8">
      <c r="G5013">
        <v>5003</v>
      </c>
      <c r="H5013">
        <f t="shared" ca="1" si="86"/>
        <v>-2.4957310847823669E-2</v>
      </c>
    </row>
    <row r="5014" spans="7:8">
      <c r="G5014">
        <v>5004</v>
      </c>
      <c r="H5014">
        <f t="shared" ca="1" si="86"/>
        <v>-3.7596161943209577E-3</v>
      </c>
    </row>
    <row r="5015" spans="7:8">
      <c r="G5015">
        <v>5005</v>
      </c>
      <c r="H5015">
        <f t="shared" ca="1" si="86"/>
        <v>-1.4169197718489195E-2</v>
      </c>
    </row>
    <row r="5016" spans="7:8">
      <c r="G5016">
        <v>5006</v>
      </c>
      <c r="H5016">
        <f t="shared" ca="1" si="86"/>
        <v>-1.5117517894921045E-3</v>
      </c>
    </row>
    <row r="5017" spans="7:8">
      <c r="G5017">
        <v>5007</v>
      </c>
      <c r="H5017">
        <f t="shared" ca="1" si="86"/>
        <v>2.5889173669561848E-2</v>
      </c>
    </row>
    <row r="5018" spans="7:8">
      <c r="G5018">
        <v>5008</v>
      </c>
      <c r="H5018">
        <f t="shared" ca="1" si="86"/>
        <v>-1.4553547301700364E-2</v>
      </c>
    </row>
    <row r="5019" spans="7:8">
      <c r="G5019">
        <v>5009</v>
      </c>
      <c r="H5019">
        <f t="shared" ca="1" si="86"/>
        <v>-1.444376772305645E-2</v>
      </c>
    </row>
    <row r="5020" spans="7:8">
      <c r="G5020">
        <v>5010</v>
      </c>
      <c r="H5020">
        <f t="shared" ca="1" si="86"/>
        <v>2.0374320156629142E-2</v>
      </c>
    </row>
    <row r="5021" spans="7:8">
      <c r="G5021">
        <v>5011</v>
      </c>
      <c r="H5021">
        <f t="shared" ca="1" si="86"/>
        <v>4.7306089441383949E-3</v>
      </c>
    </row>
    <row r="5022" spans="7:8">
      <c r="G5022">
        <v>5012</v>
      </c>
      <c r="H5022">
        <f t="shared" ca="1" si="86"/>
        <v>1.0958138079242275E-2</v>
      </c>
    </row>
    <row r="5023" spans="7:8">
      <c r="G5023">
        <v>5013</v>
      </c>
      <c r="H5023">
        <f t="shared" ca="1" si="86"/>
        <v>2.3046000145216298E-2</v>
      </c>
    </row>
    <row r="5024" spans="7:8">
      <c r="G5024">
        <v>5014</v>
      </c>
      <c r="H5024">
        <f t="shared" ca="1" si="86"/>
        <v>2.53864443931179E-2</v>
      </c>
    </row>
    <row r="5025" spans="7:8">
      <c r="G5025">
        <v>5015</v>
      </c>
      <c r="H5025">
        <f t="shared" ca="1" si="86"/>
        <v>-1.2908370499655155E-2</v>
      </c>
    </row>
    <row r="5026" spans="7:8">
      <c r="G5026">
        <v>5016</v>
      </c>
      <c r="H5026">
        <f t="shared" ca="1" si="86"/>
        <v>-3.1608652008180945E-3</v>
      </c>
    </row>
    <row r="5027" spans="7:8">
      <c r="G5027">
        <v>5017</v>
      </c>
      <c r="H5027">
        <f t="shared" ca="1" si="86"/>
        <v>-4.379047827965353E-3</v>
      </c>
    </row>
    <row r="5028" spans="7:8">
      <c r="G5028">
        <v>5018</v>
      </c>
      <c r="H5028">
        <f t="shared" ca="1" si="86"/>
        <v>7.7572735749591865E-3</v>
      </c>
    </row>
    <row r="5029" spans="7:8">
      <c r="G5029">
        <v>5019</v>
      </c>
      <c r="H5029">
        <f t="shared" ca="1" si="86"/>
        <v>-1.0159063509218079E-2</v>
      </c>
    </row>
    <row r="5030" spans="7:8">
      <c r="G5030">
        <v>5020</v>
      </c>
      <c r="H5030">
        <f t="shared" ca="1" si="86"/>
        <v>-1.3679975590974098E-2</v>
      </c>
    </row>
    <row r="5031" spans="7:8">
      <c r="G5031">
        <v>5021</v>
      </c>
      <c r="H5031">
        <f t="shared" ca="1" si="86"/>
        <v>1.6151374114999891E-2</v>
      </c>
    </row>
    <row r="5032" spans="7:8">
      <c r="G5032">
        <v>5022</v>
      </c>
      <c r="H5032">
        <f t="shared" ca="1" si="86"/>
        <v>1.8565567458328679E-2</v>
      </c>
    </row>
    <row r="5033" spans="7:8">
      <c r="G5033">
        <v>5023</v>
      </c>
      <c r="H5033">
        <f t="shared" ca="1" si="86"/>
        <v>1.1553245491195022E-2</v>
      </c>
    </row>
    <row r="5034" spans="7:8">
      <c r="G5034">
        <v>5024</v>
      </c>
      <c r="H5034">
        <f t="shared" ca="1" si="86"/>
        <v>6.1385260725780027E-3</v>
      </c>
    </row>
    <row r="5035" spans="7:8">
      <c r="G5035">
        <v>5025</v>
      </c>
      <c r="H5035">
        <f t="shared" ca="1" si="86"/>
        <v>-1.034423450595353E-2</v>
      </c>
    </row>
    <row r="5036" spans="7:8">
      <c r="G5036">
        <v>5026</v>
      </c>
      <c r="H5036">
        <f t="shared" ca="1" si="86"/>
        <v>2.6693974179570694E-2</v>
      </c>
    </row>
    <row r="5037" spans="7:8">
      <c r="G5037">
        <v>5027</v>
      </c>
      <c r="H5037">
        <f t="shared" ca="1" si="86"/>
        <v>4.7727129034116755E-3</v>
      </c>
    </row>
    <row r="5038" spans="7:8">
      <c r="G5038">
        <v>5028</v>
      </c>
      <c r="H5038">
        <f t="shared" ca="1" si="86"/>
        <v>3.6578640605933341E-2</v>
      </c>
    </row>
    <row r="5039" spans="7:8">
      <c r="G5039">
        <v>5029</v>
      </c>
      <c r="H5039">
        <f t="shared" ca="1" si="86"/>
        <v>2.5366599797085762E-2</v>
      </c>
    </row>
    <row r="5040" spans="7:8">
      <c r="G5040">
        <v>5030</v>
      </c>
      <c r="H5040">
        <f t="shared" ca="1" si="86"/>
        <v>7.206947679686093E-3</v>
      </c>
    </row>
    <row r="5041" spans="7:8">
      <c r="G5041">
        <v>5031</v>
      </c>
      <c r="H5041">
        <f t="shared" ca="1" si="86"/>
        <v>9.2028507313775577E-3</v>
      </c>
    </row>
    <row r="5042" spans="7:8">
      <c r="G5042">
        <v>5032</v>
      </c>
      <c r="H5042">
        <f t="shared" ca="1" si="86"/>
        <v>-2.4751454944071074E-2</v>
      </c>
    </row>
    <row r="5043" spans="7:8">
      <c r="G5043">
        <v>5033</v>
      </c>
      <c r="H5043">
        <f t="shared" ca="1" si="86"/>
        <v>-1.1785772850792039E-2</v>
      </c>
    </row>
    <row r="5044" spans="7:8">
      <c r="G5044">
        <v>5034</v>
      </c>
      <c r="H5044">
        <f t="shared" ca="1" si="86"/>
        <v>-1.1230371080232133E-2</v>
      </c>
    </row>
    <row r="5045" spans="7:8">
      <c r="G5045">
        <v>5035</v>
      </c>
      <c r="H5045">
        <f t="shared" ca="1" si="86"/>
        <v>5.561992687649492E-3</v>
      </c>
    </row>
    <row r="5046" spans="7:8">
      <c r="G5046">
        <v>5036</v>
      </c>
      <c r="H5046">
        <f t="shared" ca="1" si="86"/>
        <v>-3.1193840592760886E-3</v>
      </c>
    </row>
    <row r="5047" spans="7:8">
      <c r="G5047">
        <v>5037</v>
      </c>
      <c r="H5047">
        <f t="shared" ca="1" si="86"/>
        <v>4.2201271567656996E-2</v>
      </c>
    </row>
    <row r="5048" spans="7:8">
      <c r="G5048">
        <v>5038</v>
      </c>
      <c r="H5048">
        <f t="shared" ca="1" si="86"/>
        <v>-3.8662952235096901E-2</v>
      </c>
    </row>
    <row r="5049" spans="7:8">
      <c r="G5049">
        <v>5039</v>
      </c>
      <c r="H5049">
        <f t="shared" ca="1" si="86"/>
        <v>-7.6174338587319266E-3</v>
      </c>
    </row>
    <row r="5050" spans="7:8">
      <c r="G5050">
        <v>5040</v>
      </c>
      <c r="H5050">
        <f t="shared" ca="1" si="86"/>
        <v>-1.8580528764722826E-2</v>
      </c>
    </row>
    <row r="5051" spans="7:8">
      <c r="G5051">
        <v>5041</v>
      </c>
      <c r="H5051">
        <f t="shared" ca="1" si="86"/>
        <v>-1.30735026780073E-2</v>
      </c>
    </row>
    <row r="5052" spans="7:8">
      <c r="G5052">
        <v>5042</v>
      </c>
      <c r="H5052">
        <f t="shared" ca="1" si="86"/>
        <v>-3.169036966606182E-2</v>
      </c>
    </row>
    <row r="5053" spans="7:8">
      <c r="G5053">
        <v>5043</v>
      </c>
      <c r="H5053">
        <f t="shared" ca="1" si="86"/>
        <v>-5.5893076512347232E-3</v>
      </c>
    </row>
    <row r="5054" spans="7:8">
      <c r="G5054">
        <v>5044</v>
      </c>
      <c r="H5054">
        <f t="shared" ca="1" si="86"/>
        <v>3.1912711925079607E-2</v>
      </c>
    </row>
    <row r="5055" spans="7:8">
      <c r="G5055">
        <v>5045</v>
      </c>
      <c r="H5055">
        <f t="shared" ca="1" si="86"/>
        <v>1.324913355137059E-2</v>
      </c>
    </row>
    <row r="5056" spans="7:8">
      <c r="G5056">
        <v>5046</v>
      </c>
      <c r="H5056">
        <f t="shared" ca="1" si="86"/>
        <v>1.4527323059047836E-2</v>
      </c>
    </row>
    <row r="5057" spans="7:8">
      <c r="G5057">
        <v>5047</v>
      </c>
      <c r="H5057">
        <f t="shared" ca="1" si="86"/>
        <v>2.1700161325665275E-2</v>
      </c>
    </row>
    <row r="5058" spans="7:8">
      <c r="G5058">
        <v>5048</v>
      </c>
      <c r="H5058">
        <f t="shared" ca="1" si="86"/>
        <v>1.7175264483271526E-2</v>
      </c>
    </row>
    <row r="5059" spans="7:8">
      <c r="G5059">
        <v>5049</v>
      </c>
      <c r="H5059">
        <f t="shared" ca="1" si="86"/>
        <v>-2.6362959824835336E-3</v>
      </c>
    </row>
    <row r="5060" spans="7:8">
      <c r="G5060">
        <v>5050</v>
      </c>
      <c r="H5060">
        <f t="shared" ca="1" si="86"/>
        <v>-7.1054899414725223E-4</v>
      </c>
    </row>
    <row r="5061" spans="7:8">
      <c r="G5061">
        <v>5051</v>
      </c>
      <c r="H5061">
        <f t="shared" ca="1" si="86"/>
        <v>-5.7976971492950231E-2</v>
      </c>
    </row>
    <row r="5062" spans="7:8">
      <c r="G5062">
        <v>5052</v>
      </c>
      <c r="H5062">
        <f t="shared" ca="1" si="86"/>
        <v>5.9187808164247131E-2</v>
      </c>
    </row>
    <row r="5063" spans="7:8">
      <c r="G5063">
        <v>5053</v>
      </c>
      <c r="H5063">
        <f t="shared" ca="1" si="86"/>
        <v>2.6260441435548083E-2</v>
      </c>
    </row>
    <row r="5064" spans="7:8">
      <c r="G5064">
        <v>5054</v>
      </c>
      <c r="H5064">
        <f t="shared" ca="1" si="86"/>
        <v>-1.3623650541232268E-2</v>
      </c>
    </row>
    <row r="5065" spans="7:8">
      <c r="G5065">
        <v>5055</v>
      </c>
      <c r="H5065">
        <f t="shared" ca="1" si="86"/>
        <v>1.4329238882962931E-2</v>
      </c>
    </row>
    <row r="5066" spans="7:8">
      <c r="G5066">
        <v>5056</v>
      </c>
      <c r="H5066">
        <f t="shared" ca="1" si="86"/>
        <v>-1.451670072041277E-2</v>
      </c>
    </row>
    <row r="5067" spans="7:8">
      <c r="G5067">
        <v>5057</v>
      </c>
      <c r="H5067">
        <f t="shared" ca="1" si="86"/>
        <v>-2.2041138612370916E-2</v>
      </c>
    </row>
    <row r="5068" spans="7:8">
      <c r="G5068">
        <v>5058</v>
      </c>
      <c r="H5068">
        <f t="shared" ref="H5068:H5131" ca="1" si="87">_xlfn.NORM.INV(RAND(),N$13,N$14)</f>
        <v>4.8104519449321355E-3</v>
      </c>
    </row>
    <row r="5069" spans="7:8">
      <c r="G5069">
        <v>5059</v>
      </c>
      <c r="H5069">
        <f t="shared" ca="1" si="87"/>
        <v>6.0503921165769468E-3</v>
      </c>
    </row>
    <row r="5070" spans="7:8">
      <c r="G5070">
        <v>5060</v>
      </c>
      <c r="H5070">
        <f t="shared" ca="1" si="87"/>
        <v>-2.2179347315298057E-2</v>
      </c>
    </row>
    <row r="5071" spans="7:8">
      <c r="G5071">
        <v>5061</v>
      </c>
      <c r="H5071">
        <f t="shared" ca="1" si="87"/>
        <v>8.6812019937045418E-3</v>
      </c>
    </row>
    <row r="5072" spans="7:8">
      <c r="G5072">
        <v>5062</v>
      </c>
      <c r="H5072">
        <f t="shared" ca="1" si="87"/>
        <v>9.3095814226399967E-3</v>
      </c>
    </row>
    <row r="5073" spans="7:8">
      <c r="G5073">
        <v>5063</v>
      </c>
      <c r="H5073">
        <f t="shared" ca="1" si="87"/>
        <v>2.6523787302649499E-2</v>
      </c>
    </row>
    <row r="5074" spans="7:8">
      <c r="G5074">
        <v>5064</v>
      </c>
      <c r="H5074">
        <f t="shared" ca="1" si="87"/>
        <v>-4.1283233563124706E-3</v>
      </c>
    </row>
    <row r="5075" spans="7:8">
      <c r="G5075">
        <v>5065</v>
      </c>
      <c r="H5075">
        <f t="shared" ca="1" si="87"/>
        <v>-2.7185377920783609E-2</v>
      </c>
    </row>
    <row r="5076" spans="7:8">
      <c r="G5076">
        <v>5066</v>
      </c>
      <c r="H5076">
        <f t="shared" ca="1" si="87"/>
        <v>1.8378298946331292E-2</v>
      </c>
    </row>
    <row r="5077" spans="7:8">
      <c r="G5077">
        <v>5067</v>
      </c>
      <c r="H5077">
        <f t="shared" ca="1" si="87"/>
        <v>1.5668411331666129E-2</v>
      </c>
    </row>
    <row r="5078" spans="7:8">
      <c r="G5078">
        <v>5068</v>
      </c>
      <c r="H5078">
        <f t="shared" ca="1" si="87"/>
        <v>1.1226699614419421E-2</v>
      </c>
    </row>
    <row r="5079" spans="7:8">
      <c r="G5079">
        <v>5069</v>
      </c>
      <c r="H5079">
        <f t="shared" ca="1" si="87"/>
        <v>1.9900549844632711E-3</v>
      </c>
    </row>
    <row r="5080" spans="7:8">
      <c r="G5080">
        <v>5070</v>
      </c>
      <c r="H5080">
        <f t="shared" ca="1" si="87"/>
        <v>2.1743550793727487E-2</v>
      </c>
    </row>
    <row r="5081" spans="7:8">
      <c r="G5081">
        <v>5071</v>
      </c>
      <c r="H5081">
        <f t="shared" ca="1" si="87"/>
        <v>-6.1907842835089988E-2</v>
      </c>
    </row>
    <row r="5082" spans="7:8">
      <c r="G5082">
        <v>5072</v>
      </c>
      <c r="H5082">
        <f t="shared" ca="1" si="87"/>
        <v>9.4531837475720255E-3</v>
      </c>
    </row>
    <row r="5083" spans="7:8">
      <c r="G5083">
        <v>5073</v>
      </c>
      <c r="H5083">
        <f t="shared" ca="1" si="87"/>
        <v>2.5246493606483646E-2</v>
      </c>
    </row>
    <row r="5084" spans="7:8">
      <c r="G5084">
        <v>5074</v>
      </c>
      <c r="H5084">
        <f t="shared" ca="1" si="87"/>
        <v>7.332429556029833E-3</v>
      </c>
    </row>
    <row r="5085" spans="7:8">
      <c r="G5085">
        <v>5075</v>
      </c>
      <c r="H5085">
        <f t="shared" ca="1" si="87"/>
        <v>-1.0604898031777525E-2</v>
      </c>
    </row>
    <row r="5086" spans="7:8">
      <c r="G5086">
        <v>5076</v>
      </c>
      <c r="H5086">
        <f t="shared" ca="1" si="87"/>
        <v>1.0966866015459436E-2</v>
      </c>
    </row>
    <row r="5087" spans="7:8">
      <c r="G5087">
        <v>5077</v>
      </c>
      <c r="H5087">
        <f t="shared" ca="1" si="87"/>
        <v>1.9294966753062432E-2</v>
      </c>
    </row>
    <row r="5088" spans="7:8">
      <c r="G5088">
        <v>5078</v>
      </c>
      <c r="H5088">
        <f t="shared" ca="1" si="87"/>
        <v>-1.7286848492621139E-2</v>
      </c>
    </row>
    <row r="5089" spans="7:8">
      <c r="G5089">
        <v>5079</v>
      </c>
      <c r="H5089">
        <f t="shared" ca="1" si="87"/>
        <v>5.7159264554465523E-2</v>
      </c>
    </row>
    <row r="5090" spans="7:8">
      <c r="G5090">
        <v>5080</v>
      </c>
      <c r="H5090">
        <f t="shared" ca="1" si="87"/>
        <v>-1.3398967907968387E-2</v>
      </c>
    </row>
    <row r="5091" spans="7:8">
      <c r="G5091">
        <v>5081</v>
      </c>
      <c r="H5091">
        <f t="shared" ca="1" si="87"/>
        <v>3.637035965215582E-2</v>
      </c>
    </row>
    <row r="5092" spans="7:8">
      <c r="G5092">
        <v>5082</v>
      </c>
      <c r="H5092">
        <f t="shared" ca="1" si="87"/>
        <v>1.8354835177411839E-2</v>
      </c>
    </row>
    <row r="5093" spans="7:8">
      <c r="G5093">
        <v>5083</v>
      </c>
      <c r="H5093">
        <f t="shared" ca="1" si="87"/>
        <v>2.1280056686042013E-2</v>
      </c>
    </row>
    <row r="5094" spans="7:8">
      <c r="G5094">
        <v>5084</v>
      </c>
      <c r="H5094">
        <f t="shared" ca="1" si="87"/>
        <v>4.9264438025573405E-2</v>
      </c>
    </row>
    <row r="5095" spans="7:8">
      <c r="G5095">
        <v>5085</v>
      </c>
      <c r="H5095">
        <f t="shared" ca="1" si="87"/>
        <v>-3.2578991611717659E-3</v>
      </c>
    </row>
    <row r="5096" spans="7:8">
      <c r="G5096">
        <v>5086</v>
      </c>
      <c r="H5096">
        <f t="shared" ca="1" si="87"/>
        <v>3.5930031134712104E-2</v>
      </c>
    </row>
    <row r="5097" spans="7:8">
      <c r="G5097">
        <v>5087</v>
      </c>
      <c r="H5097">
        <f t="shared" ca="1" si="87"/>
        <v>1.3680270730629549E-3</v>
      </c>
    </row>
    <row r="5098" spans="7:8">
      <c r="G5098">
        <v>5088</v>
      </c>
      <c r="H5098">
        <f t="shared" ca="1" si="87"/>
        <v>2.6715209273993661E-2</v>
      </c>
    </row>
    <row r="5099" spans="7:8">
      <c r="G5099">
        <v>5089</v>
      </c>
      <c r="H5099">
        <f t="shared" ca="1" si="87"/>
        <v>-2.2089847173319556E-2</v>
      </c>
    </row>
    <row r="5100" spans="7:8">
      <c r="G5100">
        <v>5090</v>
      </c>
      <c r="H5100">
        <f t="shared" ca="1" si="87"/>
        <v>-4.7737617601623164E-3</v>
      </c>
    </row>
    <row r="5101" spans="7:8">
      <c r="G5101">
        <v>5091</v>
      </c>
      <c r="H5101">
        <f t="shared" ca="1" si="87"/>
        <v>6.5700707935504492E-3</v>
      </c>
    </row>
    <row r="5102" spans="7:8">
      <c r="G5102">
        <v>5092</v>
      </c>
      <c r="H5102">
        <f t="shared" ca="1" si="87"/>
        <v>-3.2612372056441172E-2</v>
      </c>
    </row>
    <row r="5103" spans="7:8">
      <c r="G5103">
        <v>5093</v>
      </c>
      <c r="H5103">
        <f t="shared" ca="1" si="87"/>
        <v>1.6953365651098899E-2</v>
      </c>
    </row>
    <row r="5104" spans="7:8">
      <c r="G5104">
        <v>5094</v>
      </c>
      <c r="H5104">
        <f t="shared" ca="1" si="87"/>
        <v>-3.5933966183372329E-2</v>
      </c>
    </row>
    <row r="5105" spans="7:8">
      <c r="G5105">
        <v>5095</v>
      </c>
      <c r="H5105">
        <f t="shared" ca="1" si="87"/>
        <v>-2.9057972037396459E-2</v>
      </c>
    </row>
    <row r="5106" spans="7:8">
      <c r="G5106">
        <v>5096</v>
      </c>
      <c r="H5106">
        <f t="shared" ca="1" si="87"/>
        <v>-2.5288428999712537E-2</v>
      </c>
    </row>
    <row r="5107" spans="7:8">
      <c r="G5107">
        <v>5097</v>
      </c>
      <c r="H5107">
        <f t="shared" ca="1" si="87"/>
        <v>2.1375972882358266E-2</v>
      </c>
    </row>
    <row r="5108" spans="7:8">
      <c r="G5108">
        <v>5098</v>
      </c>
      <c r="H5108">
        <f t="shared" ca="1" si="87"/>
        <v>4.2107699155834781E-2</v>
      </c>
    </row>
    <row r="5109" spans="7:8">
      <c r="G5109">
        <v>5099</v>
      </c>
      <c r="H5109">
        <f t="shared" ca="1" si="87"/>
        <v>1.0379660568194502E-2</v>
      </c>
    </row>
    <row r="5110" spans="7:8">
      <c r="G5110">
        <v>5100</v>
      </c>
      <c r="H5110">
        <f t="shared" ca="1" si="87"/>
        <v>3.7658114941062068E-2</v>
      </c>
    </row>
    <row r="5111" spans="7:8">
      <c r="G5111">
        <v>5101</v>
      </c>
      <c r="H5111">
        <f t="shared" ca="1" si="87"/>
        <v>1.6705432259608275E-2</v>
      </c>
    </row>
    <row r="5112" spans="7:8">
      <c r="G5112">
        <v>5102</v>
      </c>
      <c r="H5112">
        <f t="shared" ca="1" si="87"/>
        <v>2.8119680806500081E-3</v>
      </c>
    </row>
    <row r="5113" spans="7:8">
      <c r="G5113">
        <v>5103</v>
      </c>
      <c r="H5113">
        <f t="shared" ca="1" si="87"/>
        <v>-4.8734353265927004E-2</v>
      </c>
    </row>
    <row r="5114" spans="7:8">
      <c r="G5114">
        <v>5104</v>
      </c>
      <c r="H5114">
        <f t="shared" ca="1" si="87"/>
        <v>-1.3922443413503955E-2</v>
      </c>
    </row>
    <row r="5115" spans="7:8">
      <c r="G5115">
        <v>5105</v>
      </c>
      <c r="H5115">
        <f t="shared" ca="1" si="87"/>
        <v>-6.0490583677282102E-3</v>
      </c>
    </row>
    <row r="5116" spans="7:8">
      <c r="G5116">
        <v>5106</v>
      </c>
      <c r="H5116">
        <f t="shared" ca="1" si="87"/>
        <v>-6.5076926629724441E-3</v>
      </c>
    </row>
    <row r="5117" spans="7:8">
      <c r="G5117">
        <v>5107</v>
      </c>
      <c r="H5117">
        <f t="shared" ca="1" si="87"/>
        <v>-3.9484529379637612E-3</v>
      </c>
    </row>
    <row r="5118" spans="7:8">
      <c r="G5118">
        <v>5108</v>
      </c>
      <c r="H5118">
        <f t="shared" ca="1" si="87"/>
        <v>-7.3542788496024367E-3</v>
      </c>
    </row>
    <row r="5119" spans="7:8">
      <c r="G5119">
        <v>5109</v>
      </c>
      <c r="H5119">
        <f t="shared" ca="1" si="87"/>
        <v>-1.6675970007605775E-2</v>
      </c>
    </row>
    <row r="5120" spans="7:8">
      <c r="G5120">
        <v>5110</v>
      </c>
      <c r="H5120">
        <f t="shared" ca="1" si="87"/>
        <v>1.8344505935949683E-2</v>
      </c>
    </row>
    <row r="5121" spans="7:8">
      <c r="G5121">
        <v>5111</v>
      </c>
      <c r="H5121">
        <f t="shared" ca="1" si="87"/>
        <v>-1.950324879671847E-2</v>
      </c>
    </row>
    <row r="5122" spans="7:8">
      <c r="G5122">
        <v>5112</v>
      </c>
      <c r="H5122">
        <f t="shared" ca="1" si="87"/>
        <v>4.8146543611352257E-3</v>
      </c>
    </row>
    <row r="5123" spans="7:8">
      <c r="G5123">
        <v>5113</v>
      </c>
      <c r="H5123">
        <f t="shared" ca="1" si="87"/>
        <v>2.0994592664995756E-2</v>
      </c>
    </row>
    <row r="5124" spans="7:8">
      <c r="G5124">
        <v>5114</v>
      </c>
      <c r="H5124">
        <f t="shared" ca="1" si="87"/>
        <v>-2.9407504321316207E-2</v>
      </c>
    </row>
    <row r="5125" spans="7:8">
      <c r="G5125">
        <v>5115</v>
      </c>
      <c r="H5125">
        <f t="shared" ca="1" si="87"/>
        <v>-1.2042756367920064E-2</v>
      </c>
    </row>
    <row r="5126" spans="7:8">
      <c r="G5126">
        <v>5116</v>
      </c>
      <c r="H5126">
        <f t="shared" ca="1" si="87"/>
        <v>-3.5180024099934502E-2</v>
      </c>
    </row>
    <row r="5127" spans="7:8">
      <c r="G5127">
        <v>5117</v>
      </c>
      <c r="H5127">
        <f t="shared" ca="1" si="87"/>
        <v>-2.0537730766607712E-2</v>
      </c>
    </row>
    <row r="5128" spans="7:8">
      <c r="G5128">
        <v>5118</v>
      </c>
      <c r="H5128">
        <f t="shared" ca="1" si="87"/>
        <v>8.4720257576669563E-3</v>
      </c>
    </row>
    <row r="5129" spans="7:8">
      <c r="G5129">
        <v>5119</v>
      </c>
      <c r="H5129">
        <f t="shared" ca="1" si="87"/>
        <v>-7.5000651848930221E-3</v>
      </c>
    </row>
    <row r="5130" spans="7:8">
      <c r="G5130">
        <v>5120</v>
      </c>
      <c r="H5130">
        <f t="shared" ca="1" si="87"/>
        <v>-1.2435006341672501E-2</v>
      </c>
    </row>
    <row r="5131" spans="7:8">
      <c r="G5131">
        <v>5121</v>
      </c>
      <c r="H5131">
        <f t="shared" ca="1" si="87"/>
        <v>-4.2234876234371312E-2</v>
      </c>
    </row>
    <row r="5132" spans="7:8">
      <c r="G5132">
        <v>5122</v>
      </c>
      <c r="H5132">
        <f t="shared" ref="H5132:H5195" ca="1" si="88">_xlfn.NORM.INV(RAND(),N$13,N$14)</f>
        <v>1.694118134596841E-2</v>
      </c>
    </row>
    <row r="5133" spans="7:8">
      <c r="G5133">
        <v>5123</v>
      </c>
      <c r="H5133">
        <f t="shared" ca="1" si="88"/>
        <v>9.7888132124618662E-3</v>
      </c>
    </row>
    <row r="5134" spans="7:8">
      <c r="G5134">
        <v>5124</v>
      </c>
      <c r="H5134">
        <f t="shared" ca="1" si="88"/>
        <v>1.2543756458975106E-2</v>
      </c>
    </row>
    <row r="5135" spans="7:8">
      <c r="G5135">
        <v>5125</v>
      </c>
      <c r="H5135">
        <f t="shared" ca="1" si="88"/>
        <v>-1.5643187884974576E-2</v>
      </c>
    </row>
    <row r="5136" spans="7:8">
      <c r="G5136">
        <v>5126</v>
      </c>
      <c r="H5136">
        <f t="shared" ca="1" si="88"/>
        <v>-9.9228480825534274E-3</v>
      </c>
    </row>
    <row r="5137" spans="7:8">
      <c r="G5137">
        <v>5127</v>
      </c>
      <c r="H5137">
        <f t="shared" ca="1" si="88"/>
        <v>5.5604188874093359E-2</v>
      </c>
    </row>
    <row r="5138" spans="7:8">
      <c r="G5138">
        <v>5128</v>
      </c>
      <c r="H5138">
        <f t="shared" ca="1" si="88"/>
        <v>5.4151939930872492E-3</v>
      </c>
    </row>
    <row r="5139" spans="7:8">
      <c r="G5139">
        <v>5129</v>
      </c>
      <c r="H5139">
        <f t="shared" ca="1" si="88"/>
        <v>-2.201178291874312E-2</v>
      </c>
    </row>
    <row r="5140" spans="7:8">
      <c r="G5140">
        <v>5130</v>
      </c>
      <c r="H5140">
        <f t="shared" ca="1" si="88"/>
        <v>-1.0583893190084048E-2</v>
      </c>
    </row>
    <row r="5141" spans="7:8">
      <c r="G5141">
        <v>5131</v>
      </c>
      <c r="H5141">
        <f t="shared" ca="1" si="88"/>
        <v>-9.9108898248891318E-3</v>
      </c>
    </row>
    <row r="5142" spans="7:8">
      <c r="G5142">
        <v>5132</v>
      </c>
      <c r="H5142">
        <f t="shared" ca="1" si="88"/>
        <v>-8.4284747817113311E-3</v>
      </c>
    </row>
    <row r="5143" spans="7:8">
      <c r="G5143">
        <v>5133</v>
      </c>
      <c r="H5143">
        <f t="shared" ca="1" si="88"/>
        <v>1.607035756783045E-2</v>
      </c>
    </row>
    <row r="5144" spans="7:8">
      <c r="G5144">
        <v>5134</v>
      </c>
      <c r="H5144">
        <f t="shared" ca="1" si="88"/>
        <v>2.1735875222770869E-3</v>
      </c>
    </row>
    <row r="5145" spans="7:8">
      <c r="G5145">
        <v>5135</v>
      </c>
      <c r="H5145">
        <f t="shared" ca="1" si="88"/>
        <v>-4.7232938220393407E-2</v>
      </c>
    </row>
    <row r="5146" spans="7:8">
      <c r="G5146">
        <v>5136</v>
      </c>
      <c r="H5146">
        <f t="shared" ca="1" si="88"/>
        <v>2.1592984093725823E-3</v>
      </c>
    </row>
    <row r="5147" spans="7:8">
      <c r="G5147">
        <v>5137</v>
      </c>
      <c r="H5147">
        <f t="shared" ca="1" si="88"/>
        <v>-4.6518859265239555E-2</v>
      </c>
    </row>
    <row r="5148" spans="7:8">
      <c r="G5148">
        <v>5138</v>
      </c>
      <c r="H5148">
        <f t="shared" ca="1" si="88"/>
        <v>2.9427508274965805E-2</v>
      </c>
    </row>
    <row r="5149" spans="7:8">
      <c r="G5149">
        <v>5139</v>
      </c>
      <c r="H5149">
        <f t="shared" ca="1" si="88"/>
        <v>2.5819098103427553E-2</v>
      </c>
    </row>
    <row r="5150" spans="7:8">
      <c r="G5150">
        <v>5140</v>
      </c>
      <c r="H5150">
        <f t="shared" ca="1" si="88"/>
        <v>2.0699056318353608E-2</v>
      </c>
    </row>
    <row r="5151" spans="7:8">
      <c r="G5151">
        <v>5141</v>
      </c>
      <c r="H5151">
        <f t="shared" ca="1" si="88"/>
        <v>5.1296042308581619E-3</v>
      </c>
    </row>
    <row r="5152" spans="7:8">
      <c r="G5152">
        <v>5142</v>
      </c>
      <c r="H5152">
        <f t="shared" ca="1" si="88"/>
        <v>-4.7747907899426935E-2</v>
      </c>
    </row>
    <row r="5153" spans="7:8">
      <c r="G5153">
        <v>5143</v>
      </c>
      <c r="H5153">
        <f t="shared" ca="1" si="88"/>
        <v>-3.8937298339176779E-2</v>
      </c>
    </row>
    <row r="5154" spans="7:8">
      <c r="G5154">
        <v>5144</v>
      </c>
      <c r="H5154">
        <f t="shared" ca="1" si="88"/>
        <v>4.5244900481156676E-3</v>
      </c>
    </row>
    <row r="5155" spans="7:8">
      <c r="G5155">
        <v>5145</v>
      </c>
      <c r="H5155">
        <f t="shared" ca="1" si="88"/>
        <v>3.0072637717016192E-2</v>
      </c>
    </row>
    <row r="5156" spans="7:8">
      <c r="G5156">
        <v>5146</v>
      </c>
      <c r="H5156">
        <f t="shared" ca="1" si="88"/>
        <v>7.6091108503384495E-3</v>
      </c>
    </row>
    <row r="5157" spans="7:8">
      <c r="G5157">
        <v>5147</v>
      </c>
      <c r="H5157">
        <f t="shared" ca="1" si="88"/>
        <v>-6.553198450309286E-2</v>
      </c>
    </row>
    <row r="5158" spans="7:8">
      <c r="G5158">
        <v>5148</v>
      </c>
      <c r="H5158">
        <f t="shared" ca="1" si="88"/>
        <v>-9.4441691590158097E-3</v>
      </c>
    </row>
    <row r="5159" spans="7:8">
      <c r="G5159">
        <v>5149</v>
      </c>
      <c r="H5159">
        <f t="shared" ca="1" si="88"/>
        <v>-2.5950050168198281E-2</v>
      </c>
    </row>
    <row r="5160" spans="7:8">
      <c r="G5160">
        <v>5150</v>
      </c>
      <c r="H5160">
        <f t="shared" ca="1" si="88"/>
        <v>2.8216294117839005E-2</v>
      </c>
    </row>
    <row r="5161" spans="7:8">
      <c r="G5161">
        <v>5151</v>
      </c>
      <c r="H5161">
        <f t="shared" ca="1" si="88"/>
        <v>-6.3534967271748118E-3</v>
      </c>
    </row>
    <row r="5162" spans="7:8">
      <c r="G5162">
        <v>5152</v>
      </c>
      <c r="H5162">
        <f t="shared" ca="1" si="88"/>
        <v>1.1306058897034021E-2</v>
      </c>
    </row>
    <row r="5163" spans="7:8">
      <c r="G5163">
        <v>5153</v>
      </c>
      <c r="H5163">
        <f t="shared" ca="1" si="88"/>
        <v>-2.5016116198369416E-2</v>
      </c>
    </row>
    <row r="5164" spans="7:8">
      <c r="G5164">
        <v>5154</v>
      </c>
      <c r="H5164">
        <f t="shared" ca="1" si="88"/>
        <v>-1.0691036256458297E-2</v>
      </c>
    </row>
    <row r="5165" spans="7:8">
      <c r="G5165">
        <v>5155</v>
      </c>
      <c r="H5165">
        <f t="shared" ca="1" si="88"/>
        <v>4.5619960026533686E-2</v>
      </c>
    </row>
    <row r="5166" spans="7:8">
      <c r="G5166">
        <v>5156</v>
      </c>
      <c r="H5166">
        <f t="shared" ca="1" si="88"/>
        <v>2.565798544647695E-2</v>
      </c>
    </row>
    <row r="5167" spans="7:8">
      <c r="G5167">
        <v>5157</v>
      </c>
      <c r="H5167">
        <f t="shared" ca="1" si="88"/>
        <v>-2.3885235244442967E-2</v>
      </c>
    </row>
    <row r="5168" spans="7:8">
      <c r="G5168">
        <v>5158</v>
      </c>
      <c r="H5168">
        <f t="shared" ca="1" si="88"/>
        <v>-7.2451174499781491E-3</v>
      </c>
    </row>
    <row r="5169" spans="7:8">
      <c r="G5169">
        <v>5159</v>
      </c>
      <c r="H5169">
        <f t="shared" ca="1" si="88"/>
        <v>-1.5343595925298398E-2</v>
      </c>
    </row>
    <row r="5170" spans="7:8">
      <c r="G5170">
        <v>5160</v>
      </c>
      <c r="H5170">
        <f t="shared" ca="1" si="88"/>
        <v>-6.1947944491610729E-3</v>
      </c>
    </row>
    <row r="5171" spans="7:8">
      <c r="G5171">
        <v>5161</v>
      </c>
      <c r="H5171">
        <f t="shared" ca="1" si="88"/>
        <v>2.1363145307837849E-2</v>
      </c>
    </row>
    <row r="5172" spans="7:8">
      <c r="G5172">
        <v>5162</v>
      </c>
      <c r="H5172">
        <f t="shared" ca="1" si="88"/>
        <v>3.8667269604971822E-3</v>
      </c>
    </row>
    <row r="5173" spans="7:8">
      <c r="G5173">
        <v>5163</v>
      </c>
      <c r="H5173">
        <f t="shared" ca="1" si="88"/>
        <v>5.0271089257660417E-3</v>
      </c>
    </row>
    <row r="5174" spans="7:8">
      <c r="G5174">
        <v>5164</v>
      </c>
      <c r="H5174">
        <f t="shared" ca="1" si="88"/>
        <v>5.2927021913902736E-2</v>
      </c>
    </row>
    <row r="5175" spans="7:8">
      <c r="G5175">
        <v>5165</v>
      </c>
      <c r="H5175">
        <f t="shared" ca="1" si="88"/>
        <v>7.7853885968799826E-4</v>
      </c>
    </row>
    <row r="5176" spans="7:8">
      <c r="G5176">
        <v>5166</v>
      </c>
      <c r="H5176">
        <f t="shared" ca="1" si="88"/>
        <v>1.2104100928319783E-2</v>
      </c>
    </row>
    <row r="5177" spans="7:8">
      <c r="G5177">
        <v>5167</v>
      </c>
      <c r="H5177">
        <f t="shared" ca="1" si="88"/>
        <v>4.5855949206263756E-2</v>
      </c>
    </row>
    <row r="5178" spans="7:8">
      <c r="G5178">
        <v>5168</v>
      </c>
      <c r="H5178">
        <f t="shared" ca="1" si="88"/>
        <v>-2.3792254960656796E-2</v>
      </c>
    </row>
    <row r="5179" spans="7:8">
      <c r="G5179">
        <v>5169</v>
      </c>
      <c r="H5179">
        <f t="shared" ca="1" si="88"/>
        <v>-3.1190633331612667E-2</v>
      </c>
    </row>
    <row r="5180" spans="7:8">
      <c r="G5180">
        <v>5170</v>
      </c>
      <c r="H5180">
        <f t="shared" ca="1" si="88"/>
        <v>-5.4780892432763689E-4</v>
      </c>
    </row>
    <row r="5181" spans="7:8">
      <c r="G5181">
        <v>5171</v>
      </c>
      <c r="H5181">
        <f t="shared" ca="1" si="88"/>
        <v>2.6424674953930475E-2</v>
      </c>
    </row>
    <row r="5182" spans="7:8">
      <c r="G5182">
        <v>5172</v>
      </c>
      <c r="H5182">
        <f t="shared" ca="1" si="88"/>
        <v>-1.6382636370870972E-2</v>
      </c>
    </row>
    <row r="5183" spans="7:8">
      <c r="G5183">
        <v>5173</v>
      </c>
      <c r="H5183">
        <f t="shared" ca="1" si="88"/>
        <v>2.3310671354986293E-3</v>
      </c>
    </row>
    <row r="5184" spans="7:8">
      <c r="G5184">
        <v>5174</v>
      </c>
      <c r="H5184">
        <f t="shared" ca="1" si="88"/>
        <v>-1.2198825112325472E-2</v>
      </c>
    </row>
    <row r="5185" spans="7:8">
      <c r="G5185">
        <v>5175</v>
      </c>
      <c r="H5185">
        <f t="shared" ca="1" si="88"/>
        <v>-3.6196840308277349E-2</v>
      </c>
    </row>
    <row r="5186" spans="7:8">
      <c r="G5186">
        <v>5176</v>
      </c>
      <c r="H5186">
        <f t="shared" ca="1" si="88"/>
        <v>-2.2356878877049118E-2</v>
      </c>
    </row>
    <row r="5187" spans="7:8">
      <c r="G5187">
        <v>5177</v>
      </c>
      <c r="H5187">
        <f t="shared" ca="1" si="88"/>
        <v>1.594828327609147E-2</v>
      </c>
    </row>
    <row r="5188" spans="7:8">
      <c r="G5188">
        <v>5178</v>
      </c>
      <c r="H5188">
        <f t="shared" ca="1" si="88"/>
        <v>1.2266326372723374E-2</v>
      </c>
    </row>
    <row r="5189" spans="7:8">
      <c r="G5189">
        <v>5179</v>
      </c>
      <c r="H5189">
        <f t="shared" ca="1" si="88"/>
        <v>8.4638447487234529E-3</v>
      </c>
    </row>
    <row r="5190" spans="7:8">
      <c r="G5190">
        <v>5180</v>
      </c>
      <c r="H5190">
        <f t="shared" ca="1" si="88"/>
        <v>-1.6006754040923433E-2</v>
      </c>
    </row>
    <row r="5191" spans="7:8">
      <c r="G5191">
        <v>5181</v>
      </c>
      <c r="H5191">
        <f t="shared" ca="1" si="88"/>
        <v>2.6521735810769035E-3</v>
      </c>
    </row>
    <row r="5192" spans="7:8">
      <c r="G5192">
        <v>5182</v>
      </c>
      <c r="H5192">
        <f t="shared" ca="1" si="88"/>
        <v>1.867273451905499E-2</v>
      </c>
    </row>
    <row r="5193" spans="7:8">
      <c r="G5193">
        <v>5183</v>
      </c>
      <c r="H5193">
        <f t="shared" ca="1" si="88"/>
        <v>5.0914146528126876E-2</v>
      </c>
    </row>
    <row r="5194" spans="7:8">
      <c r="G5194">
        <v>5184</v>
      </c>
      <c r="H5194">
        <f t="shared" ca="1" si="88"/>
        <v>-1.9199039034385315E-2</v>
      </c>
    </row>
    <row r="5195" spans="7:8">
      <c r="G5195">
        <v>5185</v>
      </c>
      <c r="H5195">
        <f t="shared" ca="1" si="88"/>
        <v>3.7559510134955877E-2</v>
      </c>
    </row>
    <row r="5196" spans="7:8">
      <c r="G5196">
        <v>5186</v>
      </c>
      <c r="H5196">
        <f t="shared" ref="H5196:H5259" ca="1" si="89">_xlfn.NORM.INV(RAND(),N$13,N$14)</f>
        <v>1.171273885499146E-2</v>
      </c>
    </row>
    <row r="5197" spans="7:8">
      <c r="G5197">
        <v>5187</v>
      </c>
      <c r="H5197">
        <f t="shared" ca="1" si="89"/>
        <v>9.3791765504917541E-3</v>
      </c>
    </row>
    <row r="5198" spans="7:8">
      <c r="G5198">
        <v>5188</v>
      </c>
      <c r="H5198">
        <f t="shared" ca="1" si="89"/>
        <v>1.0772423130495083E-2</v>
      </c>
    </row>
    <row r="5199" spans="7:8">
      <c r="G5199">
        <v>5189</v>
      </c>
      <c r="H5199">
        <f t="shared" ca="1" si="89"/>
        <v>-3.0812709740340338E-4</v>
      </c>
    </row>
    <row r="5200" spans="7:8">
      <c r="G5200">
        <v>5190</v>
      </c>
      <c r="H5200">
        <f t="shared" ca="1" si="89"/>
        <v>9.1482761566177954E-3</v>
      </c>
    </row>
    <row r="5201" spans="7:8">
      <c r="G5201">
        <v>5191</v>
      </c>
      <c r="H5201">
        <f t="shared" ca="1" si="89"/>
        <v>3.8279759225259162E-2</v>
      </c>
    </row>
    <row r="5202" spans="7:8">
      <c r="G5202">
        <v>5192</v>
      </c>
      <c r="H5202">
        <f t="shared" ca="1" si="89"/>
        <v>4.04760758132081E-3</v>
      </c>
    </row>
    <row r="5203" spans="7:8">
      <c r="G5203">
        <v>5193</v>
      </c>
      <c r="H5203">
        <f t="shared" ca="1" si="89"/>
        <v>4.0557188199248577E-2</v>
      </c>
    </row>
    <row r="5204" spans="7:8">
      <c r="G5204">
        <v>5194</v>
      </c>
      <c r="H5204">
        <f t="shared" ca="1" si="89"/>
        <v>3.4660104463616559E-2</v>
      </c>
    </row>
    <row r="5205" spans="7:8">
      <c r="G5205">
        <v>5195</v>
      </c>
      <c r="H5205">
        <f t="shared" ca="1" si="89"/>
        <v>-1.4121302563895903E-2</v>
      </c>
    </row>
    <row r="5206" spans="7:8">
      <c r="G5206">
        <v>5196</v>
      </c>
      <c r="H5206">
        <f t="shared" ca="1" si="89"/>
        <v>3.8499543983264912E-3</v>
      </c>
    </row>
    <row r="5207" spans="7:8">
      <c r="G5207">
        <v>5197</v>
      </c>
      <c r="H5207">
        <f t="shared" ca="1" si="89"/>
        <v>-3.0539783650016767E-2</v>
      </c>
    </row>
    <row r="5208" spans="7:8">
      <c r="G5208">
        <v>5198</v>
      </c>
      <c r="H5208">
        <f t="shared" ca="1" si="89"/>
        <v>-5.282910962617118E-3</v>
      </c>
    </row>
    <row r="5209" spans="7:8">
      <c r="G5209">
        <v>5199</v>
      </c>
      <c r="H5209">
        <f t="shared" ca="1" si="89"/>
        <v>6.9062902831975364E-3</v>
      </c>
    </row>
    <row r="5210" spans="7:8">
      <c r="G5210">
        <v>5200</v>
      </c>
      <c r="H5210">
        <f t="shared" ca="1" si="89"/>
        <v>-2.100664675578813E-2</v>
      </c>
    </row>
    <row r="5211" spans="7:8">
      <c r="G5211">
        <v>5201</v>
      </c>
      <c r="H5211">
        <f t="shared" ca="1" si="89"/>
        <v>1.71615485350535E-2</v>
      </c>
    </row>
    <row r="5212" spans="7:8">
      <c r="G5212">
        <v>5202</v>
      </c>
      <c r="H5212">
        <f t="shared" ca="1" si="89"/>
        <v>-7.4111818652432679E-3</v>
      </c>
    </row>
    <row r="5213" spans="7:8">
      <c r="G5213">
        <v>5203</v>
      </c>
      <c r="H5213">
        <f t="shared" ca="1" si="89"/>
        <v>-2.7934757435293563E-2</v>
      </c>
    </row>
    <row r="5214" spans="7:8">
      <c r="G5214">
        <v>5204</v>
      </c>
      <c r="H5214">
        <f t="shared" ca="1" si="89"/>
        <v>-8.0113245611371717E-3</v>
      </c>
    </row>
    <row r="5215" spans="7:8">
      <c r="G5215">
        <v>5205</v>
      </c>
      <c r="H5215">
        <f t="shared" ca="1" si="89"/>
        <v>3.7241156550060307E-2</v>
      </c>
    </row>
    <row r="5216" spans="7:8">
      <c r="G5216">
        <v>5206</v>
      </c>
      <c r="H5216">
        <f t="shared" ca="1" si="89"/>
        <v>2.4691358789964282E-2</v>
      </c>
    </row>
    <row r="5217" spans="7:8">
      <c r="G5217">
        <v>5207</v>
      </c>
      <c r="H5217">
        <f t="shared" ca="1" si="89"/>
        <v>-5.6242510476400241E-3</v>
      </c>
    </row>
    <row r="5218" spans="7:8">
      <c r="G5218">
        <v>5208</v>
      </c>
      <c r="H5218">
        <f t="shared" ca="1" si="89"/>
        <v>1.6722985243721664E-2</v>
      </c>
    </row>
    <row r="5219" spans="7:8">
      <c r="G5219">
        <v>5209</v>
      </c>
      <c r="H5219">
        <f t="shared" ca="1" si="89"/>
        <v>6.0153994479852282E-3</v>
      </c>
    </row>
    <row r="5220" spans="7:8">
      <c r="G5220">
        <v>5210</v>
      </c>
      <c r="H5220">
        <f t="shared" ca="1" si="89"/>
        <v>3.3509144092270925E-2</v>
      </c>
    </row>
    <row r="5221" spans="7:8">
      <c r="G5221">
        <v>5211</v>
      </c>
      <c r="H5221">
        <f t="shared" ca="1" si="89"/>
        <v>-2.5826641080467966E-2</v>
      </c>
    </row>
    <row r="5222" spans="7:8">
      <c r="G5222">
        <v>5212</v>
      </c>
      <c r="H5222">
        <f t="shared" ca="1" si="89"/>
        <v>-7.3607191495257589E-3</v>
      </c>
    </row>
    <row r="5223" spans="7:8">
      <c r="G5223">
        <v>5213</v>
      </c>
      <c r="H5223">
        <f t="shared" ca="1" si="89"/>
        <v>-2.0857853131762832E-2</v>
      </c>
    </row>
    <row r="5224" spans="7:8">
      <c r="G5224">
        <v>5214</v>
      </c>
      <c r="H5224">
        <f t="shared" ca="1" si="89"/>
        <v>2.6419318720853902E-2</v>
      </c>
    </row>
    <row r="5225" spans="7:8">
      <c r="G5225">
        <v>5215</v>
      </c>
      <c r="H5225">
        <f t="shared" ca="1" si="89"/>
        <v>1.8062916483572587E-2</v>
      </c>
    </row>
    <row r="5226" spans="7:8">
      <c r="G5226">
        <v>5216</v>
      </c>
      <c r="H5226">
        <f t="shared" ca="1" si="89"/>
        <v>8.7684206465838948E-3</v>
      </c>
    </row>
    <row r="5227" spans="7:8">
      <c r="G5227">
        <v>5217</v>
      </c>
      <c r="H5227">
        <f t="shared" ca="1" si="89"/>
        <v>-1.0869191814405701E-2</v>
      </c>
    </row>
    <row r="5228" spans="7:8">
      <c r="G5228">
        <v>5218</v>
      </c>
      <c r="H5228">
        <f t="shared" ca="1" si="89"/>
        <v>9.1885570023340201E-3</v>
      </c>
    </row>
    <row r="5229" spans="7:8">
      <c r="G5229">
        <v>5219</v>
      </c>
      <c r="H5229">
        <f t="shared" ca="1" si="89"/>
        <v>-1.652591224433814E-2</v>
      </c>
    </row>
    <row r="5230" spans="7:8">
      <c r="G5230">
        <v>5220</v>
      </c>
      <c r="H5230">
        <f t="shared" ca="1" si="89"/>
        <v>-3.6018301369863649E-2</v>
      </c>
    </row>
    <row r="5231" spans="7:8">
      <c r="G5231">
        <v>5221</v>
      </c>
      <c r="H5231">
        <f t="shared" ca="1" si="89"/>
        <v>-1.0232965285465046E-2</v>
      </c>
    </row>
    <row r="5232" spans="7:8">
      <c r="G5232">
        <v>5222</v>
      </c>
      <c r="H5232">
        <f t="shared" ca="1" si="89"/>
        <v>2.6365341311134688E-2</v>
      </c>
    </row>
    <row r="5233" spans="7:8">
      <c r="G5233">
        <v>5223</v>
      </c>
      <c r="H5233">
        <f t="shared" ca="1" si="89"/>
        <v>-9.8282706763979256E-3</v>
      </c>
    </row>
    <row r="5234" spans="7:8">
      <c r="G5234">
        <v>5224</v>
      </c>
      <c r="H5234">
        <f t="shared" ca="1" si="89"/>
        <v>-3.4689624877695044E-2</v>
      </c>
    </row>
    <row r="5235" spans="7:8">
      <c r="G5235">
        <v>5225</v>
      </c>
      <c r="H5235">
        <f t="shared" ca="1" si="89"/>
        <v>-1.3208580843004254E-2</v>
      </c>
    </row>
    <row r="5236" spans="7:8">
      <c r="G5236">
        <v>5226</v>
      </c>
      <c r="H5236">
        <f t="shared" ca="1" si="89"/>
        <v>-3.1001316768644063E-2</v>
      </c>
    </row>
    <row r="5237" spans="7:8">
      <c r="G5237">
        <v>5227</v>
      </c>
      <c r="H5237">
        <f t="shared" ca="1" si="89"/>
        <v>-1.2391259742618298E-2</v>
      </c>
    </row>
    <row r="5238" spans="7:8">
      <c r="G5238">
        <v>5228</v>
      </c>
      <c r="H5238">
        <f t="shared" ca="1" si="89"/>
        <v>-1.878225430166295E-2</v>
      </c>
    </row>
    <row r="5239" spans="7:8">
      <c r="G5239">
        <v>5229</v>
      </c>
      <c r="H5239">
        <f t="shared" ca="1" si="89"/>
        <v>-4.8207936647728161E-3</v>
      </c>
    </row>
    <row r="5240" spans="7:8">
      <c r="G5240">
        <v>5230</v>
      </c>
      <c r="H5240">
        <f t="shared" ca="1" si="89"/>
        <v>4.858170216804087E-2</v>
      </c>
    </row>
    <row r="5241" spans="7:8">
      <c r="G5241">
        <v>5231</v>
      </c>
      <c r="H5241">
        <f t="shared" ca="1" si="89"/>
        <v>4.2197466271599211E-2</v>
      </c>
    </row>
    <row r="5242" spans="7:8">
      <c r="G5242">
        <v>5232</v>
      </c>
      <c r="H5242">
        <f t="shared" ca="1" si="89"/>
        <v>-8.2632385293493291E-3</v>
      </c>
    </row>
    <row r="5243" spans="7:8">
      <c r="G5243">
        <v>5233</v>
      </c>
      <c r="H5243">
        <f t="shared" ca="1" si="89"/>
        <v>-4.6791992862903559E-2</v>
      </c>
    </row>
    <row r="5244" spans="7:8">
      <c r="G5244">
        <v>5234</v>
      </c>
      <c r="H5244">
        <f t="shared" ca="1" si="89"/>
        <v>8.1042246829908272E-3</v>
      </c>
    </row>
    <row r="5245" spans="7:8">
      <c r="G5245">
        <v>5235</v>
      </c>
      <c r="H5245">
        <f t="shared" ca="1" si="89"/>
        <v>-9.0805484999167182E-3</v>
      </c>
    </row>
    <row r="5246" spans="7:8">
      <c r="G5246">
        <v>5236</v>
      </c>
      <c r="H5246">
        <f t="shared" ca="1" si="89"/>
        <v>-2.4145380909957687E-2</v>
      </c>
    </row>
    <row r="5247" spans="7:8">
      <c r="G5247">
        <v>5237</v>
      </c>
      <c r="H5247">
        <f t="shared" ca="1" si="89"/>
        <v>-2.6458863046751194E-3</v>
      </c>
    </row>
    <row r="5248" spans="7:8">
      <c r="G5248">
        <v>5238</v>
      </c>
      <c r="H5248">
        <f t="shared" ca="1" si="89"/>
        <v>-1.5037159799484954E-2</v>
      </c>
    </row>
    <row r="5249" spans="7:8">
      <c r="G5249">
        <v>5239</v>
      </c>
      <c r="H5249">
        <f t="shared" ca="1" si="89"/>
        <v>1.7510185633257722E-2</v>
      </c>
    </row>
    <row r="5250" spans="7:8">
      <c r="G5250">
        <v>5240</v>
      </c>
      <c r="H5250">
        <f t="shared" ca="1" si="89"/>
        <v>-4.9827404547319931E-2</v>
      </c>
    </row>
    <row r="5251" spans="7:8">
      <c r="G5251">
        <v>5241</v>
      </c>
      <c r="H5251">
        <f t="shared" ca="1" si="89"/>
        <v>2.3119104590427282E-3</v>
      </c>
    </row>
    <row r="5252" spans="7:8">
      <c r="G5252">
        <v>5242</v>
      </c>
      <c r="H5252">
        <f t="shared" ca="1" si="89"/>
        <v>-5.4075093146688145E-2</v>
      </c>
    </row>
    <row r="5253" spans="7:8">
      <c r="G5253">
        <v>5243</v>
      </c>
      <c r="H5253">
        <f t="shared" ca="1" si="89"/>
        <v>-1.6900107050982762E-3</v>
      </c>
    </row>
    <row r="5254" spans="7:8">
      <c r="G5254">
        <v>5244</v>
      </c>
      <c r="H5254">
        <f t="shared" ca="1" si="89"/>
        <v>2.059956237174923E-2</v>
      </c>
    </row>
    <row r="5255" spans="7:8">
      <c r="G5255">
        <v>5245</v>
      </c>
      <c r="H5255">
        <f t="shared" ca="1" si="89"/>
        <v>6.7889522367115722E-3</v>
      </c>
    </row>
    <row r="5256" spans="7:8">
      <c r="G5256">
        <v>5246</v>
      </c>
      <c r="H5256">
        <f t="shared" ca="1" si="89"/>
        <v>4.4916918205893551E-3</v>
      </c>
    </row>
    <row r="5257" spans="7:8">
      <c r="G5257">
        <v>5247</v>
      </c>
      <c r="H5257">
        <f t="shared" ca="1" si="89"/>
        <v>1.2766029777293532E-2</v>
      </c>
    </row>
    <row r="5258" spans="7:8">
      <c r="G5258">
        <v>5248</v>
      </c>
      <c r="H5258">
        <f t="shared" ca="1" si="89"/>
        <v>1.1098319558380138E-2</v>
      </c>
    </row>
    <row r="5259" spans="7:8">
      <c r="G5259">
        <v>5249</v>
      </c>
      <c r="H5259">
        <f t="shared" ca="1" si="89"/>
        <v>5.7962579520792071E-3</v>
      </c>
    </row>
    <row r="5260" spans="7:8">
      <c r="G5260">
        <v>5250</v>
      </c>
      <c r="H5260">
        <f t="shared" ref="H5260:H5323" ca="1" si="90">_xlfn.NORM.INV(RAND(),N$13,N$14)</f>
        <v>2.0881708850850521E-2</v>
      </c>
    </row>
    <row r="5261" spans="7:8">
      <c r="G5261">
        <v>5251</v>
      </c>
      <c r="H5261">
        <f t="shared" ca="1" si="90"/>
        <v>1.5515279834458265E-2</v>
      </c>
    </row>
    <row r="5262" spans="7:8">
      <c r="G5262">
        <v>5252</v>
      </c>
      <c r="H5262">
        <f t="shared" ca="1" si="90"/>
        <v>1.1475899056012748E-2</v>
      </c>
    </row>
    <row r="5263" spans="7:8">
      <c r="G5263">
        <v>5253</v>
      </c>
      <c r="H5263">
        <f t="shared" ca="1" si="90"/>
        <v>-1.0856681605760332E-2</v>
      </c>
    </row>
    <row r="5264" spans="7:8">
      <c r="G5264">
        <v>5254</v>
      </c>
      <c r="H5264">
        <f t="shared" ca="1" si="90"/>
        <v>3.3620273733237921E-2</v>
      </c>
    </row>
    <row r="5265" spans="7:8">
      <c r="G5265">
        <v>5255</v>
      </c>
      <c r="H5265">
        <f t="shared" ca="1" si="90"/>
        <v>1.2093652645338375E-2</v>
      </c>
    </row>
    <row r="5266" spans="7:8">
      <c r="G5266">
        <v>5256</v>
      </c>
      <c r="H5266">
        <f t="shared" ca="1" si="90"/>
        <v>-1.0713179821049079E-2</v>
      </c>
    </row>
    <row r="5267" spans="7:8">
      <c r="G5267">
        <v>5257</v>
      </c>
      <c r="H5267">
        <f t="shared" ca="1" si="90"/>
        <v>4.2085567238907846E-3</v>
      </c>
    </row>
    <row r="5268" spans="7:8">
      <c r="G5268">
        <v>5258</v>
      </c>
      <c r="H5268">
        <f t="shared" ca="1" si="90"/>
        <v>2.1228310901771231E-3</v>
      </c>
    </row>
    <row r="5269" spans="7:8">
      <c r="G5269">
        <v>5259</v>
      </c>
      <c r="H5269">
        <f t="shared" ca="1" si="90"/>
        <v>1.9525736250333343E-2</v>
      </c>
    </row>
    <row r="5270" spans="7:8">
      <c r="G5270">
        <v>5260</v>
      </c>
      <c r="H5270">
        <f t="shared" ca="1" si="90"/>
        <v>-8.2050455626581651E-4</v>
      </c>
    </row>
    <row r="5271" spans="7:8">
      <c r="G5271">
        <v>5261</v>
      </c>
      <c r="H5271">
        <f t="shared" ca="1" si="90"/>
        <v>2.4245559148395497E-3</v>
      </c>
    </row>
    <row r="5272" spans="7:8">
      <c r="G5272">
        <v>5262</v>
      </c>
      <c r="H5272">
        <f t="shared" ca="1" si="90"/>
        <v>2.1530179195017402E-2</v>
      </c>
    </row>
    <row r="5273" spans="7:8">
      <c r="G5273">
        <v>5263</v>
      </c>
      <c r="H5273">
        <f t="shared" ca="1" si="90"/>
        <v>7.4900107257096628E-4</v>
      </c>
    </row>
    <row r="5274" spans="7:8">
      <c r="G5274">
        <v>5264</v>
      </c>
      <c r="H5274">
        <f t="shared" ca="1" si="90"/>
        <v>-9.834132979894137E-3</v>
      </c>
    </row>
    <row r="5275" spans="7:8">
      <c r="G5275">
        <v>5265</v>
      </c>
      <c r="H5275">
        <f t="shared" ca="1" si="90"/>
        <v>2.4016019449772788E-2</v>
      </c>
    </row>
    <row r="5276" spans="7:8">
      <c r="G5276">
        <v>5266</v>
      </c>
      <c r="H5276">
        <f t="shared" ca="1" si="90"/>
        <v>5.676656413310683E-2</v>
      </c>
    </row>
    <row r="5277" spans="7:8">
      <c r="G5277">
        <v>5267</v>
      </c>
      <c r="H5277">
        <f t="shared" ca="1" si="90"/>
        <v>-2.2471077853273669E-2</v>
      </c>
    </row>
    <row r="5278" spans="7:8">
      <c r="G5278">
        <v>5268</v>
      </c>
      <c r="H5278">
        <f t="shared" ca="1" si="90"/>
        <v>-1.793047588730666E-2</v>
      </c>
    </row>
    <row r="5279" spans="7:8">
      <c r="G5279">
        <v>5269</v>
      </c>
      <c r="H5279">
        <f t="shared" ca="1" si="90"/>
        <v>-2.1723724704552888E-2</v>
      </c>
    </row>
    <row r="5280" spans="7:8">
      <c r="G5280">
        <v>5270</v>
      </c>
      <c r="H5280">
        <f t="shared" ca="1" si="90"/>
        <v>-1.9014254672031168E-4</v>
      </c>
    </row>
    <row r="5281" spans="7:8">
      <c r="G5281">
        <v>5271</v>
      </c>
      <c r="H5281">
        <f t="shared" ca="1" si="90"/>
        <v>-1.0355321132850774E-2</v>
      </c>
    </row>
    <row r="5282" spans="7:8">
      <c r="G5282">
        <v>5272</v>
      </c>
      <c r="H5282">
        <f t="shared" ca="1" si="90"/>
        <v>-1.548280159262766E-2</v>
      </c>
    </row>
    <row r="5283" spans="7:8">
      <c r="G5283">
        <v>5273</v>
      </c>
      <c r="H5283">
        <f t="shared" ca="1" si="90"/>
        <v>-8.0504390655350803E-3</v>
      </c>
    </row>
    <row r="5284" spans="7:8">
      <c r="G5284">
        <v>5274</v>
      </c>
      <c r="H5284">
        <f t="shared" ca="1" si="90"/>
        <v>7.9876302936420177E-3</v>
      </c>
    </row>
    <row r="5285" spans="7:8">
      <c r="G5285">
        <v>5275</v>
      </c>
      <c r="H5285">
        <f t="shared" ca="1" si="90"/>
        <v>-3.0467004118764841E-2</v>
      </c>
    </row>
    <row r="5286" spans="7:8">
      <c r="G5286">
        <v>5276</v>
      </c>
      <c r="H5286">
        <f t="shared" ca="1" si="90"/>
        <v>-3.4477835433979323E-2</v>
      </c>
    </row>
    <row r="5287" spans="7:8">
      <c r="G5287">
        <v>5277</v>
      </c>
      <c r="H5287">
        <f t="shared" ca="1" si="90"/>
        <v>4.5429937686831852E-3</v>
      </c>
    </row>
    <row r="5288" spans="7:8">
      <c r="G5288">
        <v>5278</v>
      </c>
      <c r="H5288">
        <f t="shared" ca="1" si="90"/>
        <v>-6.4694062639109127E-3</v>
      </c>
    </row>
    <row r="5289" spans="7:8">
      <c r="G5289">
        <v>5279</v>
      </c>
      <c r="H5289">
        <f t="shared" ca="1" si="90"/>
        <v>1.4188321094579409E-2</v>
      </c>
    </row>
    <row r="5290" spans="7:8">
      <c r="G5290">
        <v>5280</v>
      </c>
      <c r="H5290">
        <f t="shared" ca="1" si="90"/>
        <v>8.3510449742231884E-3</v>
      </c>
    </row>
    <row r="5291" spans="7:8">
      <c r="G5291">
        <v>5281</v>
      </c>
      <c r="H5291">
        <f t="shared" ca="1" si="90"/>
        <v>-1.1275336368817487E-2</v>
      </c>
    </row>
    <row r="5292" spans="7:8">
      <c r="G5292">
        <v>5282</v>
      </c>
      <c r="H5292">
        <f t="shared" ca="1" si="90"/>
        <v>-7.3700624997655555E-3</v>
      </c>
    </row>
    <row r="5293" spans="7:8">
      <c r="G5293">
        <v>5283</v>
      </c>
      <c r="H5293">
        <f t="shared" ca="1" si="90"/>
        <v>-3.2196669837477744E-2</v>
      </c>
    </row>
    <row r="5294" spans="7:8">
      <c r="G5294">
        <v>5284</v>
      </c>
      <c r="H5294">
        <f t="shared" ca="1" si="90"/>
        <v>-2.2969340134930622E-3</v>
      </c>
    </row>
    <row r="5295" spans="7:8">
      <c r="G5295">
        <v>5285</v>
      </c>
      <c r="H5295">
        <f t="shared" ca="1" si="90"/>
        <v>-1.9423499056566807E-2</v>
      </c>
    </row>
    <row r="5296" spans="7:8">
      <c r="G5296">
        <v>5286</v>
      </c>
      <c r="H5296">
        <f t="shared" ca="1" si="90"/>
        <v>-1.5841110517778052E-2</v>
      </c>
    </row>
    <row r="5297" spans="7:8">
      <c r="G5297">
        <v>5287</v>
      </c>
      <c r="H5297">
        <f t="shared" ca="1" si="90"/>
        <v>1.2529289871642427E-2</v>
      </c>
    </row>
    <row r="5298" spans="7:8">
      <c r="G5298">
        <v>5288</v>
      </c>
      <c r="H5298">
        <f t="shared" ca="1" si="90"/>
        <v>2.1574321208123925E-2</v>
      </c>
    </row>
    <row r="5299" spans="7:8">
      <c r="G5299">
        <v>5289</v>
      </c>
      <c r="H5299">
        <f t="shared" ca="1" si="90"/>
        <v>-2.876981285088552E-3</v>
      </c>
    </row>
    <row r="5300" spans="7:8">
      <c r="G5300">
        <v>5290</v>
      </c>
      <c r="H5300">
        <f t="shared" ca="1" si="90"/>
        <v>8.5457131343982598E-2</v>
      </c>
    </row>
    <row r="5301" spans="7:8">
      <c r="G5301">
        <v>5291</v>
      </c>
      <c r="H5301">
        <f t="shared" ca="1" si="90"/>
        <v>5.822172609389482E-3</v>
      </c>
    </row>
    <row r="5302" spans="7:8">
      <c r="G5302">
        <v>5292</v>
      </c>
      <c r="H5302">
        <f t="shared" ca="1" si="90"/>
        <v>5.695853356149929E-2</v>
      </c>
    </row>
    <row r="5303" spans="7:8">
      <c r="G5303">
        <v>5293</v>
      </c>
      <c r="H5303">
        <f t="shared" ca="1" si="90"/>
        <v>3.3152775134567311E-2</v>
      </c>
    </row>
    <row r="5304" spans="7:8">
      <c r="G5304">
        <v>5294</v>
      </c>
      <c r="H5304">
        <f t="shared" ca="1" si="90"/>
        <v>4.6594429172771103E-2</v>
      </c>
    </row>
    <row r="5305" spans="7:8">
      <c r="G5305">
        <v>5295</v>
      </c>
      <c r="H5305">
        <f t="shared" ca="1" si="90"/>
        <v>-9.4518451989059303E-3</v>
      </c>
    </row>
    <row r="5306" spans="7:8">
      <c r="G5306">
        <v>5296</v>
      </c>
      <c r="H5306">
        <f t="shared" ca="1" si="90"/>
        <v>1.2310455755614657E-2</v>
      </c>
    </row>
    <row r="5307" spans="7:8">
      <c r="G5307">
        <v>5297</v>
      </c>
      <c r="H5307">
        <f t="shared" ca="1" si="90"/>
        <v>-1.882783621137211E-3</v>
      </c>
    </row>
    <row r="5308" spans="7:8">
      <c r="G5308">
        <v>5298</v>
      </c>
      <c r="H5308">
        <f t="shared" ca="1" si="90"/>
        <v>4.9643558098416786E-2</v>
      </c>
    </row>
    <row r="5309" spans="7:8">
      <c r="G5309">
        <v>5299</v>
      </c>
      <c r="H5309">
        <f t="shared" ca="1" si="90"/>
        <v>3.1707135675249241E-3</v>
      </c>
    </row>
    <row r="5310" spans="7:8">
      <c r="G5310">
        <v>5300</v>
      </c>
      <c r="H5310">
        <f t="shared" ca="1" si="90"/>
        <v>-4.3440636991611797E-2</v>
      </c>
    </row>
    <row r="5311" spans="7:8">
      <c r="G5311">
        <v>5301</v>
      </c>
      <c r="H5311">
        <f t="shared" ca="1" si="90"/>
        <v>-5.8080600368281901E-3</v>
      </c>
    </row>
    <row r="5312" spans="7:8">
      <c r="G5312">
        <v>5302</v>
      </c>
      <c r="H5312">
        <f t="shared" ca="1" si="90"/>
        <v>-2.0327509458401994E-2</v>
      </c>
    </row>
    <row r="5313" spans="7:8">
      <c r="G5313">
        <v>5303</v>
      </c>
      <c r="H5313">
        <f t="shared" ca="1" si="90"/>
        <v>-1.5940305812842979E-2</v>
      </c>
    </row>
    <row r="5314" spans="7:8">
      <c r="G5314">
        <v>5304</v>
      </c>
      <c r="H5314">
        <f t="shared" ca="1" si="90"/>
        <v>3.3015366929773311E-2</v>
      </c>
    </row>
    <row r="5315" spans="7:8">
      <c r="G5315">
        <v>5305</v>
      </c>
      <c r="H5315">
        <f t="shared" ca="1" si="90"/>
        <v>-2.5464626392716731E-2</v>
      </c>
    </row>
    <row r="5316" spans="7:8">
      <c r="G5316">
        <v>5306</v>
      </c>
      <c r="H5316">
        <f t="shared" ca="1" si="90"/>
        <v>-3.3709009587555551E-2</v>
      </c>
    </row>
    <row r="5317" spans="7:8">
      <c r="G5317">
        <v>5307</v>
      </c>
      <c r="H5317">
        <f t="shared" ca="1" si="90"/>
        <v>-1.8375162452825267E-2</v>
      </c>
    </row>
    <row r="5318" spans="7:8">
      <c r="G5318">
        <v>5308</v>
      </c>
      <c r="H5318">
        <f t="shared" ca="1" si="90"/>
        <v>1.2291823531609715E-2</v>
      </c>
    </row>
    <row r="5319" spans="7:8">
      <c r="G5319">
        <v>5309</v>
      </c>
      <c r="H5319">
        <f t="shared" ca="1" si="90"/>
        <v>-3.1457054577785831E-2</v>
      </c>
    </row>
    <row r="5320" spans="7:8">
      <c r="G5320">
        <v>5310</v>
      </c>
      <c r="H5320">
        <f t="shared" ca="1" si="90"/>
        <v>3.8634042527207406E-3</v>
      </c>
    </row>
    <row r="5321" spans="7:8">
      <c r="G5321">
        <v>5311</v>
      </c>
      <c r="H5321">
        <f t="shared" ca="1" si="90"/>
        <v>2.269649759740399E-2</v>
      </c>
    </row>
    <row r="5322" spans="7:8">
      <c r="G5322">
        <v>5312</v>
      </c>
      <c r="H5322">
        <f t="shared" ca="1" si="90"/>
        <v>2.4939971913333622E-2</v>
      </c>
    </row>
    <row r="5323" spans="7:8">
      <c r="G5323">
        <v>5313</v>
      </c>
      <c r="H5323">
        <f t="shared" ca="1" si="90"/>
        <v>-4.8390113589393692E-2</v>
      </c>
    </row>
    <row r="5324" spans="7:8">
      <c r="G5324">
        <v>5314</v>
      </c>
      <c r="H5324">
        <f t="shared" ref="H5324:H5387" ca="1" si="91">_xlfn.NORM.INV(RAND(),N$13,N$14)</f>
        <v>-3.3264512683509441E-5</v>
      </c>
    </row>
    <row r="5325" spans="7:8">
      <c r="G5325">
        <v>5315</v>
      </c>
      <c r="H5325">
        <f t="shared" ca="1" si="91"/>
        <v>-1.159809325610152E-3</v>
      </c>
    </row>
    <row r="5326" spans="7:8">
      <c r="G5326">
        <v>5316</v>
      </c>
      <c r="H5326">
        <f t="shared" ca="1" si="91"/>
        <v>7.4349186557876087E-3</v>
      </c>
    </row>
    <row r="5327" spans="7:8">
      <c r="G5327">
        <v>5317</v>
      </c>
      <c r="H5327">
        <f t="shared" ca="1" si="91"/>
        <v>-2.6146689392240442E-2</v>
      </c>
    </row>
    <row r="5328" spans="7:8">
      <c r="G5328">
        <v>5318</v>
      </c>
      <c r="H5328">
        <f t="shared" ca="1" si="91"/>
        <v>3.5339104568810659E-3</v>
      </c>
    </row>
    <row r="5329" spans="7:8">
      <c r="G5329">
        <v>5319</v>
      </c>
      <c r="H5329">
        <f t="shared" ca="1" si="91"/>
        <v>-1.1651014476609994E-2</v>
      </c>
    </row>
    <row r="5330" spans="7:8">
      <c r="G5330">
        <v>5320</v>
      </c>
      <c r="H5330">
        <f t="shared" ca="1" si="91"/>
        <v>-1.1924321370514204E-2</v>
      </c>
    </row>
    <row r="5331" spans="7:8">
      <c r="G5331">
        <v>5321</v>
      </c>
      <c r="H5331">
        <f t="shared" ca="1" si="91"/>
        <v>-1.1134385182231012E-2</v>
      </c>
    </row>
    <row r="5332" spans="7:8">
      <c r="G5332">
        <v>5322</v>
      </c>
      <c r="H5332">
        <f t="shared" ca="1" si="91"/>
        <v>-8.5425081237681371E-3</v>
      </c>
    </row>
    <row r="5333" spans="7:8">
      <c r="G5333">
        <v>5323</v>
      </c>
      <c r="H5333">
        <f t="shared" ca="1" si="91"/>
        <v>-4.1211682944022034E-2</v>
      </c>
    </row>
    <row r="5334" spans="7:8">
      <c r="G5334">
        <v>5324</v>
      </c>
      <c r="H5334">
        <f t="shared" ca="1" si="91"/>
        <v>1.6506715910713309E-2</v>
      </c>
    </row>
    <row r="5335" spans="7:8">
      <c r="G5335">
        <v>5325</v>
      </c>
      <c r="H5335">
        <f t="shared" ca="1" si="91"/>
        <v>1.312295001868696E-2</v>
      </c>
    </row>
    <row r="5336" spans="7:8">
      <c r="G5336">
        <v>5326</v>
      </c>
      <c r="H5336">
        <f t="shared" ca="1" si="91"/>
        <v>1.339647498052772E-2</v>
      </c>
    </row>
    <row r="5337" spans="7:8">
      <c r="G5337">
        <v>5327</v>
      </c>
      <c r="H5337">
        <f t="shared" ca="1" si="91"/>
        <v>-3.8644531458015621E-2</v>
      </c>
    </row>
    <row r="5338" spans="7:8">
      <c r="G5338">
        <v>5328</v>
      </c>
      <c r="H5338">
        <f t="shared" ca="1" si="91"/>
        <v>-1.5075918374263444E-2</v>
      </c>
    </row>
    <row r="5339" spans="7:8">
      <c r="G5339">
        <v>5329</v>
      </c>
      <c r="H5339">
        <f t="shared" ca="1" si="91"/>
        <v>1.2776680984169141E-2</v>
      </c>
    </row>
    <row r="5340" spans="7:8">
      <c r="G5340">
        <v>5330</v>
      </c>
      <c r="H5340">
        <f t="shared" ca="1" si="91"/>
        <v>5.5024373596117568E-3</v>
      </c>
    </row>
    <row r="5341" spans="7:8">
      <c r="G5341">
        <v>5331</v>
      </c>
      <c r="H5341">
        <f t="shared" ca="1" si="91"/>
        <v>-7.4739360955613102E-3</v>
      </c>
    </row>
    <row r="5342" spans="7:8">
      <c r="G5342">
        <v>5332</v>
      </c>
      <c r="H5342">
        <f t="shared" ca="1" si="91"/>
        <v>1.572194519496678E-2</v>
      </c>
    </row>
    <row r="5343" spans="7:8">
      <c r="G5343">
        <v>5333</v>
      </c>
      <c r="H5343">
        <f t="shared" ca="1" si="91"/>
        <v>-1.5845268076086987E-2</v>
      </c>
    </row>
    <row r="5344" spans="7:8">
      <c r="G5344">
        <v>5334</v>
      </c>
      <c r="H5344">
        <f t="shared" ca="1" si="91"/>
        <v>-4.6341836446677762E-2</v>
      </c>
    </row>
    <row r="5345" spans="7:8">
      <c r="G5345">
        <v>5335</v>
      </c>
      <c r="H5345">
        <f t="shared" ca="1" si="91"/>
        <v>6.3996460127759072E-3</v>
      </c>
    </row>
    <row r="5346" spans="7:8">
      <c r="G5346">
        <v>5336</v>
      </c>
      <c r="H5346">
        <f t="shared" ca="1" si="91"/>
        <v>1.6205748527009716E-2</v>
      </c>
    </row>
    <row r="5347" spans="7:8">
      <c r="G5347">
        <v>5337</v>
      </c>
      <c r="H5347">
        <f t="shared" ca="1" si="91"/>
        <v>-2.0122513087687043E-2</v>
      </c>
    </row>
    <row r="5348" spans="7:8">
      <c r="G5348">
        <v>5338</v>
      </c>
      <c r="H5348">
        <f t="shared" ca="1" si="91"/>
        <v>-1.1541809733423616E-4</v>
      </c>
    </row>
    <row r="5349" spans="7:8">
      <c r="G5349">
        <v>5339</v>
      </c>
      <c r="H5349">
        <f t="shared" ca="1" si="91"/>
        <v>-2.1993220963557972E-4</v>
      </c>
    </row>
    <row r="5350" spans="7:8">
      <c r="G5350">
        <v>5340</v>
      </c>
      <c r="H5350">
        <f t="shared" ca="1" si="91"/>
        <v>-3.4206838194566151E-2</v>
      </c>
    </row>
    <row r="5351" spans="7:8">
      <c r="G5351">
        <v>5341</v>
      </c>
      <c r="H5351">
        <f t="shared" ca="1" si="91"/>
        <v>1.6165350205008866E-2</v>
      </c>
    </row>
    <row r="5352" spans="7:8">
      <c r="G5352">
        <v>5342</v>
      </c>
      <c r="H5352">
        <f t="shared" ca="1" si="91"/>
        <v>-2.3170605610183079E-3</v>
      </c>
    </row>
    <row r="5353" spans="7:8">
      <c r="G5353">
        <v>5343</v>
      </c>
      <c r="H5353">
        <f t="shared" ca="1" si="91"/>
        <v>4.4665360469500981E-2</v>
      </c>
    </row>
    <row r="5354" spans="7:8">
      <c r="G5354">
        <v>5344</v>
      </c>
      <c r="H5354">
        <f t="shared" ca="1" si="91"/>
        <v>1.3212885800532393E-2</v>
      </c>
    </row>
    <row r="5355" spans="7:8">
      <c r="G5355">
        <v>5345</v>
      </c>
      <c r="H5355">
        <f t="shared" ca="1" si="91"/>
        <v>-2.0345287474249591E-2</v>
      </c>
    </row>
    <row r="5356" spans="7:8">
      <c r="G5356">
        <v>5346</v>
      </c>
      <c r="H5356">
        <f t="shared" ca="1" si="91"/>
        <v>-3.3977950869463633E-2</v>
      </c>
    </row>
    <row r="5357" spans="7:8">
      <c r="G5357">
        <v>5347</v>
      </c>
      <c r="H5357">
        <f t="shared" ca="1" si="91"/>
        <v>8.5117932299267358E-3</v>
      </c>
    </row>
    <row r="5358" spans="7:8">
      <c r="G5358">
        <v>5348</v>
      </c>
      <c r="H5358">
        <f t="shared" ca="1" si="91"/>
        <v>2.4801843588708114E-2</v>
      </c>
    </row>
    <row r="5359" spans="7:8">
      <c r="G5359">
        <v>5349</v>
      </c>
      <c r="H5359">
        <f t="shared" ca="1" si="91"/>
        <v>-7.5540496078337306E-3</v>
      </c>
    </row>
    <row r="5360" spans="7:8">
      <c r="G5360">
        <v>5350</v>
      </c>
      <c r="H5360">
        <f t="shared" ca="1" si="91"/>
        <v>3.7402669276765541E-2</v>
      </c>
    </row>
    <row r="5361" spans="7:8">
      <c r="G5361">
        <v>5351</v>
      </c>
      <c r="H5361">
        <f t="shared" ca="1" si="91"/>
        <v>-1.4620125194347112E-2</v>
      </c>
    </row>
    <row r="5362" spans="7:8">
      <c r="G5362">
        <v>5352</v>
      </c>
      <c r="H5362">
        <f t="shared" ca="1" si="91"/>
        <v>-3.4550464978668566E-2</v>
      </c>
    </row>
    <row r="5363" spans="7:8">
      <c r="G5363">
        <v>5353</v>
      </c>
      <c r="H5363">
        <f t="shared" ca="1" si="91"/>
        <v>-3.2257068480758314E-3</v>
      </c>
    </row>
    <row r="5364" spans="7:8">
      <c r="G5364">
        <v>5354</v>
      </c>
      <c r="H5364">
        <f t="shared" ca="1" si="91"/>
        <v>-3.9488117879475849E-2</v>
      </c>
    </row>
    <row r="5365" spans="7:8">
      <c r="G5365">
        <v>5355</v>
      </c>
      <c r="H5365">
        <f t="shared" ca="1" si="91"/>
        <v>-1.6495849512797561E-2</v>
      </c>
    </row>
    <row r="5366" spans="7:8">
      <c r="G5366">
        <v>5356</v>
      </c>
      <c r="H5366">
        <f t="shared" ca="1" si="91"/>
        <v>7.8022618322712905E-3</v>
      </c>
    </row>
    <row r="5367" spans="7:8">
      <c r="G5367">
        <v>5357</v>
      </c>
      <c r="H5367">
        <f t="shared" ca="1" si="91"/>
        <v>-1.0492302430648913E-3</v>
      </c>
    </row>
    <row r="5368" spans="7:8">
      <c r="G5368">
        <v>5358</v>
      </c>
      <c r="H5368">
        <f t="shared" ca="1" si="91"/>
        <v>-7.0494215675385194E-4</v>
      </c>
    </row>
    <row r="5369" spans="7:8">
      <c r="G5369">
        <v>5359</v>
      </c>
      <c r="H5369">
        <f t="shared" ca="1" si="91"/>
        <v>4.1681324597574169E-2</v>
      </c>
    </row>
    <row r="5370" spans="7:8">
      <c r="G5370">
        <v>5360</v>
      </c>
      <c r="H5370">
        <f t="shared" ca="1" si="91"/>
        <v>2.1781616300696745E-2</v>
      </c>
    </row>
    <row r="5371" spans="7:8">
      <c r="G5371">
        <v>5361</v>
      </c>
      <c r="H5371">
        <f t="shared" ca="1" si="91"/>
        <v>3.7953958807257486E-2</v>
      </c>
    </row>
    <row r="5372" spans="7:8">
      <c r="G5372">
        <v>5362</v>
      </c>
      <c r="H5372">
        <f t="shared" ca="1" si="91"/>
        <v>-3.406719525885248E-3</v>
      </c>
    </row>
    <row r="5373" spans="7:8">
      <c r="G5373">
        <v>5363</v>
      </c>
      <c r="H5373">
        <f t="shared" ca="1" si="91"/>
        <v>-1.6562685396763446E-2</v>
      </c>
    </row>
    <row r="5374" spans="7:8">
      <c r="G5374">
        <v>5364</v>
      </c>
      <c r="H5374">
        <f t="shared" ca="1" si="91"/>
        <v>-3.5832524549503295E-2</v>
      </c>
    </row>
    <row r="5375" spans="7:8">
      <c r="G5375">
        <v>5365</v>
      </c>
      <c r="H5375">
        <f t="shared" ca="1" si="91"/>
        <v>-4.3916839213388528E-2</v>
      </c>
    </row>
    <row r="5376" spans="7:8">
      <c r="G5376">
        <v>5366</v>
      </c>
      <c r="H5376">
        <f t="shared" ca="1" si="91"/>
        <v>4.437132079188276E-2</v>
      </c>
    </row>
    <row r="5377" spans="7:8">
      <c r="G5377">
        <v>5367</v>
      </c>
      <c r="H5377">
        <f t="shared" ca="1" si="91"/>
        <v>-3.1493719637105927E-2</v>
      </c>
    </row>
    <row r="5378" spans="7:8">
      <c r="G5378">
        <v>5368</v>
      </c>
      <c r="H5378">
        <f t="shared" ca="1" si="91"/>
        <v>4.1619946270729319E-2</v>
      </c>
    </row>
    <row r="5379" spans="7:8">
      <c r="G5379">
        <v>5369</v>
      </c>
      <c r="H5379">
        <f t="shared" ca="1" si="91"/>
        <v>6.8777200771825975E-4</v>
      </c>
    </row>
    <row r="5380" spans="7:8">
      <c r="G5380">
        <v>5370</v>
      </c>
      <c r="H5380">
        <f t="shared" ca="1" si="91"/>
        <v>2.8301128179487083E-2</v>
      </c>
    </row>
    <row r="5381" spans="7:8">
      <c r="G5381">
        <v>5371</v>
      </c>
      <c r="H5381">
        <f t="shared" ca="1" si="91"/>
        <v>-1.1115627412942548E-2</v>
      </c>
    </row>
    <row r="5382" spans="7:8">
      <c r="G5382">
        <v>5372</v>
      </c>
      <c r="H5382">
        <f t="shared" ca="1" si="91"/>
        <v>-1.5148815260327341E-2</v>
      </c>
    </row>
    <row r="5383" spans="7:8">
      <c r="G5383">
        <v>5373</v>
      </c>
      <c r="H5383">
        <f t="shared" ca="1" si="91"/>
        <v>-1.5678932784542375E-2</v>
      </c>
    </row>
    <row r="5384" spans="7:8">
      <c r="G5384">
        <v>5374</v>
      </c>
      <c r="H5384">
        <f t="shared" ca="1" si="91"/>
        <v>-2.8154014638127722E-2</v>
      </c>
    </row>
    <row r="5385" spans="7:8">
      <c r="G5385">
        <v>5375</v>
      </c>
      <c r="H5385">
        <f t="shared" ca="1" si="91"/>
        <v>7.2632060632355144E-3</v>
      </c>
    </row>
    <row r="5386" spans="7:8">
      <c r="G5386">
        <v>5376</v>
      </c>
      <c r="H5386">
        <f t="shared" ca="1" si="91"/>
        <v>1.3200737730138701E-3</v>
      </c>
    </row>
    <row r="5387" spans="7:8">
      <c r="G5387">
        <v>5377</v>
      </c>
      <c r="H5387">
        <f t="shared" ca="1" si="91"/>
        <v>4.185918065953341E-2</v>
      </c>
    </row>
    <row r="5388" spans="7:8">
      <c r="G5388">
        <v>5378</v>
      </c>
      <c r="H5388">
        <f t="shared" ref="H5388:H5451" ca="1" si="92">_xlfn.NORM.INV(RAND(),N$13,N$14)</f>
        <v>2.1100065715656344E-2</v>
      </c>
    </row>
    <row r="5389" spans="7:8">
      <c r="G5389">
        <v>5379</v>
      </c>
      <c r="H5389">
        <f t="shared" ca="1" si="92"/>
        <v>3.336673566152526E-2</v>
      </c>
    </row>
    <row r="5390" spans="7:8">
      <c r="G5390">
        <v>5380</v>
      </c>
      <c r="H5390">
        <f t="shared" ca="1" si="92"/>
        <v>-1.6098843795123299E-2</v>
      </c>
    </row>
    <row r="5391" spans="7:8">
      <c r="G5391">
        <v>5381</v>
      </c>
      <c r="H5391">
        <f t="shared" ca="1" si="92"/>
        <v>-6.9617644235635649E-3</v>
      </c>
    </row>
    <row r="5392" spans="7:8">
      <c r="G5392">
        <v>5382</v>
      </c>
      <c r="H5392">
        <f t="shared" ca="1" si="92"/>
        <v>-1.732275824221292E-2</v>
      </c>
    </row>
    <row r="5393" spans="7:8">
      <c r="G5393">
        <v>5383</v>
      </c>
      <c r="H5393">
        <f t="shared" ca="1" si="92"/>
        <v>-4.2013639196225853E-2</v>
      </c>
    </row>
    <row r="5394" spans="7:8">
      <c r="G5394">
        <v>5384</v>
      </c>
      <c r="H5394">
        <f t="shared" ca="1" si="92"/>
        <v>2.4630570684218936E-2</v>
      </c>
    </row>
    <row r="5395" spans="7:8">
      <c r="G5395">
        <v>5385</v>
      </c>
      <c r="H5395">
        <f t="shared" ca="1" si="92"/>
        <v>-2.8489721651496575E-2</v>
      </c>
    </row>
    <row r="5396" spans="7:8">
      <c r="G5396">
        <v>5386</v>
      </c>
      <c r="H5396">
        <f t="shared" ca="1" si="92"/>
        <v>1.547408267859021E-2</v>
      </c>
    </row>
    <row r="5397" spans="7:8">
      <c r="G5397">
        <v>5387</v>
      </c>
      <c r="H5397">
        <f t="shared" ca="1" si="92"/>
        <v>-1.7805719329320572E-2</v>
      </c>
    </row>
    <row r="5398" spans="7:8">
      <c r="G5398">
        <v>5388</v>
      </c>
      <c r="H5398">
        <f t="shared" ca="1" si="92"/>
        <v>-7.9963038418293352E-3</v>
      </c>
    </row>
    <row r="5399" spans="7:8">
      <c r="G5399">
        <v>5389</v>
      </c>
      <c r="H5399">
        <f t="shared" ca="1" si="92"/>
        <v>1.1141543358618973E-2</v>
      </c>
    </row>
    <row r="5400" spans="7:8">
      <c r="G5400">
        <v>5390</v>
      </c>
      <c r="H5400">
        <f t="shared" ca="1" si="92"/>
        <v>1.3052458359283519E-2</v>
      </c>
    </row>
    <row r="5401" spans="7:8">
      <c r="G5401">
        <v>5391</v>
      </c>
      <c r="H5401">
        <f t="shared" ca="1" si="92"/>
        <v>-6.0233065051769064E-3</v>
      </c>
    </row>
    <row r="5402" spans="7:8">
      <c r="G5402">
        <v>5392</v>
      </c>
      <c r="H5402">
        <f t="shared" ca="1" si="92"/>
        <v>-2.0157132145507187E-2</v>
      </c>
    </row>
    <row r="5403" spans="7:8">
      <c r="G5403">
        <v>5393</v>
      </c>
      <c r="H5403">
        <f t="shared" ca="1" si="92"/>
        <v>1.7680319900126452E-2</v>
      </c>
    </row>
    <row r="5404" spans="7:8">
      <c r="G5404">
        <v>5394</v>
      </c>
      <c r="H5404">
        <f t="shared" ca="1" si="92"/>
        <v>-8.3991170620215071E-3</v>
      </c>
    </row>
    <row r="5405" spans="7:8">
      <c r="G5405">
        <v>5395</v>
      </c>
      <c r="H5405">
        <f t="shared" ca="1" si="92"/>
        <v>-4.1801750178659995E-2</v>
      </c>
    </row>
    <row r="5406" spans="7:8">
      <c r="G5406">
        <v>5396</v>
      </c>
      <c r="H5406">
        <f t="shared" ca="1" si="92"/>
        <v>-8.2777854855110317E-3</v>
      </c>
    </row>
    <row r="5407" spans="7:8">
      <c r="G5407">
        <v>5397</v>
      </c>
      <c r="H5407">
        <f t="shared" ca="1" si="92"/>
        <v>-3.6283154554929947E-2</v>
      </c>
    </row>
    <row r="5408" spans="7:8">
      <c r="G5408">
        <v>5398</v>
      </c>
      <c r="H5408">
        <f t="shared" ca="1" si="92"/>
        <v>1.9010621260221343E-2</v>
      </c>
    </row>
    <row r="5409" spans="7:8">
      <c r="G5409">
        <v>5399</v>
      </c>
      <c r="H5409">
        <f t="shared" ca="1" si="92"/>
        <v>1.9973698177229542E-2</v>
      </c>
    </row>
    <row r="5410" spans="7:8">
      <c r="G5410">
        <v>5400</v>
      </c>
      <c r="H5410">
        <f t="shared" ca="1" si="92"/>
        <v>2.1198898996070904E-2</v>
      </c>
    </row>
    <row r="5411" spans="7:8">
      <c r="G5411">
        <v>5401</v>
      </c>
      <c r="H5411">
        <f t="shared" ca="1" si="92"/>
        <v>1.8758396475435372E-2</v>
      </c>
    </row>
    <row r="5412" spans="7:8">
      <c r="G5412">
        <v>5402</v>
      </c>
      <c r="H5412">
        <f t="shared" ca="1" si="92"/>
        <v>1.2006194538981432E-2</v>
      </c>
    </row>
    <row r="5413" spans="7:8">
      <c r="G5413">
        <v>5403</v>
      </c>
      <c r="H5413">
        <f t="shared" ca="1" si="92"/>
        <v>-1.147641485018186E-3</v>
      </c>
    </row>
    <row r="5414" spans="7:8">
      <c r="G5414">
        <v>5404</v>
      </c>
      <c r="H5414">
        <f t="shared" ca="1" si="92"/>
        <v>-7.2617815219567046E-3</v>
      </c>
    </row>
    <row r="5415" spans="7:8">
      <c r="G5415">
        <v>5405</v>
      </c>
      <c r="H5415">
        <f t="shared" ca="1" si="92"/>
        <v>-5.5587339595105706E-3</v>
      </c>
    </row>
    <row r="5416" spans="7:8">
      <c r="G5416">
        <v>5406</v>
      </c>
      <c r="H5416">
        <f t="shared" ca="1" si="92"/>
        <v>-2.862127189964634E-2</v>
      </c>
    </row>
    <row r="5417" spans="7:8">
      <c r="G5417">
        <v>5407</v>
      </c>
      <c r="H5417">
        <f t="shared" ca="1" si="92"/>
        <v>-1.8572533470669006E-2</v>
      </c>
    </row>
    <row r="5418" spans="7:8">
      <c r="G5418">
        <v>5408</v>
      </c>
      <c r="H5418">
        <f t="shared" ca="1" si="92"/>
        <v>4.0831678626575621E-2</v>
      </c>
    </row>
    <row r="5419" spans="7:8">
      <c r="G5419">
        <v>5409</v>
      </c>
      <c r="H5419">
        <f t="shared" ca="1" si="92"/>
        <v>8.9805934718945914E-3</v>
      </c>
    </row>
    <row r="5420" spans="7:8">
      <c r="G5420">
        <v>5410</v>
      </c>
      <c r="H5420">
        <f t="shared" ca="1" si="92"/>
        <v>-4.2965402923794443E-2</v>
      </c>
    </row>
    <row r="5421" spans="7:8">
      <c r="G5421">
        <v>5411</v>
      </c>
      <c r="H5421">
        <f t="shared" ca="1" si="92"/>
        <v>4.35819255358997E-2</v>
      </c>
    </row>
    <row r="5422" spans="7:8">
      <c r="G5422">
        <v>5412</v>
      </c>
      <c r="H5422">
        <f t="shared" ca="1" si="92"/>
        <v>1.7229041118377812E-2</v>
      </c>
    </row>
    <row r="5423" spans="7:8">
      <c r="G5423">
        <v>5413</v>
      </c>
      <c r="H5423">
        <f t="shared" ca="1" si="92"/>
        <v>1.897284750782146E-2</v>
      </c>
    </row>
    <row r="5424" spans="7:8">
      <c r="G5424">
        <v>5414</v>
      </c>
      <c r="H5424">
        <f t="shared" ca="1" si="92"/>
        <v>5.8348767563817338E-4</v>
      </c>
    </row>
    <row r="5425" spans="7:8">
      <c r="G5425">
        <v>5415</v>
      </c>
      <c r="H5425">
        <f t="shared" ca="1" si="92"/>
        <v>1.3459429760792934E-2</v>
      </c>
    </row>
    <row r="5426" spans="7:8">
      <c r="G5426">
        <v>5416</v>
      </c>
      <c r="H5426">
        <f t="shared" ca="1" si="92"/>
        <v>-3.8672200440792809E-2</v>
      </c>
    </row>
    <row r="5427" spans="7:8">
      <c r="G5427">
        <v>5417</v>
      </c>
      <c r="H5427">
        <f t="shared" ca="1" si="92"/>
        <v>-3.7013796055781659E-2</v>
      </c>
    </row>
    <row r="5428" spans="7:8">
      <c r="G5428">
        <v>5418</v>
      </c>
      <c r="H5428">
        <f t="shared" ca="1" si="92"/>
        <v>-1.4378292973787656E-2</v>
      </c>
    </row>
    <row r="5429" spans="7:8">
      <c r="G5429">
        <v>5419</v>
      </c>
      <c r="H5429">
        <f t="shared" ca="1" si="92"/>
        <v>-1.2240747183875111E-2</v>
      </c>
    </row>
    <row r="5430" spans="7:8">
      <c r="G5430">
        <v>5420</v>
      </c>
      <c r="H5430">
        <f t="shared" ca="1" si="92"/>
        <v>3.6510578581518953E-2</v>
      </c>
    </row>
    <row r="5431" spans="7:8">
      <c r="G5431">
        <v>5421</v>
      </c>
      <c r="H5431">
        <f t="shared" ca="1" si="92"/>
        <v>3.0959068829412018E-2</v>
      </c>
    </row>
    <row r="5432" spans="7:8">
      <c r="G5432">
        <v>5422</v>
      </c>
      <c r="H5432">
        <f t="shared" ca="1" si="92"/>
        <v>-2.8036299624854384E-2</v>
      </c>
    </row>
    <row r="5433" spans="7:8">
      <c r="G5433">
        <v>5423</v>
      </c>
      <c r="H5433">
        <f t="shared" ca="1" si="92"/>
        <v>6.9926447059030974E-3</v>
      </c>
    </row>
    <row r="5434" spans="7:8">
      <c r="G5434">
        <v>5424</v>
      </c>
      <c r="H5434">
        <f t="shared" ca="1" si="92"/>
        <v>-1.8297003867680624E-2</v>
      </c>
    </row>
    <row r="5435" spans="7:8">
      <c r="G5435">
        <v>5425</v>
      </c>
      <c r="H5435">
        <f t="shared" ca="1" si="92"/>
        <v>4.1928683108396897E-2</v>
      </c>
    </row>
    <row r="5436" spans="7:8">
      <c r="G5436">
        <v>5426</v>
      </c>
      <c r="H5436">
        <f t="shared" ca="1" si="92"/>
        <v>-4.4954881936332375E-2</v>
      </c>
    </row>
    <row r="5437" spans="7:8">
      <c r="G5437">
        <v>5427</v>
      </c>
      <c r="H5437">
        <f t="shared" ca="1" si="92"/>
        <v>3.7920086097458748E-3</v>
      </c>
    </row>
    <row r="5438" spans="7:8">
      <c r="G5438">
        <v>5428</v>
      </c>
      <c r="H5438">
        <f t="shared" ca="1" si="92"/>
        <v>-1.7574727248748492E-2</v>
      </c>
    </row>
    <row r="5439" spans="7:8">
      <c r="G5439">
        <v>5429</v>
      </c>
      <c r="H5439">
        <f t="shared" ca="1" si="92"/>
        <v>1.8817959570202783E-2</v>
      </c>
    </row>
    <row r="5440" spans="7:8">
      <c r="G5440">
        <v>5430</v>
      </c>
      <c r="H5440">
        <f t="shared" ca="1" si="92"/>
        <v>2.0544630084349265E-2</v>
      </c>
    </row>
    <row r="5441" spans="7:8">
      <c r="G5441">
        <v>5431</v>
      </c>
      <c r="H5441">
        <f t="shared" ca="1" si="92"/>
        <v>-1.70470744862566E-2</v>
      </c>
    </row>
    <row r="5442" spans="7:8">
      <c r="G5442">
        <v>5432</v>
      </c>
      <c r="H5442">
        <f t="shared" ca="1" si="92"/>
        <v>-2.4687609792359309E-2</v>
      </c>
    </row>
    <row r="5443" spans="7:8">
      <c r="G5443">
        <v>5433</v>
      </c>
      <c r="H5443">
        <f t="shared" ca="1" si="92"/>
        <v>-4.2982500657220701E-2</v>
      </c>
    </row>
    <row r="5444" spans="7:8">
      <c r="G5444">
        <v>5434</v>
      </c>
      <c r="H5444">
        <f t="shared" ca="1" si="92"/>
        <v>1.2041648870954528E-2</v>
      </c>
    </row>
    <row r="5445" spans="7:8">
      <c r="G5445">
        <v>5435</v>
      </c>
      <c r="H5445">
        <f t="shared" ca="1" si="92"/>
        <v>8.2064657975451406E-3</v>
      </c>
    </row>
    <row r="5446" spans="7:8">
      <c r="G5446">
        <v>5436</v>
      </c>
      <c r="H5446">
        <f t="shared" ca="1" si="92"/>
        <v>-3.3936999829332778E-2</v>
      </c>
    </row>
    <row r="5447" spans="7:8">
      <c r="G5447">
        <v>5437</v>
      </c>
      <c r="H5447">
        <f t="shared" ca="1" si="92"/>
        <v>-8.7481775494685846E-3</v>
      </c>
    </row>
    <row r="5448" spans="7:8">
      <c r="G5448">
        <v>5438</v>
      </c>
      <c r="H5448">
        <f t="shared" ca="1" si="92"/>
        <v>-1.316110380819128E-2</v>
      </c>
    </row>
    <row r="5449" spans="7:8">
      <c r="G5449">
        <v>5439</v>
      </c>
      <c r="H5449">
        <f t="shared" ca="1" si="92"/>
        <v>1.9195312103840019E-2</v>
      </c>
    </row>
    <row r="5450" spans="7:8">
      <c r="G5450">
        <v>5440</v>
      </c>
      <c r="H5450">
        <f t="shared" ca="1" si="92"/>
        <v>1.1421337500654738E-2</v>
      </c>
    </row>
    <row r="5451" spans="7:8">
      <c r="G5451">
        <v>5441</v>
      </c>
      <c r="H5451">
        <f t="shared" ca="1" si="92"/>
        <v>2.3055685591893256E-2</v>
      </c>
    </row>
    <row r="5452" spans="7:8">
      <c r="G5452">
        <v>5442</v>
      </c>
      <c r="H5452">
        <f t="shared" ref="H5452:H5515" ca="1" si="93">_xlfn.NORM.INV(RAND(),N$13,N$14)</f>
        <v>7.9155575285607509E-3</v>
      </c>
    </row>
    <row r="5453" spans="7:8">
      <c r="G5453">
        <v>5443</v>
      </c>
      <c r="H5453">
        <f t="shared" ca="1" si="93"/>
        <v>-4.1109875492354946E-2</v>
      </c>
    </row>
    <row r="5454" spans="7:8">
      <c r="G5454">
        <v>5444</v>
      </c>
      <c r="H5454">
        <f t="shared" ca="1" si="93"/>
        <v>1.0506312362771135E-2</v>
      </c>
    </row>
    <row r="5455" spans="7:8">
      <c r="G5455">
        <v>5445</v>
      </c>
      <c r="H5455">
        <f t="shared" ca="1" si="93"/>
        <v>2.0033282832152737E-3</v>
      </c>
    </row>
    <row r="5456" spans="7:8">
      <c r="G5456">
        <v>5446</v>
      </c>
      <c r="H5456">
        <f t="shared" ca="1" si="93"/>
        <v>-1.032968290994076E-2</v>
      </c>
    </row>
    <row r="5457" spans="7:8">
      <c r="G5457">
        <v>5447</v>
      </c>
      <c r="H5457">
        <f t="shared" ca="1" si="93"/>
        <v>-4.0295009176024951E-2</v>
      </c>
    </row>
    <row r="5458" spans="7:8">
      <c r="G5458">
        <v>5448</v>
      </c>
      <c r="H5458">
        <f t="shared" ca="1" si="93"/>
        <v>-2.3490337363662669E-2</v>
      </c>
    </row>
    <row r="5459" spans="7:8">
      <c r="G5459">
        <v>5449</v>
      </c>
      <c r="H5459">
        <f t="shared" ca="1" si="93"/>
        <v>-5.0296582037954632E-2</v>
      </c>
    </row>
    <row r="5460" spans="7:8">
      <c r="G5460">
        <v>5450</v>
      </c>
      <c r="H5460">
        <f t="shared" ca="1" si="93"/>
        <v>2.7188333621925284E-2</v>
      </c>
    </row>
    <row r="5461" spans="7:8">
      <c r="G5461">
        <v>5451</v>
      </c>
      <c r="H5461">
        <f t="shared" ca="1" si="93"/>
        <v>-1.7238907997981421E-2</v>
      </c>
    </row>
    <row r="5462" spans="7:8">
      <c r="G5462">
        <v>5452</v>
      </c>
      <c r="H5462">
        <f t="shared" ca="1" si="93"/>
        <v>1.8246805029982594E-2</v>
      </c>
    </row>
    <row r="5463" spans="7:8">
      <c r="G5463">
        <v>5453</v>
      </c>
      <c r="H5463">
        <f t="shared" ca="1" si="93"/>
        <v>1.284831045162375E-2</v>
      </c>
    </row>
    <row r="5464" spans="7:8">
      <c r="G5464">
        <v>5454</v>
      </c>
      <c r="H5464">
        <f t="shared" ca="1" si="93"/>
        <v>3.2618463699898605E-2</v>
      </c>
    </row>
    <row r="5465" spans="7:8">
      <c r="G5465">
        <v>5455</v>
      </c>
      <c r="H5465">
        <f t="shared" ca="1" si="93"/>
        <v>-2.2063927548414526E-2</v>
      </c>
    </row>
    <row r="5466" spans="7:8">
      <c r="G5466">
        <v>5456</v>
      </c>
      <c r="H5466">
        <f t="shared" ca="1" si="93"/>
        <v>9.3818315530398121E-3</v>
      </c>
    </row>
    <row r="5467" spans="7:8">
      <c r="G5467">
        <v>5457</v>
      </c>
      <c r="H5467">
        <f t="shared" ca="1" si="93"/>
        <v>5.787706683100911E-3</v>
      </c>
    </row>
    <row r="5468" spans="7:8">
      <c r="G5468">
        <v>5458</v>
      </c>
      <c r="H5468">
        <f t="shared" ca="1" si="93"/>
        <v>-2.0558281160575074E-3</v>
      </c>
    </row>
    <row r="5469" spans="7:8">
      <c r="G5469">
        <v>5459</v>
      </c>
      <c r="H5469">
        <f t="shared" ca="1" si="93"/>
        <v>-7.7245071796305286E-3</v>
      </c>
    </row>
    <row r="5470" spans="7:8">
      <c r="G5470">
        <v>5460</v>
      </c>
      <c r="H5470">
        <f t="shared" ca="1" si="93"/>
        <v>3.2975467160354009E-2</v>
      </c>
    </row>
    <row r="5471" spans="7:8">
      <c r="G5471">
        <v>5461</v>
      </c>
      <c r="H5471">
        <f t="shared" ca="1" si="93"/>
        <v>-1.1753184878968146E-2</v>
      </c>
    </row>
    <row r="5472" spans="7:8">
      <c r="G5472">
        <v>5462</v>
      </c>
      <c r="H5472">
        <f t="shared" ca="1" si="93"/>
        <v>3.4666234002592118E-2</v>
      </c>
    </row>
    <row r="5473" spans="7:8">
      <c r="G5473">
        <v>5463</v>
      </c>
      <c r="H5473">
        <f t="shared" ca="1" si="93"/>
        <v>-3.3411480545784862E-2</v>
      </c>
    </row>
    <row r="5474" spans="7:8">
      <c r="G5474">
        <v>5464</v>
      </c>
      <c r="H5474">
        <f t="shared" ca="1" si="93"/>
        <v>1.1760084648035796E-2</v>
      </c>
    </row>
    <row r="5475" spans="7:8">
      <c r="G5475">
        <v>5465</v>
      </c>
      <c r="H5475">
        <f t="shared" ca="1" si="93"/>
        <v>2.6346023872969473E-3</v>
      </c>
    </row>
    <row r="5476" spans="7:8">
      <c r="G5476">
        <v>5466</v>
      </c>
      <c r="H5476">
        <f t="shared" ca="1" si="93"/>
        <v>-1.8008402662684268E-2</v>
      </c>
    </row>
    <row r="5477" spans="7:8">
      <c r="G5477">
        <v>5467</v>
      </c>
      <c r="H5477">
        <f t="shared" ca="1" si="93"/>
        <v>-4.2923103158826158E-3</v>
      </c>
    </row>
    <row r="5478" spans="7:8">
      <c r="G5478">
        <v>5468</v>
      </c>
      <c r="H5478">
        <f t="shared" ca="1" si="93"/>
        <v>4.7903493192723128E-3</v>
      </c>
    </row>
    <row r="5479" spans="7:8">
      <c r="G5479">
        <v>5469</v>
      </c>
      <c r="H5479">
        <f t="shared" ca="1" si="93"/>
        <v>-2.1267350617134872E-2</v>
      </c>
    </row>
    <row r="5480" spans="7:8">
      <c r="G5480">
        <v>5470</v>
      </c>
      <c r="H5480">
        <f t="shared" ca="1" si="93"/>
        <v>3.6757688617326582E-2</v>
      </c>
    </row>
    <row r="5481" spans="7:8">
      <c r="G5481">
        <v>5471</v>
      </c>
      <c r="H5481">
        <f t="shared" ca="1" si="93"/>
        <v>8.6581843468329801E-3</v>
      </c>
    </row>
    <row r="5482" spans="7:8">
      <c r="G5482">
        <v>5472</v>
      </c>
      <c r="H5482">
        <f t="shared" ca="1" si="93"/>
        <v>-4.2711098657578134E-2</v>
      </c>
    </row>
    <row r="5483" spans="7:8">
      <c r="G5483">
        <v>5473</v>
      </c>
      <c r="H5483">
        <f t="shared" ca="1" si="93"/>
        <v>1.1197589256823159E-2</v>
      </c>
    </row>
    <row r="5484" spans="7:8">
      <c r="G5484">
        <v>5474</v>
      </c>
      <c r="H5484">
        <f t="shared" ca="1" si="93"/>
        <v>-6.0209011488134064E-3</v>
      </c>
    </row>
    <row r="5485" spans="7:8">
      <c r="G5485">
        <v>5475</v>
      </c>
      <c r="H5485">
        <f t="shared" ca="1" si="93"/>
        <v>-6.4649229723335293E-3</v>
      </c>
    </row>
    <row r="5486" spans="7:8">
      <c r="G5486">
        <v>5476</v>
      </c>
      <c r="H5486">
        <f t="shared" ca="1" si="93"/>
        <v>-2.5902792423507747E-2</v>
      </c>
    </row>
    <row r="5487" spans="7:8">
      <c r="G5487">
        <v>5477</v>
      </c>
      <c r="H5487">
        <f t="shared" ca="1" si="93"/>
        <v>7.6107378709452242E-3</v>
      </c>
    </row>
    <row r="5488" spans="7:8">
      <c r="G5488">
        <v>5478</v>
      </c>
      <c r="H5488">
        <f t="shared" ca="1" si="93"/>
        <v>-6.7952209059275294E-3</v>
      </c>
    </row>
    <row r="5489" spans="7:8">
      <c r="G5489">
        <v>5479</v>
      </c>
      <c r="H5489">
        <f t="shared" ca="1" si="93"/>
        <v>3.4194709901922075E-2</v>
      </c>
    </row>
    <row r="5490" spans="7:8">
      <c r="G5490">
        <v>5480</v>
      </c>
      <c r="H5490">
        <f t="shared" ca="1" si="93"/>
        <v>1.3079879161484634E-2</v>
      </c>
    </row>
    <row r="5491" spans="7:8">
      <c r="G5491">
        <v>5481</v>
      </c>
      <c r="H5491">
        <f t="shared" ca="1" si="93"/>
        <v>-6.7540469835541597E-3</v>
      </c>
    </row>
    <row r="5492" spans="7:8">
      <c r="G5492">
        <v>5482</v>
      </c>
      <c r="H5492">
        <f t="shared" ca="1" si="93"/>
        <v>-1.3643834951871405E-3</v>
      </c>
    </row>
    <row r="5493" spans="7:8">
      <c r="G5493">
        <v>5483</v>
      </c>
      <c r="H5493">
        <f t="shared" ca="1" si="93"/>
        <v>1.9853501264237912E-2</v>
      </c>
    </row>
    <row r="5494" spans="7:8">
      <c r="G5494">
        <v>5484</v>
      </c>
      <c r="H5494">
        <f t="shared" ca="1" si="93"/>
        <v>-7.6318946792501103E-3</v>
      </c>
    </row>
    <row r="5495" spans="7:8">
      <c r="G5495">
        <v>5485</v>
      </c>
      <c r="H5495">
        <f t="shared" ca="1" si="93"/>
        <v>6.0805106535916113E-3</v>
      </c>
    </row>
    <row r="5496" spans="7:8">
      <c r="G5496">
        <v>5486</v>
      </c>
      <c r="H5496">
        <f t="shared" ca="1" si="93"/>
        <v>2.2983300385571885E-2</v>
      </c>
    </row>
    <row r="5497" spans="7:8">
      <c r="G5497">
        <v>5487</v>
      </c>
      <c r="H5497">
        <f t="shared" ca="1" si="93"/>
        <v>-2.7883145649922673E-2</v>
      </c>
    </row>
    <row r="5498" spans="7:8">
      <c r="G5498">
        <v>5488</v>
      </c>
      <c r="H5498">
        <f t="shared" ca="1" si="93"/>
        <v>3.6748541356204534E-2</v>
      </c>
    </row>
    <row r="5499" spans="7:8">
      <c r="G5499">
        <v>5489</v>
      </c>
      <c r="H5499">
        <f t="shared" ca="1" si="93"/>
        <v>1.7107210090029565E-3</v>
      </c>
    </row>
    <row r="5500" spans="7:8">
      <c r="G5500">
        <v>5490</v>
      </c>
      <c r="H5500">
        <f t="shared" ca="1" si="93"/>
        <v>1.2578312788015536E-2</v>
      </c>
    </row>
    <row r="5501" spans="7:8">
      <c r="G5501">
        <v>5491</v>
      </c>
      <c r="H5501">
        <f t="shared" ca="1" si="93"/>
        <v>-3.3383665217047255E-2</v>
      </c>
    </row>
    <row r="5502" spans="7:8">
      <c r="G5502">
        <v>5492</v>
      </c>
      <c r="H5502">
        <f t="shared" ca="1" si="93"/>
        <v>6.0312481699367634E-2</v>
      </c>
    </row>
    <row r="5503" spans="7:8">
      <c r="G5503">
        <v>5493</v>
      </c>
      <c r="H5503">
        <f t="shared" ca="1" si="93"/>
        <v>-2.4728704145240621E-3</v>
      </c>
    </row>
    <row r="5504" spans="7:8">
      <c r="G5504">
        <v>5494</v>
      </c>
      <c r="H5504">
        <f t="shared" ca="1" si="93"/>
        <v>1.1446086489386926E-3</v>
      </c>
    </row>
    <row r="5505" spans="7:8">
      <c r="G5505">
        <v>5495</v>
      </c>
      <c r="H5505">
        <f t="shared" ca="1" si="93"/>
        <v>-3.3410714803324221E-2</v>
      </c>
    </row>
    <row r="5506" spans="7:8">
      <c r="G5506">
        <v>5496</v>
      </c>
      <c r="H5506">
        <f t="shared" ca="1" si="93"/>
        <v>6.2675641624587955E-2</v>
      </c>
    </row>
    <row r="5507" spans="7:8">
      <c r="G5507">
        <v>5497</v>
      </c>
      <c r="H5507">
        <f t="shared" ca="1" si="93"/>
        <v>1.3223830440894896E-2</v>
      </c>
    </row>
    <row r="5508" spans="7:8">
      <c r="G5508">
        <v>5498</v>
      </c>
      <c r="H5508">
        <f t="shared" ca="1" si="93"/>
        <v>-2.1627432369404224E-2</v>
      </c>
    </row>
    <row r="5509" spans="7:8">
      <c r="G5509">
        <v>5499</v>
      </c>
      <c r="H5509">
        <f t="shared" ca="1" si="93"/>
        <v>-1.3263964623213876E-2</v>
      </c>
    </row>
    <row r="5510" spans="7:8">
      <c r="G5510">
        <v>5500</v>
      </c>
      <c r="H5510">
        <f t="shared" ca="1" si="93"/>
        <v>2.7244884045341585E-2</v>
      </c>
    </row>
    <row r="5511" spans="7:8">
      <c r="G5511">
        <v>5501</v>
      </c>
      <c r="H5511">
        <f t="shared" ca="1" si="93"/>
        <v>-4.4904938790299226E-3</v>
      </c>
    </row>
    <row r="5512" spans="7:8">
      <c r="G5512">
        <v>5502</v>
      </c>
      <c r="H5512">
        <f t="shared" ca="1" si="93"/>
        <v>-1.5146153429120856E-2</v>
      </c>
    </row>
    <row r="5513" spans="7:8">
      <c r="G5513">
        <v>5503</v>
      </c>
      <c r="H5513">
        <f t="shared" ca="1" si="93"/>
        <v>9.7621290713098847E-3</v>
      </c>
    </row>
    <row r="5514" spans="7:8">
      <c r="G5514">
        <v>5504</v>
      </c>
      <c r="H5514">
        <f t="shared" ca="1" si="93"/>
        <v>-3.6188832122947758E-3</v>
      </c>
    </row>
    <row r="5515" spans="7:8">
      <c r="G5515">
        <v>5505</v>
      </c>
      <c r="H5515">
        <f t="shared" ca="1" si="93"/>
        <v>3.0718249990879177E-2</v>
      </c>
    </row>
    <row r="5516" spans="7:8">
      <c r="G5516">
        <v>5506</v>
      </c>
      <c r="H5516">
        <f t="shared" ref="H5516:H5579" ca="1" si="94">_xlfn.NORM.INV(RAND(),N$13,N$14)</f>
        <v>-1.5728064674193028E-2</v>
      </c>
    </row>
    <row r="5517" spans="7:8">
      <c r="G5517">
        <v>5507</v>
      </c>
      <c r="H5517">
        <f t="shared" ca="1" si="94"/>
        <v>1.3862507569811855E-2</v>
      </c>
    </row>
    <row r="5518" spans="7:8">
      <c r="G5518">
        <v>5508</v>
      </c>
      <c r="H5518">
        <f t="shared" ca="1" si="94"/>
        <v>3.7254281369323378E-2</v>
      </c>
    </row>
    <row r="5519" spans="7:8">
      <c r="G5519">
        <v>5509</v>
      </c>
      <c r="H5519">
        <f t="shared" ca="1" si="94"/>
        <v>2.0994676483364682E-2</v>
      </c>
    </row>
    <row r="5520" spans="7:8">
      <c r="G5520">
        <v>5510</v>
      </c>
      <c r="H5520">
        <f t="shared" ca="1" si="94"/>
        <v>-2.1639722877344735E-2</v>
      </c>
    </row>
    <row r="5521" spans="7:8">
      <c r="G5521">
        <v>5511</v>
      </c>
      <c r="H5521">
        <f t="shared" ca="1" si="94"/>
        <v>1.7425839404963492E-2</v>
      </c>
    </row>
    <row r="5522" spans="7:8">
      <c r="G5522">
        <v>5512</v>
      </c>
      <c r="H5522">
        <f t="shared" ca="1" si="94"/>
        <v>-1.2797477574526317E-2</v>
      </c>
    </row>
    <row r="5523" spans="7:8">
      <c r="G5523">
        <v>5513</v>
      </c>
      <c r="H5523">
        <f t="shared" ca="1" si="94"/>
        <v>-1.2802668268804274E-2</v>
      </c>
    </row>
    <row r="5524" spans="7:8">
      <c r="G5524">
        <v>5514</v>
      </c>
      <c r="H5524">
        <f t="shared" ca="1" si="94"/>
        <v>3.9573055887778479E-2</v>
      </c>
    </row>
    <row r="5525" spans="7:8">
      <c r="G5525">
        <v>5515</v>
      </c>
      <c r="H5525">
        <f t="shared" ca="1" si="94"/>
        <v>-5.8127190153596329E-3</v>
      </c>
    </row>
    <row r="5526" spans="7:8">
      <c r="G5526">
        <v>5516</v>
      </c>
      <c r="H5526">
        <f t="shared" ca="1" si="94"/>
        <v>3.5331351515596229E-2</v>
      </c>
    </row>
    <row r="5527" spans="7:8">
      <c r="G5527">
        <v>5517</v>
      </c>
      <c r="H5527">
        <f t="shared" ca="1" si="94"/>
        <v>-6.1073256157423124E-3</v>
      </c>
    </row>
    <row r="5528" spans="7:8">
      <c r="G5528">
        <v>5518</v>
      </c>
      <c r="H5528">
        <f t="shared" ca="1" si="94"/>
        <v>2.6072807990811447E-2</v>
      </c>
    </row>
    <row r="5529" spans="7:8">
      <c r="G5529">
        <v>5519</v>
      </c>
      <c r="H5529">
        <f t="shared" ca="1" si="94"/>
        <v>-7.0739465058878995E-3</v>
      </c>
    </row>
    <row r="5530" spans="7:8">
      <c r="G5530">
        <v>5520</v>
      </c>
      <c r="H5530">
        <f t="shared" ca="1" si="94"/>
        <v>-1.4079750709863718E-2</v>
      </c>
    </row>
    <row r="5531" spans="7:8">
      <c r="G5531">
        <v>5521</v>
      </c>
      <c r="H5531">
        <f t="shared" ca="1" si="94"/>
        <v>-3.5155334126748379E-2</v>
      </c>
    </row>
    <row r="5532" spans="7:8">
      <c r="G5532">
        <v>5522</v>
      </c>
      <c r="H5532">
        <f t="shared" ca="1" si="94"/>
        <v>7.8448957310290248E-3</v>
      </c>
    </row>
    <row r="5533" spans="7:8">
      <c r="G5533">
        <v>5523</v>
      </c>
      <c r="H5533">
        <f t="shared" ca="1" si="94"/>
        <v>5.7342702974871387E-2</v>
      </c>
    </row>
    <row r="5534" spans="7:8">
      <c r="G5534">
        <v>5524</v>
      </c>
      <c r="H5534">
        <f t="shared" ca="1" si="94"/>
        <v>1.5156111845868068E-2</v>
      </c>
    </row>
    <row r="5535" spans="7:8">
      <c r="G5535">
        <v>5525</v>
      </c>
      <c r="H5535">
        <f t="shared" ca="1" si="94"/>
        <v>1.563441267327741E-2</v>
      </c>
    </row>
    <row r="5536" spans="7:8">
      <c r="G5536">
        <v>5526</v>
      </c>
      <c r="H5536">
        <f t="shared" ca="1" si="94"/>
        <v>-2.4252531089002004E-2</v>
      </c>
    </row>
    <row r="5537" spans="7:8">
      <c r="G5537">
        <v>5527</v>
      </c>
      <c r="H5537">
        <f t="shared" ca="1" si="94"/>
        <v>1.5639213159009513E-2</v>
      </c>
    </row>
    <row r="5538" spans="7:8">
      <c r="G5538">
        <v>5528</v>
      </c>
      <c r="H5538">
        <f t="shared" ca="1" si="94"/>
        <v>-5.7682956287203706E-3</v>
      </c>
    </row>
    <row r="5539" spans="7:8">
      <c r="G5539">
        <v>5529</v>
      </c>
      <c r="H5539">
        <f t="shared" ca="1" si="94"/>
        <v>3.496255478786639E-2</v>
      </c>
    </row>
    <row r="5540" spans="7:8">
      <c r="G5540">
        <v>5530</v>
      </c>
      <c r="H5540">
        <f t="shared" ca="1" si="94"/>
        <v>1.7759264305721591E-2</v>
      </c>
    </row>
    <row r="5541" spans="7:8">
      <c r="G5541">
        <v>5531</v>
      </c>
      <c r="H5541">
        <f t="shared" ca="1" si="94"/>
        <v>-6.9354174984460394E-4</v>
      </c>
    </row>
    <row r="5542" spans="7:8">
      <c r="G5542">
        <v>5532</v>
      </c>
      <c r="H5542">
        <f t="shared" ca="1" si="94"/>
        <v>-2.0018102070741578E-4</v>
      </c>
    </row>
    <row r="5543" spans="7:8">
      <c r="G5543">
        <v>5533</v>
      </c>
      <c r="H5543">
        <f t="shared" ca="1" si="94"/>
        <v>-1.9266067524327052E-2</v>
      </c>
    </row>
    <row r="5544" spans="7:8">
      <c r="G5544">
        <v>5534</v>
      </c>
      <c r="H5544">
        <f t="shared" ca="1" si="94"/>
        <v>2.0726467641113996E-3</v>
      </c>
    </row>
    <row r="5545" spans="7:8">
      <c r="G5545">
        <v>5535</v>
      </c>
      <c r="H5545">
        <f t="shared" ca="1" si="94"/>
        <v>-5.8205673884858151E-3</v>
      </c>
    </row>
    <row r="5546" spans="7:8">
      <c r="G5546">
        <v>5536</v>
      </c>
      <c r="H5546">
        <f t="shared" ca="1" si="94"/>
        <v>-2.2090753551203254E-2</v>
      </c>
    </row>
    <row r="5547" spans="7:8">
      <c r="G5547">
        <v>5537</v>
      </c>
      <c r="H5547">
        <f t="shared" ca="1" si="94"/>
        <v>4.9726036947510696E-2</v>
      </c>
    </row>
    <row r="5548" spans="7:8">
      <c r="G5548">
        <v>5538</v>
      </c>
      <c r="H5548">
        <f t="shared" ca="1" si="94"/>
        <v>4.0157751452595033E-3</v>
      </c>
    </row>
    <row r="5549" spans="7:8">
      <c r="G5549">
        <v>5539</v>
      </c>
      <c r="H5549">
        <f t="shared" ca="1" si="94"/>
        <v>9.8424093453523907E-3</v>
      </c>
    </row>
    <row r="5550" spans="7:8">
      <c r="G5550">
        <v>5540</v>
      </c>
      <c r="H5550">
        <f t="shared" ca="1" si="94"/>
        <v>-2.5813330419041675E-2</v>
      </c>
    </row>
    <row r="5551" spans="7:8">
      <c r="G5551">
        <v>5541</v>
      </c>
      <c r="H5551">
        <f t="shared" ca="1" si="94"/>
        <v>-1.5718310185375225E-2</v>
      </c>
    </row>
    <row r="5552" spans="7:8">
      <c r="G5552">
        <v>5542</v>
      </c>
      <c r="H5552">
        <f t="shared" ca="1" si="94"/>
        <v>-2.7002561360642833E-2</v>
      </c>
    </row>
    <row r="5553" spans="7:8">
      <c r="G5553">
        <v>5543</v>
      </c>
      <c r="H5553">
        <f t="shared" ca="1" si="94"/>
        <v>1.8209823695582855E-2</v>
      </c>
    </row>
    <row r="5554" spans="7:8">
      <c r="G5554">
        <v>5544</v>
      </c>
      <c r="H5554">
        <f t="shared" ca="1" si="94"/>
        <v>5.4587126812682771E-3</v>
      </c>
    </row>
    <row r="5555" spans="7:8">
      <c r="G5555">
        <v>5545</v>
      </c>
      <c r="H5555">
        <f t="shared" ca="1" si="94"/>
        <v>4.1141938440453023E-4</v>
      </c>
    </row>
    <row r="5556" spans="7:8">
      <c r="G5556">
        <v>5546</v>
      </c>
      <c r="H5556">
        <f t="shared" ca="1" si="94"/>
        <v>2.9181785730785663E-2</v>
      </c>
    </row>
    <row r="5557" spans="7:8">
      <c r="G5557">
        <v>5547</v>
      </c>
      <c r="H5557">
        <f t="shared" ca="1" si="94"/>
        <v>-7.7603093720906889E-3</v>
      </c>
    </row>
    <row r="5558" spans="7:8">
      <c r="G5558">
        <v>5548</v>
      </c>
      <c r="H5558">
        <f t="shared" ca="1" si="94"/>
        <v>1.0210519294400148E-2</v>
      </c>
    </row>
    <row r="5559" spans="7:8">
      <c r="G5559">
        <v>5549</v>
      </c>
      <c r="H5559">
        <f t="shared" ca="1" si="94"/>
        <v>-1.8386466103473584E-2</v>
      </c>
    </row>
    <row r="5560" spans="7:8">
      <c r="G5560">
        <v>5550</v>
      </c>
      <c r="H5560">
        <f t="shared" ca="1" si="94"/>
        <v>1.4311101185479468E-2</v>
      </c>
    </row>
    <row r="5561" spans="7:8">
      <c r="G5561">
        <v>5551</v>
      </c>
      <c r="H5561">
        <f t="shared" ca="1" si="94"/>
        <v>-3.4684293008133499E-2</v>
      </c>
    </row>
    <row r="5562" spans="7:8">
      <c r="G5562">
        <v>5552</v>
      </c>
      <c r="H5562">
        <f t="shared" ca="1" si="94"/>
        <v>6.9920335262207284E-3</v>
      </c>
    </row>
    <row r="5563" spans="7:8">
      <c r="G5563">
        <v>5553</v>
      </c>
      <c r="H5563">
        <f t="shared" ca="1" si="94"/>
        <v>4.0342113854446981E-3</v>
      </c>
    </row>
    <row r="5564" spans="7:8">
      <c r="G5564">
        <v>5554</v>
      </c>
      <c r="H5564">
        <f t="shared" ca="1" si="94"/>
        <v>1.27597302891766E-2</v>
      </c>
    </row>
    <row r="5565" spans="7:8">
      <c r="G5565">
        <v>5555</v>
      </c>
      <c r="H5565">
        <f t="shared" ca="1" si="94"/>
        <v>-2.8418338167936603E-3</v>
      </c>
    </row>
    <row r="5566" spans="7:8">
      <c r="G5566">
        <v>5556</v>
      </c>
      <c r="H5566">
        <f t="shared" ca="1" si="94"/>
        <v>-6.4508959658187547E-3</v>
      </c>
    </row>
    <row r="5567" spans="7:8">
      <c r="G5567">
        <v>5557</v>
      </c>
      <c r="H5567">
        <f t="shared" ca="1" si="94"/>
        <v>2.6771549292999623E-2</v>
      </c>
    </row>
    <row r="5568" spans="7:8">
      <c r="G5568">
        <v>5558</v>
      </c>
      <c r="H5568">
        <f t="shared" ca="1" si="94"/>
        <v>-4.8016202945039737E-3</v>
      </c>
    </row>
    <row r="5569" spans="7:8">
      <c r="G5569">
        <v>5559</v>
      </c>
      <c r="H5569">
        <f t="shared" ca="1" si="94"/>
        <v>1.5026631638326987E-2</v>
      </c>
    </row>
    <row r="5570" spans="7:8">
      <c r="G5570">
        <v>5560</v>
      </c>
      <c r="H5570">
        <f t="shared" ca="1" si="94"/>
        <v>-5.8416611514211451E-2</v>
      </c>
    </row>
    <row r="5571" spans="7:8">
      <c r="G5571">
        <v>5561</v>
      </c>
      <c r="H5571">
        <f t="shared" ca="1" si="94"/>
        <v>2.5782989929498644E-2</v>
      </c>
    </row>
    <row r="5572" spans="7:8">
      <c r="G5572">
        <v>5562</v>
      </c>
      <c r="H5572">
        <f t="shared" ca="1" si="94"/>
        <v>2.72139036726048E-4</v>
      </c>
    </row>
    <row r="5573" spans="7:8">
      <c r="G5573">
        <v>5563</v>
      </c>
      <c r="H5573">
        <f t="shared" ca="1" si="94"/>
        <v>2.2662736414301738E-2</v>
      </c>
    </row>
    <row r="5574" spans="7:8">
      <c r="G5574">
        <v>5564</v>
      </c>
      <c r="H5574">
        <f t="shared" ca="1" si="94"/>
        <v>4.0798561829408504E-2</v>
      </c>
    </row>
    <row r="5575" spans="7:8">
      <c r="G5575">
        <v>5565</v>
      </c>
      <c r="H5575">
        <f t="shared" ca="1" si="94"/>
        <v>-2.4079075254992859E-2</v>
      </c>
    </row>
    <row r="5576" spans="7:8">
      <c r="G5576">
        <v>5566</v>
      </c>
      <c r="H5576">
        <f t="shared" ca="1" si="94"/>
        <v>-1.3991585872822968E-2</v>
      </c>
    </row>
    <row r="5577" spans="7:8">
      <c r="G5577">
        <v>5567</v>
      </c>
      <c r="H5577">
        <f t="shared" ca="1" si="94"/>
        <v>-7.7535336294883754E-3</v>
      </c>
    </row>
    <row r="5578" spans="7:8">
      <c r="G5578">
        <v>5568</v>
      </c>
      <c r="H5578">
        <f t="shared" ca="1" si="94"/>
        <v>-2.0656113998682342E-2</v>
      </c>
    </row>
    <row r="5579" spans="7:8">
      <c r="G5579">
        <v>5569</v>
      </c>
      <c r="H5579">
        <f t="shared" ca="1" si="94"/>
        <v>8.7827645248430633E-3</v>
      </c>
    </row>
    <row r="5580" spans="7:8">
      <c r="G5580">
        <v>5570</v>
      </c>
      <c r="H5580">
        <f t="shared" ref="H5580:H5643" ca="1" si="95">_xlfn.NORM.INV(RAND(),N$13,N$14)</f>
        <v>-2.8110692891883241E-3</v>
      </c>
    </row>
    <row r="5581" spans="7:8">
      <c r="G5581">
        <v>5571</v>
      </c>
      <c r="H5581">
        <f t="shared" ca="1" si="95"/>
        <v>1.2738666823357658E-3</v>
      </c>
    </row>
    <row r="5582" spans="7:8">
      <c r="G5582">
        <v>5572</v>
      </c>
      <c r="H5582">
        <f t="shared" ca="1" si="95"/>
        <v>1.1446531243690411E-2</v>
      </c>
    </row>
    <row r="5583" spans="7:8">
      <c r="G5583">
        <v>5573</v>
      </c>
      <c r="H5583">
        <f t="shared" ca="1" si="95"/>
        <v>2.5159518406654025E-2</v>
      </c>
    </row>
    <row r="5584" spans="7:8">
      <c r="G5584">
        <v>5574</v>
      </c>
      <c r="H5584">
        <f t="shared" ca="1" si="95"/>
        <v>2.908394599662947E-2</v>
      </c>
    </row>
    <row r="5585" spans="7:8">
      <c r="G5585">
        <v>5575</v>
      </c>
      <c r="H5585">
        <f t="shared" ca="1" si="95"/>
        <v>2.9477008905259748E-2</v>
      </c>
    </row>
    <row r="5586" spans="7:8">
      <c r="G5586">
        <v>5576</v>
      </c>
      <c r="H5586">
        <f t="shared" ca="1" si="95"/>
        <v>4.1263399141351499E-2</v>
      </c>
    </row>
    <row r="5587" spans="7:8">
      <c r="G5587">
        <v>5577</v>
      </c>
      <c r="H5587">
        <f t="shared" ca="1" si="95"/>
        <v>-6.6460000155743517E-3</v>
      </c>
    </row>
    <row r="5588" spans="7:8">
      <c r="G5588">
        <v>5578</v>
      </c>
      <c r="H5588">
        <f t="shared" ca="1" si="95"/>
        <v>-6.6627639172631419E-5</v>
      </c>
    </row>
    <row r="5589" spans="7:8">
      <c r="G5589">
        <v>5579</v>
      </c>
      <c r="H5589">
        <f t="shared" ca="1" si="95"/>
        <v>5.9245992401472027E-2</v>
      </c>
    </row>
    <row r="5590" spans="7:8">
      <c r="G5590">
        <v>5580</v>
      </c>
      <c r="H5590">
        <f t="shared" ca="1" si="95"/>
        <v>-4.5716515527284944E-3</v>
      </c>
    </row>
    <row r="5591" spans="7:8">
      <c r="G5591">
        <v>5581</v>
      </c>
      <c r="H5591">
        <f t="shared" ca="1" si="95"/>
        <v>2.9051571434844492E-2</v>
      </c>
    </row>
    <row r="5592" spans="7:8">
      <c r="G5592">
        <v>5582</v>
      </c>
      <c r="H5592">
        <f t="shared" ca="1" si="95"/>
        <v>-3.2423735432990562E-2</v>
      </c>
    </row>
    <row r="5593" spans="7:8">
      <c r="G5593">
        <v>5583</v>
      </c>
      <c r="H5593">
        <f t="shared" ca="1" si="95"/>
        <v>3.722954308140822E-3</v>
      </c>
    </row>
    <row r="5594" spans="7:8">
      <c r="G5594">
        <v>5584</v>
      </c>
      <c r="H5594">
        <f t="shared" ca="1" si="95"/>
        <v>-4.9536954793967462E-2</v>
      </c>
    </row>
    <row r="5595" spans="7:8">
      <c r="G5595">
        <v>5585</v>
      </c>
      <c r="H5595">
        <f t="shared" ca="1" si="95"/>
        <v>3.6552008068882614E-3</v>
      </c>
    </row>
    <row r="5596" spans="7:8">
      <c r="G5596">
        <v>5586</v>
      </c>
      <c r="H5596">
        <f t="shared" ca="1" si="95"/>
        <v>-1.8902494919369229E-2</v>
      </c>
    </row>
    <row r="5597" spans="7:8">
      <c r="G5597">
        <v>5587</v>
      </c>
      <c r="H5597">
        <f t="shared" ca="1" si="95"/>
        <v>5.6423850820144878E-3</v>
      </c>
    </row>
    <row r="5598" spans="7:8">
      <c r="G5598">
        <v>5588</v>
      </c>
      <c r="H5598">
        <f t="shared" ca="1" si="95"/>
        <v>8.7887519108292411E-3</v>
      </c>
    </row>
    <row r="5599" spans="7:8">
      <c r="G5599">
        <v>5589</v>
      </c>
      <c r="H5599">
        <f t="shared" ca="1" si="95"/>
        <v>-1.4799102021602766E-2</v>
      </c>
    </row>
    <row r="5600" spans="7:8">
      <c r="G5600">
        <v>5590</v>
      </c>
      <c r="H5600">
        <f t="shared" ca="1" si="95"/>
        <v>-1.3732384935373433E-2</v>
      </c>
    </row>
    <row r="5601" spans="7:8">
      <c r="G5601">
        <v>5591</v>
      </c>
      <c r="H5601">
        <f t="shared" ca="1" si="95"/>
        <v>-1.3921162319789144E-2</v>
      </c>
    </row>
    <row r="5602" spans="7:8">
      <c r="G5602">
        <v>5592</v>
      </c>
      <c r="H5602">
        <f t="shared" ca="1" si="95"/>
        <v>3.1705352677705648E-2</v>
      </c>
    </row>
    <row r="5603" spans="7:8">
      <c r="G5603">
        <v>5593</v>
      </c>
      <c r="H5603">
        <f t="shared" ca="1" si="95"/>
        <v>-1.6084209732240173E-2</v>
      </c>
    </row>
    <row r="5604" spans="7:8">
      <c r="G5604">
        <v>5594</v>
      </c>
      <c r="H5604">
        <f t="shared" ca="1" si="95"/>
        <v>-3.6257789096769215E-3</v>
      </c>
    </row>
    <row r="5605" spans="7:8">
      <c r="G5605">
        <v>5595</v>
      </c>
      <c r="H5605">
        <f t="shared" ca="1" si="95"/>
        <v>-2.3878473026656008E-2</v>
      </c>
    </row>
    <row r="5606" spans="7:8">
      <c r="G5606">
        <v>5596</v>
      </c>
      <c r="H5606">
        <f t="shared" ca="1" si="95"/>
        <v>1.5274222156600979E-2</v>
      </c>
    </row>
    <row r="5607" spans="7:8">
      <c r="G5607">
        <v>5597</v>
      </c>
      <c r="H5607">
        <f t="shared" ca="1" si="95"/>
        <v>-6.4128008012941749E-3</v>
      </c>
    </row>
    <row r="5608" spans="7:8">
      <c r="G5608">
        <v>5598</v>
      </c>
      <c r="H5608">
        <f t="shared" ca="1" si="95"/>
        <v>4.2551048017068945E-2</v>
      </c>
    </row>
    <row r="5609" spans="7:8">
      <c r="G5609">
        <v>5599</v>
      </c>
      <c r="H5609">
        <f t="shared" ca="1" si="95"/>
        <v>1.043851281318876E-2</v>
      </c>
    </row>
    <row r="5610" spans="7:8">
      <c r="G5610">
        <v>5600</v>
      </c>
      <c r="H5610">
        <f t="shared" ca="1" si="95"/>
        <v>5.7652381219792182E-3</v>
      </c>
    </row>
    <row r="5611" spans="7:8">
      <c r="G5611">
        <v>5601</v>
      </c>
      <c r="H5611">
        <f t="shared" ca="1" si="95"/>
        <v>2.4926274441792441E-2</v>
      </c>
    </row>
    <row r="5612" spans="7:8">
      <c r="G5612">
        <v>5602</v>
      </c>
      <c r="H5612">
        <f t="shared" ca="1" si="95"/>
        <v>-5.1177337235672922E-2</v>
      </c>
    </row>
    <row r="5613" spans="7:8">
      <c r="G5613">
        <v>5603</v>
      </c>
      <c r="H5613">
        <f t="shared" ca="1" si="95"/>
        <v>-2.7451555194392212E-3</v>
      </c>
    </row>
    <row r="5614" spans="7:8">
      <c r="G5614">
        <v>5604</v>
      </c>
      <c r="H5614">
        <f t="shared" ca="1" si="95"/>
        <v>-1.6690336775592768E-3</v>
      </c>
    </row>
    <row r="5615" spans="7:8">
      <c r="G5615">
        <v>5605</v>
      </c>
      <c r="H5615">
        <f t="shared" ca="1" si="95"/>
        <v>4.7694606851432916E-3</v>
      </c>
    </row>
    <row r="5616" spans="7:8">
      <c r="G5616">
        <v>5606</v>
      </c>
      <c r="H5616">
        <f t="shared" ca="1" si="95"/>
        <v>1.214197057488986E-2</v>
      </c>
    </row>
    <row r="5617" spans="7:8">
      <c r="G5617">
        <v>5607</v>
      </c>
      <c r="H5617">
        <f t="shared" ca="1" si="95"/>
        <v>-1.3278756320284902E-2</v>
      </c>
    </row>
    <row r="5618" spans="7:8">
      <c r="G5618">
        <v>5608</v>
      </c>
      <c r="H5618">
        <f t="shared" ca="1" si="95"/>
        <v>-1.0003184540377654E-2</v>
      </c>
    </row>
    <row r="5619" spans="7:8">
      <c r="G5619">
        <v>5609</v>
      </c>
      <c r="H5619">
        <f t="shared" ca="1" si="95"/>
        <v>-1.578393557596075E-2</v>
      </c>
    </row>
    <row r="5620" spans="7:8">
      <c r="G5620">
        <v>5610</v>
      </c>
      <c r="H5620">
        <f t="shared" ca="1" si="95"/>
        <v>-3.5344069970972051E-3</v>
      </c>
    </row>
    <row r="5621" spans="7:8">
      <c r="G5621">
        <v>5611</v>
      </c>
      <c r="H5621">
        <f t="shared" ca="1" si="95"/>
        <v>1.7263726538316988E-2</v>
      </c>
    </row>
    <row r="5622" spans="7:8">
      <c r="G5622">
        <v>5612</v>
      </c>
      <c r="H5622">
        <f t="shared" ca="1" si="95"/>
        <v>2.7888707211043934E-2</v>
      </c>
    </row>
    <row r="5623" spans="7:8">
      <c r="G5623">
        <v>5613</v>
      </c>
      <c r="H5623">
        <f t="shared" ca="1" si="95"/>
        <v>2.6559045196614599E-3</v>
      </c>
    </row>
    <row r="5624" spans="7:8">
      <c r="G5624">
        <v>5614</v>
      </c>
      <c r="H5624">
        <f t="shared" ca="1" si="95"/>
        <v>-1.2570949928499614E-2</v>
      </c>
    </row>
    <row r="5625" spans="7:8">
      <c r="G5625">
        <v>5615</v>
      </c>
      <c r="H5625">
        <f t="shared" ca="1" si="95"/>
        <v>-2.1158128556128517E-2</v>
      </c>
    </row>
    <row r="5626" spans="7:8">
      <c r="G5626">
        <v>5616</v>
      </c>
      <c r="H5626">
        <f t="shared" ca="1" si="95"/>
        <v>-1.416742775280767E-2</v>
      </c>
    </row>
    <row r="5627" spans="7:8">
      <c r="G5627">
        <v>5617</v>
      </c>
      <c r="H5627">
        <f t="shared" ca="1" si="95"/>
        <v>1.7816842864379664E-2</v>
      </c>
    </row>
    <row r="5628" spans="7:8">
      <c r="G5628">
        <v>5618</v>
      </c>
      <c r="H5628">
        <f t="shared" ca="1" si="95"/>
        <v>-3.4873530433630999E-2</v>
      </c>
    </row>
    <row r="5629" spans="7:8">
      <c r="G5629">
        <v>5619</v>
      </c>
      <c r="H5629">
        <f t="shared" ca="1" si="95"/>
        <v>3.2900518989728088E-2</v>
      </c>
    </row>
    <row r="5630" spans="7:8">
      <c r="G5630">
        <v>5620</v>
      </c>
      <c r="H5630">
        <f t="shared" ca="1" si="95"/>
        <v>1.1042822011623321E-3</v>
      </c>
    </row>
    <row r="5631" spans="7:8">
      <c r="G5631">
        <v>5621</v>
      </c>
      <c r="H5631">
        <f t="shared" ca="1" si="95"/>
        <v>-1.2475219311634053E-2</v>
      </c>
    </row>
    <row r="5632" spans="7:8">
      <c r="G5632">
        <v>5622</v>
      </c>
      <c r="H5632">
        <f t="shared" ca="1" si="95"/>
        <v>1.3237101346968443E-2</v>
      </c>
    </row>
    <row r="5633" spans="7:8">
      <c r="G5633">
        <v>5623</v>
      </c>
      <c r="H5633">
        <f t="shared" ca="1" si="95"/>
        <v>-3.9049539672564707E-3</v>
      </c>
    </row>
    <row r="5634" spans="7:8">
      <c r="G5634">
        <v>5624</v>
      </c>
      <c r="H5634">
        <f t="shared" ca="1" si="95"/>
        <v>2.096488600477232E-2</v>
      </c>
    </row>
    <row r="5635" spans="7:8">
      <c r="G5635">
        <v>5625</v>
      </c>
      <c r="H5635">
        <f t="shared" ca="1" si="95"/>
        <v>-1.5118366426953127E-2</v>
      </c>
    </row>
    <row r="5636" spans="7:8">
      <c r="G5636">
        <v>5626</v>
      </c>
      <c r="H5636">
        <f t="shared" ca="1" si="95"/>
        <v>-3.6828865240464054E-2</v>
      </c>
    </row>
    <row r="5637" spans="7:8">
      <c r="G5637">
        <v>5627</v>
      </c>
      <c r="H5637">
        <f t="shared" ca="1" si="95"/>
        <v>-2.9062790336616903E-2</v>
      </c>
    </row>
    <row r="5638" spans="7:8">
      <c r="G5638">
        <v>5628</v>
      </c>
      <c r="H5638">
        <f t="shared" ca="1" si="95"/>
        <v>-3.1255229269108391E-2</v>
      </c>
    </row>
    <row r="5639" spans="7:8">
      <c r="G5639">
        <v>5629</v>
      </c>
      <c r="H5639">
        <f t="shared" ca="1" si="95"/>
        <v>1.8889505418458335E-2</v>
      </c>
    </row>
    <row r="5640" spans="7:8">
      <c r="G5640">
        <v>5630</v>
      </c>
      <c r="H5640">
        <f t="shared" ca="1" si="95"/>
        <v>2.8846715539376018E-2</v>
      </c>
    </row>
    <row r="5641" spans="7:8">
      <c r="G5641">
        <v>5631</v>
      </c>
      <c r="H5641">
        <f t="shared" ca="1" si="95"/>
        <v>-1.0177008555123308E-2</v>
      </c>
    </row>
    <row r="5642" spans="7:8">
      <c r="G5642">
        <v>5632</v>
      </c>
      <c r="H5642">
        <f t="shared" ca="1" si="95"/>
        <v>-3.5608600324939121E-2</v>
      </c>
    </row>
    <row r="5643" spans="7:8">
      <c r="G5643">
        <v>5633</v>
      </c>
      <c r="H5643">
        <f t="shared" ca="1" si="95"/>
        <v>-2.5442951109763772E-3</v>
      </c>
    </row>
    <row r="5644" spans="7:8">
      <c r="G5644">
        <v>5634</v>
      </c>
      <c r="H5644">
        <f t="shared" ref="H5644:H5707" ca="1" si="96">_xlfn.NORM.INV(RAND(),N$13,N$14)</f>
        <v>-1.6782953765073279E-2</v>
      </c>
    </row>
    <row r="5645" spans="7:8">
      <c r="G5645">
        <v>5635</v>
      </c>
      <c r="H5645">
        <f t="shared" ca="1" si="96"/>
        <v>-4.6671048814083411E-2</v>
      </c>
    </row>
    <row r="5646" spans="7:8">
      <c r="G5646">
        <v>5636</v>
      </c>
      <c r="H5646">
        <f t="shared" ca="1" si="96"/>
        <v>-2.354838019204572E-2</v>
      </c>
    </row>
    <row r="5647" spans="7:8">
      <c r="G5647">
        <v>5637</v>
      </c>
      <c r="H5647">
        <f t="shared" ca="1" si="96"/>
        <v>-8.4080652496211408E-3</v>
      </c>
    </row>
    <row r="5648" spans="7:8">
      <c r="G5648">
        <v>5638</v>
      </c>
      <c r="H5648">
        <f t="shared" ca="1" si="96"/>
        <v>2.5129124179615815E-3</v>
      </c>
    </row>
    <row r="5649" spans="7:8">
      <c r="G5649">
        <v>5639</v>
      </c>
      <c r="H5649">
        <f t="shared" ca="1" si="96"/>
        <v>-4.0456676692448203E-3</v>
      </c>
    </row>
    <row r="5650" spans="7:8">
      <c r="G5650">
        <v>5640</v>
      </c>
      <c r="H5650">
        <f t="shared" ca="1" si="96"/>
        <v>-4.8971272944913352E-3</v>
      </c>
    </row>
    <row r="5651" spans="7:8">
      <c r="G5651">
        <v>5641</v>
      </c>
      <c r="H5651">
        <f t="shared" ca="1" si="96"/>
        <v>2.152710234988477E-2</v>
      </c>
    </row>
    <row r="5652" spans="7:8">
      <c r="G5652">
        <v>5642</v>
      </c>
      <c r="H5652">
        <f t="shared" ca="1" si="96"/>
        <v>-1.8265325888081971E-2</v>
      </c>
    </row>
    <row r="5653" spans="7:8">
      <c r="G5653">
        <v>5643</v>
      </c>
      <c r="H5653">
        <f t="shared" ca="1" si="96"/>
        <v>-1.5324952394820075E-2</v>
      </c>
    </row>
    <row r="5654" spans="7:8">
      <c r="G5654">
        <v>5644</v>
      </c>
      <c r="H5654">
        <f t="shared" ca="1" si="96"/>
        <v>-2.7099474506812538E-2</v>
      </c>
    </row>
    <row r="5655" spans="7:8">
      <c r="G5655">
        <v>5645</v>
      </c>
      <c r="H5655">
        <f t="shared" ca="1" si="96"/>
        <v>5.5328180543941169E-3</v>
      </c>
    </row>
    <row r="5656" spans="7:8">
      <c r="G5656">
        <v>5646</v>
      </c>
      <c r="H5656">
        <f t="shared" ca="1" si="96"/>
        <v>2.1881367076939131E-2</v>
      </c>
    </row>
    <row r="5657" spans="7:8">
      <c r="G5657">
        <v>5647</v>
      </c>
      <c r="H5657">
        <f t="shared" ca="1" si="96"/>
        <v>-2.4370305655491902E-2</v>
      </c>
    </row>
    <row r="5658" spans="7:8">
      <c r="G5658">
        <v>5648</v>
      </c>
      <c r="H5658">
        <f t="shared" ca="1" si="96"/>
        <v>3.6599143156641702E-4</v>
      </c>
    </row>
    <row r="5659" spans="7:8">
      <c r="G5659">
        <v>5649</v>
      </c>
      <c r="H5659">
        <f t="shared" ca="1" si="96"/>
        <v>9.3124119002975046E-3</v>
      </c>
    </row>
    <row r="5660" spans="7:8">
      <c r="G5660">
        <v>5650</v>
      </c>
      <c r="H5660">
        <f t="shared" ca="1" si="96"/>
        <v>-2.8508147173983058E-2</v>
      </c>
    </row>
    <row r="5661" spans="7:8">
      <c r="G5661">
        <v>5651</v>
      </c>
      <c r="H5661">
        <f t="shared" ca="1" si="96"/>
        <v>5.5238986650355607E-3</v>
      </c>
    </row>
    <row r="5662" spans="7:8">
      <c r="G5662">
        <v>5652</v>
      </c>
      <c r="H5662">
        <f t="shared" ca="1" si="96"/>
        <v>-2.0987996206450022E-2</v>
      </c>
    </row>
    <row r="5663" spans="7:8">
      <c r="G5663">
        <v>5653</v>
      </c>
      <c r="H5663">
        <f t="shared" ca="1" si="96"/>
        <v>-1.5066482698043311E-2</v>
      </c>
    </row>
    <row r="5664" spans="7:8">
      <c r="G5664">
        <v>5654</v>
      </c>
      <c r="H5664">
        <f t="shared" ca="1" si="96"/>
        <v>7.7059132281661761E-3</v>
      </c>
    </row>
    <row r="5665" spans="7:8">
      <c r="G5665">
        <v>5655</v>
      </c>
      <c r="H5665">
        <f t="shared" ca="1" si="96"/>
        <v>1.1442893289251117E-2</v>
      </c>
    </row>
    <row r="5666" spans="7:8">
      <c r="G5666">
        <v>5656</v>
      </c>
      <c r="H5666">
        <f t="shared" ca="1" si="96"/>
        <v>-2.8168867647266362E-2</v>
      </c>
    </row>
    <row r="5667" spans="7:8">
      <c r="G5667">
        <v>5657</v>
      </c>
      <c r="H5667">
        <f t="shared" ca="1" si="96"/>
        <v>3.6474506759119618E-3</v>
      </c>
    </row>
    <row r="5668" spans="7:8">
      <c r="G5668">
        <v>5658</v>
      </c>
      <c r="H5668">
        <f t="shared" ca="1" si="96"/>
        <v>1.6427030622484025E-2</v>
      </c>
    </row>
    <row r="5669" spans="7:8">
      <c r="G5669">
        <v>5659</v>
      </c>
      <c r="H5669">
        <f t="shared" ca="1" si="96"/>
        <v>-3.6759910749379933E-2</v>
      </c>
    </row>
    <row r="5670" spans="7:8">
      <c r="G5670">
        <v>5660</v>
      </c>
      <c r="H5670">
        <f t="shared" ca="1" si="96"/>
        <v>-6.8533612794916569E-3</v>
      </c>
    </row>
    <row r="5671" spans="7:8">
      <c r="G5671">
        <v>5661</v>
      </c>
      <c r="H5671">
        <f t="shared" ca="1" si="96"/>
        <v>-2.5128531030485638E-3</v>
      </c>
    </row>
    <row r="5672" spans="7:8">
      <c r="G5672">
        <v>5662</v>
      </c>
      <c r="H5672">
        <f t="shared" ca="1" si="96"/>
        <v>-2.6470089908667407E-2</v>
      </c>
    </row>
    <row r="5673" spans="7:8">
      <c r="G5673">
        <v>5663</v>
      </c>
      <c r="H5673">
        <f t="shared" ca="1" si="96"/>
        <v>3.1079297752287155E-2</v>
      </c>
    </row>
    <row r="5674" spans="7:8">
      <c r="G5674">
        <v>5664</v>
      </c>
      <c r="H5674">
        <f t="shared" ca="1" si="96"/>
        <v>1.6351906535272288E-2</v>
      </c>
    </row>
    <row r="5675" spans="7:8">
      <c r="G5675">
        <v>5665</v>
      </c>
      <c r="H5675">
        <f t="shared" ca="1" si="96"/>
        <v>7.071604345721702E-2</v>
      </c>
    </row>
    <row r="5676" spans="7:8">
      <c r="G5676">
        <v>5666</v>
      </c>
      <c r="H5676">
        <f t="shared" ca="1" si="96"/>
        <v>6.0816973048092729E-3</v>
      </c>
    </row>
    <row r="5677" spans="7:8">
      <c r="G5677">
        <v>5667</v>
      </c>
      <c r="H5677">
        <f t="shared" ca="1" si="96"/>
        <v>-1.7867673090581366E-2</v>
      </c>
    </row>
    <row r="5678" spans="7:8">
      <c r="G5678">
        <v>5668</v>
      </c>
      <c r="H5678">
        <f t="shared" ca="1" si="96"/>
        <v>6.245160013740367E-3</v>
      </c>
    </row>
    <row r="5679" spans="7:8">
      <c r="G5679">
        <v>5669</v>
      </c>
      <c r="H5679">
        <f t="shared" ca="1" si="96"/>
        <v>-9.2107869572928044E-3</v>
      </c>
    </row>
    <row r="5680" spans="7:8">
      <c r="G5680">
        <v>5670</v>
      </c>
      <c r="H5680">
        <f t="shared" ca="1" si="96"/>
        <v>-2.0662929966761279E-2</v>
      </c>
    </row>
    <row r="5681" spans="7:8">
      <c r="G5681">
        <v>5671</v>
      </c>
      <c r="H5681">
        <f t="shared" ca="1" si="96"/>
        <v>-6.2396052267432472E-2</v>
      </c>
    </row>
    <row r="5682" spans="7:8">
      <c r="G5682">
        <v>5672</v>
      </c>
      <c r="H5682">
        <f t="shared" ca="1" si="96"/>
        <v>-1.1208634546367363E-2</v>
      </c>
    </row>
    <row r="5683" spans="7:8">
      <c r="G5683">
        <v>5673</v>
      </c>
      <c r="H5683">
        <f t="shared" ca="1" si="96"/>
        <v>-3.0447037498100005E-2</v>
      </c>
    </row>
    <row r="5684" spans="7:8">
      <c r="G5684">
        <v>5674</v>
      </c>
      <c r="H5684">
        <f t="shared" ca="1" si="96"/>
        <v>-4.4177353691825872E-3</v>
      </c>
    </row>
    <row r="5685" spans="7:8">
      <c r="G5685">
        <v>5675</v>
      </c>
      <c r="H5685">
        <f t="shared" ca="1" si="96"/>
        <v>1.3996190602390508E-2</v>
      </c>
    </row>
    <row r="5686" spans="7:8">
      <c r="G5686">
        <v>5676</v>
      </c>
      <c r="H5686">
        <f t="shared" ca="1" si="96"/>
        <v>1.0288466354252967E-3</v>
      </c>
    </row>
    <row r="5687" spans="7:8">
      <c r="G5687">
        <v>5677</v>
      </c>
      <c r="H5687">
        <f t="shared" ca="1" si="96"/>
        <v>1.7835458742823392E-2</v>
      </c>
    </row>
    <row r="5688" spans="7:8">
      <c r="G5688">
        <v>5678</v>
      </c>
      <c r="H5688">
        <f t="shared" ca="1" si="96"/>
        <v>-4.9052508143234821E-2</v>
      </c>
    </row>
    <row r="5689" spans="7:8">
      <c r="G5689">
        <v>5679</v>
      </c>
      <c r="H5689">
        <f t="shared" ca="1" si="96"/>
        <v>-2.6727090012706599E-3</v>
      </c>
    </row>
    <row r="5690" spans="7:8">
      <c r="G5690">
        <v>5680</v>
      </c>
      <c r="H5690">
        <f t="shared" ca="1" si="96"/>
        <v>-1.6950333098885422E-2</v>
      </c>
    </row>
    <row r="5691" spans="7:8">
      <c r="G5691">
        <v>5681</v>
      </c>
      <c r="H5691">
        <f t="shared" ca="1" si="96"/>
        <v>3.5112702471763034E-2</v>
      </c>
    </row>
    <row r="5692" spans="7:8">
      <c r="G5692">
        <v>5682</v>
      </c>
      <c r="H5692">
        <f t="shared" ca="1" si="96"/>
        <v>6.0600013662054364E-2</v>
      </c>
    </row>
    <row r="5693" spans="7:8">
      <c r="G5693">
        <v>5683</v>
      </c>
      <c r="H5693">
        <f t="shared" ca="1" si="96"/>
        <v>3.8311879335223252E-3</v>
      </c>
    </row>
    <row r="5694" spans="7:8">
      <c r="G5694">
        <v>5684</v>
      </c>
      <c r="H5694">
        <f t="shared" ca="1" si="96"/>
        <v>-3.9452232892328007E-2</v>
      </c>
    </row>
    <row r="5695" spans="7:8">
      <c r="G5695">
        <v>5685</v>
      </c>
      <c r="H5695">
        <f t="shared" ca="1" si="96"/>
        <v>-1.0734634057728797E-2</v>
      </c>
    </row>
    <row r="5696" spans="7:8">
      <c r="G5696">
        <v>5686</v>
      </c>
      <c r="H5696">
        <f t="shared" ca="1" si="96"/>
        <v>4.1454581166751343E-3</v>
      </c>
    </row>
    <row r="5697" spans="7:8">
      <c r="G5697">
        <v>5687</v>
      </c>
      <c r="H5697">
        <f t="shared" ca="1" si="96"/>
        <v>3.8388238458421209E-2</v>
      </c>
    </row>
    <row r="5698" spans="7:8">
      <c r="G5698">
        <v>5688</v>
      </c>
      <c r="H5698">
        <f t="shared" ca="1" si="96"/>
        <v>3.9047653622502752E-2</v>
      </c>
    </row>
    <row r="5699" spans="7:8">
      <c r="G5699">
        <v>5689</v>
      </c>
      <c r="H5699">
        <f t="shared" ca="1" si="96"/>
        <v>2.0393586975187759E-2</v>
      </c>
    </row>
    <row r="5700" spans="7:8">
      <c r="G5700">
        <v>5690</v>
      </c>
      <c r="H5700">
        <f t="shared" ca="1" si="96"/>
        <v>-1.8525283860112957E-2</v>
      </c>
    </row>
    <row r="5701" spans="7:8">
      <c r="G5701">
        <v>5691</v>
      </c>
      <c r="H5701">
        <f t="shared" ca="1" si="96"/>
        <v>4.7994731033101735E-2</v>
      </c>
    </row>
    <row r="5702" spans="7:8">
      <c r="G5702">
        <v>5692</v>
      </c>
      <c r="H5702">
        <f t="shared" ca="1" si="96"/>
        <v>2.6391614417817875E-2</v>
      </c>
    </row>
    <row r="5703" spans="7:8">
      <c r="G5703">
        <v>5693</v>
      </c>
      <c r="H5703">
        <f t="shared" ca="1" si="96"/>
        <v>-5.9764221349216211E-6</v>
      </c>
    </row>
    <row r="5704" spans="7:8">
      <c r="G5704">
        <v>5694</v>
      </c>
      <c r="H5704">
        <f t="shared" ca="1" si="96"/>
        <v>-2.5296848369453719E-3</v>
      </c>
    </row>
    <row r="5705" spans="7:8">
      <c r="G5705">
        <v>5695</v>
      </c>
      <c r="H5705">
        <f t="shared" ca="1" si="96"/>
        <v>2.4327006347264861E-2</v>
      </c>
    </row>
    <row r="5706" spans="7:8">
      <c r="G5706">
        <v>5696</v>
      </c>
      <c r="H5706">
        <f t="shared" ca="1" si="96"/>
        <v>-4.8502744690395186E-2</v>
      </c>
    </row>
    <row r="5707" spans="7:8">
      <c r="G5707">
        <v>5697</v>
      </c>
      <c r="H5707">
        <f t="shared" ca="1" si="96"/>
        <v>8.4210793116998844E-3</v>
      </c>
    </row>
    <row r="5708" spans="7:8">
      <c r="G5708">
        <v>5698</v>
      </c>
      <c r="H5708">
        <f t="shared" ref="H5708:H5771" ca="1" si="97">_xlfn.NORM.INV(RAND(),N$13,N$14)</f>
        <v>2.0355799133121338E-2</v>
      </c>
    </row>
    <row r="5709" spans="7:8">
      <c r="G5709">
        <v>5699</v>
      </c>
      <c r="H5709">
        <f t="shared" ca="1" si="97"/>
        <v>1.5472337425882629E-2</v>
      </c>
    </row>
    <row r="5710" spans="7:8">
      <c r="G5710">
        <v>5700</v>
      </c>
      <c r="H5710">
        <f t="shared" ca="1" si="97"/>
        <v>-2.1175426241603821E-2</v>
      </c>
    </row>
    <row r="5711" spans="7:8">
      <c r="G5711">
        <v>5701</v>
      </c>
      <c r="H5711">
        <f t="shared" ca="1" si="97"/>
        <v>6.0139170308441681E-3</v>
      </c>
    </row>
    <row r="5712" spans="7:8">
      <c r="G5712">
        <v>5702</v>
      </c>
      <c r="H5712">
        <f t="shared" ca="1" si="97"/>
        <v>-3.5894508860345439E-2</v>
      </c>
    </row>
    <row r="5713" spans="7:8">
      <c r="G5713">
        <v>5703</v>
      </c>
      <c r="H5713">
        <f t="shared" ca="1" si="97"/>
        <v>-7.2857494030575051E-3</v>
      </c>
    </row>
    <row r="5714" spans="7:8">
      <c r="G5714">
        <v>5704</v>
      </c>
      <c r="H5714">
        <f t="shared" ca="1" si="97"/>
        <v>-5.7358410087920792E-3</v>
      </c>
    </row>
    <row r="5715" spans="7:8">
      <c r="G5715">
        <v>5705</v>
      </c>
      <c r="H5715">
        <f t="shared" ca="1" si="97"/>
        <v>-9.3536074888095934E-3</v>
      </c>
    </row>
    <row r="5716" spans="7:8">
      <c r="G5716">
        <v>5706</v>
      </c>
      <c r="H5716">
        <f t="shared" ca="1" si="97"/>
        <v>1.0032873348112188E-2</v>
      </c>
    </row>
    <row r="5717" spans="7:8">
      <c r="G5717">
        <v>5707</v>
      </c>
      <c r="H5717">
        <f t="shared" ca="1" si="97"/>
        <v>-1.7959612696948164E-3</v>
      </c>
    </row>
    <row r="5718" spans="7:8">
      <c r="G5718">
        <v>5708</v>
      </c>
      <c r="H5718">
        <f t="shared" ca="1" si="97"/>
        <v>-1.9534959489181335E-2</v>
      </c>
    </row>
    <row r="5719" spans="7:8">
      <c r="G5719">
        <v>5709</v>
      </c>
      <c r="H5719">
        <f t="shared" ca="1" si="97"/>
        <v>-8.9803279008327849E-3</v>
      </c>
    </row>
    <row r="5720" spans="7:8">
      <c r="G5720">
        <v>5710</v>
      </c>
      <c r="H5720">
        <f t="shared" ca="1" si="97"/>
        <v>-7.8737051657965535E-3</v>
      </c>
    </row>
    <row r="5721" spans="7:8">
      <c r="G5721">
        <v>5711</v>
      </c>
      <c r="H5721">
        <f t="shared" ca="1" si="97"/>
        <v>-1.1107076094480245E-2</v>
      </c>
    </row>
    <row r="5722" spans="7:8">
      <c r="G5722">
        <v>5712</v>
      </c>
      <c r="H5722">
        <f t="shared" ca="1" si="97"/>
        <v>-1.6173361700132973E-2</v>
      </c>
    </row>
    <row r="5723" spans="7:8">
      <c r="G5723">
        <v>5713</v>
      </c>
      <c r="H5723">
        <f t="shared" ca="1" si="97"/>
        <v>-2.7144033902082244E-2</v>
      </c>
    </row>
    <row r="5724" spans="7:8">
      <c r="G5724">
        <v>5714</v>
      </c>
      <c r="H5724">
        <f t="shared" ca="1" si="97"/>
        <v>-5.2220926885768173E-3</v>
      </c>
    </row>
    <row r="5725" spans="7:8">
      <c r="G5725">
        <v>5715</v>
      </c>
      <c r="H5725">
        <f t="shared" ca="1" si="97"/>
        <v>-1.4482653284563624E-2</v>
      </c>
    </row>
    <row r="5726" spans="7:8">
      <c r="G5726">
        <v>5716</v>
      </c>
      <c r="H5726">
        <f t="shared" ca="1" si="97"/>
        <v>2.3358459102875312E-4</v>
      </c>
    </row>
    <row r="5727" spans="7:8">
      <c r="G5727">
        <v>5717</v>
      </c>
      <c r="H5727">
        <f t="shared" ca="1" si="97"/>
        <v>1.8010083491455612E-3</v>
      </c>
    </row>
    <row r="5728" spans="7:8">
      <c r="G5728">
        <v>5718</v>
      </c>
      <c r="H5728">
        <f t="shared" ca="1" si="97"/>
        <v>8.3403601463017812E-3</v>
      </c>
    </row>
    <row r="5729" spans="7:8">
      <c r="G5729">
        <v>5719</v>
      </c>
      <c r="H5729">
        <f t="shared" ca="1" si="97"/>
        <v>-2.2804677005643308E-2</v>
      </c>
    </row>
    <row r="5730" spans="7:8">
      <c r="G5730">
        <v>5720</v>
      </c>
      <c r="H5730">
        <f t="shared" ca="1" si="97"/>
        <v>-4.1327740833864444E-2</v>
      </c>
    </row>
    <row r="5731" spans="7:8">
      <c r="G5731">
        <v>5721</v>
      </c>
      <c r="H5731">
        <f t="shared" ca="1" si="97"/>
        <v>6.4824511203640887E-3</v>
      </c>
    </row>
    <row r="5732" spans="7:8">
      <c r="G5732">
        <v>5722</v>
      </c>
      <c r="H5732">
        <f t="shared" ca="1" si="97"/>
        <v>2.5406876823490455E-2</v>
      </c>
    </row>
    <row r="5733" spans="7:8">
      <c r="G5733">
        <v>5723</v>
      </c>
      <c r="H5733">
        <f t="shared" ca="1" si="97"/>
        <v>2.6231404263676223E-2</v>
      </c>
    </row>
    <row r="5734" spans="7:8">
      <c r="G5734">
        <v>5724</v>
      </c>
      <c r="H5734">
        <f t="shared" ca="1" si="97"/>
        <v>-5.4530687403273629E-3</v>
      </c>
    </row>
    <row r="5735" spans="7:8">
      <c r="G5735">
        <v>5725</v>
      </c>
      <c r="H5735">
        <f t="shared" ca="1" si="97"/>
        <v>2.7313636522151165E-2</v>
      </c>
    </row>
    <row r="5736" spans="7:8">
      <c r="G5736">
        <v>5726</v>
      </c>
      <c r="H5736">
        <f t="shared" ca="1" si="97"/>
        <v>-1.43883120069252E-2</v>
      </c>
    </row>
    <row r="5737" spans="7:8">
      <c r="G5737">
        <v>5727</v>
      </c>
      <c r="H5737">
        <f t="shared" ca="1" si="97"/>
        <v>2.6772715083879357E-2</v>
      </c>
    </row>
    <row r="5738" spans="7:8">
      <c r="G5738">
        <v>5728</v>
      </c>
      <c r="H5738">
        <f t="shared" ca="1" si="97"/>
        <v>4.8953567189934039E-3</v>
      </c>
    </row>
    <row r="5739" spans="7:8">
      <c r="G5739">
        <v>5729</v>
      </c>
      <c r="H5739">
        <f t="shared" ca="1" si="97"/>
        <v>-2.4821068222425129E-2</v>
      </c>
    </row>
    <row r="5740" spans="7:8">
      <c r="G5740">
        <v>5730</v>
      </c>
      <c r="H5740">
        <f t="shared" ca="1" si="97"/>
        <v>3.6106669763581199E-2</v>
      </c>
    </row>
    <row r="5741" spans="7:8">
      <c r="G5741">
        <v>5731</v>
      </c>
      <c r="H5741">
        <f t="shared" ca="1" si="97"/>
        <v>-2.8119584116442192E-2</v>
      </c>
    </row>
    <row r="5742" spans="7:8">
      <c r="G5742">
        <v>5732</v>
      </c>
      <c r="H5742">
        <f t="shared" ca="1" si="97"/>
        <v>2.7488726200639073E-2</v>
      </c>
    </row>
    <row r="5743" spans="7:8">
      <c r="G5743">
        <v>5733</v>
      </c>
      <c r="H5743">
        <f t="shared" ca="1" si="97"/>
        <v>-4.9838880107252121E-3</v>
      </c>
    </row>
    <row r="5744" spans="7:8">
      <c r="G5744">
        <v>5734</v>
      </c>
      <c r="H5744">
        <f t="shared" ca="1" si="97"/>
        <v>-2.4032700712953731E-2</v>
      </c>
    </row>
    <row r="5745" spans="7:8">
      <c r="G5745">
        <v>5735</v>
      </c>
      <c r="H5745">
        <f t="shared" ca="1" si="97"/>
        <v>7.6546608660440791E-4</v>
      </c>
    </row>
    <row r="5746" spans="7:8">
      <c r="G5746">
        <v>5736</v>
      </c>
      <c r="H5746">
        <f t="shared" ca="1" si="97"/>
        <v>-1.1898655098077603E-2</v>
      </c>
    </row>
    <row r="5747" spans="7:8">
      <c r="G5747">
        <v>5737</v>
      </c>
      <c r="H5747">
        <f t="shared" ca="1" si="97"/>
        <v>-2.3588619698150879E-3</v>
      </c>
    </row>
    <row r="5748" spans="7:8">
      <c r="G5748">
        <v>5738</v>
      </c>
      <c r="H5748">
        <f t="shared" ca="1" si="97"/>
        <v>1.0442857733539698E-2</v>
      </c>
    </row>
    <row r="5749" spans="7:8">
      <c r="G5749">
        <v>5739</v>
      </c>
      <c r="H5749">
        <f t="shared" ca="1" si="97"/>
        <v>-2.2349682154467612E-2</v>
      </c>
    </row>
    <row r="5750" spans="7:8">
      <c r="G5750">
        <v>5740</v>
      </c>
      <c r="H5750">
        <f t="shared" ca="1" si="97"/>
        <v>-1.2329624507934163E-2</v>
      </c>
    </row>
    <row r="5751" spans="7:8">
      <c r="G5751">
        <v>5741</v>
      </c>
      <c r="H5751">
        <f t="shared" ca="1" si="97"/>
        <v>3.2272030192547277E-2</v>
      </c>
    </row>
    <row r="5752" spans="7:8">
      <c r="G5752">
        <v>5742</v>
      </c>
      <c r="H5752">
        <f t="shared" ca="1" si="97"/>
        <v>-2.4507078155956061E-3</v>
      </c>
    </row>
    <row r="5753" spans="7:8">
      <c r="G5753">
        <v>5743</v>
      </c>
      <c r="H5753">
        <f t="shared" ca="1" si="97"/>
        <v>-3.1962364477635917E-2</v>
      </c>
    </row>
    <row r="5754" spans="7:8">
      <c r="G5754">
        <v>5744</v>
      </c>
      <c r="H5754">
        <f t="shared" ca="1" si="97"/>
        <v>-3.3070752946910116E-3</v>
      </c>
    </row>
    <row r="5755" spans="7:8">
      <c r="G5755">
        <v>5745</v>
      </c>
      <c r="H5755">
        <f t="shared" ca="1" si="97"/>
        <v>1.4730735424199445E-2</v>
      </c>
    </row>
    <row r="5756" spans="7:8">
      <c r="G5756">
        <v>5746</v>
      </c>
      <c r="H5756">
        <f t="shared" ca="1" si="97"/>
        <v>-9.649465131611289E-3</v>
      </c>
    </row>
    <row r="5757" spans="7:8">
      <c r="G5757">
        <v>5747</v>
      </c>
      <c r="H5757">
        <f t="shared" ca="1" si="97"/>
        <v>-1.7416581538825374E-2</v>
      </c>
    </row>
    <row r="5758" spans="7:8">
      <c r="G5758">
        <v>5748</v>
      </c>
      <c r="H5758">
        <f t="shared" ca="1" si="97"/>
        <v>-1.6503252117746833E-2</v>
      </c>
    </row>
    <row r="5759" spans="7:8">
      <c r="G5759">
        <v>5749</v>
      </c>
      <c r="H5759">
        <f t="shared" ca="1" si="97"/>
        <v>-1.8354937259001017E-2</v>
      </c>
    </row>
    <row r="5760" spans="7:8">
      <c r="G5760">
        <v>5750</v>
      </c>
      <c r="H5760">
        <f t="shared" ca="1" si="97"/>
        <v>2.4691917727765963E-2</v>
      </c>
    </row>
    <row r="5761" spans="7:8">
      <c r="G5761">
        <v>5751</v>
      </c>
      <c r="H5761">
        <f t="shared" ca="1" si="97"/>
        <v>-2.4794621686460412E-2</v>
      </c>
    </row>
    <row r="5762" spans="7:8">
      <c r="G5762">
        <v>5752</v>
      </c>
      <c r="H5762">
        <f t="shared" ca="1" si="97"/>
        <v>1.5686708811824455E-2</v>
      </c>
    </row>
    <row r="5763" spans="7:8">
      <c r="G5763">
        <v>5753</v>
      </c>
      <c r="H5763">
        <f t="shared" ca="1" si="97"/>
        <v>2.9091394955727988E-3</v>
      </c>
    </row>
    <row r="5764" spans="7:8">
      <c r="G5764">
        <v>5754</v>
      </c>
      <c r="H5764">
        <f t="shared" ca="1" si="97"/>
        <v>-5.8523532435763588E-2</v>
      </c>
    </row>
    <row r="5765" spans="7:8">
      <c r="G5765">
        <v>5755</v>
      </c>
      <c r="H5765">
        <f t="shared" ca="1" si="97"/>
        <v>-4.2232405591721058E-3</v>
      </c>
    </row>
    <row r="5766" spans="7:8">
      <c r="G5766">
        <v>5756</v>
      </c>
      <c r="H5766">
        <f t="shared" ca="1" si="97"/>
        <v>3.4058115259314736E-2</v>
      </c>
    </row>
    <row r="5767" spans="7:8">
      <c r="G5767">
        <v>5757</v>
      </c>
      <c r="H5767">
        <f t="shared" ca="1" si="97"/>
        <v>-2.2413639322524142E-2</v>
      </c>
    </row>
    <row r="5768" spans="7:8">
      <c r="G5768">
        <v>5758</v>
      </c>
      <c r="H5768">
        <f t="shared" ca="1" si="97"/>
        <v>-1.8943738012774332E-2</v>
      </c>
    </row>
    <row r="5769" spans="7:8">
      <c r="G5769">
        <v>5759</v>
      </c>
      <c r="H5769">
        <f t="shared" ca="1" si="97"/>
        <v>6.183224022550788E-2</v>
      </c>
    </row>
    <row r="5770" spans="7:8">
      <c r="G5770">
        <v>5760</v>
      </c>
      <c r="H5770">
        <f t="shared" ca="1" si="97"/>
        <v>1.1411052327784091E-2</v>
      </c>
    </row>
    <row r="5771" spans="7:8">
      <c r="G5771">
        <v>5761</v>
      </c>
      <c r="H5771">
        <f t="shared" ca="1" si="97"/>
        <v>-1.0967519023953683E-2</v>
      </c>
    </row>
    <row r="5772" spans="7:8">
      <c r="G5772">
        <v>5762</v>
      </c>
      <c r="H5772">
        <f t="shared" ref="H5772:H5835" ca="1" si="98">_xlfn.NORM.INV(RAND(),N$13,N$14)</f>
        <v>3.7944961582129136E-2</v>
      </c>
    </row>
    <row r="5773" spans="7:8">
      <c r="G5773">
        <v>5763</v>
      </c>
      <c r="H5773">
        <f t="shared" ca="1" si="98"/>
        <v>-1.787016762402124E-2</v>
      </c>
    </row>
    <row r="5774" spans="7:8">
      <c r="G5774">
        <v>5764</v>
      </c>
      <c r="H5774">
        <f t="shared" ca="1" si="98"/>
        <v>2.089985410349525E-2</v>
      </c>
    </row>
    <row r="5775" spans="7:8">
      <c r="G5775">
        <v>5765</v>
      </c>
      <c r="H5775">
        <f t="shared" ca="1" si="98"/>
        <v>1.4221524282979228E-2</v>
      </c>
    </row>
    <row r="5776" spans="7:8">
      <c r="G5776">
        <v>5766</v>
      </c>
      <c r="H5776">
        <f t="shared" ca="1" si="98"/>
        <v>4.9716325809850824E-2</v>
      </c>
    </row>
    <row r="5777" spans="7:8">
      <c r="G5777">
        <v>5767</v>
      </c>
      <c r="H5777">
        <f t="shared" ca="1" si="98"/>
        <v>-3.3154286212878129E-3</v>
      </c>
    </row>
    <row r="5778" spans="7:8">
      <c r="G5778">
        <v>5768</v>
      </c>
      <c r="H5778">
        <f t="shared" ca="1" si="98"/>
        <v>5.137269846576799E-3</v>
      </c>
    </row>
    <row r="5779" spans="7:8">
      <c r="G5779">
        <v>5769</v>
      </c>
      <c r="H5779">
        <f t="shared" ca="1" si="98"/>
        <v>-3.9323867370113556E-2</v>
      </c>
    </row>
    <row r="5780" spans="7:8">
      <c r="G5780">
        <v>5770</v>
      </c>
      <c r="H5780">
        <f t="shared" ca="1" si="98"/>
        <v>1.4048816984539265E-2</v>
      </c>
    </row>
    <row r="5781" spans="7:8">
      <c r="G5781">
        <v>5771</v>
      </c>
      <c r="H5781">
        <f t="shared" ca="1" si="98"/>
        <v>-2.9802187516203026E-2</v>
      </c>
    </row>
    <row r="5782" spans="7:8">
      <c r="G5782">
        <v>5772</v>
      </c>
      <c r="H5782">
        <f t="shared" ca="1" si="98"/>
        <v>2.9304695121191247E-3</v>
      </c>
    </row>
    <row r="5783" spans="7:8">
      <c r="G5783">
        <v>5773</v>
      </c>
      <c r="H5783">
        <f t="shared" ca="1" si="98"/>
        <v>2.3568364262255951E-2</v>
      </c>
    </row>
    <row r="5784" spans="7:8">
      <c r="G5784">
        <v>5774</v>
      </c>
      <c r="H5784">
        <f t="shared" ca="1" si="98"/>
        <v>-2.976536131206416E-2</v>
      </c>
    </row>
    <row r="5785" spans="7:8">
      <c r="G5785">
        <v>5775</v>
      </c>
      <c r="H5785">
        <f t="shared" ca="1" si="98"/>
        <v>-2.5465624894255513E-3</v>
      </c>
    </row>
    <row r="5786" spans="7:8">
      <c r="G5786">
        <v>5776</v>
      </c>
      <c r="H5786">
        <f t="shared" ca="1" si="98"/>
        <v>-1.8446482199186157E-2</v>
      </c>
    </row>
    <row r="5787" spans="7:8">
      <c r="G5787">
        <v>5777</v>
      </c>
      <c r="H5787">
        <f t="shared" ca="1" si="98"/>
        <v>1.1431073655601741E-2</v>
      </c>
    </row>
    <row r="5788" spans="7:8">
      <c r="G5788">
        <v>5778</v>
      </c>
      <c r="H5788">
        <f t="shared" ca="1" si="98"/>
        <v>-2.6775316326569591E-2</v>
      </c>
    </row>
    <row r="5789" spans="7:8">
      <c r="G5789">
        <v>5779</v>
      </c>
      <c r="H5789">
        <f t="shared" ca="1" si="98"/>
        <v>-1.0071704806640177E-2</v>
      </c>
    </row>
    <row r="5790" spans="7:8">
      <c r="G5790">
        <v>5780</v>
      </c>
      <c r="H5790">
        <f t="shared" ca="1" si="98"/>
        <v>2.2980222912726323E-2</v>
      </c>
    </row>
    <row r="5791" spans="7:8">
      <c r="G5791">
        <v>5781</v>
      </c>
      <c r="H5791">
        <f t="shared" ca="1" si="98"/>
        <v>-1.0131927432041542E-2</v>
      </c>
    </row>
    <row r="5792" spans="7:8">
      <c r="G5792">
        <v>5782</v>
      </c>
      <c r="H5792">
        <f t="shared" ca="1" si="98"/>
        <v>1.8427589762749608E-2</v>
      </c>
    </row>
    <row r="5793" spans="7:8">
      <c r="G5793">
        <v>5783</v>
      </c>
      <c r="H5793">
        <f t="shared" ca="1" si="98"/>
        <v>-5.3223584425337407E-3</v>
      </c>
    </row>
    <row r="5794" spans="7:8">
      <c r="G5794">
        <v>5784</v>
      </c>
      <c r="H5794">
        <f t="shared" ca="1" si="98"/>
        <v>-1.1158420030353701E-2</v>
      </c>
    </row>
    <row r="5795" spans="7:8">
      <c r="G5795">
        <v>5785</v>
      </c>
      <c r="H5795">
        <f t="shared" ca="1" si="98"/>
        <v>-3.970307261600798E-2</v>
      </c>
    </row>
    <row r="5796" spans="7:8">
      <c r="G5796">
        <v>5786</v>
      </c>
      <c r="H5796">
        <f t="shared" ca="1" si="98"/>
        <v>1.1054433120045488E-2</v>
      </c>
    </row>
    <row r="5797" spans="7:8">
      <c r="G5797">
        <v>5787</v>
      </c>
      <c r="H5797">
        <f t="shared" ca="1" si="98"/>
        <v>-3.5567565548714368E-2</v>
      </c>
    </row>
    <row r="5798" spans="7:8">
      <c r="G5798">
        <v>5788</v>
      </c>
      <c r="H5798">
        <f t="shared" ca="1" si="98"/>
        <v>-1.8914633009880756E-2</v>
      </c>
    </row>
    <row r="5799" spans="7:8">
      <c r="G5799">
        <v>5789</v>
      </c>
      <c r="H5799">
        <f t="shared" ca="1" si="98"/>
        <v>5.3671566552892347E-2</v>
      </c>
    </row>
    <row r="5800" spans="7:8">
      <c r="G5800">
        <v>5790</v>
      </c>
      <c r="H5800">
        <f t="shared" ca="1" si="98"/>
        <v>2.0735427892210976E-2</v>
      </c>
    </row>
    <row r="5801" spans="7:8">
      <c r="G5801">
        <v>5791</v>
      </c>
      <c r="H5801">
        <f t="shared" ca="1" si="98"/>
        <v>1.2910463771371616E-2</v>
      </c>
    </row>
    <row r="5802" spans="7:8">
      <c r="G5802">
        <v>5792</v>
      </c>
      <c r="H5802">
        <f t="shared" ca="1" si="98"/>
        <v>6.301244067041494E-3</v>
      </c>
    </row>
    <row r="5803" spans="7:8">
      <c r="G5803">
        <v>5793</v>
      </c>
      <c r="H5803">
        <f t="shared" ca="1" si="98"/>
        <v>3.315711421782358E-2</v>
      </c>
    </row>
    <row r="5804" spans="7:8">
      <c r="G5804">
        <v>5794</v>
      </c>
      <c r="H5804">
        <f t="shared" ca="1" si="98"/>
        <v>3.8550678284969791E-3</v>
      </c>
    </row>
    <row r="5805" spans="7:8">
      <c r="G5805">
        <v>5795</v>
      </c>
      <c r="H5805">
        <f t="shared" ca="1" si="98"/>
        <v>2.5344657767412085E-2</v>
      </c>
    </row>
    <row r="5806" spans="7:8">
      <c r="G5806">
        <v>5796</v>
      </c>
      <c r="H5806">
        <f t="shared" ca="1" si="98"/>
        <v>-2.1121989854727008E-4</v>
      </c>
    </row>
    <row r="5807" spans="7:8">
      <c r="G5807">
        <v>5797</v>
      </c>
      <c r="H5807">
        <f t="shared" ca="1" si="98"/>
        <v>-3.8514525084696626E-2</v>
      </c>
    </row>
    <row r="5808" spans="7:8">
      <c r="G5808">
        <v>5798</v>
      </c>
      <c r="H5808">
        <f t="shared" ca="1" si="98"/>
        <v>-1.8286084505936776E-2</v>
      </c>
    </row>
    <row r="5809" spans="7:8">
      <c r="G5809">
        <v>5799</v>
      </c>
      <c r="H5809">
        <f t="shared" ca="1" si="98"/>
        <v>3.1040816018064618E-2</v>
      </c>
    </row>
    <row r="5810" spans="7:8">
      <c r="G5810">
        <v>5800</v>
      </c>
      <c r="H5810">
        <f t="shared" ca="1" si="98"/>
        <v>-3.6008945488358778E-2</v>
      </c>
    </row>
    <row r="5811" spans="7:8">
      <c r="G5811">
        <v>5801</v>
      </c>
      <c r="H5811">
        <f t="shared" ca="1" si="98"/>
        <v>1.68117639492937E-2</v>
      </c>
    </row>
    <row r="5812" spans="7:8">
      <c r="G5812">
        <v>5802</v>
      </c>
      <c r="H5812">
        <f t="shared" ca="1" si="98"/>
        <v>-5.1310233027663688E-2</v>
      </c>
    </row>
    <row r="5813" spans="7:8">
      <c r="G5813">
        <v>5803</v>
      </c>
      <c r="H5813">
        <f t="shared" ca="1" si="98"/>
        <v>-2.6422133122641002E-2</v>
      </c>
    </row>
    <row r="5814" spans="7:8">
      <c r="G5814">
        <v>5804</v>
      </c>
      <c r="H5814">
        <f t="shared" ca="1" si="98"/>
        <v>3.1687079401916764E-2</v>
      </c>
    </row>
    <row r="5815" spans="7:8">
      <c r="G5815">
        <v>5805</v>
      </c>
      <c r="H5815">
        <f t="shared" ca="1" si="98"/>
        <v>-3.0174773024268617E-2</v>
      </c>
    </row>
    <row r="5816" spans="7:8">
      <c r="G5816">
        <v>5806</v>
      </c>
      <c r="H5816">
        <f t="shared" ca="1" si="98"/>
        <v>-5.3192347833936976E-2</v>
      </c>
    </row>
    <row r="5817" spans="7:8">
      <c r="G5817">
        <v>5807</v>
      </c>
      <c r="H5817">
        <f t="shared" ca="1" si="98"/>
        <v>-1.2076583446025432E-2</v>
      </c>
    </row>
    <row r="5818" spans="7:8">
      <c r="G5818">
        <v>5808</v>
      </c>
      <c r="H5818">
        <f t="shared" ca="1" si="98"/>
        <v>2.0203893635287653E-3</v>
      </c>
    </row>
    <row r="5819" spans="7:8">
      <c r="G5819">
        <v>5809</v>
      </c>
      <c r="H5819">
        <f t="shared" ca="1" si="98"/>
        <v>2.5339516147614952E-3</v>
      </c>
    </row>
    <row r="5820" spans="7:8">
      <c r="G5820">
        <v>5810</v>
      </c>
      <c r="H5820">
        <f t="shared" ca="1" si="98"/>
        <v>-1.7144802278034558E-2</v>
      </c>
    </row>
    <row r="5821" spans="7:8">
      <c r="G5821">
        <v>5811</v>
      </c>
      <c r="H5821">
        <f t="shared" ca="1" si="98"/>
        <v>-1.1379030949389682E-3</v>
      </c>
    </row>
    <row r="5822" spans="7:8">
      <c r="G5822">
        <v>5812</v>
      </c>
      <c r="H5822">
        <f t="shared" ca="1" si="98"/>
        <v>2.4097799037000045E-3</v>
      </c>
    </row>
    <row r="5823" spans="7:8">
      <c r="G5823">
        <v>5813</v>
      </c>
      <c r="H5823">
        <f t="shared" ca="1" si="98"/>
        <v>-1.6189637732612135E-3</v>
      </c>
    </row>
    <row r="5824" spans="7:8">
      <c r="G5824">
        <v>5814</v>
      </c>
      <c r="H5824">
        <f t="shared" ca="1" si="98"/>
        <v>-1.7142994932698236E-2</v>
      </c>
    </row>
    <row r="5825" spans="7:8">
      <c r="G5825">
        <v>5815</v>
      </c>
      <c r="H5825">
        <f t="shared" ca="1" si="98"/>
        <v>-3.3988326941632382E-2</v>
      </c>
    </row>
    <row r="5826" spans="7:8">
      <c r="G5826">
        <v>5816</v>
      </c>
      <c r="H5826">
        <f t="shared" ca="1" si="98"/>
        <v>-2.8076785738988482E-3</v>
      </c>
    </row>
    <row r="5827" spans="7:8">
      <c r="G5827">
        <v>5817</v>
      </c>
      <c r="H5827">
        <f t="shared" ca="1" si="98"/>
        <v>1.3087043478195552E-2</v>
      </c>
    </row>
    <row r="5828" spans="7:8">
      <c r="G5828">
        <v>5818</v>
      </c>
      <c r="H5828">
        <f t="shared" ca="1" si="98"/>
        <v>-2.479573572082969E-2</v>
      </c>
    </row>
    <row r="5829" spans="7:8">
      <c r="G5829">
        <v>5819</v>
      </c>
      <c r="H5829">
        <f t="shared" ca="1" si="98"/>
        <v>2.6723230827065608E-2</v>
      </c>
    </row>
    <row r="5830" spans="7:8">
      <c r="G5830">
        <v>5820</v>
      </c>
      <c r="H5830">
        <f t="shared" ca="1" si="98"/>
        <v>4.417050991407008E-2</v>
      </c>
    </row>
    <row r="5831" spans="7:8">
      <c r="G5831">
        <v>5821</v>
      </c>
      <c r="H5831">
        <f t="shared" ca="1" si="98"/>
        <v>-4.0916191249204155E-2</v>
      </c>
    </row>
    <row r="5832" spans="7:8">
      <c r="G5832">
        <v>5822</v>
      </c>
      <c r="H5832">
        <f t="shared" ca="1" si="98"/>
        <v>1.9760594668194512E-3</v>
      </c>
    </row>
    <row r="5833" spans="7:8">
      <c r="G5833">
        <v>5823</v>
      </c>
      <c r="H5833">
        <f t="shared" ca="1" si="98"/>
        <v>3.0091037448622647E-2</v>
      </c>
    </row>
    <row r="5834" spans="7:8">
      <c r="G5834">
        <v>5824</v>
      </c>
      <c r="H5834">
        <f t="shared" ca="1" si="98"/>
        <v>-2.7021099349412107E-2</v>
      </c>
    </row>
    <row r="5835" spans="7:8">
      <c r="G5835">
        <v>5825</v>
      </c>
      <c r="H5835">
        <f t="shared" ca="1" si="98"/>
        <v>5.2359893075230764E-2</v>
      </c>
    </row>
    <row r="5836" spans="7:8">
      <c r="G5836">
        <v>5826</v>
      </c>
      <c r="H5836">
        <f t="shared" ref="H5836:H5899" ca="1" si="99">_xlfn.NORM.INV(RAND(),N$13,N$14)</f>
        <v>2.5512422028651293E-2</v>
      </c>
    </row>
    <row r="5837" spans="7:8">
      <c r="G5837">
        <v>5827</v>
      </c>
      <c r="H5837">
        <f t="shared" ca="1" si="99"/>
        <v>-8.6525575441016734E-3</v>
      </c>
    </row>
    <row r="5838" spans="7:8">
      <c r="G5838">
        <v>5828</v>
      </c>
      <c r="H5838">
        <f t="shared" ca="1" si="99"/>
        <v>-1.9604811597695896E-2</v>
      </c>
    </row>
    <row r="5839" spans="7:8">
      <c r="G5839">
        <v>5829</v>
      </c>
      <c r="H5839">
        <f t="shared" ca="1" si="99"/>
        <v>-1.0529706615013392E-3</v>
      </c>
    </row>
    <row r="5840" spans="7:8">
      <c r="G5840">
        <v>5830</v>
      </c>
      <c r="H5840">
        <f t="shared" ca="1" si="99"/>
        <v>-6.9820466190943465E-3</v>
      </c>
    </row>
    <row r="5841" spans="7:8">
      <c r="G5841">
        <v>5831</v>
      </c>
      <c r="H5841">
        <f t="shared" ca="1" si="99"/>
        <v>-4.5621873840861138E-2</v>
      </c>
    </row>
    <row r="5842" spans="7:8">
      <c r="G5842">
        <v>5832</v>
      </c>
      <c r="H5842">
        <f t="shared" ca="1" si="99"/>
        <v>-2.1942688622555036E-3</v>
      </c>
    </row>
    <row r="5843" spans="7:8">
      <c r="G5843">
        <v>5833</v>
      </c>
      <c r="H5843">
        <f t="shared" ca="1" si="99"/>
        <v>4.3124892500000941E-2</v>
      </c>
    </row>
    <row r="5844" spans="7:8">
      <c r="G5844">
        <v>5834</v>
      </c>
      <c r="H5844">
        <f t="shared" ca="1" si="99"/>
        <v>2.1837842425426773E-2</v>
      </c>
    </row>
    <row r="5845" spans="7:8">
      <c r="G5845">
        <v>5835</v>
      </c>
      <c r="H5845">
        <f t="shared" ca="1" si="99"/>
        <v>-2.3264693274669637E-2</v>
      </c>
    </row>
    <row r="5846" spans="7:8">
      <c r="G5846">
        <v>5836</v>
      </c>
      <c r="H5846">
        <f t="shared" ca="1" si="99"/>
        <v>1.5933565467074834E-2</v>
      </c>
    </row>
    <row r="5847" spans="7:8">
      <c r="G5847">
        <v>5837</v>
      </c>
      <c r="H5847">
        <f t="shared" ca="1" si="99"/>
        <v>-1.3962514689317761E-2</v>
      </c>
    </row>
    <row r="5848" spans="7:8">
      <c r="G5848">
        <v>5838</v>
      </c>
      <c r="H5848">
        <f t="shared" ca="1" si="99"/>
        <v>-2.2668341027045489E-2</v>
      </c>
    </row>
    <row r="5849" spans="7:8">
      <c r="G5849">
        <v>5839</v>
      </c>
      <c r="H5849">
        <f t="shared" ca="1" si="99"/>
        <v>-9.0925407094588767E-3</v>
      </c>
    </row>
    <row r="5850" spans="7:8">
      <c r="G5850">
        <v>5840</v>
      </c>
      <c r="H5850">
        <f t="shared" ca="1" si="99"/>
        <v>2.0062434257171056E-2</v>
      </c>
    </row>
    <row r="5851" spans="7:8">
      <c r="G5851">
        <v>5841</v>
      </c>
      <c r="H5851">
        <f t="shared" ca="1" si="99"/>
        <v>-1.5170204361611208E-2</v>
      </c>
    </row>
    <row r="5852" spans="7:8">
      <c r="G5852">
        <v>5842</v>
      </c>
      <c r="H5852">
        <f t="shared" ca="1" si="99"/>
        <v>-8.9723601199664764E-3</v>
      </c>
    </row>
    <row r="5853" spans="7:8">
      <c r="G5853">
        <v>5843</v>
      </c>
      <c r="H5853">
        <f t="shared" ca="1" si="99"/>
        <v>2.1384325721175587E-2</v>
      </c>
    </row>
    <row r="5854" spans="7:8">
      <c r="G5854">
        <v>5844</v>
      </c>
      <c r="H5854">
        <f t="shared" ca="1" si="99"/>
        <v>-4.2730749051311682E-2</v>
      </c>
    </row>
    <row r="5855" spans="7:8">
      <c r="G5855">
        <v>5845</v>
      </c>
      <c r="H5855">
        <f t="shared" ca="1" si="99"/>
        <v>-1.1861069263877018E-2</v>
      </c>
    </row>
    <row r="5856" spans="7:8">
      <c r="G5856">
        <v>5846</v>
      </c>
      <c r="H5856">
        <f t="shared" ca="1" si="99"/>
        <v>3.3302285877577352E-2</v>
      </c>
    </row>
    <row r="5857" spans="7:8">
      <c r="G5857">
        <v>5847</v>
      </c>
      <c r="H5857">
        <f t="shared" ca="1" si="99"/>
        <v>-1.7958374356727522E-2</v>
      </c>
    </row>
    <row r="5858" spans="7:8">
      <c r="G5858">
        <v>5848</v>
      </c>
      <c r="H5858">
        <f t="shared" ca="1" si="99"/>
        <v>1.6146918044571842E-2</v>
      </c>
    </row>
    <row r="5859" spans="7:8">
      <c r="G5859">
        <v>5849</v>
      </c>
      <c r="H5859">
        <f t="shared" ca="1" si="99"/>
        <v>2.1351166019195091E-2</v>
      </c>
    </row>
    <row r="5860" spans="7:8">
      <c r="G5860">
        <v>5850</v>
      </c>
      <c r="H5860">
        <f t="shared" ca="1" si="99"/>
        <v>-3.1919357944804341E-2</v>
      </c>
    </row>
    <row r="5861" spans="7:8">
      <c r="G5861">
        <v>5851</v>
      </c>
      <c r="H5861">
        <f t="shared" ca="1" si="99"/>
        <v>-4.0526101025249749E-2</v>
      </c>
    </row>
    <row r="5862" spans="7:8">
      <c r="G5862">
        <v>5852</v>
      </c>
      <c r="H5862">
        <f t="shared" ca="1" si="99"/>
        <v>1.4348087748081686E-2</v>
      </c>
    </row>
    <row r="5863" spans="7:8">
      <c r="G5863">
        <v>5853</v>
      </c>
      <c r="H5863">
        <f t="shared" ca="1" si="99"/>
        <v>5.3225112014562998E-3</v>
      </c>
    </row>
    <row r="5864" spans="7:8">
      <c r="G5864">
        <v>5854</v>
      </c>
      <c r="H5864">
        <f t="shared" ca="1" si="99"/>
        <v>-2.3279411068667717E-2</v>
      </c>
    </row>
    <row r="5865" spans="7:8">
      <c r="G5865">
        <v>5855</v>
      </c>
      <c r="H5865">
        <f t="shared" ca="1" si="99"/>
        <v>-2.9568341606331233E-2</v>
      </c>
    </row>
    <row r="5866" spans="7:8">
      <c r="G5866">
        <v>5856</v>
      </c>
      <c r="H5866">
        <f t="shared" ca="1" si="99"/>
        <v>2.7007488536646987E-2</v>
      </c>
    </row>
    <row r="5867" spans="7:8">
      <c r="G5867">
        <v>5857</v>
      </c>
      <c r="H5867">
        <f t="shared" ca="1" si="99"/>
        <v>-4.670053107704999E-3</v>
      </c>
    </row>
    <row r="5868" spans="7:8">
      <c r="G5868">
        <v>5858</v>
      </c>
      <c r="H5868">
        <f t="shared" ca="1" si="99"/>
        <v>-3.3673568287294765E-2</v>
      </c>
    </row>
    <row r="5869" spans="7:8">
      <c r="G5869">
        <v>5859</v>
      </c>
      <c r="H5869">
        <f t="shared" ca="1" si="99"/>
        <v>2.0139290724729632E-3</v>
      </c>
    </row>
    <row r="5870" spans="7:8">
      <c r="G5870">
        <v>5860</v>
      </c>
      <c r="H5870">
        <f t="shared" ca="1" si="99"/>
        <v>-8.3789084187579285E-3</v>
      </c>
    </row>
    <row r="5871" spans="7:8">
      <c r="G5871">
        <v>5861</v>
      </c>
      <c r="H5871">
        <f t="shared" ca="1" si="99"/>
        <v>1.5343801916656579E-2</v>
      </c>
    </row>
    <row r="5872" spans="7:8">
      <c r="G5872">
        <v>5862</v>
      </c>
      <c r="H5872">
        <f t="shared" ca="1" si="99"/>
        <v>1.2261448616940705E-2</v>
      </c>
    </row>
    <row r="5873" spans="7:8">
      <c r="G5873">
        <v>5863</v>
      </c>
      <c r="H5873">
        <f t="shared" ca="1" si="99"/>
        <v>3.759192822067E-2</v>
      </c>
    </row>
    <row r="5874" spans="7:8">
      <c r="G5874">
        <v>5864</v>
      </c>
      <c r="H5874">
        <f t="shared" ca="1" si="99"/>
        <v>-2.2447701896488158E-3</v>
      </c>
    </row>
    <row r="5875" spans="7:8">
      <c r="G5875">
        <v>5865</v>
      </c>
      <c r="H5875">
        <f t="shared" ca="1" si="99"/>
        <v>-1.6075416802198362E-2</v>
      </c>
    </row>
    <row r="5876" spans="7:8">
      <c r="G5876">
        <v>5866</v>
      </c>
      <c r="H5876">
        <f t="shared" ca="1" si="99"/>
        <v>3.3282530955477868E-2</v>
      </c>
    </row>
    <row r="5877" spans="7:8">
      <c r="G5877">
        <v>5867</v>
      </c>
      <c r="H5877">
        <f t="shared" ca="1" si="99"/>
        <v>-3.7814723545343411E-2</v>
      </c>
    </row>
    <row r="5878" spans="7:8">
      <c r="G5878">
        <v>5868</v>
      </c>
      <c r="H5878">
        <f t="shared" ca="1" si="99"/>
        <v>-5.1578906549100724E-2</v>
      </c>
    </row>
    <row r="5879" spans="7:8">
      <c r="G5879">
        <v>5869</v>
      </c>
      <c r="H5879">
        <f t="shared" ca="1" si="99"/>
        <v>1.599046518094787E-2</v>
      </c>
    </row>
    <row r="5880" spans="7:8">
      <c r="G5880">
        <v>5870</v>
      </c>
      <c r="H5880">
        <f t="shared" ca="1" si="99"/>
        <v>7.4978863943606913E-3</v>
      </c>
    </row>
    <row r="5881" spans="7:8">
      <c r="G5881">
        <v>5871</v>
      </c>
      <c r="H5881">
        <f t="shared" ca="1" si="99"/>
        <v>2.4794221259218503E-2</v>
      </c>
    </row>
    <row r="5882" spans="7:8">
      <c r="G5882">
        <v>5872</v>
      </c>
      <c r="H5882">
        <f t="shared" ca="1" si="99"/>
        <v>-9.8487732827661611E-3</v>
      </c>
    </row>
    <row r="5883" spans="7:8">
      <c r="G5883">
        <v>5873</v>
      </c>
      <c r="H5883">
        <f t="shared" ca="1" si="99"/>
        <v>2.4698856498397648E-2</v>
      </c>
    </row>
    <row r="5884" spans="7:8">
      <c r="G5884">
        <v>5874</v>
      </c>
      <c r="H5884">
        <f t="shared" ca="1" si="99"/>
        <v>4.5090058386292294E-3</v>
      </c>
    </row>
    <row r="5885" spans="7:8">
      <c r="G5885">
        <v>5875</v>
      </c>
      <c r="H5885">
        <f t="shared" ca="1" si="99"/>
        <v>3.1455795226289739E-2</v>
      </c>
    </row>
    <row r="5886" spans="7:8">
      <c r="G5886">
        <v>5876</v>
      </c>
      <c r="H5886">
        <f t="shared" ca="1" si="99"/>
        <v>9.8807715246164354E-4</v>
      </c>
    </row>
    <row r="5887" spans="7:8">
      <c r="G5887">
        <v>5877</v>
      </c>
      <c r="H5887">
        <f t="shared" ca="1" si="99"/>
        <v>7.7146264621790602E-3</v>
      </c>
    </row>
    <row r="5888" spans="7:8">
      <c r="G5888">
        <v>5878</v>
      </c>
      <c r="H5888">
        <f t="shared" ca="1" si="99"/>
        <v>5.8532517498419492E-3</v>
      </c>
    </row>
    <row r="5889" spans="7:8">
      <c r="G5889">
        <v>5879</v>
      </c>
      <c r="H5889">
        <f t="shared" ca="1" si="99"/>
        <v>-4.8982375937565862E-3</v>
      </c>
    </row>
    <row r="5890" spans="7:8">
      <c r="G5890">
        <v>5880</v>
      </c>
      <c r="H5890">
        <f t="shared" ca="1" si="99"/>
        <v>1.5601380753462492E-2</v>
      </c>
    </row>
    <row r="5891" spans="7:8">
      <c r="G5891">
        <v>5881</v>
      </c>
      <c r="H5891">
        <f t="shared" ca="1" si="99"/>
        <v>2.8317950677420319E-2</v>
      </c>
    </row>
    <row r="5892" spans="7:8">
      <c r="G5892">
        <v>5882</v>
      </c>
      <c r="H5892">
        <f t="shared" ca="1" si="99"/>
        <v>-1.5501099565653494E-2</v>
      </c>
    </row>
    <row r="5893" spans="7:8">
      <c r="G5893">
        <v>5883</v>
      </c>
      <c r="H5893">
        <f t="shared" ca="1" si="99"/>
        <v>1.1562980375069153E-2</v>
      </c>
    </row>
    <row r="5894" spans="7:8">
      <c r="G5894">
        <v>5884</v>
      </c>
      <c r="H5894">
        <f t="shared" ca="1" si="99"/>
        <v>-3.1301715762944653E-2</v>
      </c>
    </row>
    <row r="5895" spans="7:8">
      <c r="G5895">
        <v>5885</v>
      </c>
      <c r="H5895">
        <f t="shared" ca="1" si="99"/>
        <v>2.163454037544401E-2</v>
      </c>
    </row>
    <row r="5896" spans="7:8">
      <c r="G5896">
        <v>5886</v>
      </c>
      <c r="H5896">
        <f t="shared" ca="1" si="99"/>
        <v>-2.9772500066897776E-2</v>
      </c>
    </row>
    <row r="5897" spans="7:8">
      <c r="G5897">
        <v>5887</v>
      </c>
      <c r="H5897">
        <f t="shared" ca="1" si="99"/>
        <v>7.3438498718842076E-3</v>
      </c>
    </row>
    <row r="5898" spans="7:8">
      <c r="G5898">
        <v>5888</v>
      </c>
      <c r="H5898">
        <f t="shared" ca="1" si="99"/>
        <v>-5.1966567363545641E-3</v>
      </c>
    </row>
    <row r="5899" spans="7:8">
      <c r="G5899">
        <v>5889</v>
      </c>
      <c r="H5899">
        <f t="shared" ca="1" si="99"/>
        <v>-3.1638493342384735E-3</v>
      </c>
    </row>
    <row r="5900" spans="7:8">
      <c r="G5900">
        <v>5890</v>
      </c>
      <c r="H5900">
        <f t="shared" ref="H5900:H5963" ca="1" si="100">_xlfn.NORM.INV(RAND(),N$13,N$14)</f>
        <v>-3.9362873753020507E-2</v>
      </c>
    </row>
    <row r="5901" spans="7:8">
      <c r="G5901">
        <v>5891</v>
      </c>
      <c r="H5901">
        <f t="shared" ca="1" si="100"/>
        <v>-2.4640221791369675E-2</v>
      </c>
    </row>
    <row r="5902" spans="7:8">
      <c r="G5902">
        <v>5892</v>
      </c>
      <c r="H5902">
        <f t="shared" ca="1" si="100"/>
        <v>-2.3026825058224685E-3</v>
      </c>
    </row>
    <row r="5903" spans="7:8">
      <c r="G5903">
        <v>5893</v>
      </c>
      <c r="H5903">
        <f t="shared" ca="1" si="100"/>
        <v>4.0626389947111168E-3</v>
      </c>
    </row>
    <row r="5904" spans="7:8">
      <c r="G5904">
        <v>5894</v>
      </c>
      <c r="H5904">
        <f t="shared" ca="1" si="100"/>
        <v>1.6658904641669386E-2</v>
      </c>
    </row>
    <row r="5905" spans="7:8">
      <c r="G5905">
        <v>5895</v>
      </c>
      <c r="H5905">
        <f t="shared" ca="1" si="100"/>
        <v>3.1809897806191608E-3</v>
      </c>
    </row>
    <row r="5906" spans="7:8">
      <c r="G5906">
        <v>5896</v>
      </c>
      <c r="H5906">
        <f t="shared" ca="1" si="100"/>
        <v>-3.8843624448230869E-2</v>
      </c>
    </row>
    <row r="5907" spans="7:8">
      <c r="G5907">
        <v>5897</v>
      </c>
      <c r="H5907">
        <f t="shared" ca="1" si="100"/>
        <v>-8.404004376226638E-3</v>
      </c>
    </row>
    <row r="5908" spans="7:8">
      <c r="G5908">
        <v>5898</v>
      </c>
      <c r="H5908">
        <f t="shared" ca="1" si="100"/>
        <v>4.2961027411726419E-3</v>
      </c>
    </row>
    <row r="5909" spans="7:8">
      <c r="G5909">
        <v>5899</v>
      </c>
      <c r="H5909">
        <f t="shared" ca="1" si="100"/>
        <v>1.4632685799188755E-3</v>
      </c>
    </row>
    <row r="5910" spans="7:8">
      <c r="G5910">
        <v>5900</v>
      </c>
      <c r="H5910">
        <f t="shared" ca="1" si="100"/>
        <v>-5.1210814736827532E-3</v>
      </c>
    </row>
    <row r="5911" spans="7:8">
      <c r="G5911">
        <v>5901</v>
      </c>
      <c r="H5911">
        <f t="shared" ca="1" si="100"/>
        <v>-9.7587353712308787E-3</v>
      </c>
    </row>
    <row r="5912" spans="7:8">
      <c r="G5912">
        <v>5902</v>
      </c>
      <c r="H5912">
        <f t="shared" ca="1" si="100"/>
        <v>6.9362391319915812E-3</v>
      </c>
    </row>
    <row r="5913" spans="7:8">
      <c r="G5913">
        <v>5903</v>
      </c>
      <c r="H5913">
        <f t="shared" ca="1" si="100"/>
        <v>1.275841397419316E-2</v>
      </c>
    </row>
    <row r="5914" spans="7:8">
      <c r="G5914">
        <v>5904</v>
      </c>
      <c r="H5914">
        <f t="shared" ca="1" si="100"/>
        <v>3.9469292840179221E-3</v>
      </c>
    </row>
    <row r="5915" spans="7:8">
      <c r="G5915">
        <v>5905</v>
      </c>
      <c r="H5915">
        <f t="shared" ca="1" si="100"/>
        <v>-2.3483640348453787E-2</v>
      </c>
    </row>
    <row r="5916" spans="7:8">
      <c r="G5916">
        <v>5906</v>
      </c>
      <c r="H5916">
        <f t="shared" ca="1" si="100"/>
        <v>-1.2832912891223893E-2</v>
      </c>
    </row>
    <row r="5917" spans="7:8">
      <c r="G5917">
        <v>5907</v>
      </c>
      <c r="H5917">
        <f t="shared" ca="1" si="100"/>
        <v>1.6934939228693175E-2</v>
      </c>
    </row>
    <row r="5918" spans="7:8">
      <c r="G5918">
        <v>5908</v>
      </c>
      <c r="H5918">
        <f t="shared" ca="1" si="100"/>
        <v>2.9107151269337155E-2</v>
      </c>
    </row>
    <row r="5919" spans="7:8">
      <c r="G5919">
        <v>5909</v>
      </c>
      <c r="H5919">
        <f t="shared" ca="1" si="100"/>
        <v>-2.7797954181000152E-2</v>
      </c>
    </row>
    <row r="5920" spans="7:8">
      <c r="G5920">
        <v>5910</v>
      </c>
      <c r="H5920">
        <f t="shared" ca="1" si="100"/>
        <v>-3.1781933984103153E-3</v>
      </c>
    </row>
    <row r="5921" spans="7:8">
      <c r="G5921">
        <v>5911</v>
      </c>
      <c r="H5921">
        <f t="shared" ca="1" si="100"/>
        <v>3.9264621383094753E-3</v>
      </c>
    </row>
    <row r="5922" spans="7:8">
      <c r="G5922">
        <v>5912</v>
      </c>
      <c r="H5922">
        <f t="shared" ca="1" si="100"/>
        <v>-1.3389046283371744E-2</v>
      </c>
    </row>
    <row r="5923" spans="7:8">
      <c r="G5923">
        <v>5913</v>
      </c>
      <c r="H5923">
        <f t="shared" ca="1" si="100"/>
        <v>-2.5557586921509549E-2</v>
      </c>
    </row>
    <row r="5924" spans="7:8">
      <c r="G5924">
        <v>5914</v>
      </c>
      <c r="H5924">
        <f t="shared" ca="1" si="100"/>
        <v>1.3813077547041003E-2</v>
      </c>
    </row>
    <row r="5925" spans="7:8">
      <c r="G5925">
        <v>5915</v>
      </c>
      <c r="H5925">
        <f t="shared" ca="1" si="100"/>
        <v>-3.4119140357729036E-3</v>
      </c>
    </row>
    <row r="5926" spans="7:8">
      <c r="G5926">
        <v>5916</v>
      </c>
      <c r="H5926">
        <f t="shared" ca="1" si="100"/>
        <v>-3.4911878690059746E-2</v>
      </c>
    </row>
    <row r="5927" spans="7:8">
      <c r="G5927">
        <v>5917</v>
      </c>
      <c r="H5927">
        <f t="shared" ca="1" si="100"/>
        <v>2.318214226521615E-2</v>
      </c>
    </row>
    <row r="5928" spans="7:8">
      <c r="G5928">
        <v>5918</v>
      </c>
      <c r="H5928">
        <f t="shared" ca="1" si="100"/>
        <v>1.2929354949235944E-2</v>
      </c>
    </row>
    <row r="5929" spans="7:8">
      <c r="G5929">
        <v>5919</v>
      </c>
      <c r="H5929">
        <f t="shared" ca="1" si="100"/>
        <v>-1.4551455523856695E-2</v>
      </c>
    </row>
    <row r="5930" spans="7:8">
      <c r="G5930">
        <v>5920</v>
      </c>
      <c r="H5930">
        <f t="shared" ca="1" si="100"/>
        <v>-1.0630737459298996E-2</v>
      </c>
    </row>
    <row r="5931" spans="7:8">
      <c r="G5931">
        <v>5921</v>
      </c>
      <c r="H5931">
        <f t="shared" ca="1" si="100"/>
        <v>-2.284047184484175E-2</v>
      </c>
    </row>
    <row r="5932" spans="7:8">
      <c r="G5932">
        <v>5922</v>
      </c>
      <c r="H5932">
        <f t="shared" ca="1" si="100"/>
        <v>-9.7537420039866436E-3</v>
      </c>
    </row>
    <row r="5933" spans="7:8">
      <c r="G5933">
        <v>5923</v>
      </c>
      <c r="H5933">
        <f t="shared" ca="1" si="100"/>
        <v>5.7826271848542762E-3</v>
      </c>
    </row>
    <row r="5934" spans="7:8">
      <c r="G5934">
        <v>5924</v>
      </c>
      <c r="H5934">
        <f t="shared" ca="1" si="100"/>
        <v>1.2918826801501224E-2</v>
      </c>
    </row>
    <row r="5935" spans="7:8">
      <c r="G5935">
        <v>5925</v>
      </c>
      <c r="H5935">
        <f t="shared" ca="1" si="100"/>
        <v>-2.5742917557701837E-2</v>
      </c>
    </row>
    <row r="5936" spans="7:8">
      <c r="G5936">
        <v>5926</v>
      </c>
      <c r="H5936">
        <f t="shared" ca="1" si="100"/>
        <v>1.1801695568024925E-2</v>
      </c>
    </row>
    <row r="5937" spans="7:8">
      <c r="G5937">
        <v>5927</v>
      </c>
      <c r="H5937">
        <f t="shared" ca="1" si="100"/>
        <v>-6.6565104410030796E-3</v>
      </c>
    </row>
    <row r="5938" spans="7:8">
      <c r="G5938">
        <v>5928</v>
      </c>
      <c r="H5938">
        <f t="shared" ca="1" si="100"/>
        <v>-1.4432011225332341E-3</v>
      </c>
    </row>
    <row r="5939" spans="7:8">
      <c r="G5939">
        <v>5929</v>
      </c>
      <c r="H5939">
        <f t="shared" ca="1" si="100"/>
        <v>1.2424207280250593E-2</v>
      </c>
    </row>
    <row r="5940" spans="7:8">
      <c r="G5940">
        <v>5930</v>
      </c>
      <c r="H5940">
        <f t="shared" ca="1" si="100"/>
        <v>1.5316340967367573E-2</v>
      </c>
    </row>
    <row r="5941" spans="7:8">
      <c r="G5941">
        <v>5931</v>
      </c>
      <c r="H5941">
        <f t="shared" ca="1" si="100"/>
        <v>2.5070955701065711E-2</v>
      </c>
    </row>
    <row r="5942" spans="7:8">
      <c r="G5942">
        <v>5932</v>
      </c>
      <c r="H5942">
        <f t="shared" ca="1" si="100"/>
        <v>4.5257778282899739E-3</v>
      </c>
    </row>
    <row r="5943" spans="7:8">
      <c r="G5943">
        <v>5933</v>
      </c>
      <c r="H5943">
        <f t="shared" ca="1" si="100"/>
        <v>-6.3370655181900363E-4</v>
      </c>
    </row>
    <row r="5944" spans="7:8">
      <c r="G5944">
        <v>5934</v>
      </c>
      <c r="H5944">
        <f t="shared" ca="1" si="100"/>
        <v>1.4855019117458046E-2</v>
      </c>
    </row>
    <row r="5945" spans="7:8">
      <c r="G5945">
        <v>5935</v>
      </c>
      <c r="H5945">
        <f t="shared" ca="1" si="100"/>
        <v>-1.3980468023674877E-2</v>
      </c>
    </row>
    <row r="5946" spans="7:8">
      <c r="G5946">
        <v>5936</v>
      </c>
      <c r="H5946">
        <f t="shared" ca="1" si="100"/>
        <v>3.0562762280456911E-2</v>
      </c>
    </row>
    <row r="5947" spans="7:8">
      <c r="G5947">
        <v>5937</v>
      </c>
      <c r="H5947">
        <f t="shared" ca="1" si="100"/>
        <v>3.7249937862772089E-3</v>
      </c>
    </row>
    <row r="5948" spans="7:8">
      <c r="G5948">
        <v>5938</v>
      </c>
      <c r="H5948">
        <f t="shared" ca="1" si="100"/>
        <v>-1.3856732538394735E-2</v>
      </c>
    </row>
    <row r="5949" spans="7:8">
      <c r="G5949">
        <v>5939</v>
      </c>
      <c r="H5949">
        <f t="shared" ca="1" si="100"/>
        <v>1.6851805360206133E-2</v>
      </c>
    </row>
    <row r="5950" spans="7:8">
      <c r="G5950">
        <v>5940</v>
      </c>
      <c r="H5950">
        <f t="shared" ca="1" si="100"/>
        <v>-1.6395653553838256E-2</v>
      </c>
    </row>
    <row r="5951" spans="7:8">
      <c r="G5951">
        <v>5941</v>
      </c>
      <c r="H5951">
        <f t="shared" ca="1" si="100"/>
        <v>-1.7578099672114829E-2</v>
      </c>
    </row>
    <row r="5952" spans="7:8">
      <c r="G5952">
        <v>5942</v>
      </c>
      <c r="H5952">
        <f t="shared" ca="1" si="100"/>
        <v>-4.5255813053355257E-2</v>
      </c>
    </row>
    <row r="5953" spans="7:8">
      <c r="G5953">
        <v>5943</v>
      </c>
      <c r="H5953">
        <f t="shared" ca="1" si="100"/>
        <v>2.900703531884952E-2</v>
      </c>
    </row>
    <row r="5954" spans="7:8">
      <c r="G5954">
        <v>5944</v>
      </c>
      <c r="H5954">
        <f t="shared" ca="1" si="100"/>
        <v>9.9976239136628509E-3</v>
      </c>
    </row>
    <row r="5955" spans="7:8">
      <c r="G5955">
        <v>5945</v>
      </c>
      <c r="H5955">
        <f t="shared" ca="1" si="100"/>
        <v>5.1467596892302583E-2</v>
      </c>
    </row>
    <row r="5956" spans="7:8">
      <c r="G5956">
        <v>5946</v>
      </c>
      <c r="H5956">
        <f t="shared" ca="1" si="100"/>
        <v>-1.7659678685930533E-2</v>
      </c>
    </row>
    <row r="5957" spans="7:8">
      <c r="G5957">
        <v>5947</v>
      </c>
      <c r="H5957">
        <f t="shared" ca="1" si="100"/>
        <v>-5.1428829591463766E-3</v>
      </c>
    </row>
    <row r="5958" spans="7:8">
      <c r="G5958">
        <v>5948</v>
      </c>
      <c r="H5958">
        <f t="shared" ca="1" si="100"/>
        <v>5.5591440451354945E-3</v>
      </c>
    </row>
    <row r="5959" spans="7:8">
      <c r="G5959">
        <v>5949</v>
      </c>
      <c r="H5959">
        <f t="shared" ca="1" si="100"/>
        <v>-2.8910869288197326E-2</v>
      </c>
    </row>
    <row r="5960" spans="7:8">
      <c r="G5960">
        <v>5950</v>
      </c>
      <c r="H5960">
        <f t="shared" ca="1" si="100"/>
        <v>-1.0024404286138629E-2</v>
      </c>
    </row>
    <row r="5961" spans="7:8">
      <c r="G5961">
        <v>5951</v>
      </c>
      <c r="H5961">
        <f t="shared" ca="1" si="100"/>
        <v>4.4052535979374873E-3</v>
      </c>
    </row>
    <row r="5962" spans="7:8">
      <c r="G5962">
        <v>5952</v>
      </c>
      <c r="H5962">
        <f t="shared" ca="1" si="100"/>
        <v>4.6962626089881356E-3</v>
      </c>
    </row>
    <row r="5963" spans="7:8">
      <c r="G5963">
        <v>5953</v>
      </c>
      <c r="H5963">
        <f t="shared" ca="1" si="100"/>
        <v>-3.6668961581883271E-2</v>
      </c>
    </row>
    <row r="5964" spans="7:8">
      <c r="G5964">
        <v>5954</v>
      </c>
      <c r="H5964">
        <f t="shared" ref="H5964:H6027" ca="1" si="101">_xlfn.NORM.INV(RAND(),N$13,N$14)</f>
        <v>6.3017481910129557E-3</v>
      </c>
    </row>
    <row r="5965" spans="7:8">
      <c r="G5965">
        <v>5955</v>
      </c>
      <c r="H5965">
        <f t="shared" ca="1" si="101"/>
        <v>4.3565735150338175E-3</v>
      </c>
    </row>
    <row r="5966" spans="7:8">
      <c r="G5966">
        <v>5956</v>
      </c>
      <c r="H5966">
        <f t="shared" ca="1" si="101"/>
        <v>-4.8165620499330958E-3</v>
      </c>
    </row>
    <row r="5967" spans="7:8">
      <c r="G5967">
        <v>5957</v>
      </c>
      <c r="H5967">
        <f t="shared" ca="1" si="101"/>
        <v>-2.4423121408355897E-2</v>
      </c>
    </row>
    <row r="5968" spans="7:8">
      <c r="G5968">
        <v>5958</v>
      </c>
      <c r="H5968">
        <f t="shared" ca="1" si="101"/>
        <v>-8.6934970984266901E-3</v>
      </c>
    </row>
    <row r="5969" spans="7:8">
      <c r="G5969">
        <v>5959</v>
      </c>
      <c r="H5969">
        <f t="shared" ca="1" si="101"/>
        <v>-2.7804159019609873E-3</v>
      </c>
    </row>
    <row r="5970" spans="7:8">
      <c r="G5970">
        <v>5960</v>
      </c>
      <c r="H5970">
        <f t="shared" ca="1" si="101"/>
        <v>-1.6704126054978459E-2</v>
      </c>
    </row>
    <row r="5971" spans="7:8">
      <c r="G5971">
        <v>5961</v>
      </c>
      <c r="H5971">
        <f t="shared" ca="1" si="101"/>
        <v>1.2447168742352121E-2</v>
      </c>
    </row>
    <row r="5972" spans="7:8">
      <c r="G5972">
        <v>5962</v>
      </c>
      <c r="H5972">
        <f t="shared" ca="1" si="101"/>
        <v>1.3413306827166202E-2</v>
      </c>
    </row>
    <row r="5973" spans="7:8">
      <c r="G5973">
        <v>5963</v>
      </c>
      <c r="H5973">
        <f t="shared" ca="1" si="101"/>
        <v>5.1031890833086696E-4</v>
      </c>
    </row>
    <row r="5974" spans="7:8">
      <c r="G5974">
        <v>5964</v>
      </c>
      <c r="H5974">
        <f t="shared" ca="1" si="101"/>
        <v>8.0909722901412219E-3</v>
      </c>
    </row>
    <row r="5975" spans="7:8">
      <c r="G5975">
        <v>5965</v>
      </c>
      <c r="H5975">
        <f t="shared" ca="1" si="101"/>
        <v>1.4685806968429086E-2</v>
      </c>
    </row>
    <row r="5976" spans="7:8">
      <c r="G5976">
        <v>5966</v>
      </c>
      <c r="H5976">
        <f t="shared" ca="1" si="101"/>
        <v>-3.8156021718586878E-3</v>
      </c>
    </row>
    <row r="5977" spans="7:8">
      <c r="G5977">
        <v>5967</v>
      </c>
      <c r="H5977">
        <f t="shared" ca="1" si="101"/>
        <v>-1.3099111578942673E-2</v>
      </c>
    </row>
    <row r="5978" spans="7:8">
      <c r="G5978">
        <v>5968</v>
      </c>
      <c r="H5978">
        <f t="shared" ca="1" si="101"/>
        <v>9.8415378980028813E-3</v>
      </c>
    </row>
    <row r="5979" spans="7:8">
      <c r="G5979">
        <v>5969</v>
      </c>
      <c r="H5979">
        <f t="shared" ca="1" si="101"/>
        <v>1.2520521234921866E-2</v>
      </c>
    </row>
    <row r="5980" spans="7:8">
      <c r="G5980">
        <v>5970</v>
      </c>
      <c r="H5980">
        <f t="shared" ca="1" si="101"/>
        <v>-1.3445676186854501E-4</v>
      </c>
    </row>
    <row r="5981" spans="7:8">
      <c r="G5981">
        <v>5971</v>
      </c>
      <c r="H5981">
        <f t="shared" ca="1" si="101"/>
        <v>1.3829889828803855E-2</v>
      </c>
    </row>
    <row r="5982" spans="7:8">
      <c r="G5982">
        <v>5972</v>
      </c>
      <c r="H5982">
        <f t="shared" ca="1" si="101"/>
        <v>1.6994020644521612E-2</v>
      </c>
    </row>
    <row r="5983" spans="7:8">
      <c r="G5983">
        <v>5973</v>
      </c>
      <c r="H5983">
        <f t="shared" ca="1" si="101"/>
        <v>-3.2412357193108671E-2</v>
      </c>
    </row>
    <row r="5984" spans="7:8">
      <c r="G5984">
        <v>5974</v>
      </c>
      <c r="H5984">
        <f t="shared" ca="1" si="101"/>
        <v>-1.5780535876233847E-3</v>
      </c>
    </row>
    <row r="5985" spans="7:8">
      <c r="G5985">
        <v>5975</v>
      </c>
      <c r="H5985">
        <f t="shared" ca="1" si="101"/>
        <v>1.8595973416388672E-2</v>
      </c>
    </row>
    <row r="5986" spans="7:8">
      <c r="G5986">
        <v>5976</v>
      </c>
      <c r="H5986">
        <f t="shared" ca="1" si="101"/>
        <v>-7.8637971206224986E-3</v>
      </c>
    </row>
    <row r="5987" spans="7:8">
      <c r="G5987">
        <v>5977</v>
      </c>
      <c r="H5987">
        <f t="shared" ca="1" si="101"/>
        <v>-1.7122603284474725E-2</v>
      </c>
    </row>
    <row r="5988" spans="7:8">
      <c r="G5988">
        <v>5978</v>
      </c>
      <c r="H5988">
        <f t="shared" ca="1" si="101"/>
        <v>-1.9830162710329412E-2</v>
      </c>
    </row>
    <row r="5989" spans="7:8">
      <c r="G5989">
        <v>5979</v>
      </c>
      <c r="H5989">
        <f t="shared" ca="1" si="101"/>
        <v>1.2044401720259017E-2</v>
      </c>
    </row>
    <row r="5990" spans="7:8">
      <c r="G5990">
        <v>5980</v>
      </c>
      <c r="H5990">
        <f t="shared" ca="1" si="101"/>
        <v>-2.0884870441106422E-3</v>
      </c>
    </row>
    <row r="5991" spans="7:8">
      <c r="G5991">
        <v>5981</v>
      </c>
      <c r="H5991">
        <f t="shared" ca="1" si="101"/>
        <v>6.5864576515718516E-3</v>
      </c>
    </row>
    <row r="5992" spans="7:8">
      <c r="G5992">
        <v>5982</v>
      </c>
      <c r="H5992">
        <f t="shared" ca="1" si="101"/>
        <v>2.5483996951337767E-3</v>
      </c>
    </row>
    <row r="5993" spans="7:8">
      <c r="G5993">
        <v>5983</v>
      </c>
      <c r="H5993">
        <f t="shared" ca="1" si="101"/>
        <v>4.7649751208694744E-3</v>
      </c>
    </row>
    <row r="5994" spans="7:8">
      <c r="G5994">
        <v>5984</v>
      </c>
      <c r="H5994">
        <f t="shared" ca="1" si="101"/>
        <v>1.0000774737833054E-2</v>
      </c>
    </row>
    <row r="5995" spans="7:8">
      <c r="G5995">
        <v>5985</v>
      </c>
      <c r="H5995">
        <f t="shared" ca="1" si="101"/>
        <v>-2.9683964181737413E-2</v>
      </c>
    </row>
    <row r="5996" spans="7:8">
      <c r="G5996">
        <v>5986</v>
      </c>
      <c r="H5996">
        <f t="shared" ca="1" si="101"/>
        <v>2.3203452275126078E-2</v>
      </c>
    </row>
    <row r="5997" spans="7:8">
      <c r="G5997">
        <v>5987</v>
      </c>
      <c r="H5997">
        <f t="shared" ca="1" si="101"/>
        <v>-1.8671749413123558E-2</v>
      </c>
    </row>
    <row r="5998" spans="7:8">
      <c r="G5998">
        <v>5988</v>
      </c>
      <c r="H5998">
        <f t="shared" ca="1" si="101"/>
        <v>-3.2968587670723588E-2</v>
      </c>
    </row>
    <row r="5999" spans="7:8">
      <c r="G5999">
        <v>5989</v>
      </c>
      <c r="H5999">
        <f t="shared" ca="1" si="101"/>
        <v>-1.4788027971648498E-2</v>
      </c>
    </row>
    <row r="6000" spans="7:8">
      <c r="G6000">
        <v>5990</v>
      </c>
      <c r="H6000">
        <f t="shared" ca="1" si="101"/>
        <v>2.9443327930544234E-2</v>
      </c>
    </row>
    <row r="6001" spans="7:8">
      <c r="G6001">
        <v>5991</v>
      </c>
      <c r="H6001">
        <f t="shared" ca="1" si="101"/>
        <v>1.6577464976698691E-2</v>
      </c>
    </row>
    <row r="6002" spans="7:8">
      <c r="G6002">
        <v>5992</v>
      </c>
      <c r="H6002">
        <f t="shared" ca="1" si="101"/>
        <v>2.7382943109710789E-2</v>
      </c>
    </row>
    <row r="6003" spans="7:8">
      <c r="G6003">
        <v>5993</v>
      </c>
      <c r="H6003">
        <f t="shared" ca="1" si="101"/>
        <v>3.0131065806135785E-4</v>
      </c>
    </row>
    <row r="6004" spans="7:8">
      <c r="G6004">
        <v>5994</v>
      </c>
      <c r="H6004">
        <f t="shared" ca="1" si="101"/>
        <v>-3.6187158074243338E-2</v>
      </c>
    </row>
    <row r="6005" spans="7:8">
      <c r="G6005">
        <v>5995</v>
      </c>
      <c r="H6005">
        <f t="shared" ca="1" si="101"/>
        <v>4.339333553971759E-3</v>
      </c>
    </row>
    <row r="6006" spans="7:8">
      <c r="G6006">
        <v>5996</v>
      </c>
      <c r="H6006">
        <f t="shared" ca="1" si="101"/>
        <v>4.5239339819797128E-3</v>
      </c>
    </row>
    <row r="6007" spans="7:8">
      <c r="G6007">
        <v>5997</v>
      </c>
      <c r="H6007">
        <f t="shared" ca="1" si="101"/>
        <v>-2.3905863293909545E-2</v>
      </c>
    </row>
    <row r="6008" spans="7:8">
      <c r="G6008">
        <v>5998</v>
      </c>
      <c r="H6008">
        <f t="shared" ca="1" si="101"/>
        <v>-1.0374412130054484E-2</v>
      </c>
    </row>
    <row r="6009" spans="7:8">
      <c r="G6009">
        <v>5999</v>
      </c>
      <c r="H6009">
        <f t="shared" ca="1" si="101"/>
        <v>1.4850212259341085E-2</v>
      </c>
    </row>
    <row r="6010" spans="7:8">
      <c r="G6010">
        <v>6000</v>
      </c>
      <c r="H6010">
        <f t="shared" ca="1" si="101"/>
        <v>-4.7965611453940332E-3</v>
      </c>
    </row>
    <row r="6011" spans="7:8">
      <c r="G6011">
        <v>6001</v>
      </c>
      <c r="H6011">
        <f t="shared" ca="1" si="101"/>
        <v>-6.615261892210734E-3</v>
      </c>
    </row>
    <row r="6012" spans="7:8">
      <c r="G6012">
        <v>6002</v>
      </c>
      <c r="H6012">
        <f t="shared" ca="1" si="101"/>
        <v>-5.1131582687290655E-3</v>
      </c>
    </row>
    <row r="6013" spans="7:8">
      <c r="G6013">
        <v>6003</v>
      </c>
      <c r="H6013">
        <f t="shared" ca="1" si="101"/>
        <v>-3.2603559520365129E-3</v>
      </c>
    </row>
    <row r="6014" spans="7:8">
      <c r="G6014">
        <v>6004</v>
      </c>
      <c r="H6014">
        <f t="shared" ca="1" si="101"/>
        <v>-1.2740805729349465E-2</v>
      </c>
    </row>
    <row r="6015" spans="7:8">
      <c r="G6015">
        <v>6005</v>
      </c>
      <c r="H6015">
        <f t="shared" ca="1" si="101"/>
        <v>-1.3183793854032108E-2</v>
      </c>
    </row>
    <row r="6016" spans="7:8">
      <c r="G6016">
        <v>6006</v>
      </c>
      <c r="H6016">
        <f t="shared" ca="1" si="101"/>
        <v>6.3750426150653364E-2</v>
      </c>
    </row>
    <row r="6017" spans="7:8">
      <c r="G6017">
        <v>6007</v>
      </c>
      <c r="H6017">
        <f t="shared" ca="1" si="101"/>
        <v>6.3543563158716537E-2</v>
      </c>
    </row>
    <row r="6018" spans="7:8">
      <c r="G6018">
        <v>6008</v>
      </c>
      <c r="H6018">
        <f t="shared" ca="1" si="101"/>
        <v>1.1229810819656636E-2</v>
      </c>
    </row>
    <row r="6019" spans="7:8">
      <c r="G6019">
        <v>6009</v>
      </c>
      <c r="H6019">
        <f t="shared" ca="1" si="101"/>
        <v>-3.5555200389274372E-2</v>
      </c>
    </row>
    <row r="6020" spans="7:8">
      <c r="G6020">
        <v>6010</v>
      </c>
      <c r="H6020">
        <f t="shared" ca="1" si="101"/>
        <v>-3.2266426436283746E-2</v>
      </c>
    </row>
    <row r="6021" spans="7:8">
      <c r="G6021">
        <v>6011</v>
      </c>
      <c r="H6021">
        <f t="shared" ca="1" si="101"/>
        <v>-4.0954861574474553E-2</v>
      </c>
    </row>
    <row r="6022" spans="7:8">
      <c r="G6022">
        <v>6012</v>
      </c>
      <c r="H6022">
        <f t="shared" ca="1" si="101"/>
        <v>-4.1998238912714848E-2</v>
      </c>
    </row>
    <row r="6023" spans="7:8">
      <c r="G6023">
        <v>6013</v>
      </c>
      <c r="H6023">
        <f t="shared" ca="1" si="101"/>
        <v>4.3357637915546433E-3</v>
      </c>
    </row>
    <row r="6024" spans="7:8">
      <c r="G6024">
        <v>6014</v>
      </c>
      <c r="H6024">
        <f t="shared" ca="1" si="101"/>
        <v>7.0384320711872018E-3</v>
      </c>
    </row>
    <row r="6025" spans="7:8">
      <c r="G6025">
        <v>6015</v>
      </c>
      <c r="H6025">
        <f t="shared" ca="1" si="101"/>
        <v>-3.347623658745532E-2</v>
      </c>
    </row>
    <row r="6026" spans="7:8">
      <c r="G6026">
        <v>6016</v>
      </c>
      <c r="H6026">
        <f t="shared" ca="1" si="101"/>
        <v>2.6907378775198318E-2</v>
      </c>
    </row>
    <row r="6027" spans="7:8">
      <c r="G6027">
        <v>6017</v>
      </c>
      <c r="H6027">
        <f t="shared" ca="1" si="101"/>
        <v>7.1536474952287835E-2</v>
      </c>
    </row>
    <row r="6028" spans="7:8">
      <c r="G6028">
        <v>6018</v>
      </c>
      <c r="H6028">
        <f t="shared" ref="H6028:H6091" ca="1" si="102">_xlfn.NORM.INV(RAND(),N$13,N$14)</f>
        <v>6.9029412457457281E-4</v>
      </c>
    </row>
    <row r="6029" spans="7:8">
      <c r="G6029">
        <v>6019</v>
      </c>
      <c r="H6029">
        <f t="shared" ca="1" si="102"/>
        <v>2.6531898063080924E-2</v>
      </c>
    </row>
    <row r="6030" spans="7:8">
      <c r="G6030">
        <v>6020</v>
      </c>
      <c r="H6030">
        <f t="shared" ca="1" si="102"/>
        <v>2.6075288034116767E-2</v>
      </c>
    </row>
    <row r="6031" spans="7:8">
      <c r="G6031">
        <v>6021</v>
      </c>
      <c r="H6031">
        <f t="shared" ca="1" si="102"/>
        <v>5.6213909459608059E-2</v>
      </c>
    </row>
    <row r="6032" spans="7:8">
      <c r="G6032">
        <v>6022</v>
      </c>
      <c r="H6032">
        <f t="shared" ca="1" si="102"/>
        <v>-2.1003553802249237E-2</v>
      </c>
    </row>
    <row r="6033" spans="7:8">
      <c r="G6033">
        <v>6023</v>
      </c>
      <c r="H6033">
        <f t="shared" ca="1" si="102"/>
        <v>1.8432990764921321E-2</v>
      </c>
    </row>
    <row r="6034" spans="7:8">
      <c r="G6034">
        <v>6024</v>
      </c>
      <c r="H6034">
        <f t="shared" ca="1" si="102"/>
        <v>-2.2135716567108176E-2</v>
      </c>
    </row>
    <row r="6035" spans="7:8">
      <c r="G6035">
        <v>6025</v>
      </c>
      <c r="H6035">
        <f t="shared" ca="1" si="102"/>
        <v>-1.9248481648454354E-2</v>
      </c>
    </row>
    <row r="6036" spans="7:8">
      <c r="G6036">
        <v>6026</v>
      </c>
      <c r="H6036">
        <f t="shared" ca="1" si="102"/>
        <v>-1.0232780619677374E-2</v>
      </c>
    </row>
    <row r="6037" spans="7:8">
      <c r="G6037">
        <v>6027</v>
      </c>
      <c r="H6037">
        <f t="shared" ca="1" si="102"/>
        <v>1.1346555739052348E-5</v>
      </c>
    </row>
    <row r="6038" spans="7:8">
      <c r="G6038">
        <v>6028</v>
      </c>
      <c r="H6038">
        <f t="shared" ca="1" si="102"/>
        <v>2.8641271294249999E-2</v>
      </c>
    </row>
    <row r="6039" spans="7:8">
      <c r="G6039">
        <v>6029</v>
      </c>
      <c r="H6039">
        <f t="shared" ca="1" si="102"/>
        <v>2.8594679482683771E-3</v>
      </c>
    </row>
    <row r="6040" spans="7:8">
      <c r="G6040">
        <v>6030</v>
      </c>
      <c r="H6040">
        <f t="shared" ca="1" si="102"/>
        <v>-1.6943824229845084E-2</v>
      </c>
    </row>
    <row r="6041" spans="7:8">
      <c r="G6041">
        <v>6031</v>
      </c>
      <c r="H6041">
        <f t="shared" ca="1" si="102"/>
        <v>1.8536527065264314E-3</v>
      </c>
    </row>
    <row r="6042" spans="7:8">
      <c r="G6042">
        <v>6032</v>
      </c>
      <c r="H6042">
        <f t="shared" ca="1" si="102"/>
        <v>2.8223844986565248E-2</v>
      </c>
    </row>
    <row r="6043" spans="7:8">
      <c r="G6043">
        <v>6033</v>
      </c>
      <c r="H6043">
        <f t="shared" ca="1" si="102"/>
        <v>-9.4120365438291227E-3</v>
      </c>
    </row>
    <row r="6044" spans="7:8">
      <c r="G6044">
        <v>6034</v>
      </c>
      <c r="H6044">
        <f t="shared" ca="1" si="102"/>
        <v>3.6766480152950663E-2</v>
      </c>
    </row>
    <row r="6045" spans="7:8">
      <c r="G6045">
        <v>6035</v>
      </c>
      <c r="H6045">
        <f t="shared" ca="1" si="102"/>
        <v>1.4141130594898473E-2</v>
      </c>
    </row>
    <row r="6046" spans="7:8">
      <c r="G6046">
        <v>6036</v>
      </c>
      <c r="H6046">
        <f t="shared" ca="1" si="102"/>
        <v>-2.1327039513297161E-2</v>
      </c>
    </row>
    <row r="6047" spans="7:8">
      <c r="G6047">
        <v>6037</v>
      </c>
      <c r="H6047">
        <f t="shared" ca="1" si="102"/>
        <v>-3.0183708514203659E-2</v>
      </c>
    </row>
    <row r="6048" spans="7:8">
      <c r="G6048">
        <v>6038</v>
      </c>
      <c r="H6048">
        <f t="shared" ca="1" si="102"/>
        <v>-2.8906842448250709E-3</v>
      </c>
    </row>
    <row r="6049" spans="7:8">
      <c r="G6049">
        <v>6039</v>
      </c>
      <c r="H6049">
        <f t="shared" ca="1" si="102"/>
        <v>2.8475655476416211E-2</v>
      </c>
    </row>
    <row r="6050" spans="7:8">
      <c r="G6050">
        <v>6040</v>
      </c>
      <c r="H6050">
        <f t="shared" ca="1" si="102"/>
        <v>4.9663963008007529E-3</v>
      </c>
    </row>
    <row r="6051" spans="7:8">
      <c r="G6051">
        <v>6041</v>
      </c>
      <c r="H6051">
        <f t="shared" ca="1" si="102"/>
        <v>3.0825825303077384E-2</v>
      </c>
    </row>
    <row r="6052" spans="7:8">
      <c r="G6052">
        <v>6042</v>
      </c>
      <c r="H6052">
        <f t="shared" ca="1" si="102"/>
        <v>1.0199515706884916E-2</v>
      </c>
    </row>
    <row r="6053" spans="7:8">
      <c r="G6053">
        <v>6043</v>
      </c>
      <c r="H6053">
        <f t="shared" ca="1" si="102"/>
        <v>1.3028513090700931E-3</v>
      </c>
    </row>
    <row r="6054" spans="7:8">
      <c r="G6054">
        <v>6044</v>
      </c>
      <c r="H6054">
        <f t="shared" ca="1" si="102"/>
        <v>-2.0423352038290536E-2</v>
      </c>
    </row>
    <row r="6055" spans="7:8">
      <c r="G6055">
        <v>6045</v>
      </c>
      <c r="H6055">
        <f t="shared" ca="1" si="102"/>
        <v>1.6946831954572455E-2</v>
      </c>
    </row>
    <row r="6056" spans="7:8">
      <c r="G6056">
        <v>6046</v>
      </c>
      <c r="H6056">
        <f t="shared" ca="1" si="102"/>
        <v>-2.3564035955962051E-3</v>
      </c>
    </row>
    <row r="6057" spans="7:8">
      <c r="G6057">
        <v>6047</v>
      </c>
      <c r="H6057">
        <f t="shared" ca="1" si="102"/>
        <v>-3.1202396466138985E-2</v>
      </c>
    </row>
    <row r="6058" spans="7:8">
      <c r="G6058">
        <v>6048</v>
      </c>
      <c r="H6058">
        <f t="shared" ca="1" si="102"/>
        <v>-3.5196755052816608E-2</v>
      </c>
    </row>
    <row r="6059" spans="7:8">
      <c r="G6059">
        <v>6049</v>
      </c>
      <c r="H6059">
        <f t="shared" ca="1" si="102"/>
        <v>1.0181269592648444E-2</v>
      </c>
    </row>
    <row r="6060" spans="7:8">
      <c r="G6060">
        <v>6050</v>
      </c>
      <c r="H6060">
        <f t="shared" ca="1" si="102"/>
        <v>-1.1475226351324681E-2</v>
      </c>
    </row>
    <row r="6061" spans="7:8">
      <c r="G6061">
        <v>6051</v>
      </c>
      <c r="H6061">
        <f t="shared" ca="1" si="102"/>
        <v>-1.2240349851184532E-2</v>
      </c>
    </row>
    <row r="6062" spans="7:8">
      <c r="G6062">
        <v>6052</v>
      </c>
      <c r="H6062">
        <f t="shared" ca="1" si="102"/>
        <v>4.3929967283869373E-3</v>
      </c>
    </row>
    <row r="6063" spans="7:8">
      <c r="G6063">
        <v>6053</v>
      </c>
      <c r="H6063">
        <f t="shared" ca="1" si="102"/>
        <v>-5.9445931489208181E-2</v>
      </c>
    </row>
    <row r="6064" spans="7:8">
      <c r="G6064">
        <v>6054</v>
      </c>
      <c r="H6064">
        <f t="shared" ca="1" si="102"/>
        <v>2.9629441091418181E-2</v>
      </c>
    </row>
    <row r="6065" spans="7:8">
      <c r="G6065">
        <v>6055</v>
      </c>
      <c r="H6065">
        <f t="shared" ca="1" si="102"/>
        <v>1.5362255908153195E-2</v>
      </c>
    </row>
    <row r="6066" spans="7:8">
      <c r="G6066">
        <v>6056</v>
      </c>
      <c r="H6066">
        <f t="shared" ca="1" si="102"/>
        <v>1.0117512500393553E-2</v>
      </c>
    </row>
    <row r="6067" spans="7:8">
      <c r="G6067">
        <v>6057</v>
      </c>
      <c r="H6067">
        <f t="shared" ca="1" si="102"/>
        <v>1.1022056904340251E-2</v>
      </c>
    </row>
    <row r="6068" spans="7:8">
      <c r="G6068">
        <v>6058</v>
      </c>
      <c r="H6068">
        <f t="shared" ca="1" si="102"/>
        <v>5.160755855262468E-3</v>
      </c>
    </row>
    <row r="6069" spans="7:8">
      <c r="G6069">
        <v>6059</v>
      </c>
      <c r="H6069">
        <f t="shared" ca="1" si="102"/>
        <v>-1.3463273613238628E-2</v>
      </c>
    </row>
    <row r="6070" spans="7:8">
      <c r="G6070">
        <v>6060</v>
      </c>
      <c r="H6070">
        <f t="shared" ca="1" si="102"/>
        <v>-1.4506216555705024E-2</v>
      </c>
    </row>
    <row r="6071" spans="7:8">
      <c r="G6071">
        <v>6061</v>
      </c>
      <c r="H6071">
        <f t="shared" ca="1" si="102"/>
        <v>4.351380661245452E-2</v>
      </c>
    </row>
    <row r="6072" spans="7:8">
      <c r="G6072">
        <v>6062</v>
      </c>
      <c r="H6072">
        <f t="shared" ca="1" si="102"/>
        <v>-1.0685758730193926E-2</v>
      </c>
    </row>
    <row r="6073" spans="7:8">
      <c r="G6073">
        <v>6063</v>
      </c>
      <c r="H6073">
        <f t="shared" ca="1" si="102"/>
        <v>-2.7172748688453367E-2</v>
      </c>
    </row>
    <row r="6074" spans="7:8">
      <c r="G6074">
        <v>6064</v>
      </c>
      <c r="H6074">
        <f t="shared" ca="1" si="102"/>
        <v>2.4581477556512878E-2</v>
      </c>
    </row>
    <row r="6075" spans="7:8">
      <c r="G6075">
        <v>6065</v>
      </c>
      <c r="H6075">
        <f t="shared" ca="1" si="102"/>
        <v>-1.4167459349320692E-2</v>
      </c>
    </row>
    <row r="6076" spans="7:8">
      <c r="G6076">
        <v>6066</v>
      </c>
      <c r="H6076">
        <f t="shared" ca="1" si="102"/>
        <v>2.8735776217408367E-2</v>
      </c>
    </row>
    <row r="6077" spans="7:8">
      <c r="G6077">
        <v>6067</v>
      </c>
      <c r="H6077">
        <f t="shared" ca="1" si="102"/>
        <v>-2.0698422546911194E-2</v>
      </c>
    </row>
    <row r="6078" spans="7:8">
      <c r="G6078">
        <v>6068</v>
      </c>
      <c r="H6078">
        <f t="shared" ca="1" si="102"/>
        <v>2.0899961886330348E-2</v>
      </c>
    </row>
    <row r="6079" spans="7:8">
      <c r="G6079">
        <v>6069</v>
      </c>
      <c r="H6079">
        <f t="shared" ca="1" si="102"/>
        <v>-5.8682061940171087E-3</v>
      </c>
    </row>
    <row r="6080" spans="7:8">
      <c r="G6080">
        <v>6070</v>
      </c>
      <c r="H6080">
        <f t="shared" ca="1" si="102"/>
        <v>1.3551604104737193E-3</v>
      </c>
    </row>
    <row r="6081" spans="7:8">
      <c r="G6081">
        <v>6071</v>
      </c>
      <c r="H6081">
        <f t="shared" ca="1" si="102"/>
        <v>-1.4580776556723586E-2</v>
      </c>
    </row>
    <row r="6082" spans="7:8">
      <c r="G6082">
        <v>6072</v>
      </c>
      <c r="H6082">
        <f t="shared" ca="1" si="102"/>
        <v>-2.0582583494807827E-3</v>
      </c>
    </row>
    <row r="6083" spans="7:8">
      <c r="G6083">
        <v>6073</v>
      </c>
      <c r="H6083">
        <f t="shared" ca="1" si="102"/>
        <v>-9.309906764346898E-3</v>
      </c>
    </row>
    <row r="6084" spans="7:8">
      <c r="G6084">
        <v>6074</v>
      </c>
      <c r="H6084">
        <f t="shared" ca="1" si="102"/>
        <v>-3.0656492835789206E-2</v>
      </c>
    </row>
    <row r="6085" spans="7:8">
      <c r="G6085">
        <v>6075</v>
      </c>
      <c r="H6085">
        <f t="shared" ca="1" si="102"/>
        <v>-2.2831512759960417E-3</v>
      </c>
    </row>
    <row r="6086" spans="7:8">
      <c r="G6086">
        <v>6076</v>
      </c>
      <c r="H6086">
        <f t="shared" ca="1" si="102"/>
        <v>1.132870277346632E-2</v>
      </c>
    </row>
    <row r="6087" spans="7:8">
      <c r="G6087">
        <v>6077</v>
      </c>
      <c r="H6087">
        <f t="shared" ca="1" si="102"/>
        <v>-2.2338284976527702E-2</v>
      </c>
    </row>
    <row r="6088" spans="7:8">
      <c r="G6088">
        <v>6078</v>
      </c>
      <c r="H6088">
        <f t="shared" ca="1" si="102"/>
        <v>2.2798821003104423E-2</v>
      </c>
    </row>
    <row r="6089" spans="7:8">
      <c r="G6089">
        <v>6079</v>
      </c>
      <c r="H6089">
        <f t="shared" ca="1" si="102"/>
        <v>1.1013651534599288E-2</v>
      </c>
    </row>
    <row r="6090" spans="7:8">
      <c r="G6090">
        <v>6080</v>
      </c>
      <c r="H6090">
        <f t="shared" ca="1" si="102"/>
        <v>2.6295174369001553E-2</v>
      </c>
    </row>
    <row r="6091" spans="7:8">
      <c r="G6091">
        <v>6081</v>
      </c>
      <c r="H6091">
        <f t="shared" ca="1" si="102"/>
        <v>-3.3089784432116159E-2</v>
      </c>
    </row>
    <row r="6092" spans="7:8">
      <c r="G6092">
        <v>6082</v>
      </c>
      <c r="H6092">
        <f t="shared" ref="H6092:H6155" ca="1" si="103">_xlfn.NORM.INV(RAND(),N$13,N$14)</f>
        <v>-1.104540487756083E-2</v>
      </c>
    </row>
    <row r="6093" spans="7:8">
      <c r="G6093">
        <v>6083</v>
      </c>
      <c r="H6093">
        <f t="shared" ca="1" si="103"/>
        <v>4.6976794826174818E-2</v>
      </c>
    </row>
    <row r="6094" spans="7:8">
      <c r="G6094">
        <v>6084</v>
      </c>
      <c r="H6094">
        <f t="shared" ca="1" si="103"/>
        <v>7.2765901052322529E-2</v>
      </c>
    </row>
    <row r="6095" spans="7:8">
      <c r="G6095">
        <v>6085</v>
      </c>
      <c r="H6095">
        <f t="shared" ca="1" si="103"/>
        <v>-9.2910492990753574E-3</v>
      </c>
    </row>
    <row r="6096" spans="7:8">
      <c r="G6096">
        <v>6086</v>
      </c>
      <c r="H6096">
        <f t="shared" ca="1" si="103"/>
        <v>-7.195564306845142E-3</v>
      </c>
    </row>
    <row r="6097" spans="7:8">
      <c r="G6097">
        <v>6087</v>
      </c>
      <c r="H6097">
        <f t="shared" ca="1" si="103"/>
        <v>1.3848488270307399E-2</v>
      </c>
    </row>
    <row r="6098" spans="7:8">
      <c r="G6098">
        <v>6088</v>
      </c>
      <c r="H6098">
        <f t="shared" ca="1" si="103"/>
        <v>-3.3106603542722201E-3</v>
      </c>
    </row>
    <row r="6099" spans="7:8">
      <c r="G6099">
        <v>6089</v>
      </c>
      <c r="H6099">
        <f t="shared" ca="1" si="103"/>
        <v>-2.0763198807645608E-3</v>
      </c>
    </row>
    <row r="6100" spans="7:8">
      <c r="G6100">
        <v>6090</v>
      </c>
      <c r="H6100">
        <f t="shared" ca="1" si="103"/>
        <v>-1.1221385312190049E-2</v>
      </c>
    </row>
    <row r="6101" spans="7:8">
      <c r="G6101">
        <v>6091</v>
      </c>
      <c r="H6101">
        <f t="shared" ca="1" si="103"/>
        <v>1.1614673648304159E-2</v>
      </c>
    </row>
    <row r="6102" spans="7:8">
      <c r="G6102">
        <v>6092</v>
      </c>
      <c r="H6102">
        <f t="shared" ca="1" si="103"/>
        <v>-3.1154519444657938E-2</v>
      </c>
    </row>
    <row r="6103" spans="7:8">
      <c r="G6103">
        <v>6093</v>
      </c>
      <c r="H6103">
        <f t="shared" ca="1" si="103"/>
        <v>2.1483195228123621E-2</v>
      </c>
    </row>
    <row r="6104" spans="7:8">
      <c r="G6104">
        <v>6094</v>
      </c>
      <c r="H6104">
        <f t="shared" ca="1" si="103"/>
        <v>-3.393797473601563E-3</v>
      </c>
    </row>
    <row r="6105" spans="7:8">
      <c r="G6105">
        <v>6095</v>
      </c>
      <c r="H6105">
        <f t="shared" ca="1" si="103"/>
        <v>-2.9242370503956513E-3</v>
      </c>
    </row>
    <row r="6106" spans="7:8">
      <c r="G6106">
        <v>6096</v>
      </c>
      <c r="H6106">
        <f t="shared" ca="1" si="103"/>
        <v>4.3324579496479894E-2</v>
      </c>
    </row>
    <row r="6107" spans="7:8">
      <c r="G6107">
        <v>6097</v>
      </c>
      <c r="H6107">
        <f t="shared" ca="1" si="103"/>
        <v>4.3907395679120137E-2</v>
      </c>
    </row>
    <row r="6108" spans="7:8">
      <c r="G6108">
        <v>6098</v>
      </c>
      <c r="H6108">
        <f t="shared" ca="1" si="103"/>
        <v>2.5271661014130604E-2</v>
      </c>
    </row>
    <row r="6109" spans="7:8">
      <c r="G6109">
        <v>6099</v>
      </c>
      <c r="H6109">
        <f t="shared" ca="1" si="103"/>
        <v>3.692606030062523E-2</v>
      </c>
    </row>
    <row r="6110" spans="7:8">
      <c r="G6110">
        <v>6100</v>
      </c>
      <c r="H6110">
        <f t="shared" ca="1" si="103"/>
        <v>4.6205907310650843E-3</v>
      </c>
    </row>
    <row r="6111" spans="7:8">
      <c r="G6111">
        <v>6101</v>
      </c>
      <c r="H6111">
        <f t="shared" ca="1" si="103"/>
        <v>2.4924569437830047E-2</v>
      </c>
    </row>
    <row r="6112" spans="7:8">
      <c r="G6112">
        <v>6102</v>
      </c>
      <c r="H6112">
        <f t="shared" ca="1" si="103"/>
        <v>9.3750004348398149E-3</v>
      </c>
    </row>
    <row r="6113" spans="7:8">
      <c r="G6113">
        <v>6103</v>
      </c>
      <c r="H6113">
        <f t="shared" ca="1" si="103"/>
        <v>3.3714903491896035E-2</v>
      </c>
    </row>
    <row r="6114" spans="7:8">
      <c r="G6114">
        <v>6104</v>
      </c>
      <c r="H6114">
        <f t="shared" ca="1" si="103"/>
        <v>2.1987133772140552E-2</v>
      </c>
    </row>
    <row r="6115" spans="7:8">
      <c r="G6115">
        <v>6105</v>
      </c>
      <c r="H6115">
        <f t="shared" ca="1" si="103"/>
        <v>2.6045125579832733E-2</v>
      </c>
    </row>
    <row r="6116" spans="7:8">
      <c r="G6116">
        <v>6106</v>
      </c>
      <c r="H6116">
        <f t="shared" ca="1" si="103"/>
        <v>-4.7465736993931085E-2</v>
      </c>
    </row>
    <row r="6117" spans="7:8">
      <c r="G6117">
        <v>6107</v>
      </c>
      <c r="H6117">
        <f t="shared" ca="1" si="103"/>
        <v>-2.7714273906318143E-2</v>
      </c>
    </row>
    <row r="6118" spans="7:8">
      <c r="G6118">
        <v>6108</v>
      </c>
      <c r="H6118">
        <f t="shared" ca="1" si="103"/>
        <v>-2.7057289635986319E-4</v>
      </c>
    </row>
    <row r="6119" spans="7:8">
      <c r="G6119">
        <v>6109</v>
      </c>
      <c r="H6119">
        <f t="shared" ca="1" si="103"/>
        <v>4.8672369134443026E-2</v>
      </c>
    </row>
    <row r="6120" spans="7:8">
      <c r="G6120">
        <v>6110</v>
      </c>
      <c r="H6120">
        <f t="shared" ca="1" si="103"/>
        <v>7.3433401531573265E-3</v>
      </c>
    </row>
    <row r="6121" spans="7:8">
      <c r="G6121">
        <v>6111</v>
      </c>
      <c r="H6121">
        <f t="shared" ca="1" si="103"/>
        <v>2.5766419786044662E-2</v>
      </c>
    </row>
    <row r="6122" spans="7:8">
      <c r="G6122">
        <v>6112</v>
      </c>
      <c r="H6122">
        <f t="shared" ca="1" si="103"/>
        <v>-2.9380290583527008E-2</v>
      </c>
    </row>
    <row r="6123" spans="7:8">
      <c r="G6123">
        <v>6113</v>
      </c>
      <c r="H6123">
        <f t="shared" ca="1" si="103"/>
        <v>2.0175476067472095E-2</v>
      </c>
    </row>
    <row r="6124" spans="7:8">
      <c r="G6124">
        <v>6114</v>
      </c>
      <c r="H6124">
        <f t="shared" ca="1" si="103"/>
        <v>-4.4552236814257087E-2</v>
      </c>
    </row>
    <row r="6125" spans="7:8">
      <c r="G6125">
        <v>6115</v>
      </c>
      <c r="H6125">
        <f t="shared" ca="1" si="103"/>
        <v>-2.258912246421085E-2</v>
      </c>
    </row>
    <row r="6126" spans="7:8">
      <c r="G6126">
        <v>6116</v>
      </c>
      <c r="H6126">
        <f t="shared" ca="1" si="103"/>
        <v>-9.9970294966715313E-3</v>
      </c>
    </row>
    <row r="6127" spans="7:8">
      <c r="G6127">
        <v>6117</v>
      </c>
      <c r="H6127">
        <f t="shared" ca="1" si="103"/>
        <v>4.7343260627973234E-3</v>
      </c>
    </row>
    <row r="6128" spans="7:8">
      <c r="G6128">
        <v>6118</v>
      </c>
      <c r="H6128">
        <f t="shared" ca="1" si="103"/>
        <v>7.2195154214208072E-3</v>
      </c>
    </row>
    <row r="6129" spans="7:8">
      <c r="G6129">
        <v>6119</v>
      </c>
      <c r="H6129">
        <f t="shared" ca="1" si="103"/>
        <v>-3.5355378577055181E-4</v>
      </c>
    </row>
    <row r="6130" spans="7:8">
      <c r="G6130">
        <v>6120</v>
      </c>
      <c r="H6130">
        <f t="shared" ca="1" si="103"/>
        <v>-4.9328920926930428E-3</v>
      </c>
    </row>
    <row r="6131" spans="7:8">
      <c r="G6131">
        <v>6121</v>
      </c>
      <c r="H6131">
        <f t="shared" ca="1" si="103"/>
        <v>-1.0808669361770017E-2</v>
      </c>
    </row>
    <row r="6132" spans="7:8">
      <c r="G6132">
        <v>6122</v>
      </c>
      <c r="H6132">
        <f t="shared" ca="1" si="103"/>
        <v>-2.6324572037737526E-2</v>
      </c>
    </row>
    <row r="6133" spans="7:8">
      <c r="G6133">
        <v>6123</v>
      </c>
      <c r="H6133">
        <f t="shared" ca="1" si="103"/>
        <v>3.7172319757120799E-2</v>
      </c>
    </row>
    <row r="6134" spans="7:8">
      <c r="G6134">
        <v>6124</v>
      </c>
      <c r="H6134">
        <f t="shared" ca="1" si="103"/>
        <v>4.404182210908153E-2</v>
      </c>
    </row>
    <row r="6135" spans="7:8">
      <c r="G6135">
        <v>6125</v>
      </c>
      <c r="H6135">
        <f t="shared" ca="1" si="103"/>
        <v>3.4257518561307244E-2</v>
      </c>
    </row>
    <row r="6136" spans="7:8">
      <c r="G6136">
        <v>6126</v>
      </c>
      <c r="H6136">
        <f t="shared" ca="1" si="103"/>
        <v>-1.2622437246079931E-2</v>
      </c>
    </row>
    <row r="6137" spans="7:8">
      <c r="G6137">
        <v>6127</v>
      </c>
      <c r="H6137">
        <f t="shared" ca="1" si="103"/>
        <v>4.3880322218478951E-3</v>
      </c>
    </row>
    <row r="6138" spans="7:8">
      <c r="G6138">
        <v>6128</v>
      </c>
      <c r="H6138">
        <f t="shared" ca="1" si="103"/>
        <v>-2.2183717329570404E-2</v>
      </c>
    </row>
    <row r="6139" spans="7:8">
      <c r="G6139">
        <v>6129</v>
      </c>
      <c r="H6139">
        <f t="shared" ca="1" si="103"/>
        <v>-4.0149134697041525E-2</v>
      </c>
    </row>
    <row r="6140" spans="7:8">
      <c r="G6140">
        <v>6130</v>
      </c>
      <c r="H6140">
        <f t="shared" ca="1" si="103"/>
        <v>-6.6971398893344277E-3</v>
      </c>
    </row>
    <row r="6141" spans="7:8">
      <c r="G6141">
        <v>6131</v>
      </c>
      <c r="H6141">
        <f t="shared" ca="1" si="103"/>
        <v>4.609899783624344E-3</v>
      </c>
    </row>
    <row r="6142" spans="7:8">
      <c r="G6142">
        <v>6132</v>
      </c>
      <c r="H6142">
        <f t="shared" ca="1" si="103"/>
        <v>1.4232556788220352E-2</v>
      </c>
    </row>
    <row r="6143" spans="7:8">
      <c r="G6143">
        <v>6133</v>
      </c>
      <c r="H6143">
        <f t="shared" ca="1" si="103"/>
        <v>4.1124228138381992E-3</v>
      </c>
    </row>
    <row r="6144" spans="7:8">
      <c r="G6144">
        <v>6134</v>
      </c>
      <c r="H6144">
        <f t="shared" ca="1" si="103"/>
        <v>1.9254932830977595E-2</v>
      </c>
    </row>
    <row r="6145" spans="7:8">
      <c r="G6145">
        <v>6135</v>
      </c>
      <c r="H6145">
        <f t="shared" ca="1" si="103"/>
        <v>-3.8808370887157217E-3</v>
      </c>
    </row>
    <row r="6146" spans="7:8">
      <c r="G6146">
        <v>6136</v>
      </c>
      <c r="H6146">
        <f t="shared" ca="1" si="103"/>
        <v>-3.629555000325474E-2</v>
      </c>
    </row>
    <row r="6147" spans="7:8">
      <c r="G6147">
        <v>6137</v>
      </c>
      <c r="H6147">
        <f t="shared" ca="1" si="103"/>
        <v>1.3536728542216882E-2</v>
      </c>
    </row>
    <row r="6148" spans="7:8">
      <c r="G6148">
        <v>6138</v>
      </c>
      <c r="H6148">
        <f t="shared" ca="1" si="103"/>
        <v>2.4376099319250954E-2</v>
      </c>
    </row>
    <row r="6149" spans="7:8">
      <c r="G6149">
        <v>6139</v>
      </c>
      <c r="H6149">
        <f t="shared" ca="1" si="103"/>
        <v>1.9191159237672725E-2</v>
      </c>
    </row>
    <row r="6150" spans="7:8">
      <c r="G6150">
        <v>6140</v>
      </c>
      <c r="H6150">
        <f t="shared" ca="1" si="103"/>
        <v>1.4315558440736439E-2</v>
      </c>
    </row>
    <row r="6151" spans="7:8">
      <c r="G6151">
        <v>6141</v>
      </c>
      <c r="H6151">
        <f t="shared" ca="1" si="103"/>
        <v>3.7601803773886526E-3</v>
      </c>
    </row>
    <row r="6152" spans="7:8">
      <c r="G6152">
        <v>6142</v>
      </c>
      <c r="H6152">
        <f t="shared" ca="1" si="103"/>
        <v>5.9841361781138606E-3</v>
      </c>
    </row>
    <row r="6153" spans="7:8">
      <c r="G6153">
        <v>6143</v>
      </c>
      <c r="H6153">
        <f t="shared" ca="1" si="103"/>
        <v>5.1355193068260661E-3</v>
      </c>
    </row>
    <row r="6154" spans="7:8">
      <c r="G6154">
        <v>6144</v>
      </c>
      <c r="H6154">
        <f t="shared" ca="1" si="103"/>
        <v>4.4781107451674204E-3</v>
      </c>
    </row>
    <row r="6155" spans="7:8">
      <c r="G6155">
        <v>6145</v>
      </c>
      <c r="H6155">
        <f t="shared" ca="1" si="103"/>
        <v>4.381285300749378E-3</v>
      </c>
    </row>
    <row r="6156" spans="7:8">
      <c r="G6156">
        <v>6146</v>
      </c>
      <c r="H6156">
        <f t="shared" ref="H6156:H6219" ca="1" si="104">_xlfn.NORM.INV(RAND(),N$13,N$14)</f>
        <v>4.8516327131056705E-2</v>
      </c>
    </row>
    <row r="6157" spans="7:8">
      <c r="G6157">
        <v>6147</v>
      </c>
      <c r="H6157">
        <f t="shared" ca="1" si="104"/>
        <v>-8.5964385904645502E-3</v>
      </c>
    </row>
    <row r="6158" spans="7:8">
      <c r="G6158">
        <v>6148</v>
      </c>
      <c r="H6158">
        <f t="shared" ca="1" si="104"/>
        <v>1.3757944078438365E-2</v>
      </c>
    </row>
    <row r="6159" spans="7:8">
      <c r="G6159">
        <v>6149</v>
      </c>
      <c r="H6159">
        <f t="shared" ca="1" si="104"/>
        <v>-1.1760653009059095E-2</v>
      </c>
    </row>
    <row r="6160" spans="7:8">
      <c r="G6160">
        <v>6150</v>
      </c>
      <c r="H6160">
        <f t="shared" ca="1" si="104"/>
        <v>5.5576884697340441E-3</v>
      </c>
    </row>
    <row r="6161" spans="7:8">
      <c r="G6161">
        <v>6151</v>
      </c>
      <c r="H6161">
        <f t="shared" ca="1" si="104"/>
        <v>-7.1750552924799964E-3</v>
      </c>
    </row>
    <row r="6162" spans="7:8">
      <c r="G6162">
        <v>6152</v>
      </c>
      <c r="H6162">
        <f t="shared" ca="1" si="104"/>
        <v>-2.0042770837774327E-2</v>
      </c>
    </row>
    <row r="6163" spans="7:8">
      <c r="G6163">
        <v>6153</v>
      </c>
      <c r="H6163">
        <f t="shared" ca="1" si="104"/>
        <v>1.8930255723999725E-2</v>
      </c>
    </row>
    <row r="6164" spans="7:8">
      <c r="G6164">
        <v>6154</v>
      </c>
      <c r="H6164">
        <f t="shared" ca="1" si="104"/>
        <v>-3.6719800483369619E-2</v>
      </c>
    </row>
    <row r="6165" spans="7:8">
      <c r="G6165">
        <v>6155</v>
      </c>
      <c r="H6165">
        <f t="shared" ca="1" si="104"/>
        <v>5.8353336051071457E-3</v>
      </c>
    </row>
    <row r="6166" spans="7:8">
      <c r="G6166">
        <v>6156</v>
      </c>
      <c r="H6166">
        <f t="shared" ca="1" si="104"/>
        <v>2.6976948653812109E-2</v>
      </c>
    </row>
    <row r="6167" spans="7:8">
      <c r="G6167">
        <v>6157</v>
      </c>
      <c r="H6167">
        <f t="shared" ca="1" si="104"/>
        <v>7.5073723034775487E-3</v>
      </c>
    </row>
    <row r="6168" spans="7:8">
      <c r="G6168">
        <v>6158</v>
      </c>
      <c r="H6168">
        <f t="shared" ca="1" si="104"/>
        <v>-4.6230954923927713E-3</v>
      </c>
    </row>
    <row r="6169" spans="7:8">
      <c r="G6169">
        <v>6159</v>
      </c>
      <c r="H6169">
        <f t="shared" ca="1" si="104"/>
        <v>2.6703262450932103E-2</v>
      </c>
    </row>
    <row r="6170" spans="7:8">
      <c r="G6170">
        <v>6160</v>
      </c>
      <c r="H6170">
        <f t="shared" ca="1" si="104"/>
        <v>-1.157873511844815E-2</v>
      </c>
    </row>
    <row r="6171" spans="7:8">
      <c r="G6171">
        <v>6161</v>
      </c>
      <c r="H6171">
        <f t="shared" ca="1" si="104"/>
        <v>-3.8048421451828719E-2</v>
      </c>
    </row>
    <row r="6172" spans="7:8">
      <c r="G6172">
        <v>6162</v>
      </c>
      <c r="H6172">
        <f t="shared" ca="1" si="104"/>
        <v>5.9011259055285767E-3</v>
      </c>
    </row>
    <row r="6173" spans="7:8">
      <c r="G6173">
        <v>6163</v>
      </c>
      <c r="H6173">
        <f t="shared" ca="1" si="104"/>
        <v>-1.8703376341245564E-3</v>
      </c>
    </row>
    <row r="6174" spans="7:8">
      <c r="G6174">
        <v>6164</v>
      </c>
      <c r="H6174">
        <f t="shared" ca="1" si="104"/>
        <v>4.4412156587563993E-3</v>
      </c>
    </row>
    <row r="6175" spans="7:8">
      <c r="G6175">
        <v>6165</v>
      </c>
      <c r="H6175">
        <f t="shared" ca="1" si="104"/>
        <v>-1.2150151554176728E-2</v>
      </c>
    </row>
    <row r="6176" spans="7:8">
      <c r="G6176">
        <v>6166</v>
      </c>
      <c r="H6176">
        <f t="shared" ca="1" si="104"/>
        <v>3.3589816643769206E-2</v>
      </c>
    </row>
    <row r="6177" spans="7:8">
      <c r="G6177">
        <v>6167</v>
      </c>
      <c r="H6177">
        <f t="shared" ca="1" si="104"/>
        <v>-2.7018304825608304E-2</v>
      </c>
    </row>
    <row r="6178" spans="7:8">
      <c r="G6178">
        <v>6168</v>
      </c>
      <c r="H6178">
        <f t="shared" ca="1" si="104"/>
        <v>-6.9052065025905539E-3</v>
      </c>
    </row>
    <row r="6179" spans="7:8">
      <c r="G6179">
        <v>6169</v>
      </c>
      <c r="H6179">
        <f t="shared" ca="1" si="104"/>
        <v>-1.3364121620723007E-2</v>
      </c>
    </row>
    <row r="6180" spans="7:8">
      <c r="G6180">
        <v>6170</v>
      </c>
      <c r="H6180">
        <f t="shared" ca="1" si="104"/>
        <v>-3.6363711451873733E-2</v>
      </c>
    </row>
    <row r="6181" spans="7:8">
      <c r="G6181">
        <v>6171</v>
      </c>
      <c r="H6181">
        <f t="shared" ca="1" si="104"/>
        <v>1.3271487466427862E-2</v>
      </c>
    </row>
    <row r="6182" spans="7:8">
      <c r="G6182">
        <v>6172</v>
      </c>
      <c r="H6182">
        <f t="shared" ca="1" si="104"/>
        <v>3.1497173964515658E-2</v>
      </c>
    </row>
    <row r="6183" spans="7:8">
      <c r="G6183">
        <v>6173</v>
      </c>
      <c r="H6183">
        <f t="shared" ca="1" si="104"/>
        <v>1.8819450847448421E-3</v>
      </c>
    </row>
    <row r="6184" spans="7:8">
      <c r="G6184">
        <v>6174</v>
      </c>
      <c r="H6184">
        <f t="shared" ca="1" si="104"/>
        <v>-3.1753782348059804E-2</v>
      </c>
    </row>
    <row r="6185" spans="7:8">
      <c r="G6185">
        <v>6175</v>
      </c>
      <c r="H6185">
        <f t="shared" ca="1" si="104"/>
        <v>-2.3624177479406611E-2</v>
      </c>
    </row>
    <row r="6186" spans="7:8">
      <c r="G6186">
        <v>6176</v>
      </c>
      <c r="H6186">
        <f t="shared" ca="1" si="104"/>
        <v>-1.0060275425783591E-2</v>
      </c>
    </row>
    <row r="6187" spans="7:8">
      <c r="G6187">
        <v>6177</v>
      </c>
      <c r="H6187">
        <f t="shared" ca="1" si="104"/>
        <v>-1.4010891578257918E-2</v>
      </c>
    </row>
    <row r="6188" spans="7:8">
      <c r="G6188">
        <v>6178</v>
      </c>
      <c r="H6188">
        <f t="shared" ca="1" si="104"/>
        <v>1.234615122416686E-2</v>
      </c>
    </row>
    <row r="6189" spans="7:8">
      <c r="G6189">
        <v>6179</v>
      </c>
      <c r="H6189">
        <f t="shared" ca="1" si="104"/>
        <v>5.7188956084444085E-3</v>
      </c>
    </row>
    <row r="6190" spans="7:8">
      <c r="G6190">
        <v>6180</v>
      </c>
      <c r="H6190">
        <f t="shared" ca="1" si="104"/>
        <v>-4.0852358064873785E-4</v>
      </c>
    </row>
    <row r="6191" spans="7:8">
      <c r="G6191">
        <v>6181</v>
      </c>
      <c r="H6191">
        <f t="shared" ca="1" si="104"/>
        <v>1.4703595599499149E-3</v>
      </c>
    </row>
    <row r="6192" spans="7:8">
      <c r="G6192">
        <v>6182</v>
      </c>
      <c r="H6192">
        <f t="shared" ca="1" si="104"/>
        <v>2.0881726835887276E-2</v>
      </c>
    </row>
    <row r="6193" spans="7:8">
      <c r="G6193">
        <v>6183</v>
      </c>
      <c r="H6193">
        <f t="shared" ca="1" si="104"/>
        <v>2.3769938002600854E-2</v>
      </c>
    </row>
    <row r="6194" spans="7:8">
      <c r="G6194">
        <v>6184</v>
      </c>
      <c r="H6194">
        <f t="shared" ca="1" si="104"/>
        <v>2.5356508815250721E-2</v>
      </c>
    </row>
    <row r="6195" spans="7:8">
      <c r="G6195">
        <v>6185</v>
      </c>
      <c r="H6195">
        <f t="shared" ca="1" si="104"/>
        <v>5.2616248121988476E-3</v>
      </c>
    </row>
    <row r="6196" spans="7:8">
      <c r="G6196">
        <v>6186</v>
      </c>
      <c r="H6196">
        <f t="shared" ca="1" si="104"/>
        <v>2.082924500983724E-3</v>
      </c>
    </row>
    <row r="6197" spans="7:8">
      <c r="G6197">
        <v>6187</v>
      </c>
      <c r="H6197">
        <f t="shared" ca="1" si="104"/>
        <v>-2.1185544301269611E-2</v>
      </c>
    </row>
    <row r="6198" spans="7:8">
      <c r="G6198">
        <v>6188</v>
      </c>
      <c r="H6198">
        <f t="shared" ca="1" si="104"/>
        <v>1.683222249958808E-2</v>
      </c>
    </row>
    <row r="6199" spans="7:8">
      <c r="G6199">
        <v>6189</v>
      </c>
      <c r="H6199">
        <f t="shared" ca="1" si="104"/>
        <v>-2.2478149302769895E-2</v>
      </c>
    </row>
    <row r="6200" spans="7:8">
      <c r="G6200">
        <v>6190</v>
      </c>
      <c r="H6200">
        <f t="shared" ca="1" si="104"/>
        <v>4.9207117048826821E-3</v>
      </c>
    </row>
    <row r="6201" spans="7:8">
      <c r="G6201">
        <v>6191</v>
      </c>
      <c r="H6201">
        <f t="shared" ca="1" si="104"/>
        <v>-2.7360079531150564E-3</v>
      </c>
    </row>
    <row r="6202" spans="7:8">
      <c r="G6202">
        <v>6192</v>
      </c>
      <c r="H6202">
        <f t="shared" ca="1" si="104"/>
        <v>-1.5387897668583291E-2</v>
      </c>
    </row>
    <row r="6203" spans="7:8">
      <c r="G6203">
        <v>6193</v>
      </c>
      <c r="H6203">
        <f t="shared" ca="1" si="104"/>
        <v>-3.4247421562336046E-2</v>
      </c>
    </row>
    <row r="6204" spans="7:8">
      <c r="G6204">
        <v>6194</v>
      </c>
      <c r="H6204">
        <f t="shared" ca="1" si="104"/>
        <v>-2.7778485344375856E-3</v>
      </c>
    </row>
    <row r="6205" spans="7:8">
      <c r="G6205">
        <v>6195</v>
      </c>
      <c r="H6205">
        <f t="shared" ca="1" si="104"/>
        <v>-1.0081479850066162E-2</v>
      </c>
    </row>
    <row r="6206" spans="7:8">
      <c r="G6206">
        <v>6196</v>
      </c>
      <c r="H6206">
        <f t="shared" ca="1" si="104"/>
        <v>2.9343327439639733E-2</v>
      </c>
    </row>
    <row r="6207" spans="7:8">
      <c r="G6207">
        <v>6197</v>
      </c>
      <c r="H6207">
        <f t="shared" ca="1" si="104"/>
        <v>-4.0833121067990232E-3</v>
      </c>
    </row>
    <row r="6208" spans="7:8">
      <c r="G6208">
        <v>6198</v>
      </c>
      <c r="H6208">
        <f t="shared" ca="1" si="104"/>
        <v>-2.3458315011617978E-2</v>
      </c>
    </row>
    <row r="6209" spans="7:8">
      <c r="G6209">
        <v>6199</v>
      </c>
      <c r="H6209">
        <f t="shared" ca="1" si="104"/>
        <v>1.083159288128805E-2</v>
      </c>
    </row>
    <row r="6210" spans="7:8">
      <c r="G6210">
        <v>6200</v>
      </c>
      <c r="H6210">
        <f t="shared" ca="1" si="104"/>
        <v>1.6695047749713851E-2</v>
      </c>
    </row>
    <row r="6211" spans="7:8">
      <c r="G6211">
        <v>6201</v>
      </c>
      <c r="H6211">
        <f t="shared" ca="1" si="104"/>
        <v>2.1706797811442819E-2</v>
      </c>
    </row>
    <row r="6212" spans="7:8">
      <c r="G6212">
        <v>6202</v>
      </c>
      <c r="H6212">
        <f t="shared" ca="1" si="104"/>
        <v>1.1468221012355463E-2</v>
      </c>
    </row>
    <row r="6213" spans="7:8">
      <c r="G6213">
        <v>6203</v>
      </c>
      <c r="H6213">
        <f t="shared" ca="1" si="104"/>
        <v>-1.1352783944074506E-2</v>
      </c>
    </row>
    <row r="6214" spans="7:8">
      <c r="G6214">
        <v>6204</v>
      </c>
      <c r="H6214">
        <f t="shared" ca="1" si="104"/>
        <v>-3.0874507063421517E-2</v>
      </c>
    </row>
    <row r="6215" spans="7:8">
      <c r="G6215">
        <v>6205</v>
      </c>
      <c r="H6215">
        <f t="shared" ca="1" si="104"/>
        <v>2.466440000625849E-2</v>
      </c>
    </row>
    <row r="6216" spans="7:8">
      <c r="G6216">
        <v>6206</v>
      </c>
      <c r="H6216">
        <f t="shared" ca="1" si="104"/>
        <v>6.0062659961402599E-3</v>
      </c>
    </row>
    <row r="6217" spans="7:8">
      <c r="G6217">
        <v>6207</v>
      </c>
      <c r="H6217">
        <f t="shared" ca="1" si="104"/>
        <v>2.3086247337578076E-3</v>
      </c>
    </row>
    <row r="6218" spans="7:8">
      <c r="G6218">
        <v>6208</v>
      </c>
      <c r="H6218">
        <f t="shared" ca="1" si="104"/>
        <v>3.818987789873577E-2</v>
      </c>
    </row>
    <row r="6219" spans="7:8">
      <c r="G6219">
        <v>6209</v>
      </c>
      <c r="H6219">
        <f t="shared" ca="1" si="104"/>
        <v>-1.4329875174685902E-2</v>
      </c>
    </row>
    <row r="6220" spans="7:8">
      <c r="G6220">
        <v>6210</v>
      </c>
      <c r="H6220">
        <f t="shared" ref="H6220:H6283" ca="1" si="105">_xlfn.NORM.INV(RAND(),N$13,N$14)</f>
        <v>2.6703781765731027E-3</v>
      </c>
    </row>
    <row r="6221" spans="7:8">
      <c r="G6221">
        <v>6211</v>
      </c>
      <c r="H6221">
        <f t="shared" ca="1" si="105"/>
        <v>-2.5807839514146022E-3</v>
      </c>
    </row>
    <row r="6222" spans="7:8">
      <c r="G6222">
        <v>6212</v>
      </c>
      <c r="H6222">
        <f t="shared" ca="1" si="105"/>
        <v>2.9039377409308304E-2</v>
      </c>
    </row>
    <row r="6223" spans="7:8">
      <c r="G6223">
        <v>6213</v>
      </c>
      <c r="H6223">
        <f t="shared" ca="1" si="105"/>
        <v>2.8020274638918826E-4</v>
      </c>
    </row>
    <row r="6224" spans="7:8">
      <c r="G6224">
        <v>6214</v>
      </c>
      <c r="H6224">
        <f t="shared" ca="1" si="105"/>
        <v>3.2490168716757681E-2</v>
      </c>
    </row>
    <row r="6225" spans="7:8">
      <c r="G6225">
        <v>6215</v>
      </c>
      <c r="H6225">
        <f t="shared" ca="1" si="105"/>
        <v>4.0970174728944229E-2</v>
      </c>
    </row>
    <row r="6226" spans="7:8">
      <c r="G6226">
        <v>6216</v>
      </c>
      <c r="H6226">
        <f t="shared" ca="1" si="105"/>
        <v>7.231519521201454E-3</v>
      </c>
    </row>
    <row r="6227" spans="7:8">
      <c r="G6227">
        <v>6217</v>
      </c>
      <c r="H6227">
        <f t="shared" ca="1" si="105"/>
        <v>1.4659582954786055E-2</v>
      </c>
    </row>
    <row r="6228" spans="7:8">
      <c r="G6228">
        <v>6218</v>
      </c>
      <c r="H6228">
        <f t="shared" ca="1" si="105"/>
        <v>1.3304918632891754E-3</v>
      </c>
    </row>
    <row r="6229" spans="7:8">
      <c r="G6229">
        <v>6219</v>
      </c>
      <c r="H6229">
        <f t="shared" ca="1" si="105"/>
        <v>2.0394590859296374E-2</v>
      </c>
    </row>
    <row r="6230" spans="7:8">
      <c r="G6230">
        <v>6220</v>
      </c>
      <c r="H6230">
        <f t="shared" ca="1" si="105"/>
        <v>-1.8334111758100433E-2</v>
      </c>
    </row>
    <row r="6231" spans="7:8">
      <c r="G6231">
        <v>6221</v>
      </c>
      <c r="H6231">
        <f t="shared" ca="1" si="105"/>
        <v>2.3417833153324429E-2</v>
      </c>
    </row>
    <row r="6232" spans="7:8">
      <c r="G6232">
        <v>6222</v>
      </c>
      <c r="H6232">
        <f t="shared" ca="1" si="105"/>
        <v>-4.9133730926931045E-3</v>
      </c>
    </row>
    <row r="6233" spans="7:8">
      <c r="G6233">
        <v>6223</v>
      </c>
      <c r="H6233">
        <f t="shared" ca="1" si="105"/>
        <v>-4.1751231617734703E-2</v>
      </c>
    </row>
    <row r="6234" spans="7:8">
      <c r="G6234">
        <v>6224</v>
      </c>
      <c r="H6234">
        <f t="shared" ca="1" si="105"/>
        <v>1.0064206570130024E-2</v>
      </c>
    </row>
    <row r="6235" spans="7:8">
      <c r="G6235">
        <v>6225</v>
      </c>
      <c r="H6235">
        <f t="shared" ca="1" si="105"/>
        <v>2.8393635587223569E-4</v>
      </c>
    </row>
    <row r="6236" spans="7:8">
      <c r="G6236">
        <v>6226</v>
      </c>
      <c r="H6236">
        <f t="shared" ca="1" si="105"/>
        <v>-2.138715728018048E-2</v>
      </c>
    </row>
    <row r="6237" spans="7:8">
      <c r="G6237">
        <v>6227</v>
      </c>
      <c r="H6237">
        <f t="shared" ca="1" si="105"/>
        <v>3.1374047557072588E-3</v>
      </c>
    </row>
    <row r="6238" spans="7:8">
      <c r="G6238">
        <v>6228</v>
      </c>
      <c r="H6238">
        <f t="shared" ca="1" si="105"/>
        <v>2.1713433486760345E-2</v>
      </c>
    </row>
    <row r="6239" spans="7:8">
      <c r="G6239">
        <v>6229</v>
      </c>
      <c r="H6239">
        <f t="shared" ca="1" si="105"/>
        <v>-1.8409030131178259E-2</v>
      </c>
    </row>
    <row r="6240" spans="7:8">
      <c r="G6240">
        <v>6230</v>
      </c>
      <c r="H6240">
        <f t="shared" ca="1" si="105"/>
        <v>-3.3986088618065194E-2</v>
      </c>
    </row>
    <row r="6241" spans="7:8">
      <c r="G6241">
        <v>6231</v>
      </c>
      <c r="H6241">
        <f t="shared" ca="1" si="105"/>
        <v>1.8325605834093362E-2</v>
      </c>
    </row>
    <row r="6242" spans="7:8">
      <c r="G6242">
        <v>6232</v>
      </c>
      <c r="H6242">
        <f t="shared" ca="1" si="105"/>
        <v>-1.4485589297235962E-2</v>
      </c>
    </row>
    <row r="6243" spans="7:8">
      <c r="G6243">
        <v>6233</v>
      </c>
      <c r="H6243">
        <f t="shared" ca="1" si="105"/>
        <v>3.6723431360924444E-2</v>
      </c>
    </row>
    <row r="6244" spans="7:8">
      <c r="G6244">
        <v>6234</v>
      </c>
      <c r="H6244">
        <f t="shared" ca="1" si="105"/>
        <v>-2.1104399184549549E-2</v>
      </c>
    </row>
    <row r="6245" spans="7:8">
      <c r="G6245">
        <v>6235</v>
      </c>
      <c r="H6245">
        <f t="shared" ca="1" si="105"/>
        <v>-1.3324716546129317E-2</v>
      </c>
    </row>
    <row r="6246" spans="7:8">
      <c r="G6246">
        <v>6236</v>
      </c>
      <c r="H6246">
        <f t="shared" ca="1" si="105"/>
        <v>-2.5007490909950636E-2</v>
      </c>
    </row>
    <row r="6247" spans="7:8">
      <c r="G6247">
        <v>6237</v>
      </c>
      <c r="H6247">
        <f t="shared" ca="1" si="105"/>
        <v>3.5715573896249068E-2</v>
      </c>
    </row>
    <row r="6248" spans="7:8">
      <c r="G6248">
        <v>6238</v>
      </c>
      <c r="H6248">
        <f t="shared" ca="1" si="105"/>
        <v>3.219467270709616E-2</v>
      </c>
    </row>
    <row r="6249" spans="7:8">
      <c r="G6249">
        <v>6239</v>
      </c>
      <c r="H6249">
        <f t="shared" ca="1" si="105"/>
        <v>2.8586188117596695E-2</v>
      </c>
    </row>
    <row r="6250" spans="7:8">
      <c r="G6250">
        <v>6240</v>
      </c>
      <c r="H6250">
        <f t="shared" ca="1" si="105"/>
        <v>-1.8714004825136684E-2</v>
      </c>
    </row>
    <row r="6251" spans="7:8">
      <c r="G6251">
        <v>6241</v>
      </c>
      <c r="H6251">
        <f t="shared" ca="1" si="105"/>
        <v>2.2586704824176129E-2</v>
      </c>
    </row>
    <row r="6252" spans="7:8">
      <c r="G6252">
        <v>6242</v>
      </c>
      <c r="H6252">
        <f t="shared" ca="1" si="105"/>
        <v>2.1120195512185389E-2</v>
      </c>
    </row>
    <row r="6253" spans="7:8">
      <c r="G6253">
        <v>6243</v>
      </c>
      <c r="H6253">
        <f t="shared" ca="1" si="105"/>
        <v>3.8488928739714794E-3</v>
      </c>
    </row>
    <row r="6254" spans="7:8">
      <c r="G6254">
        <v>6244</v>
      </c>
      <c r="H6254">
        <f t="shared" ca="1" si="105"/>
        <v>-3.0569470881413315E-2</v>
      </c>
    </row>
    <row r="6255" spans="7:8">
      <c r="G6255">
        <v>6245</v>
      </c>
      <c r="H6255">
        <f t="shared" ca="1" si="105"/>
        <v>2.8978882100782733E-3</v>
      </c>
    </row>
    <row r="6256" spans="7:8">
      <c r="G6256">
        <v>6246</v>
      </c>
      <c r="H6256">
        <f t="shared" ca="1" si="105"/>
        <v>-4.2022887244380601E-2</v>
      </c>
    </row>
    <row r="6257" spans="7:8">
      <c r="G6257">
        <v>6247</v>
      </c>
      <c r="H6257">
        <f t="shared" ca="1" si="105"/>
        <v>3.4607276020195213E-2</v>
      </c>
    </row>
    <row r="6258" spans="7:8">
      <c r="G6258">
        <v>6248</v>
      </c>
      <c r="H6258">
        <f t="shared" ca="1" si="105"/>
        <v>-7.4190668840179051E-3</v>
      </c>
    </row>
    <row r="6259" spans="7:8">
      <c r="G6259">
        <v>6249</v>
      </c>
      <c r="H6259">
        <f t="shared" ca="1" si="105"/>
        <v>1.1984325874413906E-2</v>
      </c>
    </row>
    <row r="6260" spans="7:8">
      <c r="G6260">
        <v>6250</v>
      </c>
      <c r="H6260">
        <f t="shared" ca="1" si="105"/>
        <v>-4.7610999915963376E-3</v>
      </c>
    </row>
    <row r="6261" spans="7:8">
      <c r="G6261">
        <v>6251</v>
      </c>
      <c r="H6261">
        <f t="shared" ca="1" si="105"/>
        <v>-2.5169472522431451E-2</v>
      </c>
    </row>
    <row r="6262" spans="7:8">
      <c r="G6262">
        <v>6252</v>
      </c>
      <c r="H6262">
        <f t="shared" ca="1" si="105"/>
        <v>-1.7762300600688057E-2</v>
      </c>
    </row>
    <row r="6263" spans="7:8">
      <c r="G6263">
        <v>6253</v>
      </c>
      <c r="H6263">
        <f t="shared" ca="1" si="105"/>
        <v>4.7209196038851819E-2</v>
      </c>
    </row>
    <row r="6264" spans="7:8">
      <c r="G6264">
        <v>6254</v>
      </c>
      <c r="H6264">
        <f t="shared" ca="1" si="105"/>
        <v>-5.6291591301355755E-2</v>
      </c>
    </row>
    <row r="6265" spans="7:8">
      <c r="G6265">
        <v>6255</v>
      </c>
      <c r="H6265">
        <f t="shared" ca="1" si="105"/>
        <v>-1.1937513240331803E-2</v>
      </c>
    </row>
    <row r="6266" spans="7:8">
      <c r="G6266">
        <v>6256</v>
      </c>
      <c r="H6266">
        <f t="shared" ca="1" si="105"/>
        <v>6.2445271722612718E-3</v>
      </c>
    </row>
    <row r="6267" spans="7:8">
      <c r="G6267">
        <v>6257</v>
      </c>
      <c r="H6267">
        <f t="shared" ca="1" si="105"/>
        <v>2.2609914342156954E-2</v>
      </c>
    </row>
    <row r="6268" spans="7:8">
      <c r="G6268">
        <v>6258</v>
      </c>
      <c r="H6268">
        <f t="shared" ca="1" si="105"/>
        <v>-1.8723208319908716E-2</v>
      </c>
    </row>
    <row r="6269" spans="7:8">
      <c r="G6269">
        <v>6259</v>
      </c>
      <c r="H6269">
        <f t="shared" ca="1" si="105"/>
        <v>2.783721527099397E-3</v>
      </c>
    </row>
    <row r="6270" spans="7:8">
      <c r="G6270">
        <v>6260</v>
      </c>
      <c r="H6270">
        <f t="shared" ca="1" si="105"/>
        <v>2.521079137894092E-2</v>
      </c>
    </row>
    <row r="6271" spans="7:8">
      <c r="G6271">
        <v>6261</v>
      </c>
      <c r="H6271">
        <f t="shared" ca="1" si="105"/>
        <v>-3.889719633550399E-3</v>
      </c>
    </row>
    <row r="6272" spans="7:8">
      <c r="G6272">
        <v>6262</v>
      </c>
      <c r="H6272">
        <f t="shared" ca="1" si="105"/>
        <v>2.5063074662073765E-2</v>
      </c>
    </row>
    <row r="6273" spans="7:8">
      <c r="G6273">
        <v>6263</v>
      </c>
      <c r="H6273">
        <f t="shared" ca="1" si="105"/>
        <v>-3.6936371902856896E-2</v>
      </c>
    </row>
    <row r="6274" spans="7:8">
      <c r="G6274">
        <v>6264</v>
      </c>
      <c r="H6274">
        <f t="shared" ca="1" si="105"/>
        <v>-2.4123603826729092E-2</v>
      </c>
    </row>
    <row r="6275" spans="7:8">
      <c r="G6275">
        <v>6265</v>
      </c>
      <c r="H6275">
        <f t="shared" ca="1" si="105"/>
        <v>-1.2583271142892134E-2</v>
      </c>
    </row>
    <row r="6276" spans="7:8">
      <c r="G6276">
        <v>6266</v>
      </c>
      <c r="H6276">
        <f t="shared" ca="1" si="105"/>
        <v>-3.2354818182140525E-2</v>
      </c>
    </row>
    <row r="6277" spans="7:8">
      <c r="G6277">
        <v>6267</v>
      </c>
      <c r="H6277">
        <f t="shared" ca="1" si="105"/>
        <v>8.7933493264851243E-3</v>
      </c>
    </row>
    <row r="6278" spans="7:8">
      <c r="G6278">
        <v>6268</v>
      </c>
      <c r="H6278">
        <f t="shared" ca="1" si="105"/>
        <v>3.9636681555625997E-2</v>
      </c>
    </row>
    <row r="6279" spans="7:8">
      <c r="G6279">
        <v>6269</v>
      </c>
      <c r="H6279">
        <f t="shared" ca="1" si="105"/>
        <v>-1.0385802487751774E-3</v>
      </c>
    </row>
    <row r="6280" spans="7:8">
      <c r="G6280">
        <v>6270</v>
      </c>
      <c r="H6280">
        <f t="shared" ca="1" si="105"/>
        <v>-4.8355426494416532E-3</v>
      </c>
    </row>
    <row r="6281" spans="7:8">
      <c r="G6281">
        <v>6271</v>
      </c>
      <c r="H6281">
        <f t="shared" ca="1" si="105"/>
        <v>3.7246819620566321E-2</v>
      </c>
    </row>
    <row r="6282" spans="7:8">
      <c r="G6282">
        <v>6272</v>
      </c>
      <c r="H6282">
        <f t="shared" ca="1" si="105"/>
        <v>4.7849743219048772E-2</v>
      </c>
    </row>
    <row r="6283" spans="7:8">
      <c r="G6283">
        <v>6273</v>
      </c>
      <c r="H6283">
        <f t="shared" ca="1" si="105"/>
        <v>-3.969209234042629E-2</v>
      </c>
    </row>
    <row r="6284" spans="7:8">
      <c r="G6284">
        <v>6274</v>
      </c>
      <c r="H6284">
        <f t="shared" ref="H6284:H6347" ca="1" si="106">_xlfn.NORM.INV(RAND(),N$13,N$14)</f>
        <v>-3.8602027669509078E-3</v>
      </c>
    </row>
    <row r="6285" spans="7:8">
      <c r="G6285">
        <v>6275</v>
      </c>
      <c r="H6285">
        <f t="shared" ca="1" si="106"/>
        <v>6.9651801504469965E-3</v>
      </c>
    </row>
    <row r="6286" spans="7:8">
      <c r="G6286">
        <v>6276</v>
      </c>
      <c r="H6286">
        <f t="shared" ca="1" si="106"/>
        <v>-2.8194097221042051E-2</v>
      </c>
    </row>
    <row r="6287" spans="7:8">
      <c r="G6287">
        <v>6277</v>
      </c>
      <c r="H6287">
        <f t="shared" ca="1" si="106"/>
        <v>5.397809568682221E-3</v>
      </c>
    </row>
    <row r="6288" spans="7:8">
      <c r="G6288">
        <v>6278</v>
      </c>
      <c r="H6288">
        <f t="shared" ca="1" si="106"/>
        <v>-7.6551815333377035E-3</v>
      </c>
    </row>
    <row r="6289" spans="7:8">
      <c r="G6289">
        <v>6279</v>
      </c>
      <c r="H6289">
        <f t="shared" ca="1" si="106"/>
        <v>-3.7181947939677289E-4</v>
      </c>
    </row>
    <row r="6290" spans="7:8">
      <c r="G6290">
        <v>6280</v>
      </c>
      <c r="H6290">
        <f t="shared" ca="1" si="106"/>
        <v>-5.5729277171869714E-3</v>
      </c>
    </row>
    <row r="6291" spans="7:8">
      <c r="G6291">
        <v>6281</v>
      </c>
      <c r="H6291">
        <f t="shared" ca="1" si="106"/>
        <v>-2.5212830292684809E-2</v>
      </c>
    </row>
    <row r="6292" spans="7:8">
      <c r="G6292">
        <v>6282</v>
      </c>
      <c r="H6292">
        <f t="shared" ca="1" si="106"/>
        <v>2.998788862455341E-2</v>
      </c>
    </row>
    <row r="6293" spans="7:8">
      <c r="G6293">
        <v>6283</v>
      </c>
      <c r="H6293">
        <f t="shared" ca="1" si="106"/>
        <v>4.3102126389164788E-2</v>
      </c>
    </row>
    <row r="6294" spans="7:8">
      <c r="G6294">
        <v>6284</v>
      </c>
      <c r="H6294">
        <f t="shared" ca="1" si="106"/>
        <v>1.3624375904602975E-2</v>
      </c>
    </row>
    <row r="6295" spans="7:8">
      <c r="G6295">
        <v>6285</v>
      </c>
      <c r="H6295">
        <f t="shared" ca="1" si="106"/>
        <v>2.2247314029363633E-3</v>
      </c>
    </row>
    <row r="6296" spans="7:8">
      <c r="G6296">
        <v>6286</v>
      </c>
      <c r="H6296">
        <f t="shared" ca="1" si="106"/>
        <v>3.6604718635143994E-2</v>
      </c>
    </row>
    <row r="6297" spans="7:8">
      <c r="G6297">
        <v>6287</v>
      </c>
      <c r="H6297">
        <f t="shared" ca="1" si="106"/>
        <v>4.5161346546940671E-2</v>
      </c>
    </row>
    <row r="6298" spans="7:8">
      <c r="G6298">
        <v>6288</v>
      </c>
      <c r="H6298">
        <f t="shared" ca="1" si="106"/>
        <v>-2.8131582790750849E-2</v>
      </c>
    </row>
    <row r="6299" spans="7:8">
      <c r="G6299">
        <v>6289</v>
      </c>
      <c r="H6299">
        <f t="shared" ca="1" si="106"/>
        <v>2.5555671219268448E-3</v>
      </c>
    </row>
    <row r="6300" spans="7:8">
      <c r="G6300">
        <v>6290</v>
      </c>
      <c r="H6300">
        <f t="shared" ca="1" si="106"/>
        <v>3.3307177380852523E-2</v>
      </c>
    </row>
    <row r="6301" spans="7:8">
      <c r="G6301">
        <v>6291</v>
      </c>
      <c r="H6301">
        <f t="shared" ca="1" si="106"/>
        <v>1.147523924085545E-2</v>
      </c>
    </row>
    <row r="6302" spans="7:8">
      <c r="G6302">
        <v>6292</v>
      </c>
      <c r="H6302">
        <f t="shared" ca="1" si="106"/>
        <v>-8.2586343798394489E-3</v>
      </c>
    </row>
    <row r="6303" spans="7:8">
      <c r="G6303">
        <v>6293</v>
      </c>
      <c r="H6303">
        <f t="shared" ca="1" si="106"/>
        <v>4.0272401269526553E-2</v>
      </c>
    </row>
    <row r="6304" spans="7:8">
      <c r="G6304">
        <v>6294</v>
      </c>
      <c r="H6304">
        <f t="shared" ca="1" si="106"/>
        <v>2.9759915883030733E-2</v>
      </c>
    </row>
    <row r="6305" spans="7:8">
      <c r="G6305">
        <v>6295</v>
      </c>
      <c r="H6305">
        <f t="shared" ca="1" si="106"/>
        <v>-3.227800899955452E-3</v>
      </c>
    </row>
    <row r="6306" spans="7:8">
      <c r="G6306">
        <v>6296</v>
      </c>
      <c r="H6306">
        <f t="shared" ca="1" si="106"/>
        <v>1.060533760888833E-2</v>
      </c>
    </row>
    <row r="6307" spans="7:8">
      <c r="G6307">
        <v>6297</v>
      </c>
      <c r="H6307">
        <f t="shared" ca="1" si="106"/>
        <v>-1.6221155185337548E-2</v>
      </c>
    </row>
    <row r="6308" spans="7:8">
      <c r="G6308">
        <v>6298</v>
      </c>
      <c r="H6308">
        <f t="shared" ca="1" si="106"/>
        <v>-1.7318835347699908E-2</v>
      </c>
    </row>
    <row r="6309" spans="7:8">
      <c r="G6309">
        <v>6299</v>
      </c>
      <c r="H6309">
        <f t="shared" ca="1" si="106"/>
        <v>2.4021880417055868E-2</v>
      </c>
    </row>
    <row r="6310" spans="7:8">
      <c r="G6310">
        <v>6300</v>
      </c>
      <c r="H6310">
        <f t="shared" ca="1" si="106"/>
        <v>1.3760341910029669E-2</v>
      </c>
    </row>
    <row r="6311" spans="7:8">
      <c r="G6311">
        <v>6301</v>
      </c>
      <c r="H6311">
        <f t="shared" ca="1" si="106"/>
        <v>-3.8639369260287319E-2</v>
      </c>
    </row>
    <row r="6312" spans="7:8">
      <c r="G6312">
        <v>6302</v>
      </c>
      <c r="H6312">
        <f t="shared" ca="1" si="106"/>
        <v>-2.9895528061951924E-2</v>
      </c>
    </row>
    <row r="6313" spans="7:8">
      <c r="G6313">
        <v>6303</v>
      </c>
      <c r="H6313">
        <f t="shared" ca="1" si="106"/>
        <v>1.9413866908931366E-2</v>
      </c>
    </row>
    <row r="6314" spans="7:8">
      <c r="G6314">
        <v>6304</v>
      </c>
      <c r="H6314">
        <f t="shared" ca="1" si="106"/>
        <v>-4.9559429929253725E-2</v>
      </c>
    </row>
    <row r="6315" spans="7:8">
      <c r="G6315">
        <v>6305</v>
      </c>
      <c r="H6315">
        <f t="shared" ca="1" si="106"/>
        <v>-1.4176356749157361E-3</v>
      </c>
    </row>
    <row r="6316" spans="7:8">
      <c r="G6316">
        <v>6306</v>
      </c>
      <c r="H6316">
        <f t="shared" ca="1" si="106"/>
        <v>-8.7445736993291834E-3</v>
      </c>
    </row>
    <row r="6317" spans="7:8">
      <c r="G6317">
        <v>6307</v>
      </c>
      <c r="H6317">
        <f t="shared" ca="1" si="106"/>
        <v>1.9818332473301053E-3</v>
      </c>
    </row>
    <row r="6318" spans="7:8">
      <c r="G6318">
        <v>6308</v>
      </c>
      <c r="H6318">
        <f t="shared" ca="1" si="106"/>
        <v>-1.2303345714528758E-2</v>
      </c>
    </row>
    <row r="6319" spans="7:8">
      <c r="G6319">
        <v>6309</v>
      </c>
      <c r="H6319">
        <f t="shared" ca="1" si="106"/>
        <v>2.7277469908066086E-2</v>
      </c>
    </row>
    <row r="6320" spans="7:8">
      <c r="G6320">
        <v>6310</v>
      </c>
      <c r="H6320">
        <f t="shared" ca="1" si="106"/>
        <v>-3.8898251839031291E-2</v>
      </c>
    </row>
    <row r="6321" spans="7:8">
      <c r="G6321">
        <v>6311</v>
      </c>
      <c r="H6321">
        <f t="shared" ca="1" si="106"/>
        <v>2.0415380026590883E-2</v>
      </c>
    </row>
    <row r="6322" spans="7:8">
      <c r="G6322">
        <v>6312</v>
      </c>
      <c r="H6322">
        <f t="shared" ca="1" si="106"/>
        <v>2.9060987003925167E-3</v>
      </c>
    </row>
    <row r="6323" spans="7:8">
      <c r="G6323">
        <v>6313</v>
      </c>
      <c r="H6323">
        <f t="shared" ca="1" si="106"/>
        <v>7.4588568593195077E-3</v>
      </c>
    </row>
    <row r="6324" spans="7:8">
      <c r="G6324">
        <v>6314</v>
      </c>
      <c r="H6324">
        <f t="shared" ca="1" si="106"/>
        <v>-2.2422684027419915E-2</v>
      </c>
    </row>
    <row r="6325" spans="7:8">
      <c r="G6325">
        <v>6315</v>
      </c>
      <c r="H6325">
        <f t="shared" ca="1" si="106"/>
        <v>4.118558724841196E-2</v>
      </c>
    </row>
    <row r="6326" spans="7:8">
      <c r="G6326">
        <v>6316</v>
      </c>
      <c r="H6326">
        <f t="shared" ca="1" si="106"/>
        <v>1.9022105801005544E-2</v>
      </c>
    </row>
    <row r="6327" spans="7:8">
      <c r="G6327">
        <v>6317</v>
      </c>
      <c r="H6327">
        <f t="shared" ca="1" si="106"/>
        <v>-2.7598528566801971E-2</v>
      </c>
    </row>
    <row r="6328" spans="7:8">
      <c r="G6328">
        <v>6318</v>
      </c>
      <c r="H6328">
        <f t="shared" ca="1" si="106"/>
        <v>4.5324537209166281E-3</v>
      </c>
    </row>
    <row r="6329" spans="7:8">
      <c r="G6329">
        <v>6319</v>
      </c>
      <c r="H6329">
        <f t="shared" ca="1" si="106"/>
        <v>-1.7328682588882729E-2</v>
      </c>
    </row>
    <row r="6330" spans="7:8">
      <c r="G6330">
        <v>6320</v>
      </c>
      <c r="H6330">
        <f t="shared" ca="1" si="106"/>
        <v>9.4060714324453905E-3</v>
      </c>
    </row>
    <row r="6331" spans="7:8">
      <c r="G6331">
        <v>6321</v>
      </c>
      <c r="H6331">
        <f t="shared" ca="1" si="106"/>
        <v>-2.5715475169467199E-2</v>
      </c>
    </row>
    <row r="6332" spans="7:8">
      <c r="G6332">
        <v>6322</v>
      </c>
      <c r="H6332">
        <f t="shared" ca="1" si="106"/>
        <v>-2.2263389813687463E-2</v>
      </c>
    </row>
    <row r="6333" spans="7:8">
      <c r="G6333">
        <v>6323</v>
      </c>
      <c r="H6333">
        <f t="shared" ca="1" si="106"/>
        <v>1.5424816486116853E-2</v>
      </c>
    </row>
    <row r="6334" spans="7:8">
      <c r="G6334">
        <v>6324</v>
      </c>
      <c r="H6334">
        <f t="shared" ca="1" si="106"/>
        <v>-3.1070235581501137E-2</v>
      </c>
    </row>
    <row r="6335" spans="7:8">
      <c r="G6335">
        <v>6325</v>
      </c>
      <c r="H6335">
        <f t="shared" ca="1" si="106"/>
        <v>1.3282559675258363E-3</v>
      </c>
    </row>
    <row r="6336" spans="7:8">
      <c r="G6336">
        <v>6326</v>
      </c>
      <c r="H6336">
        <f t="shared" ca="1" si="106"/>
        <v>3.9958596309689594E-3</v>
      </c>
    </row>
    <row r="6337" spans="7:8">
      <c r="G6337">
        <v>6327</v>
      </c>
      <c r="H6337">
        <f t="shared" ca="1" si="106"/>
        <v>3.0272799305357165E-3</v>
      </c>
    </row>
    <row r="6338" spans="7:8">
      <c r="G6338">
        <v>6328</v>
      </c>
      <c r="H6338">
        <f t="shared" ca="1" si="106"/>
        <v>3.3432718392778588E-2</v>
      </c>
    </row>
    <row r="6339" spans="7:8">
      <c r="G6339">
        <v>6329</v>
      </c>
      <c r="H6339">
        <f t="shared" ca="1" si="106"/>
        <v>-2.3716326191147368E-2</v>
      </c>
    </row>
    <row r="6340" spans="7:8">
      <c r="G6340">
        <v>6330</v>
      </c>
      <c r="H6340">
        <f t="shared" ca="1" si="106"/>
        <v>-1.6334219877694931E-2</v>
      </c>
    </row>
    <row r="6341" spans="7:8">
      <c r="G6341">
        <v>6331</v>
      </c>
      <c r="H6341">
        <f t="shared" ca="1" si="106"/>
        <v>-3.8066318448546628E-3</v>
      </c>
    </row>
    <row r="6342" spans="7:8">
      <c r="G6342">
        <v>6332</v>
      </c>
      <c r="H6342">
        <f t="shared" ca="1" si="106"/>
        <v>-1.6599239668448382E-2</v>
      </c>
    </row>
    <row r="6343" spans="7:8">
      <c r="G6343">
        <v>6333</v>
      </c>
      <c r="H6343">
        <f t="shared" ca="1" si="106"/>
        <v>-4.0367441626375823E-2</v>
      </c>
    </row>
    <row r="6344" spans="7:8">
      <c r="G6344">
        <v>6334</v>
      </c>
      <c r="H6344">
        <f t="shared" ca="1" si="106"/>
        <v>1.0996082131686056E-3</v>
      </c>
    </row>
    <row r="6345" spans="7:8">
      <c r="G6345">
        <v>6335</v>
      </c>
      <c r="H6345">
        <f t="shared" ca="1" si="106"/>
        <v>4.0182724652752369E-2</v>
      </c>
    </row>
    <row r="6346" spans="7:8">
      <c r="G6346">
        <v>6336</v>
      </c>
      <c r="H6346">
        <f t="shared" ca="1" si="106"/>
        <v>2.969081031155877E-2</v>
      </c>
    </row>
    <row r="6347" spans="7:8">
      <c r="G6347">
        <v>6337</v>
      </c>
      <c r="H6347">
        <f t="shared" ca="1" si="106"/>
        <v>2.136697854888123E-2</v>
      </c>
    </row>
    <row r="6348" spans="7:8">
      <c r="G6348">
        <v>6338</v>
      </c>
      <c r="H6348">
        <f t="shared" ref="H6348:H6411" ca="1" si="107">_xlfn.NORM.INV(RAND(),N$13,N$14)</f>
        <v>-1.4479571868083276E-2</v>
      </c>
    </row>
    <row r="6349" spans="7:8">
      <c r="G6349">
        <v>6339</v>
      </c>
      <c r="H6349">
        <f t="shared" ca="1" si="107"/>
        <v>-5.9896816471046391E-3</v>
      </c>
    </row>
    <row r="6350" spans="7:8">
      <c r="G6350">
        <v>6340</v>
      </c>
      <c r="H6350">
        <f t="shared" ca="1" si="107"/>
        <v>3.0200634390170063E-2</v>
      </c>
    </row>
    <row r="6351" spans="7:8">
      <c r="G6351">
        <v>6341</v>
      </c>
      <c r="H6351">
        <f t="shared" ca="1" si="107"/>
        <v>1.5280658385197006E-3</v>
      </c>
    </row>
    <row r="6352" spans="7:8">
      <c r="G6352">
        <v>6342</v>
      </c>
      <c r="H6352">
        <f t="shared" ca="1" si="107"/>
        <v>-2.5315976864450255E-2</v>
      </c>
    </row>
    <row r="6353" spans="7:8">
      <c r="G6353">
        <v>6343</v>
      </c>
      <c r="H6353">
        <f t="shared" ca="1" si="107"/>
        <v>2.1054287083222187E-2</v>
      </c>
    </row>
    <row r="6354" spans="7:8">
      <c r="G6354">
        <v>6344</v>
      </c>
      <c r="H6354">
        <f t="shared" ca="1" si="107"/>
        <v>1.7426991792902729E-2</v>
      </c>
    </row>
    <row r="6355" spans="7:8">
      <c r="G6355">
        <v>6345</v>
      </c>
      <c r="H6355">
        <f t="shared" ca="1" si="107"/>
        <v>-5.5165223584330968E-3</v>
      </c>
    </row>
    <row r="6356" spans="7:8">
      <c r="G6356">
        <v>6346</v>
      </c>
      <c r="H6356">
        <f t="shared" ca="1" si="107"/>
        <v>4.235951652628446E-3</v>
      </c>
    </row>
    <row r="6357" spans="7:8">
      <c r="G6357">
        <v>6347</v>
      </c>
      <c r="H6357">
        <f t="shared" ca="1" si="107"/>
        <v>1.6617016424411643E-2</v>
      </c>
    </row>
    <row r="6358" spans="7:8">
      <c r="G6358">
        <v>6348</v>
      </c>
      <c r="H6358">
        <f t="shared" ca="1" si="107"/>
        <v>2.9627763782262484E-3</v>
      </c>
    </row>
    <row r="6359" spans="7:8">
      <c r="G6359">
        <v>6349</v>
      </c>
      <c r="H6359">
        <f t="shared" ca="1" si="107"/>
        <v>-5.2643544189785608E-3</v>
      </c>
    </row>
    <row r="6360" spans="7:8">
      <c r="G6360">
        <v>6350</v>
      </c>
      <c r="H6360">
        <f t="shared" ca="1" si="107"/>
        <v>-1.9259219348237534E-2</v>
      </c>
    </row>
    <row r="6361" spans="7:8">
      <c r="G6361">
        <v>6351</v>
      </c>
      <c r="H6361">
        <f t="shared" ca="1" si="107"/>
        <v>-1.2700210595332256E-2</v>
      </c>
    </row>
    <row r="6362" spans="7:8">
      <c r="G6362">
        <v>6352</v>
      </c>
      <c r="H6362">
        <f t="shared" ca="1" si="107"/>
        <v>1.0604686755842302E-3</v>
      </c>
    </row>
    <row r="6363" spans="7:8">
      <c r="G6363">
        <v>6353</v>
      </c>
      <c r="H6363">
        <f t="shared" ca="1" si="107"/>
        <v>-1.2764093305916956E-3</v>
      </c>
    </row>
    <row r="6364" spans="7:8">
      <c r="G6364">
        <v>6354</v>
      </c>
      <c r="H6364">
        <f t="shared" ca="1" si="107"/>
        <v>-5.2770094953255096E-2</v>
      </c>
    </row>
    <row r="6365" spans="7:8">
      <c r="G6365">
        <v>6355</v>
      </c>
      <c r="H6365">
        <f t="shared" ca="1" si="107"/>
        <v>3.0471090468986418E-3</v>
      </c>
    </row>
    <row r="6366" spans="7:8">
      <c r="G6366">
        <v>6356</v>
      </c>
      <c r="H6366">
        <f t="shared" ca="1" si="107"/>
        <v>-1.0006909233715187E-2</v>
      </c>
    </row>
    <row r="6367" spans="7:8">
      <c r="G6367">
        <v>6357</v>
      </c>
      <c r="H6367">
        <f t="shared" ca="1" si="107"/>
        <v>1.5931813328574192E-2</v>
      </c>
    </row>
    <row r="6368" spans="7:8">
      <c r="G6368">
        <v>6358</v>
      </c>
      <c r="H6368">
        <f t="shared" ca="1" si="107"/>
        <v>-9.9866622588700945E-4</v>
      </c>
    </row>
    <row r="6369" spans="7:8">
      <c r="G6369">
        <v>6359</v>
      </c>
      <c r="H6369">
        <f t="shared" ca="1" si="107"/>
        <v>1.1878449123687749E-2</v>
      </c>
    </row>
    <row r="6370" spans="7:8">
      <c r="G6370">
        <v>6360</v>
      </c>
      <c r="H6370">
        <f t="shared" ca="1" si="107"/>
        <v>-4.0569674931980717E-3</v>
      </c>
    </row>
    <row r="6371" spans="7:8">
      <c r="G6371">
        <v>6361</v>
      </c>
      <c r="H6371">
        <f t="shared" ca="1" si="107"/>
        <v>-8.8552884143947141E-3</v>
      </c>
    </row>
    <row r="6372" spans="7:8">
      <c r="G6372">
        <v>6362</v>
      </c>
      <c r="H6372">
        <f t="shared" ca="1" si="107"/>
        <v>-3.4300541568531247E-2</v>
      </c>
    </row>
    <row r="6373" spans="7:8">
      <c r="G6373">
        <v>6363</v>
      </c>
      <c r="H6373">
        <f t="shared" ca="1" si="107"/>
        <v>4.2412054373017221E-4</v>
      </c>
    </row>
    <row r="6374" spans="7:8">
      <c r="G6374">
        <v>6364</v>
      </c>
      <c r="H6374">
        <f t="shared" ca="1" si="107"/>
        <v>2.2603195131531108E-2</v>
      </c>
    </row>
    <row r="6375" spans="7:8">
      <c r="G6375">
        <v>6365</v>
      </c>
      <c r="H6375">
        <f t="shared" ca="1" si="107"/>
        <v>1.3671062876394793E-2</v>
      </c>
    </row>
    <row r="6376" spans="7:8">
      <c r="G6376">
        <v>6366</v>
      </c>
      <c r="H6376">
        <f t="shared" ca="1" si="107"/>
        <v>-6.0468625060583821E-2</v>
      </c>
    </row>
    <row r="6377" spans="7:8">
      <c r="G6377">
        <v>6367</v>
      </c>
      <c r="H6377">
        <f t="shared" ca="1" si="107"/>
        <v>4.3269673363568573E-2</v>
      </c>
    </row>
    <row r="6378" spans="7:8">
      <c r="G6378">
        <v>6368</v>
      </c>
      <c r="H6378">
        <f t="shared" ca="1" si="107"/>
        <v>-2.0457313070704676E-2</v>
      </c>
    </row>
    <row r="6379" spans="7:8">
      <c r="G6379">
        <v>6369</v>
      </c>
      <c r="H6379">
        <f t="shared" ca="1" si="107"/>
        <v>-3.6573061265687255E-3</v>
      </c>
    </row>
    <row r="6380" spans="7:8">
      <c r="G6380">
        <v>6370</v>
      </c>
      <c r="H6380">
        <f t="shared" ca="1" si="107"/>
        <v>1.5403828849746026E-3</v>
      </c>
    </row>
    <row r="6381" spans="7:8">
      <c r="G6381">
        <v>6371</v>
      </c>
      <c r="H6381">
        <f t="shared" ca="1" si="107"/>
        <v>2.8305794312477737E-2</v>
      </c>
    </row>
    <row r="6382" spans="7:8">
      <c r="G6382">
        <v>6372</v>
      </c>
      <c r="H6382">
        <f t="shared" ca="1" si="107"/>
        <v>6.0054344151098185E-3</v>
      </c>
    </row>
    <row r="6383" spans="7:8">
      <c r="G6383">
        <v>6373</v>
      </c>
      <c r="H6383">
        <f t="shared" ca="1" si="107"/>
        <v>-1.3862846904210014E-2</v>
      </c>
    </row>
    <row r="6384" spans="7:8">
      <c r="G6384">
        <v>6374</v>
      </c>
      <c r="H6384">
        <f t="shared" ca="1" si="107"/>
        <v>2.710537816798559E-2</v>
      </c>
    </row>
    <row r="6385" spans="7:8">
      <c r="G6385">
        <v>6375</v>
      </c>
      <c r="H6385">
        <f t="shared" ca="1" si="107"/>
        <v>-2.9911560124789242E-2</v>
      </c>
    </row>
    <row r="6386" spans="7:8">
      <c r="G6386">
        <v>6376</v>
      </c>
      <c r="H6386">
        <f t="shared" ca="1" si="107"/>
        <v>-7.7148440158165488E-3</v>
      </c>
    </row>
    <row r="6387" spans="7:8">
      <c r="G6387">
        <v>6377</v>
      </c>
      <c r="H6387">
        <f t="shared" ca="1" si="107"/>
        <v>1.72591805414559E-3</v>
      </c>
    </row>
    <row r="6388" spans="7:8">
      <c r="G6388">
        <v>6378</v>
      </c>
      <c r="H6388">
        <f t="shared" ca="1" si="107"/>
        <v>2.0265102667268529E-2</v>
      </c>
    </row>
    <row r="6389" spans="7:8">
      <c r="G6389">
        <v>6379</v>
      </c>
      <c r="H6389">
        <f t="shared" ca="1" si="107"/>
        <v>2.0898513542290773E-3</v>
      </c>
    </row>
    <row r="6390" spans="7:8">
      <c r="G6390">
        <v>6380</v>
      </c>
      <c r="H6390">
        <f t="shared" ca="1" si="107"/>
        <v>-9.5721354696880132E-3</v>
      </c>
    </row>
    <row r="6391" spans="7:8">
      <c r="G6391">
        <v>6381</v>
      </c>
      <c r="H6391">
        <f t="shared" ca="1" si="107"/>
        <v>-2.0085052816551676E-2</v>
      </c>
    </row>
    <row r="6392" spans="7:8">
      <c r="G6392">
        <v>6382</v>
      </c>
      <c r="H6392">
        <f t="shared" ca="1" si="107"/>
        <v>3.6462323413247906E-2</v>
      </c>
    </row>
    <row r="6393" spans="7:8">
      <c r="G6393">
        <v>6383</v>
      </c>
      <c r="H6393">
        <f t="shared" ca="1" si="107"/>
        <v>-2.0571662615447121E-2</v>
      </c>
    </row>
    <row r="6394" spans="7:8">
      <c r="G6394">
        <v>6384</v>
      </c>
      <c r="H6394">
        <f t="shared" ca="1" si="107"/>
        <v>-7.9408258694971898E-3</v>
      </c>
    </row>
    <row r="6395" spans="7:8">
      <c r="G6395">
        <v>6385</v>
      </c>
      <c r="H6395">
        <f t="shared" ca="1" si="107"/>
        <v>1.4273222105140352E-3</v>
      </c>
    </row>
    <row r="6396" spans="7:8">
      <c r="G6396">
        <v>6386</v>
      </c>
      <c r="H6396">
        <f t="shared" ca="1" si="107"/>
        <v>1.0289068621333572E-2</v>
      </c>
    </row>
    <row r="6397" spans="7:8">
      <c r="G6397">
        <v>6387</v>
      </c>
      <c r="H6397">
        <f t="shared" ca="1" si="107"/>
        <v>2.3998214262493163E-2</v>
      </c>
    </row>
    <row r="6398" spans="7:8">
      <c r="G6398">
        <v>6388</v>
      </c>
      <c r="H6398">
        <f t="shared" ca="1" si="107"/>
        <v>5.3577684654107408E-2</v>
      </c>
    </row>
    <row r="6399" spans="7:8">
      <c r="G6399">
        <v>6389</v>
      </c>
      <c r="H6399">
        <f t="shared" ca="1" si="107"/>
        <v>2.0510986844360507E-2</v>
      </c>
    </row>
    <row r="6400" spans="7:8">
      <c r="G6400">
        <v>6390</v>
      </c>
      <c r="H6400">
        <f t="shared" ca="1" si="107"/>
        <v>-2.1669236317856214E-4</v>
      </c>
    </row>
    <row r="6401" spans="7:8">
      <c r="G6401">
        <v>6391</v>
      </c>
      <c r="H6401">
        <f t="shared" ca="1" si="107"/>
        <v>5.0412968659406567E-2</v>
      </c>
    </row>
    <row r="6402" spans="7:8">
      <c r="G6402">
        <v>6392</v>
      </c>
      <c r="H6402">
        <f t="shared" ca="1" si="107"/>
        <v>1.6325870694503447E-2</v>
      </c>
    </row>
    <row r="6403" spans="7:8">
      <c r="G6403">
        <v>6393</v>
      </c>
      <c r="H6403">
        <f t="shared" ca="1" si="107"/>
        <v>-6.350144044538931E-3</v>
      </c>
    </row>
    <row r="6404" spans="7:8">
      <c r="G6404">
        <v>6394</v>
      </c>
      <c r="H6404">
        <f t="shared" ca="1" si="107"/>
        <v>9.5540682975968592E-3</v>
      </c>
    </row>
    <row r="6405" spans="7:8">
      <c r="G6405">
        <v>6395</v>
      </c>
      <c r="H6405">
        <f t="shared" ca="1" si="107"/>
        <v>3.2190427167729366E-2</v>
      </c>
    </row>
    <row r="6406" spans="7:8">
      <c r="G6406">
        <v>6396</v>
      </c>
      <c r="H6406">
        <f t="shared" ca="1" si="107"/>
        <v>-4.3188035116629442E-2</v>
      </c>
    </row>
    <row r="6407" spans="7:8">
      <c r="G6407">
        <v>6397</v>
      </c>
      <c r="H6407">
        <f t="shared" ca="1" si="107"/>
        <v>-2.5682221195642053E-2</v>
      </c>
    </row>
    <row r="6408" spans="7:8">
      <c r="G6408">
        <v>6398</v>
      </c>
      <c r="H6408">
        <f t="shared" ca="1" si="107"/>
        <v>1.2411997795484159E-2</v>
      </c>
    </row>
    <row r="6409" spans="7:8">
      <c r="G6409">
        <v>6399</v>
      </c>
      <c r="H6409">
        <f t="shared" ca="1" si="107"/>
        <v>-7.9720266949777942E-3</v>
      </c>
    </row>
    <row r="6410" spans="7:8">
      <c r="G6410">
        <v>6400</v>
      </c>
      <c r="H6410">
        <f t="shared" ca="1" si="107"/>
        <v>9.5487300103945117E-3</v>
      </c>
    </row>
    <row r="6411" spans="7:8">
      <c r="G6411">
        <v>6401</v>
      </c>
      <c r="H6411">
        <f t="shared" ca="1" si="107"/>
        <v>5.5488357116218495E-2</v>
      </c>
    </row>
    <row r="6412" spans="7:8">
      <c r="G6412">
        <v>6402</v>
      </c>
      <c r="H6412">
        <f t="shared" ref="H6412:H6475" ca="1" si="108">_xlfn.NORM.INV(RAND(),N$13,N$14)</f>
        <v>1.188724597539903E-2</v>
      </c>
    </row>
    <row r="6413" spans="7:8">
      <c r="G6413">
        <v>6403</v>
      </c>
      <c r="H6413">
        <f t="shared" ca="1" si="108"/>
        <v>2.671855987193775E-3</v>
      </c>
    </row>
    <row r="6414" spans="7:8">
      <c r="G6414">
        <v>6404</v>
      </c>
      <c r="H6414">
        <f t="shared" ca="1" si="108"/>
        <v>-4.7373531974705645E-4</v>
      </c>
    </row>
    <row r="6415" spans="7:8">
      <c r="G6415">
        <v>6405</v>
      </c>
      <c r="H6415">
        <f t="shared" ca="1" si="108"/>
        <v>1.9643822959300422E-2</v>
      </c>
    </row>
    <row r="6416" spans="7:8">
      <c r="G6416">
        <v>6406</v>
      </c>
      <c r="H6416">
        <f t="shared" ca="1" si="108"/>
        <v>-3.1769761051220653E-2</v>
      </c>
    </row>
    <row r="6417" spans="7:8">
      <c r="G6417">
        <v>6407</v>
      </c>
      <c r="H6417">
        <f t="shared" ca="1" si="108"/>
        <v>5.6491691226451493E-2</v>
      </c>
    </row>
    <row r="6418" spans="7:8">
      <c r="G6418">
        <v>6408</v>
      </c>
      <c r="H6418">
        <f t="shared" ca="1" si="108"/>
        <v>3.08370166390135E-2</v>
      </c>
    </row>
    <row r="6419" spans="7:8">
      <c r="G6419">
        <v>6409</v>
      </c>
      <c r="H6419">
        <f t="shared" ca="1" si="108"/>
        <v>-2.2743185620970167E-2</v>
      </c>
    </row>
    <row r="6420" spans="7:8">
      <c r="G6420">
        <v>6410</v>
      </c>
      <c r="H6420">
        <f t="shared" ca="1" si="108"/>
        <v>-6.0318022984125969E-3</v>
      </c>
    </row>
    <row r="6421" spans="7:8">
      <c r="G6421">
        <v>6411</v>
      </c>
      <c r="H6421">
        <f t="shared" ca="1" si="108"/>
        <v>3.6916688548899686E-2</v>
      </c>
    </row>
    <row r="6422" spans="7:8">
      <c r="G6422">
        <v>6412</v>
      </c>
      <c r="H6422">
        <f t="shared" ca="1" si="108"/>
        <v>1.7818074541210517E-2</v>
      </c>
    </row>
    <row r="6423" spans="7:8">
      <c r="G6423">
        <v>6413</v>
      </c>
      <c r="H6423">
        <f t="shared" ca="1" si="108"/>
        <v>-4.1948866981451054E-2</v>
      </c>
    </row>
    <row r="6424" spans="7:8">
      <c r="G6424">
        <v>6414</v>
      </c>
      <c r="H6424">
        <f t="shared" ca="1" si="108"/>
        <v>4.5189126621318541E-2</v>
      </c>
    </row>
    <row r="6425" spans="7:8">
      <c r="G6425">
        <v>6415</v>
      </c>
      <c r="H6425">
        <f t="shared" ca="1" si="108"/>
        <v>1.2594336680272327E-2</v>
      </c>
    </row>
    <row r="6426" spans="7:8">
      <c r="G6426">
        <v>6416</v>
      </c>
      <c r="H6426">
        <f t="shared" ca="1" si="108"/>
        <v>-6.2191454148162774E-3</v>
      </c>
    </row>
    <row r="6427" spans="7:8">
      <c r="G6427">
        <v>6417</v>
      </c>
      <c r="H6427">
        <f t="shared" ca="1" si="108"/>
        <v>2.314238198932389E-2</v>
      </c>
    </row>
    <row r="6428" spans="7:8">
      <c r="G6428">
        <v>6418</v>
      </c>
      <c r="H6428">
        <f t="shared" ca="1" si="108"/>
        <v>-4.1861416643597105E-2</v>
      </c>
    </row>
    <row r="6429" spans="7:8">
      <c r="G6429">
        <v>6419</v>
      </c>
      <c r="H6429">
        <f t="shared" ca="1" si="108"/>
        <v>4.1491418347756222E-2</v>
      </c>
    </row>
    <row r="6430" spans="7:8">
      <c r="G6430">
        <v>6420</v>
      </c>
      <c r="H6430">
        <f t="shared" ca="1" si="108"/>
        <v>-2.5845651572246118E-3</v>
      </c>
    </row>
    <row r="6431" spans="7:8">
      <c r="G6431">
        <v>6421</v>
      </c>
      <c r="H6431">
        <f t="shared" ca="1" si="108"/>
        <v>1.0033213608707917E-2</v>
      </c>
    </row>
    <row r="6432" spans="7:8">
      <c r="G6432">
        <v>6422</v>
      </c>
      <c r="H6432">
        <f t="shared" ca="1" si="108"/>
        <v>-8.6619743360531027E-4</v>
      </c>
    </row>
    <row r="6433" spans="7:8">
      <c r="G6433">
        <v>6423</v>
      </c>
      <c r="H6433">
        <f t="shared" ca="1" si="108"/>
        <v>1.0569102187409573E-2</v>
      </c>
    </row>
    <row r="6434" spans="7:8">
      <c r="G6434">
        <v>6424</v>
      </c>
      <c r="H6434">
        <f t="shared" ca="1" si="108"/>
        <v>1.4260930437594591E-2</v>
      </c>
    </row>
    <row r="6435" spans="7:8">
      <c r="G6435">
        <v>6425</v>
      </c>
      <c r="H6435">
        <f t="shared" ca="1" si="108"/>
        <v>-4.0879239786438662E-2</v>
      </c>
    </row>
    <row r="6436" spans="7:8">
      <c r="G6436">
        <v>6426</v>
      </c>
      <c r="H6436">
        <f t="shared" ca="1" si="108"/>
        <v>-3.3298478948992516E-2</v>
      </c>
    </row>
    <row r="6437" spans="7:8">
      <c r="G6437">
        <v>6427</v>
      </c>
      <c r="H6437">
        <f t="shared" ca="1" si="108"/>
        <v>-4.7307523196535181E-2</v>
      </c>
    </row>
    <row r="6438" spans="7:8">
      <c r="G6438">
        <v>6428</v>
      </c>
      <c r="H6438">
        <f t="shared" ca="1" si="108"/>
        <v>3.8258161799853065E-2</v>
      </c>
    </row>
    <row r="6439" spans="7:8">
      <c r="G6439">
        <v>6429</v>
      </c>
      <c r="H6439">
        <f t="shared" ca="1" si="108"/>
        <v>-2.6040868010470011E-3</v>
      </c>
    </row>
    <row r="6440" spans="7:8">
      <c r="G6440">
        <v>6430</v>
      </c>
      <c r="H6440">
        <f t="shared" ca="1" si="108"/>
        <v>3.1467139387028421E-2</v>
      </c>
    </row>
    <row r="6441" spans="7:8">
      <c r="G6441">
        <v>6431</v>
      </c>
      <c r="H6441">
        <f t="shared" ca="1" si="108"/>
        <v>4.3198685725076664E-3</v>
      </c>
    </row>
    <row r="6442" spans="7:8">
      <c r="G6442">
        <v>6432</v>
      </c>
      <c r="H6442">
        <f t="shared" ca="1" si="108"/>
        <v>-1.7215744964516402E-2</v>
      </c>
    </row>
    <row r="6443" spans="7:8">
      <c r="G6443">
        <v>6433</v>
      </c>
      <c r="H6443">
        <f t="shared" ca="1" si="108"/>
        <v>4.6822945070318688E-3</v>
      </c>
    </row>
    <row r="6444" spans="7:8">
      <c r="G6444">
        <v>6434</v>
      </c>
      <c r="H6444">
        <f t="shared" ca="1" si="108"/>
        <v>-4.9529238310382128E-4</v>
      </c>
    </row>
    <row r="6445" spans="7:8">
      <c r="G6445">
        <v>6435</v>
      </c>
      <c r="H6445">
        <f t="shared" ca="1" si="108"/>
        <v>-1.9092705735356159E-3</v>
      </c>
    </row>
    <row r="6446" spans="7:8">
      <c r="G6446">
        <v>6436</v>
      </c>
      <c r="H6446">
        <f t="shared" ca="1" si="108"/>
        <v>5.5863987597408685E-3</v>
      </c>
    </row>
    <row r="6447" spans="7:8">
      <c r="G6447">
        <v>6437</v>
      </c>
      <c r="H6447">
        <f t="shared" ca="1" si="108"/>
        <v>1.8382752557181005E-2</v>
      </c>
    </row>
    <row r="6448" spans="7:8">
      <c r="G6448">
        <v>6438</v>
      </c>
      <c r="H6448">
        <f t="shared" ca="1" si="108"/>
        <v>2.0178756586283614E-2</v>
      </c>
    </row>
    <row r="6449" spans="7:8">
      <c r="G6449">
        <v>6439</v>
      </c>
      <c r="H6449">
        <f t="shared" ca="1" si="108"/>
        <v>2.4651732925859673E-2</v>
      </c>
    </row>
    <row r="6450" spans="7:8">
      <c r="G6450">
        <v>6440</v>
      </c>
      <c r="H6450">
        <f t="shared" ca="1" si="108"/>
        <v>-3.0141016773820887E-3</v>
      </c>
    </row>
    <row r="6451" spans="7:8">
      <c r="G6451">
        <v>6441</v>
      </c>
      <c r="H6451">
        <f t="shared" ca="1" si="108"/>
        <v>-1.5094398995595974E-2</v>
      </c>
    </row>
    <row r="6452" spans="7:8">
      <c r="G6452">
        <v>6442</v>
      </c>
      <c r="H6452">
        <f t="shared" ca="1" si="108"/>
        <v>5.3321416669023999E-3</v>
      </c>
    </row>
    <row r="6453" spans="7:8">
      <c r="G6453">
        <v>6443</v>
      </c>
      <c r="H6453">
        <f t="shared" ca="1" si="108"/>
        <v>1.2560721983708124E-3</v>
      </c>
    </row>
    <row r="6454" spans="7:8">
      <c r="G6454">
        <v>6444</v>
      </c>
      <c r="H6454">
        <f t="shared" ca="1" si="108"/>
        <v>-8.7850892172957711E-3</v>
      </c>
    </row>
    <row r="6455" spans="7:8">
      <c r="G6455">
        <v>6445</v>
      </c>
      <c r="H6455">
        <f t="shared" ca="1" si="108"/>
        <v>1.6980755494933688E-2</v>
      </c>
    </row>
    <row r="6456" spans="7:8">
      <c r="G6456">
        <v>6446</v>
      </c>
      <c r="H6456">
        <f t="shared" ca="1" si="108"/>
        <v>-1.6708684560189545E-2</v>
      </c>
    </row>
    <row r="6457" spans="7:8">
      <c r="G6457">
        <v>6447</v>
      </c>
      <c r="H6457">
        <f t="shared" ca="1" si="108"/>
        <v>-3.0568500896369859E-2</v>
      </c>
    </row>
    <row r="6458" spans="7:8">
      <c r="G6458">
        <v>6448</v>
      </c>
      <c r="H6458">
        <f t="shared" ca="1" si="108"/>
        <v>9.4381778789091944E-3</v>
      </c>
    </row>
    <row r="6459" spans="7:8">
      <c r="G6459">
        <v>6449</v>
      </c>
      <c r="H6459">
        <f t="shared" ca="1" si="108"/>
        <v>2.7905615006831252E-3</v>
      </c>
    </row>
    <row r="6460" spans="7:8">
      <c r="G6460">
        <v>6450</v>
      </c>
      <c r="H6460">
        <f t="shared" ca="1" si="108"/>
        <v>-2.1813513466834664E-2</v>
      </c>
    </row>
    <row r="6461" spans="7:8">
      <c r="G6461">
        <v>6451</v>
      </c>
      <c r="H6461">
        <f t="shared" ca="1" si="108"/>
        <v>-5.6841793281514064E-3</v>
      </c>
    </row>
    <row r="6462" spans="7:8">
      <c r="G6462">
        <v>6452</v>
      </c>
      <c r="H6462">
        <f t="shared" ca="1" si="108"/>
        <v>-3.0980764675914752E-2</v>
      </c>
    </row>
    <row r="6463" spans="7:8">
      <c r="G6463">
        <v>6453</v>
      </c>
      <c r="H6463">
        <f t="shared" ca="1" si="108"/>
        <v>-2.1230970694113442E-2</v>
      </c>
    </row>
    <row r="6464" spans="7:8">
      <c r="G6464">
        <v>6454</v>
      </c>
      <c r="H6464">
        <f t="shared" ca="1" si="108"/>
        <v>5.3147190627850964E-3</v>
      </c>
    </row>
    <row r="6465" spans="7:8">
      <c r="G6465">
        <v>6455</v>
      </c>
      <c r="H6465">
        <f t="shared" ca="1" si="108"/>
        <v>2.1402167851551884E-2</v>
      </c>
    </row>
    <row r="6466" spans="7:8">
      <c r="G6466">
        <v>6456</v>
      </c>
      <c r="H6466">
        <f t="shared" ca="1" si="108"/>
        <v>2.1838820024263145E-2</v>
      </c>
    </row>
    <row r="6467" spans="7:8">
      <c r="G6467">
        <v>6457</v>
      </c>
      <c r="H6467">
        <f t="shared" ca="1" si="108"/>
        <v>5.2836118144389162E-3</v>
      </c>
    </row>
    <row r="6468" spans="7:8">
      <c r="G6468">
        <v>6458</v>
      </c>
      <c r="H6468">
        <f t="shared" ca="1" si="108"/>
        <v>-2.8736802010089924E-3</v>
      </c>
    </row>
    <row r="6469" spans="7:8">
      <c r="G6469">
        <v>6459</v>
      </c>
      <c r="H6469">
        <f t="shared" ca="1" si="108"/>
        <v>1.0230390813427987E-2</v>
      </c>
    </row>
    <row r="6470" spans="7:8">
      <c r="G6470">
        <v>6460</v>
      </c>
      <c r="H6470">
        <f t="shared" ca="1" si="108"/>
        <v>-6.9985288393690625E-3</v>
      </c>
    </row>
    <row r="6471" spans="7:8">
      <c r="G6471">
        <v>6461</v>
      </c>
      <c r="H6471">
        <f t="shared" ca="1" si="108"/>
        <v>1.0560447801073325E-2</v>
      </c>
    </row>
    <row r="6472" spans="7:8">
      <c r="G6472">
        <v>6462</v>
      </c>
      <c r="H6472">
        <f t="shared" ca="1" si="108"/>
        <v>2.1862557064428962E-3</v>
      </c>
    </row>
    <row r="6473" spans="7:8">
      <c r="G6473">
        <v>6463</v>
      </c>
      <c r="H6473">
        <f t="shared" ca="1" si="108"/>
        <v>-2.8535805932342177E-2</v>
      </c>
    </row>
    <row r="6474" spans="7:8">
      <c r="G6474">
        <v>6464</v>
      </c>
      <c r="H6474">
        <f t="shared" ca="1" si="108"/>
        <v>-7.1367488105008861E-3</v>
      </c>
    </row>
    <row r="6475" spans="7:8">
      <c r="G6475">
        <v>6465</v>
      </c>
      <c r="H6475">
        <f t="shared" ca="1" si="108"/>
        <v>-1.1884604157612022E-2</v>
      </c>
    </row>
    <row r="6476" spans="7:8">
      <c r="G6476">
        <v>6466</v>
      </c>
      <c r="H6476">
        <f t="shared" ref="H6476:H6539" ca="1" si="109">_xlfn.NORM.INV(RAND(),N$13,N$14)</f>
        <v>6.4418135200324841E-2</v>
      </c>
    </row>
    <row r="6477" spans="7:8">
      <c r="G6477">
        <v>6467</v>
      </c>
      <c r="H6477">
        <f t="shared" ca="1" si="109"/>
        <v>-2.8046467508248189E-2</v>
      </c>
    </row>
    <row r="6478" spans="7:8">
      <c r="G6478">
        <v>6468</v>
      </c>
      <c r="H6478">
        <f t="shared" ca="1" si="109"/>
        <v>-4.1180937469331314E-3</v>
      </c>
    </row>
    <row r="6479" spans="7:8">
      <c r="G6479">
        <v>6469</v>
      </c>
      <c r="H6479">
        <f t="shared" ca="1" si="109"/>
        <v>5.6815176898188068E-2</v>
      </c>
    </row>
    <row r="6480" spans="7:8">
      <c r="G6480">
        <v>6470</v>
      </c>
      <c r="H6480">
        <f t="shared" ca="1" si="109"/>
        <v>-4.4028763244871642E-2</v>
      </c>
    </row>
    <row r="6481" spans="7:8">
      <c r="G6481">
        <v>6471</v>
      </c>
      <c r="H6481">
        <f t="shared" ca="1" si="109"/>
        <v>-1.6953536705566444E-2</v>
      </c>
    </row>
    <row r="6482" spans="7:8">
      <c r="G6482">
        <v>6472</v>
      </c>
      <c r="H6482">
        <f t="shared" ca="1" si="109"/>
        <v>-1.0886668505274276E-2</v>
      </c>
    </row>
    <row r="6483" spans="7:8">
      <c r="G6483">
        <v>6473</v>
      </c>
      <c r="H6483">
        <f t="shared" ca="1" si="109"/>
        <v>-1.733367742396091E-2</v>
      </c>
    </row>
    <row r="6484" spans="7:8">
      <c r="G6484">
        <v>6474</v>
      </c>
      <c r="H6484">
        <f t="shared" ca="1" si="109"/>
        <v>1.9050704457963304E-3</v>
      </c>
    </row>
    <row r="6485" spans="7:8">
      <c r="G6485">
        <v>6475</v>
      </c>
      <c r="H6485">
        <f t="shared" ca="1" si="109"/>
        <v>-6.3854351652058702E-2</v>
      </c>
    </row>
    <row r="6486" spans="7:8">
      <c r="G6486">
        <v>6476</v>
      </c>
      <c r="H6486">
        <f t="shared" ca="1" si="109"/>
        <v>1.0160794668385948E-2</v>
      </c>
    </row>
    <row r="6487" spans="7:8">
      <c r="G6487">
        <v>6477</v>
      </c>
      <c r="H6487">
        <f t="shared" ca="1" si="109"/>
        <v>-1.6702241019638828E-2</v>
      </c>
    </row>
    <row r="6488" spans="7:8">
      <c r="G6488">
        <v>6478</v>
      </c>
      <c r="H6488">
        <f t="shared" ca="1" si="109"/>
        <v>-1.5995280220184638E-2</v>
      </c>
    </row>
    <row r="6489" spans="7:8">
      <c r="G6489">
        <v>6479</v>
      </c>
      <c r="H6489">
        <f t="shared" ca="1" si="109"/>
        <v>5.6479903922422151E-2</v>
      </c>
    </row>
    <row r="6490" spans="7:8">
      <c r="G6490">
        <v>6480</v>
      </c>
      <c r="H6490">
        <f t="shared" ca="1" si="109"/>
        <v>-1.4978846526959197E-2</v>
      </c>
    </row>
    <row r="6491" spans="7:8">
      <c r="G6491">
        <v>6481</v>
      </c>
      <c r="H6491">
        <f t="shared" ca="1" si="109"/>
        <v>1.8356994145928111E-2</v>
      </c>
    </row>
    <row r="6492" spans="7:8">
      <c r="G6492">
        <v>6482</v>
      </c>
      <c r="H6492">
        <f t="shared" ca="1" si="109"/>
        <v>-6.9039692468565268E-3</v>
      </c>
    </row>
    <row r="6493" spans="7:8">
      <c r="G6493">
        <v>6483</v>
      </c>
      <c r="H6493">
        <f t="shared" ca="1" si="109"/>
        <v>4.6607998832336558E-4</v>
      </c>
    </row>
    <row r="6494" spans="7:8">
      <c r="G6494">
        <v>6484</v>
      </c>
      <c r="H6494">
        <f t="shared" ca="1" si="109"/>
        <v>-2.6128209740883739E-2</v>
      </c>
    </row>
    <row r="6495" spans="7:8">
      <c r="G6495">
        <v>6485</v>
      </c>
      <c r="H6495">
        <f t="shared" ca="1" si="109"/>
        <v>9.7716797715589592E-3</v>
      </c>
    </row>
    <row r="6496" spans="7:8">
      <c r="G6496">
        <v>6486</v>
      </c>
      <c r="H6496">
        <f t="shared" ca="1" si="109"/>
        <v>2.0459468521223443E-3</v>
      </c>
    </row>
    <row r="6497" spans="7:8">
      <c r="G6497">
        <v>6487</v>
      </c>
      <c r="H6497">
        <f t="shared" ca="1" si="109"/>
        <v>1.1861026737184095E-2</v>
      </c>
    </row>
    <row r="6498" spans="7:8">
      <c r="G6498">
        <v>6488</v>
      </c>
      <c r="H6498">
        <f t="shared" ca="1" si="109"/>
        <v>-8.4410308317698305E-3</v>
      </c>
    </row>
    <row r="6499" spans="7:8">
      <c r="G6499">
        <v>6489</v>
      </c>
      <c r="H6499">
        <f t="shared" ca="1" si="109"/>
        <v>-1.9791135642813051E-2</v>
      </c>
    </row>
    <row r="6500" spans="7:8">
      <c r="G6500">
        <v>6490</v>
      </c>
      <c r="H6500">
        <f t="shared" ca="1" si="109"/>
        <v>2.3906743278775907E-3</v>
      </c>
    </row>
    <row r="6501" spans="7:8">
      <c r="G6501">
        <v>6491</v>
      </c>
      <c r="H6501">
        <f t="shared" ca="1" si="109"/>
        <v>1.761825785056672E-2</v>
      </c>
    </row>
    <row r="6502" spans="7:8">
      <c r="G6502">
        <v>6492</v>
      </c>
      <c r="H6502">
        <f t="shared" ca="1" si="109"/>
        <v>-2.8892492722986055E-2</v>
      </c>
    </row>
    <row r="6503" spans="7:8">
      <c r="G6503">
        <v>6493</v>
      </c>
      <c r="H6503">
        <f t="shared" ca="1" si="109"/>
        <v>4.3576625645219821E-4</v>
      </c>
    </row>
    <row r="6504" spans="7:8">
      <c r="G6504">
        <v>6494</v>
      </c>
      <c r="H6504">
        <f t="shared" ca="1" si="109"/>
        <v>7.7602664910028348E-3</v>
      </c>
    </row>
    <row r="6505" spans="7:8">
      <c r="G6505">
        <v>6495</v>
      </c>
      <c r="H6505">
        <f t="shared" ca="1" si="109"/>
        <v>-3.3592447283062168E-2</v>
      </c>
    </row>
    <row r="6506" spans="7:8">
      <c r="G6506">
        <v>6496</v>
      </c>
      <c r="H6506">
        <f t="shared" ca="1" si="109"/>
        <v>-2.2742332790251035E-2</v>
      </c>
    </row>
    <row r="6507" spans="7:8">
      <c r="G6507">
        <v>6497</v>
      </c>
      <c r="H6507">
        <f t="shared" ca="1" si="109"/>
        <v>-3.1440641349774825E-2</v>
      </c>
    </row>
    <row r="6508" spans="7:8">
      <c r="G6508">
        <v>6498</v>
      </c>
      <c r="H6508">
        <f t="shared" ca="1" si="109"/>
        <v>-4.0047120162037812E-4</v>
      </c>
    </row>
    <row r="6509" spans="7:8">
      <c r="G6509">
        <v>6499</v>
      </c>
      <c r="H6509">
        <f t="shared" ca="1" si="109"/>
        <v>5.2356727013221277E-2</v>
      </c>
    </row>
    <row r="6510" spans="7:8">
      <c r="G6510">
        <v>6500</v>
      </c>
      <c r="H6510">
        <f t="shared" ca="1" si="109"/>
        <v>-2.718846146446961E-4</v>
      </c>
    </row>
    <row r="6511" spans="7:8">
      <c r="G6511">
        <v>6501</v>
      </c>
      <c r="H6511">
        <f t="shared" ca="1" si="109"/>
        <v>-7.8116854717579986E-3</v>
      </c>
    </row>
    <row r="6512" spans="7:8">
      <c r="G6512">
        <v>6502</v>
      </c>
      <c r="H6512">
        <f t="shared" ca="1" si="109"/>
        <v>-6.8433178436474269E-3</v>
      </c>
    </row>
    <row r="6513" spans="7:8">
      <c r="G6513">
        <v>6503</v>
      </c>
      <c r="H6513">
        <f t="shared" ca="1" si="109"/>
        <v>4.6446301161914023E-3</v>
      </c>
    </row>
    <row r="6514" spans="7:8">
      <c r="G6514">
        <v>6504</v>
      </c>
      <c r="H6514">
        <f t="shared" ca="1" si="109"/>
        <v>1.3778204740496102E-2</v>
      </c>
    </row>
    <row r="6515" spans="7:8">
      <c r="G6515">
        <v>6505</v>
      </c>
      <c r="H6515">
        <f t="shared" ca="1" si="109"/>
        <v>2.8295271604089228E-3</v>
      </c>
    </row>
    <row r="6516" spans="7:8">
      <c r="G6516">
        <v>6506</v>
      </c>
      <c r="H6516">
        <f t="shared" ca="1" si="109"/>
        <v>-2.4155141527063221E-2</v>
      </c>
    </row>
    <row r="6517" spans="7:8">
      <c r="G6517">
        <v>6507</v>
      </c>
      <c r="H6517">
        <f t="shared" ca="1" si="109"/>
        <v>1.0179325161177423E-2</v>
      </c>
    </row>
    <row r="6518" spans="7:8">
      <c r="G6518">
        <v>6508</v>
      </c>
      <c r="H6518">
        <f t="shared" ca="1" si="109"/>
        <v>-4.3750407812240761E-3</v>
      </c>
    </row>
    <row r="6519" spans="7:8">
      <c r="G6519">
        <v>6509</v>
      </c>
      <c r="H6519">
        <f t="shared" ca="1" si="109"/>
        <v>2.2145085230038206E-2</v>
      </c>
    </row>
    <row r="6520" spans="7:8">
      <c r="G6520">
        <v>6510</v>
      </c>
      <c r="H6520">
        <f t="shared" ca="1" si="109"/>
        <v>-2.8829276645234547E-2</v>
      </c>
    </row>
    <row r="6521" spans="7:8">
      <c r="G6521">
        <v>6511</v>
      </c>
      <c r="H6521">
        <f t="shared" ca="1" si="109"/>
        <v>6.8235710229068887E-3</v>
      </c>
    </row>
    <row r="6522" spans="7:8">
      <c r="G6522">
        <v>6512</v>
      </c>
      <c r="H6522">
        <f t="shared" ca="1" si="109"/>
        <v>2.3510652978379083E-2</v>
      </c>
    </row>
    <row r="6523" spans="7:8">
      <c r="G6523">
        <v>6513</v>
      </c>
      <c r="H6523">
        <f t="shared" ca="1" si="109"/>
        <v>1.7672849000568785E-2</v>
      </c>
    </row>
    <row r="6524" spans="7:8">
      <c r="G6524">
        <v>6514</v>
      </c>
      <c r="H6524">
        <f t="shared" ca="1" si="109"/>
        <v>2.6886454160540144E-2</v>
      </c>
    </row>
    <row r="6525" spans="7:8">
      <c r="G6525">
        <v>6515</v>
      </c>
      <c r="H6525">
        <f t="shared" ca="1" si="109"/>
        <v>-2.7156245185859108E-2</v>
      </c>
    </row>
    <row r="6526" spans="7:8">
      <c r="G6526">
        <v>6516</v>
      </c>
      <c r="H6526">
        <f t="shared" ca="1" si="109"/>
        <v>-2.5446384911059373E-2</v>
      </c>
    </row>
    <row r="6527" spans="7:8">
      <c r="G6527">
        <v>6517</v>
      </c>
      <c r="H6527">
        <f t="shared" ca="1" si="109"/>
        <v>1.8599848725309964E-2</v>
      </c>
    </row>
    <row r="6528" spans="7:8">
      <c r="G6528">
        <v>6518</v>
      </c>
      <c r="H6528">
        <f t="shared" ca="1" si="109"/>
        <v>-3.3940977212540323E-2</v>
      </c>
    </row>
    <row r="6529" spans="7:8">
      <c r="G6529">
        <v>6519</v>
      </c>
      <c r="H6529">
        <f t="shared" ca="1" si="109"/>
        <v>4.8176900310888007E-4</v>
      </c>
    </row>
    <row r="6530" spans="7:8">
      <c r="G6530">
        <v>6520</v>
      </c>
      <c r="H6530">
        <f t="shared" ca="1" si="109"/>
        <v>1.6334151059701374E-2</v>
      </c>
    </row>
    <row r="6531" spans="7:8">
      <c r="G6531">
        <v>6521</v>
      </c>
      <c r="H6531">
        <f t="shared" ca="1" si="109"/>
        <v>5.4557374232310722E-3</v>
      </c>
    </row>
    <row r="6532" spans="7:8">
      <c r="G6532">
        <v>6522</v>
      </c>
      <c r="H6532">
        <f t="shared" ca="1" si="109"/>
        <v>-1.6411197337609439E-2</v>
      </c>
    </row>
    <row r="6533" spans="7:8">
      <c r="G6533">
        <v>6523</v>
      </c>
      <c r="H6533">
        <f t="shared" ca="1" si="109"/>
        <v>2.1464510157247051E-2</v>
      </c>
    </row>
    <row r="6534" spans="7:8">
      <c r="G6534">
        <v>6524</v>
      </c>
      <c r="H6534">
        <f t="shared" ca="1" si="109"/>
        <v>-6.019192572559532E-2</v>
      </c>
    </row>
    <row r="6535" spans="7:8">
      <c r="G6535">
        <v>6525</v>
      </c>
      <c r="H6535">
        <f t="shared" ca="1" si="109"/>
        <v>3.6176128214356036E-3</v>
      </c>
    </row>
    <row r="6536" spans="7:8">
      <c r="G6536">
        <v>6526</v>
      </c>
      <c r="H6536">
        <f t="shared" ca="1" si="109"/>
        <v>1.964583328519829E-2</v>
      </c>
    </row>
    <row r="6537" spans="7:8">
      <c r="G6537">
        <v>6527</v>
      </c>
      <c r="H6537">
        <f t="shared" ca="1" si="109"/>
        <v>-2.3105916637933488E-2</v>
      </c>
    </row>
    <row r="6538" spans="7:8">
      <c r="G6538">
        <v>6528</v>
      </c>
      <c r="H6538">
        <f t="shared" ca="1" si="109"/>
        <v>4.9598202547347515E-2</v>
      </c>
    </row>
    <row r="6539" spans="7:8">
      <c r="G6539">
        <v>6529</v>
      </c>
      <c r="H6539">
        <f t="shared" ca="1" si="109"/>
        <v>1.0249776484796841E-3</v>
      </c>
    </row>
    <row r="6540" spans="7:8">
      <c r="G6540">
        <v>6530</v>
      </c>
      <c r="H6540">
        <f t="shared" ref="H6540:H6603" ca="1" si="110">_xlfn.NORM.INV(RAND(),N$13,N$14)</f>
        <v>-6.0043748757525106E-2</v>
      </c>
    </row>
    <row r="6541" spans="7:8">
      <c r="G6541">
        <v>6531</v>
      </c>
      <c r="H6541">
        <f t="shared" ca="1" si="110"/>
        <v>3.4430183840698049E-2</v>
      </c>
    </row>
    <row r="6542" spans="7:8">
      <c r="G6542">
        <v>6532</v>
      </c>
      <c r="H6542">
        <f t="shared" ca="1" si="110"/>
        <v>1.2135389317294059E-2</v>
      </c>
    </row>
    <row r="6543" spans="7:8">
      <c r="G6543">
        <v>6533</v>
      </c>
      <c r="H6543">
        <f t="shared" ca="1" si="110"/>
        <v>3.5504617645081886E-2</v>
      </c>
    </row>
    <row r="6544" spans="7:8">
      <c r="G6544">
        <v>6534</v>
      </c>
      <c r="H6544">
        <f t="shared" ca="1" si="110"/>
        <v>-2.5997304613600239E-2</v>
      </c>
    </row>
    <row r="6545" spans="7:8">
      <c r="G6545">
        <v>6535</v>
      </c>
      <c r="H6545">
        <f t="shared" ca="1" si="110"/>
        <v>-1.0847513500370116E-2</v>
      </c>
    </row>
    <row r="6546" spans="7:8">
      <c r="G6546">
        <v>6536</v>
      </c>
      <c r="H6546">
        <f t="shared" ca="1" si="110"/>
        <v>3.0184982561904251E-2</v>
      </c>
    </row>
    <row r="6547" spans="7:8">
      <c r="G6547">
        <v>6537</v>
      </c>
      <c r="H6547">
        <f t="shared" ca="1" si="110"/>
        <v>9.8004796066797784E-3</v>
      </c>
    </row>
    <row r="6548" spans="7:8">
      <c r="G6548">
        <v>6538</v>
      </c>
      <c r="H6548">
        <f t="shared" ca="1" si="110"/>
        <v>-2.0308581420493577E-2</v>
      </c>
    </row>
    <row r="6549" spans="7:8">
      <c r="G6549">
        <v>6539</v>
      </c>
      <c r="H6549">
        <f t="shared" ca="1" si="110"/>
        <v>1.3080235194071303E-2</v>
      </c>
    </row>
    <row r="6550" spans="7:8">
      <c r="G6550">
        <v>6540</v>
      </c>
      <c r="H6550">
        <f t="shared" ca="1" si="110"/>
        <v>-1.0899758885337982E-2</v>
      </c>
    </row>
    <row r="6551" spans="7:8">
      <c r="G6551">
        <v>6541</v>
      </c>
      <c r="H6551">
        <f t="shared" ca="1" si="110"/>
        <v>1.9774223736381526E-2</v>
      </c>
    </row>
    <row r="6552" spans="7:8">
      <c r="G6552">
        <v>6542</v>
      </c>
      <c r="H6552">
        <f t="shared" ca="1" si="110"/>
        <v>-1.7560652251778584E-2</v>
      </c>
    </row>
    <row r="6553" spans="7:8">
      <c r="G6553">
        <v>6543</v>
      </c>
      <c r="H6553">
        <f t="shared" ca="1" si="110"/>
        <v>-3.6209755099683365E-3</v>
      </c>
    </row>
    <row r="6554" spans="7:8">
      <c r="G6554">
        <v>6544</v>
      </c>
      <c r="H6554">
        <f t="shared" ca="1" si="110"/>
        <v>-1.1176457635218255E-2</v>
      </c>
    </row>
    <row r="6555" spans="7:8">
      <c r="G6555">
        <v>6545</v>
      </c>
      <c r="H6555">
        <f t="shared" ca="1" si="110"/>
        <v>-2.0718428505278785E-2</v>
      </c>
    </row>
    <row r="6556" spans="7:8">
      <c r="G6556">
        <v>6546</v>
      </c>
      <c r="H6556">
        <f t="shared" ca="1" si="110"/>
        <v>-4.6036074406043806E-2</v>
      </c>
    </row>
    <row r="6557" spans="7:8">
      <c r="G6557">
        <v>6547</v>
      </c>
      <c r="H6557">
        <f t="shared" ca="1" si="110"/>
        <v>2.0784073468607882E-2</v>
      </c>
    </row>
    <row r="6558" spans="7:8">
      <c r="G6558">
        <v>6548</v>
      </c>
      <c r="H6558">
        <f t="shared" ca="1" si="110"/>
        <v>-1.9284039789624141E-3</v>
      </c>
    </row>
    <row r="6559" spans="7:8">
      <c r="G6559">
        <v>6549</v>
      </c>
      <c r="H6559">
        <f t="shared" ca="1" si="110"/>
        <v>-2.8555213659036023E-2</v>
      </c>
    </row>
    <row r="6560" spans="7:8">
      <c r="G6560">
        <v>6550</v>
      </c>
      <c r="H6560">
        <f t="shared" ca="1" si="110"/>
        <v>-8.3707053081404324E-3</v>
      </c>
    </row>
    <row r="6561" spans="7:8">
      <c r="G6561">
        <v>6551</v>
      </c>
      <c r="H6561">
        <f t="shared" ca="1" si="110"/>
        <v>-1.2145614798420147E-2</v>
      </c>
    </row>
    <row r="6562" spans="7:8">
      <c r="G6562">
        <v>6552</v>
      </c>
      <c r="H6562">
        <f t="shared" ca="1" si="110"/>
        <v>3.2473380345139122E-2</v>
      </c>
    </row>
    <row r="6563" spans="7:8">
      <c r="G6563">
        <v>6553</v>
      </c>
      <c r="H6563">
        <f t="shared" ca="1" si="110"/>
        <v>-1.8076932866530455E-2</v>
      </c>
    </row>
    <row r="6564" spans="7:8">
      <c r="G6564">
        <v>6554</v>
      </c>
      <c r="H6564">
        <f t="shared" ca="1" si="110"/>
        <v>-2.1138605420983679E-3</v>
      </c>
    </row>
    <row r="6565" spans="7:8">
      <c r="G6565">
        <v>6555</v>
      </c>
      <c r="H6565">
        <f t="shared" ca="1" si="110"/>
        <v>-1.461956926234469E-2</v>
      </c>
    </row>
    <row r="6566" spans="7:8">
      <c r="G6566">
        <v>6556</v>
      </c>
      <c r="H6566">
        <f t="shared" ca="1" si="110"/>
        <v>5.4998204261462545E-3</v>
      </c>
    </row>
    <row r="6567" spans="7:8">
      <c r="G6567">
        <v>6557</v>
      </c>
      <c r="H6567">
        <f t="shared" ca="1" si="110"/>
        <v>3.4326452661578456E-3</v>
      </c>
    </row>
    <row r="6568" spans="7:8">
      <c r="G6568">
        <v>6558</v>
      </c>
      <c r="H6568">
        <f t="shared" ca="1" si="110"/>
        <v>-1.6612684935057534E-2</v>
      </c>
    </row>
    <row r="6569" spans="7:8">
      <c r="G6569">
        <v>6559</v>
      </c>
      <c r="H6569">
        <f t="shared" ca="1" si="110"/>
        <v>4.7127380751983547E-3</v>
      </c>
    </row>
    <row r="6570" spans="7:8">
      <c r="G6570">
        <v>6560</v>
      </c>
      <c r="H6570">
        <f t="shared" ca="1" si="110"/>
        <v>1.1681134341185355E-2</v>
      </c>
    </row>
    <row r="6571" spans="7:8">
      <c r="G6571">
        <v>6561</v>
      </c>
      <c r="H6571">
        <f t="shared" ca="1" si="110"/>
        <v>-3.2871264567951868E-3</v>
      </c>
    </row>
    <row r="6572" spans="7:8">
      <c r="G6572">
        <v>6562</v>
      </c>
      <c r="H6572">
        <f t="shared" ca="1" si="110"/>
        <v>-1.2390063113070686E-2</v>
      </c>
    </row>
    <row r="6573" spans="7:8">
      <c r="G6573">
        <v>6563</v>
      </c>
      <c r="H6573">
        <f t="shared" ca="1" si="110"/>
        <v>-2.0447409979919496E-2</v>
      </c>
    </row>
    <row r="6574" spans="7:8">
      <c r="G6574">
        <v>6564</v>
      </c>
      <c r="H6574">
        <f t="shared" ca="1" si="110"/>
        <v>-5.8394088364876681E-3</v>
      </c>
    </row>
    <row r="6575" spans="7:8">
      <c r="G6575">
        <v>6565</v>
      </c>
      <c r="H6575">
        <f t="shared" ca="1" si="110"/>
        <v>-2.286602534364246E-2</v>
      </c>
    </row>
    <row r="6576" spans="7:8">
      <c r="G6576">
        <v>6566</v>
      </c>
      <c r="H6576">
        <f t="shared" ca="1" si="110"/>
        <v>2.4499672135841085E-2</v>
      </c>
    </row>
    <row r="6577" spans="7:8">
      <c r="G6577">
        <v>6567</v>
      </c>
      <c r="H6577">
        <f t="shared" ca="1" si="110"/>
        <v>2.948120384316839E-3</v>
      </c>
    </row>
    <row r="6578" spans="7:8">
      <c r="G6578">
        <v>6568</v>
      </c>
      <c r="H6578">
        <f t="shared" ca="1" si="110"/>
        <v>5.7554385418417606E-4</v>
      </c>
    </row>
    <row r="6579" spans="7:8">
      <c r="G6579">
        <v>6569</v>
      </c>
      <c r="H6579">
        <f t="shared" ca="1" si="110"/>
        <v>-3.0014294361386716E-2</v>
      </c>
    </row>
    <row r="6580" spans="7:8">
      <c r="G6580">
        <v>6570</v>
      </c>
      <c r="H6580">
        <f t="shared" ca="1" si="110"/>
        <v>4.4445036451302576E-4</v>
      </c>
    </row>
    <row r="6581" spans="7:8">
      <c r="G6581">
        <v>6571</v>
      </c>
      <c r="H6581">
        <f t="shared" ca="1" si="110"/>
        <v>2.1288267075988887E-3</v>
      </c>
    </row>
    <row r="6582" spans="7:8">
      <c r="G6582">
        <v>6572</v>
      </c>
      <c r="H6582">
        <f t="shared" ca="1" si="110"/>
        <v>-2.0112766753650336E-3</v>
      </c>
    </row>
    <row r="6583" spans="7:8">
      <c r="G6583">
        <v>6573</v>
      </c>
      <c r="H6583">
        <f t="shared" ca="1" si="110"/>
        <v>-1.3163066400861817E-3</v>
      </c>
    </row>
    <row r="6584" spans="7:8">
      <c r="G6584">
        <v>6574</v>
      </c>
      <c r="H6584">
        <f t="shared" ca="1" si="110"/>
        <v>2.1035988047049446E-2</v>
      </c>
    </row>
    <row r="6585" spans="7:8">
      <c r="G6585">
        <v>6575</v>
      </c>
      <c r="H6585">
        <f t="shared" ca="1" si="110"/>
        <v>-3.2575917425325326E-2</v>
      </c>
    </row>
    <row r="6586" spans="7:8">
      <c r="G6586">
        <v>6576</v>
      </c>
      <c r="H6586">
        <f t="shared" ca="1" si="110"/>
        <v>3.7762467934693698E-2</v>
      </c>
    </row>
    <row r="6587" spans="7:8">
      <c r="G6587">
        <v>6577</v>
      </c>
      <c r="H6587">
        <f t="shared" ca="1" si="110"/>
        <v>-5.5028758356558448E-3</v>
      </c>
    </row>
    <row r="6588" spans="7:8">
      <c r="G6588">
        <v>6578</v>
      </c>
      <c r="H6588">
        <f t="shared" ca="1" si="110"/>
        <v>-2.5031446004565952E-3</v>
      </c>
    </row>
    <row r="6589" spans="7:8">
      <c r="G6589">
        <v>6579</v>
      </c>
      <c r="H6589">
        <f t="shared" ca="1" si="110"/>
        <v>-1.8048230806326573E-2</v>
      </c>
    </row>
    <row r="6590" spans="7:8">
      <c r="G6590">
        <v>6580</v>
      </c>
      <c r="H6590">
        <f t="shared" ca="1" si="110"/>
        <v>-1.1273692759574966E-2</v>
      </c>
    </row>
    <row r="6591" spans="7:8">
      <c r="G6591">
        <v>6581</v>
      </c>
      <c r="H6591">
        <f t="shared" ca="1" si="110"/>
        <v>9.7843968979120666E-3</v>
      </c>
    </row>
    <row r="6592" spans="7:8">
      <c r="G6592">
        <v>6582</v>
      </c>
      <c r="H6592">
        <f t="shared" ca="1" si="110"/>
        <v>8.5606054750074767E-3</v>
      </c>
    </row>
    <row r="6593" spans="7:8">
      <c r="G6593">
        <v>6583</v>
      </c>
      <c r="H6593">
        <f t="shared" ca="1" si="110"/>
        <v>-1.29659062742183E-2</v>
      </c>
    </row>
    <row r="6594" spans="7:8">
      <c r="G6594">
        <v>6584</v>
      </c>
      <c r="H6594">
        <f t="shared" ca="1" si="110"/>
        <v>-2.0146563142911446E-2</v>
      </c>
    </row>
    <row r="6595" spans="7:8">
      <c r="G6595">
        <v>6585</v>
      </c>
      <c r="H6595">
        <f t="shared" ca="1" si="110"/>
        <v>-3.7302015793172265E-2</v>
      </c>
    </row>
    <row r="6596" spans="7:8">
      <c r="G6596">
        <v>6586</v>
      </c>
      <c r="H6596">
        <f t="shared" ca="1" si="110"/>
        <v>-1.3512273825123705E-2</v>
      </c>
    </row>
    <row r="6597" spans="7:8">
      <c r="G6597">
        <v>6587</v>
      </c>
      <c r="H6597">
        <f t="shared" ca="1" si="110"/>
        <v>1.5199294816720846E-2</v>
      </c>
    </row>
    <row r="6598" spans="7:8">
      <c r="G6598">
        <v>6588</v>
      </c>
      <c r="H6598">
        <f t="shared" ca="1" si="110"/>
        <v>2.8384489238892807E-2</v>
      </c>
    </row>
    <row r="6599" spans="7:8">
      <c r="G6599">
        <v>6589</v>
      </c>
      <c r="H6599">
        <f t="shared" ca="1" si="110"/>
        <v>-1.8030984995875684E-2</v>
      </c>
    </row>
    <row r="6600" spans="7:8">
      <c r="G6600">
        <v>6590</v>
      </c>
      <c r="H6600">
        <f t="shared" ca="1" si="110"/>
        <v>1.9912551697970448E-3</v>
      </c>
    </row>
    <row r="6601" spans="7:8">
      <c r="G6601">
        <v>6591</v>
      </c>
      <c r="H6601">
        <f t="shared" ca="1" si="110"/>
        <v>-1.0822924794573696E-2</v>
      </c>
    </row>
    <row r="6602" spans="7:8">
      <c r="G6602">
        <v>6592</v>
      </c>
      <c r="H6602">
        <f t="shared" ca="1" si="110"/>
        <v>3.2168713315367234E-2</v>
      </c>
    </row>
    <row r="6603" spans="7:8">
      <c r="G6603">
        <v>6593</v>
      </c>
      <c r="H6603">
        <f t="shared" ca="1" si="110"/>
        <v>5.2832056926700073E-2</v>
      </c>
    </row>
    <row r="6604" spans="7:8">
      <c r="G6604">
        <v>6594</v>
      </c>
      <c r="H6604">
        <f t="shared" ref="H6604:H6667" ca="1" si="111">_xlfn.NORM.INV(RAND(),N$13,N$14)</f>
        <v>-1.3241467038184754E-2</v>
      </c>
    </row>
    <row r="6605" spans="7:8">
      <c r="G6605">
        <v>6595</v>
      </c>
      <c r="H6605">
        <f t="shared" ca="1" si="111"/>
        <v>2.7432736721604747E-2</v>
      </c>
    </row>
    <row r="6606" spans="7:8">
      <c r="G6606">
        <v>6596</v>
      </c>
      <c r="H6606">
        <f t="shared" ca="1" si="111"/>
        <v>-2.9534715604427782E-2</v>
      </c>
    </row>
    <row r="6607" spans="7:8">
      <c r="G6607">
        <v>6597</v>
      </c>
      <c r="H6607">
        <f t="shared" ca="1" si="111"/>
        <v>-1.3606921086790492E-3</v>
      </c>
    </row>
    <row r="6608" spans="7:8">
      <c r="G6608">
        <v>6598</v>
      </c>
      <c r="H6608">
        <f t="shared" ca="1" si="111"/>
        <v>1.5834144706788525E-2</v>
      </c>
    </row>
    <row r="6609" spans="7:8">
      <c r="G6609">
        <v>6599</v>
      </c>
      <c r="H6609">
        <f t="shared" ca="1" si="111"/>
        <v>1.0138635064517601E-2</v>
      </c>
    </row>
    <row r="6610" spans="7:8">
      <c r="G6610">
        <v>6600</v>
      </c>
      <c r="H6610">
        <f t="shared" ca="1" si="111"/>
        <v>1.6745980968347366E-3</v>
      </c>
    </row>
    <row r="6611" spans="7:8">
      <c r="G6611">
        <v>6601</v>
      </c>
      <c r="H6611">
        <f t="shared" ca="1" si="111"/>
        <v>5.6917059744975062E-3</v>
      </c>
    </row>
    <row r="6612" spans="7:8">
      <c r="G6612">
        <v>6602</v>
      </c>
      <c r="H6612">
        <f t="shared" ca="1" si="111"/>
        <v>7.1923077060544677E-3</v>
      </c>
    </row>
    <row r="6613" spans="7:8">
      <c r="G6613">
        <v>6603</v>
      </c>
      <c r="H6613">
        <f t="shared" ca="1" si="111"/>
        <v>-6.562873270026642E-3</v>
      </c>
    </row>
    <row r="6614" spans="7:8">
      <c r="G6614">
        <v>6604</v>
      </c>
      <c r="H6614">
        <f t="shared" ca="1" si="111"/>
        <v>1.5297033614232876E-2</v>
      </c>
    </row>
    <row r="6615" spans="7:8">
      <c r="G6615">
        <v>6605</v>
      </c>
      <c r="H6615">
        <f t="shared" ca="1" si="111"/>
        <v>-2.0791212390888904E-2</v>
      </c>
    </row>
    <row r="6616" spans="7:8">
      <c r="G6616">
        <v>6606</v>
      </c>
      <c r="H6616">
        <f t="shared" ca="1" si="111"/>
        <v>9.1814831803979993E-3</v>
      </c>
    </row>
    <row r="6617" spans="7:8">
      <c r="G6617">
        <v>6607</v>
      </c>
      <c r="H6617">
        <f t="shared" ca="1" si="111"/>
        <v>-2.8499876370747364E-2</v>
      </c>
    </row>
    <row r="6618" spans="7:8">
      <c r="G6618">
        <v>6608</v>
      </c>
      <c r="H6618">
        <f t="shared" ca="1" si="111"/>
        <v>1.057651191079184E-2</v>
      </c>
    </row>
    <row r="6619" spans="7:8">
      <c r="G6619">
        <v>6609</v>
      </c>
      <c r="H6619">
        <f t="shared" ca="1" si="111"/>
        <v>-1.2434181777668798E-2</v>
      </c>
    </row>
    <row r="6620" spans="7:8">
      <c r="G6620">
        <v>6610</v>
      </c>
      <c r="H6620">
        <f t="shared" ca="1" si="111"/>
        <v>-6.0923695928073632E-2</v>
      </c>
    </row>
    <row r="6621" spans="7:8">
      <c r="G6621">
        <v>6611</v>
      </c>
      <c r="H6621">
        <f t="shared" ca="1" si="111"/>
        <v>-1.3232084112282294E-3</v>
      </c>
    </row>
    <row r="6622" spans="7:8">
      <c r="G6622">
        <v>6612</v>
      </c>
      <c r="H6622">
        <f t="shared" ca="1" si="111"/>
        <v>-1.4902734584903718E-2</v>
      </c>
    </row>
    <row r="6623" spans="7:8">
      <c r="G6623">
        <v>6613</v>
      </c>
      <c r="H6623">
        <f t="shared" ca="1" si="111"/>
        <v>-2.9766568327214579E-2</v>
      </c>
    </row>
    <row r="6624" spans="7:8">
      <c r="G6624">
        <v>6614</v>
      </c>
      <c r="H6624">
        <f t="shared" ca="1" si="111"/>
        <v>2.99419835150787E-2</v>
      </c>
    </row>
    <row r="6625" spans="7:8">
      <c r="G6625">
        <v>6615</v>
      </c>
      <c r="H6625">
        <f t="shared" ca="1" si="111"/>
        <v>2.7726755718819031E-2</v>
      </c>
    </row>
    <row r="6626" spans="7:8">
      <c r="G6626">
        <v>6616</v>
      </c>
      <c r="H6626">
        <f t="shared" ca="1" si="111"/>
        <v>-1.243150982517504E-2</v>
      </c>
    </row>
    <row r="6627" spans="7:8">
      <c r="G6627">
        <v>6617</v>
      </c>
      <c r="H6627">
        <f t="shared" ca="1" si="111"/>
        <v>-1.2377756535872709E-2</v>
      </c>
    </row>
    <row r="6628" spans="7:8">
      <c r="G6628">
        <v>6618</v>
      </c>
      <c r="H6628">
        <f t="shared" ca="1" si="111"/>
        <v>-2.2303610699601413E-2</v>
      </c>
    </row>
    <row r="6629" spans="7:8">
      <c r="G6629">
        <v>6619</v>
      </c>
      <c r="H6629">
        <f t="shared" ca="1" si="111"/>
        <v>1.5233418630127974E-2</v>
      </c>
    </row>
    <row r="6630" spans="7:8">
      <c r="G6630">
        <v>6620</v>
      </c>
      <c r="H6630">
        <f t="shared" ca="1" si="111"/>
        <v>-6.1373581297450887E-2</v>
      </c>
    </row>
    <row r="6631" spans="7:8">
      <c r="G6631">
        <v>6621</v>
      </c>
      <c r="H6631">
        <f t="shared" ca="1" si="111"/>
        <v>4.4330973703157757E-2</v>
      </c>
    </row>
    <row r="6632" spans="7:8">
      <c r="G6632">
        <v>6622</v>
      </c>
      <c r="H6632">
        <f t="shared" ca="1" si="111"/>
        <v>3.9165929133607717E-2</v>
      </c>
    </row>
    <row r="6633" spans="7:8">
      <c r="G6633">
        <v>6623</v>
      </c>
      <c r="H6633">
        <f t="shared" ca="1" si="111"/>
        <v>-1.4835294481144394E-2</v>
      </c>
    </row>
    <row r="6634" spans="7:8">
      <c r="G6634">
        <v>6624</v>
      </c>
      <c r="H6634">
        <f t="shared" ca="1" si="111"/>
        <v>2.8454684521001271E-2</v>
      </c>
    </row>
    <row r="6635" spans="7:8">
      <c r="G6635">
        <v>6625</v>
      </c>
      <c r="H6635">
        <f t="shared" ca="1" si="111"/>
        <v>2.8189207672542821E-2</v>
      </c>
    </row>
    <row r="6636" spans="7:8">
      <c r="G6636">
        <v>6626</v>
      </c>
      <c r="H6636">
        <f t="shared" ca="1" si="111"/>
        <v>-2.317907183432499E-2</v>
      </c>
    </row>
    <row r="6637" spans="7:8">
      <c r="G6637">
        <v>6627</v>
      </c>
      <c r="H6637">
        <f t="shared" ca="1" si="111"/>
        <v>2.3368822661245137E-3</v>
      </c>
    </row>
    <row r="6638" spans="7:8">
      <c r="G6638">
        <v>6628</v>
      </c>
      <c r="H6638">
        <f t="shared" ca="1" si="111"/>
        <v>-9.0717318552595034E-3</v>
      </c>
    </row>
    <row r="6639" spans="7:8">
      <c r="G6639">
        <v>6629</v>
      </c>
      <c r="H6639">
        <f t="shared" ca="1" si="111"/>
        <v>1.2144793608363996E-2</v>
      </c>
    </row>
    <row r="6640" spans="7:8">
      <c r="G6640">
        <v>6630</v>
      </c>
      <c r="H6640">
        <f t="shared" ca="1" si="111"/>
        <v>2.7775025337240144E-2</v>
      </c>
    </row>
    <row r="6641" spans="7:8">
      <c r="G6641">
        <v>6631</v>
      </c>
      <c r="H6641">
        <f t="shared" ca="1" si="111"/>
        <v>3.5556201823957585E-2</v>
      </c>
    </row>
    <row r="6642" spans="7:8">
      <c r="G6642">
        <v>6632</v>
      </c>
      <c r="H6642">
        <f t="shared" ca="1" si="111"/>
        <v>-4.4188524032699898E-2</v>
      </c>
    </row>
    <row r="6643" spans="7:8">
      <c r="G6643">
        <v>6633</v>
      </c>
      <c r="H6643">
        <f t="shared" ca="1" si="111"/>
        <v>3.0864013337786059E-2</v>
      </c>
    </row>
    <row r="6644" spans="7:8">
      <c r="G6644">
        <v>6634</v>
      </c>
      <c r="H6644">
        <f t="shared" ca="1" si="111"/>
        <v>2.3798531489171909E-2</v>
      </c>
    </row>
    <row r="6645" spans="7:8">
      <c r="G6645">
        <v>6635</v>
      </c>
      <c r="H6645">
        <f t="shared" ca="1" si="111"/>
        <v>-4.6872557554900234E-3</v>
      </c>
    </row>
    <row r="6646" spans="7:8">
      <c r="G6646">
        <v>6636</v>
      </c>
      <c r="H6646">
        <f t="shared" ca="1" si="111"/>
        <v>1.2850784848663177E-2</v>
      </c>
    </row>
    <row r="6647" spans="7:8">
      <c r="G6647">
        <v>6637</v>
      </c>
      <c r="H6647">
        <f t="shared" ca="1" si="111"/>
        <v>1.1156650693792769E-2</v>
      </c>
    </row>
    <row r="6648" spans="7:8">
      <c r="G6648">
        <v>6638</v>
      </c>
      <c r="H6648">
        <f t="shared" ca="1" si="111"/>
        <v>2.5007269393149604E-3</v>
      </c>
    </row>
    <row r="6649" spans="7:8">
      <c r="G6649">
        <v>6639</v>
      </c>
      <c r="H6649">
        <f t="shared" ca="1" si="111"/>
        <v>2.2076915097949599E-2</v>
      </c>
    </row>
    <row r="6650" spans="7:8">
      <c r="G6650">
        <v>6640</v>
      </c>
      <c r="H6650">
        <f t="shared" ca="1" si="111"/>
        <v>3.6150523368614025E-2</v>
      </c>
    </row>
    <row r="6651" spans="7:8">
      <c r="G6651">
        <v>6641</v>
      </c>
      <c r="H6651">
        <f t="shared" ca="1" si="111"/>
        <v>6.0392188068825813E-2</v>
      </c>
    </row>
    <row r="6652" spans="7:8">
      <c r="G6652">
        <v>6642</v>
      </c>
      <c r="H6652">
        <f t="shared" ca="1" si="111"/>
        <v>-1.6920800170749921E-2</v>
      </c>
    </row>
    <row r="6653" spans="7:8">
      <c r="G6653">
        <v>6643</v>
      </c>
      <c r="H6653">
        <f t="shared" ca="1" si="111"/>
        <v>6.4140797022511084E-4</v>
      </c>
    </row>
    <row r="6654" spans="7:8">
      <c r="G6654">
        <v>6644</v>
      </c>
      <c r="H6654">
        <f t="shared" ca="1" si="111"/>
        <v>9.8763287304386004E-3</v>
      </c>
    </row>
    <row r="6655" spans="7:8">
      <c r="G6655">
        <v>6645</v>
      </c>
      <c r="H6655">
        <f t="shared" ca="1" si="111"/>
        <v>4.4823708497390584E-2</v>
      </c>
    </row>
    <row r="6656" spans="7:8">
      <c r="G6656">
        <v>6646</v>
      </c>
      <c r="H6656">
        <f t="shared" ca="1" si="111"/>
        <v>-5.3189317707241189E-3</v>
      </c>
    </row>
    <row r="6657" spans="7:8">
      <c r="G6657">
        <v>6647</v>
      </c>
      <c r="H6657">
        <f t="shared" ca="1" si="111"/>
        <v>2.4488910350523897E-2</v>
      </c>
    </row>
    <row r="6658" spans="7:8">
      <c r="G6658">
        <v>6648</v>
      </c>
      <c r="H6658">
        <f t="shared" ca="1" si="111"/>
        <v>4.562514535636315E-3</v>
      </c>
    </row>
    <row r="6659" spans="7:8">
      <c r="G6659">
        <v>6649</v>
      </c>
      <c r="H6659">
        <f t="shared" ca="1" si="111"/>
        <v>2.3361675337642608E-3</v>
      </c>
    </row>
    <row r="6660" spans="7:8">
      <c r="G6660">
        <v>6650</v>
      </c>
      <c r="H6660">
        <f t="shared" ca="1" si="111"/>
        <v>3.2156767862925807E-3</v>
      </c>
    </row>
    <row r="6661" spans="7:8">
      <c r="G6661">
        <v>6651</v>
      </c>
      <c r="H6661">
        <f t="shared" ca="1" si="111"/>
        <v>-3.9755312857990624E-2</v>
      </c>
    </row>
    <row r="6662" spans="7:8">
      <c r="G6662">
        <v>6652</v>
      </c>
      <c r="H6662">
        <f t="shared" ca="1" si="111"/>
        <v>9.7902932814950515E-3</v>
      </c>
    </row>
    <row r="6663" spans="7:8">
      <c r="G6663">
        <v>6653</v>
      </c>
      <c r="H6663">
        <f t="shared" ca="1" si="111"/>
        <v>-1.8068286279129403E-2</v>
      </c>
    </row>
    <row r="6664" spans="7:8">
      <c r="G6664">
        <v>6654</v>
      </c>
      <c r="H6664">
        <f t="shared" ca="1" si="111"/>
        <v>-5.0826461448408654E-2</v>
      </c>
    </row>
    <row r="6665" spans="7:8">
      <c r="G6665">
        <v>6655</v>
      </c>
      <c r="H6665">
        <f t="shared" ca="1" si="111"/>
        <v>-4.2492088726816993E-2</v>
      </c>
    </row>
    <row r="6666" spans="7:8">
      <c r="G6666">
        <v>6656</v>
      </c>
      <c r="H6666">
        <f t="shared" ca="1" si="111"/>
        <v>2.3100593350009378E-2</v>
      </c>
    </row>
    <row r="6667" spans="7:8">
      <c r="G6667">
        <v>6657</v>
      </c>
      <c r="H6667">
        <f t="shared" ca="1" si="111"/>
        <v>-2.1323987373434123E-2</v>
      </c>
    </row>
    <row r="6668" spans="7:8">
      <c r="G6668">
        <v>6658</v>
      </c>
      <c r="H6668">
        <f t="shared" ref="H6668:H6731" ca="1" si="112">_xlfn.NORM.INV(RAND(),N$13,N$14)</f>
        <v>-2.8832243455605144E-3</v>
      </c>
    </row>
    <row r="6669" spans="7:8">
      <c r="G6669">
        <v>6659</v>
      </c>
      <c r="H6669">
        <f t="shared" ca="1" si="112"/>
        <v>8.7560545013571061E-3</v>
      </c>
    </row>
    <row r="6670" spans="7:8">
      <c r="G6670">
        <v>6660</v>
      </c>
      <c r="H6670">
        <f t="shared" ca="1" si="112"/>
        <v>-2.4070826346603107E-2</v>
      </c>
    </row>
    <row r="6671" spans="7:8">
      <c r="G6671">
        <v>6661</v>
      </c>
      <c r="H6671">
        <f t="shared" ca="1" si="112"/>
        <v>1.2643308525871783E-2</v>
      </c>
    </row>
    <row r="6672" spans="7:8">
      <c r="G6672">
        <v>6662</v>
      </c>
      <c r="H6672">
        <f t="shared" ca="1" si="112"/>
        <v>2.4017176480608252E-2</v>
      </c>
    </row>
    <row r="6673" spans="7:8">
      <c r="G6673">
        <v>6663</v>
      </c>
      <c r="H6673">
        <f t="shared" ca="1" si="112"/>
        <v>-5.763138612036949E-3</v>
      </c>
    </row>
    <row r="6674" spans="7:8">
      <c r="G6674">
        <v>6664</v>
      </c>
      <c r="H6674">
        <f t="shared" ca="1" si="112"/>
        <v>-1.5537398418834475E-2</v>
      </c>
    </row>
    <row r="6675" spans="7:8">
      <c r="G6675">
        <v>6665</v>
      </c>
      <c r="H6675">
        <f t="shared" ca="1" si="112"/>
        <v>1.4328371022583001E-2</v>
      </c>
    </row>
    <row r="6676" spans="7:8">
      <c r="G6676">
        <v>6666</v>
      </c>
      <c r="H6676">
        <f t="shared" ca="1" si="112"/>
        <v>-1.109545615279066E-2</v>
      </c>
    </row>
    <row r="6677" spans="7:8">
      <c r="G6677">
        <v>6667</v>
      </c>
      <c r="H6677">
        <f t="shared" ca="1" si="112"/>
        <v>-3.5220668890845956E-2</v>
      </c>
    </row>
    <row r="6678" spans="7:8">
      <c r="G6678">
        <v>6668</v>
      </c>
      <c r="H6678">
        <f t="shared" ca="1" si="112"/>
        <v>1.1835114991526074E-3</v>
      </c>
    </row>
    <row r="6679" spans="7:8">
      <c r="G6679">
        <v>6669</v>
      </c>
      <c r="H6679">
        <f t="shared" ca="1" si="112"/>
        <v>-5.2331767881193753E-3</v>
      </c>
    </row>
    <row r="6680" spans="7:8">
      <c r="G6680">
        <v>6670</v>
      </c>
      <c r="H6680">
        <f t="shared" ca="1" si="112"/>
        <v>-1.8489898645266779E-2</v>
      </c>
    </row>
    <row r="6681" spans="7:8">
      <c r="G6681">
        <v>6671</v>
      </c>
      <c r="H6681">
        <f t="shared" ca="1" si="112"/>
        <v>4.2113894597316716E-2</v>
      </c>
    </row>
    <row r="6682" spans="7:8">
      <c r="G6682">
        <v>6672</v>
      </c>
      <c r="H6682">
        <f t="shared" ca="1" si="112"/>
        <v>-1.5977593095280906E-2</v>
      </c>
    </row>
    <row r="6683" spans="7:8">
      <c r="G6683">
        <v>6673</v>
      </c>
      <c r="H6683">
        <f t="shared" ca="1" si="112"/>
        <v>6.9965923788422599E-3</v>
      </c>
    </row>
    <row r="6684" spans="7:8">
      <c r="G6684">
        <v>6674</v>
      </c>
      <c r="H6684">
        <f t="shared" ca="1" si="112"/>
        <v>3.1833518177858421E-2</v>
      </c>
    </row>
    <row r="6685" spans="7:8">
      <c r="G6685">
        <v>6675</v>
      </c>
      <c r="H6685">
        <f t="shared" ca="1" si="112"/>
        <v>-6.396341567465145E-3</v>
      </c>
    </row>
    <row r="6686" spans="7:8">
      <c r="G6686">
        <v>6676</v>
      </c>
      <c r="H6686">
        <f t="shared" ca="1" si="112"/>
        <v>1.8512170401127608E-3</v>
      </c>
    </row>
    <row r="6687" spans="7:8">
      <c r="G6687">
        <v>6677</v>
      </c>
      <c r="H6687">
        <f t="shared" ca="1" si="112"/>
        <v>-2.2898480814572717E-2</v>
      </c>
    </row>
    <row r="6688" spans="7:8">
      <c r="G6688">
        <v>6678</v>
      </c>
      <c r="H6688">
        <f t="shared" ca="1" si="112"/>
        <v>-3.9150587963971924E-2</v>
      </c>
    </row>
    <row r="6689" spans="7:8">
      <c r="G6689">
        <v>6679</v>
      </c>
      <c r="H6689">
        <f t="shared" ca="1" si="112"/>
        <v>1.1861606190016596E-2</v>
      </c>
    </row>
    <row r="6690" spans="7:8">
      <c r="G6690">
        <v>6680</v>
      </c>
      <c r="H6690">
        <f t="shared" ca="1" si="112"/>
        <v>1.0235094209098645E-2</v>
      </c>
    </row>
    <row r="6691" spans="7:8">
      <c r="G6691">
        <v>6681</v>
      </c>
      <c r="H6691">
        <f t="shared" ca="1" si="112"/>
        <v>-5.8363459429034356E-3</v>
      </c>
    </row>
    <row r="6692" spans="7:8">
      <c r="G6692">
        <v>6682</v>
      </c>
      <c r="H6692">
        <f t="shared" ca="1" si="112"/>
        <v>3.5512526360739545E-2</v>
      </c>
    </row>
    <row r="6693" spans="7:8">
      <c r="G6693">
        <v>6683</v>
      </c>
      <c r="H6693">
        <f t="shared" ca="1" si="112"/>
        <v>6.3444695599120336E-3</v>
      </c>
    </row>
    <row r="6694" spans="7:8">
      <c r="G6694">
        <v>6684</v>
      </c>
      <c r="H6694">
        <f t="shared" ca="1" si="112"/>
        <v>-6.2006879240310633E-3</v>
      </c>
    </row>
    <row r="6695" spans="7:8">
      <c r="G6695">
        <v>6685</v>
      </c>
      <c r="H6695">
        <f t="shared" ca="1" si="112"/>
        <v>2.0176864535847022E-2</v>
      </c>
    </row>
    <row r="6696" spans="7:8">
      <c r="G6696">
        <v>6686</v>
      </c>
      <c r="H6696">
        <f t="shared" ca="1" si="112"/>
        <v>-1.8428275294129133E-3</v>
      </c>
    </row>
    <row r="6697" spans="7:8">
      <c r="G6697">
        <v>6687</v>
      </c>
      <c r="H6697">
        <f t="shared" ca="1" si="112"/>
        <v>-3.6114567151382004E-2</v>
      </c>
    </row>
    <row r="6698" spans="7:8">
      <c r="G6698">
        <v>6688</v>
      </c>
      <c r="H6698">
        <f t="shared" ca="1" si="112"/>
        <v>1.8712922391013739E-2</v>
      </c>
    </row>
    <row r="6699" spans="7:8">
      <c r="G6699">
        <v>6689</v>
      </c>
      <c r="H6699">
        <f t="shared" ca="1" si="112"/>
        <v>-6.3592027504262042E-3</v>
      </c>
    </row>
    <row r="6700" spans="7:8">
      <c r="G6700">
        <v>6690</v>
      </c>
      <c r="H6700">
        <f t="shared" ca="1" si="112"/>
        <v>2.6763402532644798E-2</v>
      </c>
    </row>
    <row r="6701" spans="7:8">
      <c r="G6701">
        <v>6691</v>
      </c>
      <c r="H6701">
        <f t="shared" ca="1" si="112"/>
        <v>1.0762652359510108E-2</v>
      </c>
    </row>
    <row r="6702" spans="7:8">
      <c r="G6702">
        <v>6692</v>
      </c>
      <c r="H6702">
        <f t="shared" ca="1" si="112"/>
        <v>5.2173502683855282E-4</v>
      </c>
    </row>
    <row r="6703" spans="7:8">
      <c r="G6703">
        <v>6693</v>
      </c>
      <c r="H6703">
        <f t="shared" ca="1" si="112"/>
        <v>-9.2317819469452675E-4</v>
      </c>
    </row>
    <row r="6704" spans="7:8">
      <c r="G6704">
        <v>6694</v>
      </c>
      <c r="H6704">
        <f t="shared" ca="1" si="112"/>
        <v>-3.9902084712871162E-2</v>
      </c>
    </row>
    <row r="6705" spans="7:8">
      <c r="G6705">
        <v>6695</v>
      </c>
      <c r="H6705">
        <f t="shared" ca="1" si="112"/>
        <v>1.5560943074230404E-2</v>
      </c>
    </row>
    <row r="6706" spans="7:8">
      <c r="G6706">
        <v>6696</v>
      </c>
      <c r="H6706">
        <f t="shared" ca="1" si="112"/>
        <v>6.5253986929109465E-3</v>
      </c>
    </row>
    <row r="6707" spans="7:8">
      <c r="G6707">
        <v>6697</v>
      </c>
      <c r="H6707">
        <f t="shared" ca="1" si="112"/>
        <v>-3.0913552845638608E-2</v>
      </c>
    </row>
    <row r="6708" spans="7:8">
      <c r="G6708">
        <v>6698</v>
      </c>
      <c r="H6708">
        <f t="shared" ca="1" si="112"/>
        <v>2.6133156680302888E-2</v>
      </c>
    </row>
    <row r="6709" spans="7:8">
      <c r="G6709">
        <v>6699</v>
      </c>
      <c r="H6709">
        <f t="shared" ca="1" si="112"/>
        <v>2.4448107010910988E-3</v>
      </c>
    </row>
    <row r="6710" spans="7:8">
      <c r="G6710">
        <v>6700</v>
      </c>
      <c r="H6710">
        <f t="shared" ca="1" si="112"/>
        <v>6.9579423592560025E-3</v>
      </c>
    </row>
    <row r="6711" spans="7:8">
      <c r="G6711">
        <v>6701</v>
      </c>
      <c r="H6711">
        <f t="shared" ca="1" si="112"/>
        <v>-2.1974293693246535E-2</v>
      </c>
    </row>
    <row r="6712" spans="7:8">
      <c r="G6712">
        <v>6702</v>
      </c>
      <c r="H6712">
        <f t="shared" ca="1" si="112"/>
        <v>2.7584391541367371E-2</v>
      </c>
    </row>
    <row r="6713" spans="7:8">
      <c r="G6713">
        <v>6703</v>
      </c>
      <c r="H6713">
        <f t="shared" ca="1" si="112"/>
        <v>-4.6297423924183123E-2</v>
      </c>
    </row>
    <row r="6714" spans="7:8">
      <c r="G6714">
        <v>6704</v>
      </c>
      <c r="H6714">
        <f t="shared" ca="1" si="112"/>
        <v>-6.1141536330157125E-3</v>
      </c>
    </row>
    <row r="6715" spans="7:8">
      <c r="G6715">
        <v>6705</v>
      </c>
      <c r="H6715">
        <f t="shared" ca="1" si="112"/>
        <v>3.1195813738203196E-2</v>
      </c>
    </row>
    <row r="6716" spans="7:8">
      <c r="G6716">
        <v>6706</v>
      </c>
      <c r="H6716">
        <f t="shared" ca="1" si="112"/>
        <v>-7.0233369416442338E-3</v>
      </c>
    </row>
    <row r="6717" spans="7:8">
      <c r="G6717">
        <v>6707</v>
      </c>
      <c r="H6717">
        <f t="shared" ca="1" si="112"/>
        <v>3.6352216798059424E-2</v>
      </c>
    </row>
    <row r="6718" spans="7:8">
      <c r="G6718">
        <v>6708</v>
      </c>
      <c r="H6718">
        <f t="shared" ca="1" si="112"/>
        <v>1.7150344281619645E-3</v>
      </c>
    </row>
    <row r="6719" spans="7:8">
      <c r="G6719">
        <v>6709</v>
      </c>
      <c r="H6719">
        <f t="shared" ca="1" si="112"/>
        <v>1.9302726808586315E-2</v>
      </c>
    </row>
    <row r="6720" spans="7:8">
      <c r="G6720">
        <v>6710</v>
      </c>
      <c r="H6720">
        <f t="shared" ca="1" si="112"/>
        <v>2.574809448818113E-2</v>
      </c>
    </row>
    <row r="6721" spans="7:8">
      <c r="G6721">
        <v>6711</v>
      </c>
      <c r="H6721">
        <f t="shared" ca="1" si="112"/>
        <v>-3.2191237894280914E-3</v>
      </c>
    </row>
    <row r="6722" spans="7:8">
      <c r="G6722">
        <v>6712</v>
      </c>
      <c r="H6722">
        <f t="shared" ca="1" si="112"/>
        <v>1.0912817086236546E-2</v>
      </c>
    </row>
    <row r="6723" spans="7:8">
      <c r="G6723">
        <v>6713</v>
      </c>
      <c r="H6723">
        <f t="shared" ca="1" si="112"/>
        <v>-3.4949540737648976E-3</v>
      </c>
    </row>
    <row r="6724" spans="7:8">
      <c r="G6724">
        <v>6714</v>
      </c>
      <c r="H6724">
        <f t="shared" ca="1" si="112"/>
        <v>-9.7947912246367768E-3</v>
      </c>
    </row>
    <row r="6725" spans="7:8">
      <c r="G6725">
        <v>6715</v>
      </c>
      <c r="H6725">
        <f t="shared" ca="1" si="112"/>
        <v>8.1839570060329072E-3</v>
      </c>
    </row>
    <row r="6726" spans="7:8">
      <c r="G6726">
        <v>6716</v>
      </c>
      <c r="H6726">
        <f t="shared" ca="1" si="112"/>
        <v>-5.6426078555253306E-2</v>
      </c>
    </row>
    <row r="6727" spans="7:8">
      <c r="G6727">
        <v>6717</v>
      </c>
      <c r="H6727">
        <f t="shared" ca="1" si="112"/>
        <v>5.6290117073384563E-2</v>
      </c>
    </row>
    <row r="6728" spans="7:8">
      <c r="G6728">
        <v>6718</v>
      </c>
      <c r="H6728">
        <f t="shared" ca="1" si="112"/>
        <v>-2.6128153194528783E-3</v>
      </c>
    </row>
    <row r="6729" spans="7:8">
      <c r="G6729">
        <v>6719</v>
      </c>
      <c r="H6729">
        <f t="shared" ca="1" si="112"/>
        <v>9.2542956410116093E-3</v>
      </c>
    </row>
    <row r="6730" spans="7:8">
      <c r="G6730">
        <v>6720</v>
      </c>
      <c r="H6730">
        <f t="shared" ca="1" si="112"/>
        <v>2.614822856909441E-2</v>
      </c>
    </row>
    <row r="6731" spans="7:8">
      <c r="G6731">
        <v>6721</v>
      </c>
      <c r="H6731">
        <f t="shared" ca="1" si="112"/>
        <v>-1.4059513550591589E-2</v>
      </c>
    </row>
    <row r="6732" spans="7:8">
      <c r="G6732">
        <v>6722</v>
      </c>
      <c r="H6732">
        <f t="shared" ref="H6732:H6795" ca="1" si="113">_xlfn.NORM.INV(RAND(),N$13,N$14)</f>
        <v>1.6957929029687013E-2</v>
      </c>
    </row>
    <row r="6733" spans="7:8">
      <c r="G6733">
        <v>6723</v>
      </c>
      <c r="H6733">
        <f t="shared" ca="1" si="113"/>
        <v>-1.9689938142796386E-2</v>
      </c>
    </row>
    <row r="6734" spans="7:8">
      <c r="G6734">
        <v>6724</v>
      </c>
      <c r="H6734">
        <f t="shared" ca="1" si="113"/>
        <v>-5.4041857175234846E-2</v>
      </c>
    </row>
    <row r="6735" spans="7:8">
      <c r="G6735">
        <v>6725</v>
      </c>
      <c r="H6735">
        <f t="shared" ca="1" si="113"/>
        <v>-3.5895940332023092E-3</v>
      </c>
    </row>
    <row r="6736" spans="7:8">
      <c r="G6736">
        <v>6726</v>
      </c>
      <c r="H6736">
        <f t="shared" ca="1" si="113"/>
        <v>4.6046771796525148E-3</v>
      </c>
    </row>
    <row r="6737" spans="7:8">
      <c r="G6737">
        <v>6727</v>
      </c>
      <c r="H6737">
        <f t="shared" ca="1" si="113"/>
        <v>5.6500028281184908E-3</v>
      </c>
    </row>
    <row r="6738" spans="7:8">
      <c r="G6738">
        <v>6728</v>
      </c>
      <c r="H6738">
        <f t="shared" ca="1" si="113"/>
        <v>-1.5144262354507448E-2</v>
      </c>
    </row>
    <row r="6739" spans="7:8">
      <c r="G6739">
        <v>6729</v>
      </c>
      <c r="H6739">
        <f t="shared" ca="1" si="113"/>
        <v>1.8130649504760735E-2</v>
      </c>
    </row>
    <row r="6740" spans="7:8">
      <c r="G6740">
        <v>6730</v>
      </c>
      <c r="H6740">
        <f t="shared" ca="1" si="113"/>
        <v>-2.4205099422412179E-2</v>
      </c>
    </row>
    <row r="6741" spans="7:8">
      <c r="G6741">
        <v>6731</v>
      </c>
      <c r="H6741">
        <f t="shared" ca="1" si="113"/>
        <v>3.4403586057009793E-2</v>
      </c>
    </row>
    <row r="6742" spans="7:8">
      <c r="G6742">
        <v>6732</v>
      </c>
      <c r="H6742">
        <f t="shared" ca="1" si="113"/>
        <v>1.2035530001622035E-2</v>
      </c>
    </row>
    <row r="6743" spans="7:8">
      <c r="G6743">
        <v>6733</v>
      </c>
      <c r="H6743">
        <f t="shared" ca="1" si="113"/>
        <v>4.9994943158655006E-2</v>
      </c>
    </row>
    <row r="6744" spans="7:8">
      <c r="G6744">
        <v>6734</v>
      </c>
      <c r="H6744">
        <f t="shared" ca="1" si="113"/>
        <v>1.579401024588889E-2</v>
      </c>
    </row>
    <row r="6745" spans="7:8">
      <c r="G6745">
        <v>6735</v>
      </c>
      <c r="H6745">
        <f t="shared" ca="1" si="113"/>
        <v>-1.7004019343773206E-3</v>
      </c>
    </row>
    <row r="6746" spans="7:8">
      <c r="G6746">
        <v>6736</v>
      </c>
      <c r="H6746">
        <f t="shared" ca="1" si="113"/>
        <v>9.5262328057522938E-3</v>
      </c>
    </row>
    <row r="6747" spans="7:8">
      <c r="G6747">
        <v>6737</v>
      </c>
      <c r="H6747">
        <f t="shared" ca="1" si="113"/>
        <v>-6.3901778346248548E-3</v>
      </c>
    </row>
    <row r="6748" spans="7:8">
      <c r="G6748">
        <v>6738</v>
      </c>
      <c r="H6748">
        <f t="shared" ca="1" si="113"/>
        <v>-1.9039458689113071E-2</v>
      </c>
    </row>
    <row r="6749" spans="7:8">
      <c r="G6749">
        <v>6739</v>
      </c>
      <c r="H6749">
        <f t="shared" ca="1" si="113"/>
        <v>9.9132152419736507E-3</v>
      </c>
    </row>
    <row r="6750" spans="7:8">
      <c r="G6750">
        <v>6740</v>
      </c>
      <c r="H6750">
        <f t="shared" ca="1" si="113"/>
        <v>-1.570098799943949E-3</v>
      </c>
    </row>
    <row r="6751" spans="7:8">
      <c r="G6751">
        <v>6741</v>
      </c>
      <c r="H6751">
        <f t="shared" ca="1" si="113"/>
        <v>-7.5388896371796172E-3</v>
      </c>
    </row>
    <row r="6752" spans="7:8">
      <c r="G6752">
        <v>6742</v>
      </c>
      <c r="H6752">
        <f t="shared" ca="1" si="113"/>
        <v>2.7247645131897848E-2</v>
      </c>
    </row>
    <row r="6753" spans="7:8">
      <c r="G6753">
        <v>6743</v>
      </c>
      <c r="H6753">
        <f t="shared" ca="1" si="113"/>
        <v>-4.2701581674408601E-2</v>
      </c>
    </row>
    <row r="6754" spans="7:8">
      <c r="G6754">
        <v>6744</v>
      </c>
      <c r="H6754">
        <f t="shared" ca="1" si="113"/>
        <v>-4.2772685683982641E-3</v>
      </c>
    </row>
    <row r="6755" spans="7:8">
      <c r="G6755">
        <v>6745</v>
      </c>
      <c r="H6755">
        <f t="shared" ca="1" si="113"/>
        <v>4.5590776310340114E-3</v>
      </c>
    </row>
    <row r="6756" spans="7:8">
      <c r="G6756">
        <v>6746</v>
      </c>
      <c r="H6756">
        <f t="shared" ca="1" si="113"/>
        <v>-1.4999731818903388E-2</v>
      </c>
    </row>
    <row r="6757" spans="7:8">
      <c r="G6757">
        <v>6747</v>
      </c>
      <c r="H6757">
        <f t="shared" ca="1" si="113"/>
        <v>-2.5856354610504031E-2</v>
      </c>
    </row>
    <row r="6758" spans="7:8">
      <c r="G6758">
        <v>6748</v>
      </c>
      <c r="H6758">
        <f t="shared" ca="1" si="113"/>
        <v>2.6395987820311662E-2</v>
      </c>
    </row>
    <row r="6759" spans="7:8">
      <c r="G6759">
        <v>6749</v>
      </c>
      <c r="H6759">
        <f t="shared" ca="1" si="113"/>
        <v>-3.1199120819383207E-2</v>
      </c>
    </row>
    <row r="6760" spans="7:8">
      <c r="G6760">
        <v>6750</v>
      </c>
      <c r="H6760">
        <f t="shared" ca="1" si="113"/>
        <v>4.6284224149881974E-2</v>
      </c>
    </row>
    <row r="6761" spans="7:8">
      <c r="G6761">
        <v>6751</v>
      </c>
      <c r="H6761">
        <f t="shared" ca="1" si="113"/>
        <v>-2.386052873626008E-2</v>
      </c>
    </row>
    <row r="6762" spans="7:8">
      <c r="G6762">
        <v>6752</v>
      </c>
      <c r="H6762">
        <f t="shared" ca="1" si="113"/>
        <v>-3.0398326722134064E-2</v>
      </c>
    </row>
    <row r="6763" spans="7:8">
      <c r="G6763">
        <v>6753</v>
      </c>
      <c r="H6763">
        <f t="shared" ca="1" si="113"/>
        <v>3.1864050569230584E-2</v>
      </c>
    </row>
    <row r="6764" spans="7:8">
      <c r="G6764">
        <v>6754</v>
      </c>
      <c r="H6764">
        <f t="shared" ca="1" si="113"/>
        <v>1.8080518887586584E-2</v>
      </c>
    </row>
    <row r="6765" spans="7:8">
      <c r="G6765">
        <v>6755</v>
      </c>
      <c r="H6765">
        <f t="shared" ca="1" si="113"/>
        <v>1.1697085308251413E-2</v>
      </c>
    </row>
    <row r="6766" spans="7:8">
      <c r="G6766">
        <v>6756</v>
      </c>
      <c r="H6766">
        <f t="shared" ca="1" si="113"/>
        <v>1.588582806733476E-2</v>
      </c>
    </row>
    <row r="6767" spans="7:8">
      <c r="G6767">
        <v>6757</v>
      </c>
      <c r="H6767">
        <f t="shared" ca="1" si="113"/>
        <v>-1.5346482198736331E-2</v>
      </c>
    </row>
    <row r="6768" spans="7:8">
      <c r="G6768">
        <v>6758</v>
      </c>
      <c r="H6768">
        <f t="shared" ca="1" si="113"/>
        <v>9.6709354260104113E-3</v>
      </c>
    </row>
    <row r="6769" spans="7:8">
      <c r="G6769">
        <v>6759</v>
      </c>
      <c r="H6769">
        <f t="shared" ca="1" si="113"/>
        <v>-2.7137669850127923E-2</v>
      </c>
    </row>
    <row r="6770" spans="7:8">
      <c r="G6770">
        <v>6760</v>
      </c>
      <c r="H6770">
        <f t="shared" ca="1" si="113"/>
        <v>-6.3571720887685272E-4</v>
      </c>
    </row>
    <row r="6771" spans="7:8">
      <c r="G6771">
        <v>6761</v>
      </c>
      <c r="H6771">
        <f t="shared" ca="1" si="113"/>
        <v>4.5387234869946093E-3</v>
      </c>
    </row>
    <row r="6772" spans="7:8">
      <c r="G6772">
        <v>6762</v>
      </c>
      <c r="H6772">
        <f t="shared" ca="1" si="113"/>
        <v>-2.040368570731127E-2</v>
      </c>
    </row>
    <row r="6773" spans="7:8">
      <c r="G6773">
        <v>6763</v>
      </c>
      <c r="H6773">
        <f t="shared" ca="1" si="113"/>
        <v>1.7670075182369283E-2</v>
      </c>
    </row>
    <row r="6774" spans="7:8">
      <c r="G6774">
        <v>6764</v>
      </c>
      <c r="H6774">
        <f t="shared" ca="1" si="113"/>
        <v>2.2112929979951096E-2</v>
      </c>
    </row>
    <row r="6775" spans="7:8">
      <c r="G6775">
        <v>6765</v>
      </c>
      <c r="H6775">
        <f t="shared" ca="1" si="113"/>
        <v>3.6157604232601812E-3</v>
      </c>
    </row>
    <row r="6776" spans="7:8">
      <c r="G6776">
        <v>6766</v>
      </c>
      <c r="H6776">
        <f t="shared" ca="1" si="113"/>
        <v>-3.3636596066798703E-2</v>
      </c>
    </row>
    <row r="6777" spans="7:8">
      <c r="G6777">
        <v>6767</v>
      </c>
      <c r="H6777">
        <f t="shared" ca="1" si="113"/>
        <v>-2.6935164173406221E-2</v>
      </c>
    </row>
    <row r="6778" spans="7:8">
      <c r="G6778">
        <v>6768</v>
      </c>
      <c r="H6778">
        <f t="shared" ca="1" si="113"/>
        <v>-3.4468702130315373E-2</v>
      </c>
    </row>
    <row r="6779" spans="7:8">
      <c r="G6779">
        <v>6769</v>
      </c>
      <c r="H6779">
        <f t="shared" ca="1" si="113"/>
        <v>1.4213402884103309E-3</v>
      </c>
    </row>
    <row r="6780" spans="7:8">
      <c r="G6780">
        <v>6770</v>
      </c>
      <c r="H6780">
        <f t="shared" ca="1" si="113"/>
        <v>3.8917065866838289E-2</v>
      </c>
    </row>
    <row r="6781" spans="7:8">
      <c r="G6781">
        <v>6771</v>
      </c>
      <c r="H6781">
        <f t="shared" ca="1" si="113"/>
        <v>3.0650876977980003E-2</v>
      </c>
    </row>
    <row r="6782" spans="7:8">
      <c r="G6782">
        <v>6772</v>
      </c>
      <c r="H6782">
        <f t="shared" ca="1" si="113"/>
        <v>7.5396236608496143E-3</v>
      </c>
    </row>
    <row r="6783" spans="7:8">
      <c r="G6783">
        <v>6773</v>
      </c>
      <c r="H6783">
        <f t="shared" ca="1" si="113"/>
        <v>-5.9614943248555057E-3</v>
      </c>
    </row>
    <row r="6784" spans="7:8">
      <c r="G6784">
        <v>6774</v>
      </c>
      <c r="H6784">
        <f t="shared" ca="1" si="113"/>
        <v>-1.4458647596445844E-2</v>
      </c>
    </row>
    <row r="6785" spans="7:8">
      <c r="G6785">
        <v>6775</v>
      </c>
      <c r="H6785">
        <f t="shared" ca="1" si="113"/>
        <v>2.4092288195384188E-2</v>
      </c>
    </row>
    <row r="6786" spans="7:8">
      <c r="G6786">
        <v>6776</v>
      </c>
      <c r="H6786">
        <f t="shared" ca="1" si="113"/>
        <v>3.8022020201480079E-2</v>
      </c>
    </row>
    <row r="6787" spans="7:8">
      <c r="G6787">
        <v>6777</v>
      </c>
      <c r="H6787">
        <f t="shared" ca="1" si="113"/>
        <v>-3.3929280430477674E-2</v>
      </c>
    </row>
    <row r="6788" spans="7:8">
      <c r="G6788">
        <v>6778</v>
      </c>
      <c r="H6788">
        <f t="shared" ca="1" si="113"/>
        <v>2.2113343305228149E-2</v>
      </c>
    </row>
    <row r="6789" spans="7:8">
      <c r="G6789">
        <v>6779</v>
      </c>
      <c r="H6789">
        <f t="shared" ca="1" si="113"/>
        <v>-2.8403992438905571E-2</v>
      </c>
    </row>
    <row r="6790" spans="7:8">
      <c r="G6790">
        <v>6780</v>
      </c>
      <c r="H6790">
        <f t="shared" ca="1" si="113"/>
        <v>-3.2257708901514137E-2</v>
      </c>
    </row>
    <row r="6791" spans="7:8">
      <c r="G6791">
        <v>6781</v>
      </c>
      <c r="H6791">
        <f t="shared" ca="1" si="113"/>
        <v>9.5099731923484546E-3</v>
      </c>
    </row>
    <row r="6792" spans="7:8">
      <c r="G6792">
        <v>6782</v>
      </c>
      <c r="H6792">
        <f t="shared" ca="1" si="113"/>
        <v>-3.9901022091817187E-2</v>
      </c>
    </row>
    <row r="6793" spans="7:8">
      <c r="G6793">
        <v>6783</v>
      </c>
      <c r="H6793">
        <f t="shared" ca="1" si="113"/>
        <v>1.586677465883676E-2</v>
      </c>
    </row>
    <row r="6794" spans="7:8">
      <c r="G6794">
        <v>6784</v>
      </c>
      <c r="H6794">
        <f t="shared" ca="1" si="113"/>
        <v>2.8998592318920057E-2</v>
      </c>
    </row>
    <row r="6795" spans="7:8">
      <c r="G6795">
        <v>6785</v>
      </c>
      <c r="H6795">
        <f t="shared" ca="1" si="113"/>
        <v>1.5620742206755981E-3</v>
      </c>
    </row>
    <row r="6796" spans="7:8">
      <c r="G6796">
        <v>6786</v>
      </c>
      <c r="H6796">
        <f t="shared" ref="H6796:H6859" ca="1" si="114">_xlfn.NORM.INV(RAND(),N$13,N$14)</f>
        <v>-2.998313495659112E-2</v>
      </c>
    </row>
    <row r="6797" spans="7:8">
      <c r="G6797">
        <v>6787</v>
      </c>
      <c r="H6797">
        <f t="shared" ca="1" si="114"/>
        <v>1.7025158447700049E-2</v>
      </c>
    </row>
    <row r="6798" spans="7:8">
      <c r="G6798">
        <v>6788</v>
      </c>
      <c r="H6798">
        <f t="shared" ca="1" si="114"/>
        <v>6.8849628952670598E-3</v>
      </c>
    </row>
    <row r="6799" spans="7:8">
      <c r="G6799">
        <v>6789</v>
      </c>
      <c r="H6799">
        <f t="shared" ca="1" si="114"/>
        <v>-5.8531364239121373E-3</v>
      </c>
    </row>
    <row r="6800" spans="7:8">
      <c r="G6800">
        <v>6790</v>
      </c>
      <c r="H6800">
        <f t="shared" ca="1" si="114"/>
        <v>3.3825798166773988E-2</v>
      </c>
    </row>
    <row r="6801" spans="7:8">
      <c r="G6801">
        <v>6791</v>
      </c>
      <c r="H6801">
        <f t="shared" ca="1" si="114"/>
        <v>1.8117194868795983E-2</v>
      </c>
    </row>
    <row r="6802" spans="7:8">
      <c r="G6802">
        <v>6792</v>
      </c>
      <c r="H6802">
        <f t="shared" ca="1" si="114"/>
        <v>-2.9520103179751641E-3</v>
      </c>
    </row>
    <row r="6803" spans="7:8">
      <c r="G6803">
        <v>6793</v>
      </c>
      <c r="H6803">
        <f t="shared" ca="1" si="114"/>
        <v>-1.0160131481580357E-2</v>
      </c>
    </row>
    <row r="6804" spans="7:8">
      <c r="G6804">
        <v>6794</v>
      </c>
      <c r="H6804">
        <f t="shared" ca="1" si="114"/>
        <v>3.9687846591180348E-3</v>
      </c>
    </row>
    <row r="6805" spans="7:8">
      <c r="G6805">
        <v>6795</v>
      </c>
      <c r="H6805">
        <f t="shared" ca="1" si="114"/>
        <v>-2.484767883039635E-2</v>
      </c>
    </row>
    <row r="6806" spans="7:8">
      <c r="G6806">
        <v>6796</v>
      </c>
      <c r="H6806">
        <f t="shared" ca="1" si="114"/>
        <v>-1.5756265522161094E-2</v>
      </c>
    </row>
    <row r="6807" spans="7:8">
      <c r="G6807">
        <v>6797</v>
      </c>
      <c r="H6807">
        <f t="shared" ca="1" si="114"/>
        <v>-2.882874636497381E-2</v>
      </c>
    </row>
    <row r="6808" spans="7:8">
      <c r="G6808">
        <v>6798</v>
      </c>
      <c r="H6808">
        <f t="shared" ca="1" si="114"/>
        <v>2.0207371942967758E-2</v>
      </c>
    </row>
    <row r="6809" spans="7:8">
      <c r="G6809">
        <v>6799</v>
      </c>
      <c r="H6809">
        <f t="shared" ca="1" si="114"/>
        <v>4.7736763023823025E-3</v>
      </c>
    </row>
    <row r="6810" spans="7:8">
      <c r="G6810">
        <v>6800</v>
      </c>
      <c r="H6810">
        <f t="shared" ca="1" si="114"/>
        <v>-8.6832279417181479E-3</v>
      </c>
    </row>
    <row r="6811" spans="7:8">
      <c r="G6811">
        <v>6801</v>
      </c>
      <c r="H6811">
        <f t="shared" ca="1" si="114"/>
        <v>1.07092747546426E-2</v>
      </c>
    </row>
    <row r="6812" spans="7:8">
      <c r="G6812">
        <v>6802</v>
      </c>
      <c r="H6812">
        <f t="shared" ca="1" si="114"/>
        <v>1.0826865114197818E-2</v>
      </c>
    </row>
    <row r="6813" spans="7:8">
      <c r="G6813">
        <v>6803</v>
      </c>
      <c r="H6813">
        <f t="shared" ca="1" si="114"/>
        <v>-5.0780152023469005E-3</v>
      </c>
    </row>
    <row r="6814" spans="7:8">
      <c r="G6814">
        <v>6804</v>
      </c>
      <c r="H6814">
        <f t="shared" ca="1" si="114"/>
        <v>-1.1849195517302515E-2</v>
      </c>
    </row>
    <row r="6815" spans="7:8">
      <c r="G6815">
        <v>6805</v>
      </c>
      <c r="H6815">
        <f t="shared" ca="1" si="114"/>
        <v>-4.5023271524705838E-2</v>
      </c>
    </row>
    <row r="6816" spans="7:8">
      <c r="G6816">
        <v>6806</v>
      </c>
      <c r="H6816">
        <f t="shared" ca="1" si="114"/>
        <v>2.8930133864413746E-2</v>
      </c>
    </row>
    <row r="6817" spans="7:8">
      <c r="G6817">
        <v>6807</v>
      </c>
      <c r="H6817">
        <f t="shared" ca="1" si="114"/>
        <v>-3.1134453670389386E-2</v>
      </c>
    </row>
    <row r="6818" spans="7:8">
      <c r="G6818">
        <v>6808</v>
      </c>
      <c r="H6818">
        <f t="shared" ca="1" si="114"/>
        <v>-2.6994753309664266E-2</v>
      </c>
    </row>
    <row r="6819" spans="7:8">
      <c r="G6819">
        <v>6809</v>
      </c>
      <c r="H6819">
        <f t="shared" ca="1" si="114"/>
        <v>-1.8832601654977996E-2</v>
      </c>
    </row>
    <row r="6820" spans="7:8">
      <c r="G6820">
        <v>6810</v>
      </c>
      <c r="H6820">
        <f t="shared" ca="1" si="114"/>
        <v>3.3007212042413088E-2</v>
      </c>
    </row>
    <row r="6821" spans="7:8">
      <c r="G6821">
        <v>6811</v>
      </c>
      <c r="H6821">
        <f t="shared" ca="1" si="114"/>
        <v>-7.4783494555320058E-3</v>
      </c>
    </row>
    <row r="6822" spans="7:8">
      <c r="G6822">
        <v>6812</v>
      </c>
      <c r="H6822">
        <f t="shared" ca="1" si="114"/>
        <v>-2.2247925962712248E-2</v>
      </c>
    </row>
    <row r="6823" spans="7:8">
      <c r="G6823">
        <v>6813</v>
      </c>
      <c r="H6823">
        <f t="shared" ca="1" si="114"/>
        <v>6.0518615230960296E-3</v>
      </c>
    </row>
    <row r="6824" spans="7:8">
      <c r="G6824">
        <v>6814</v>
      </c>
      <c r="H6824">
        <f t="shared" ca="1" si="114"/>
        <v>5.7139295015913938E-3</v>
      </c>
    </row>
    <row r="6825" spans="7:8">
      <c r="G6825">
        <v>6815</v>
      </c>
      <c r="H6825">
        <f t="shared" ca="1" si="114"/>
        <v>1.9647766173143809E-2</v>
      </c>
    </row>
    <row r="6826" spans="7:8">
      <c r="G6826">
        <v>6816</v>
      </c>
      <c r="H6826">
        <f t="shared" ca="1" si="114"/>
        <v>3.679698384118596E-2</v>
      </c>
    </row>
    <row r="6827" spans="7:8">
      <c r="G6827">
        <v>6817</v>
      </c>
      <c r="H6827">
        <f t="shared" ca="1" si="114"/>
        <v>2.9961878618902364E-2</v>
      </c>
    </row>
    <row r="6828" spans="7:8">
      <c r="G6828">
        <v>6818</v>
      </c>
      <c r="H6828">
        <f t="shared" ca="1" si="114"/>
        <v>-5.5925288574611492E-3</v>
      </c>
    </row>
    <row r="6829" spans="7:8">
      <c r="G6829">
        <v>6819</v>
      </c>
      <c r="H6829">
        <f t="shared" ca="1" si="114"/>
        <v>1.6066921444190183E-2</v>
      </c>
    </row>
    <row r="6830" spans="7:8">
      <c r="G6830">
        <v>6820</v>
      </c>
      <c r="H6830">
        <f t="shared" ca="1" si="114"/>
        <v>-2.0867287600354011E-2</v>
      </c>
    </row>
    <row r="6831" spans="7:8">
      <c r="G6831">
        <v>6821</v>
      </c>
      <c r="H6831">
        <f t="shared" ca="1" si="114"/>
        <v>3.0292261828179456E-3</v>
      </c>
    </row>
    <row r="6832" spans="7:8">
      <c r="G6832">
        <v>6822</v>
      </c>
      <c r="H6832">
        <f t="shared" ca="1" si="114"/>
        <v>-2.2458060539643287E-2</v>
      </c>
    </row>
    <row r="6833" spans="7:8">
      <c r="G6833">
        <v>6823</v>
      </c>
      <c r="H6833">
        <f t="shared" ca="1" si="114"/>
        <v>-1.7499531142695542E-2</v>
      </c>
    </row>
    <row r="6834" spans="7:8">
      <c r="G6834">
        <v>6824</v>
      </c>
      <c r="H6834">
        <f t="shared" ca="1" si="114"/>
        <v>3.3998307124137326E-3</v>
      </c>
    </row>
    <row r="6835" spans="7:8">
      <c r="G6835">
        <v>6825</v>
      </c>
      <c r="H6835">
        <f t="shared" ca="1" si="114"/>
        <v>1.5505983131789809E-2</v>
      </c>
    </row>
    <row r="6836" spans="7:8">
      <c r="G6836">
        <v>6826</v>
      </c>
      <c r="H6836">
        <f t="shared" ca="1" si="114"/>
        <v>-1.0247378871465658E-2</v>
      </c>
    </row>
    <row r="6837" spans="7:8">
      <c r="G6837">
        <v>6827</v>
      </c>
      <c r="H6837">
        <f t="shared" ca="1" si="114"/>
        <v>-2.1357066710794712E-2</v>
      </c>
    </row>
    <row r="6838" spans="7:8">
      <c r="G6838">
        <v>6828</v>
      </c>
      <c r="H6838">
        <f t="shared" ca="1" si="114"/>
        <v>5.038891800307653E-2</v>
      </c>
    </row>
    <row r="6839" spans="7:8">
      <c r="G6839">
        <v>6829</v>
      </c>
      <c r="H6839">
        <f t="shared" ca="1" si="114"/>
        <v>2.3637096978936598E-2</v>
      </c>
    </row>
    <row r="6840" spans="7:8">
      <c r="G6840">
        <v>6830</v>
      </c>
      <c r="H6840">
        <f t="shared" ca="1" si="114"/>
        <v>-3.8081503277963842E-2</v>
      </c>
    </row>
    <row r="6841" spans="7:8">
      <c r="G6841">
        <v>6831</v>
      </c>
      <c r="H6841">
        <f t="shared" ca="1" si="114"/>
        <v>-2.5147533757042195E-5</v>
      </c>
    </row>
    <row r="6842" spans="7:8">
      <c r="G6842">
        <v>6832</v>
      </c>
      <c r="H6842">
        <f t="shared" ca="1" si="114"/>
        <v>1.43712739858625E-2</v>
      </c>
    </row>
    <row r="6843" spans="7:8">
      <c r="G6843">
        <v>6833</v>
      </c>
      <c r="H6843">
        <f t="shared" ca="1" si="114"/>
        <v>9.0963974398260486E-5</v>
      </c>
    </row>
    <row r="6844" spans="7:8">
      <c r="G6844">
        <v>6834</v>
      </c>
      <c r="H6844">
        <f t="shared" ca="1" si="114"/>
        <v>5.8887500102868799E-2</v>
      </c>
    </row>
    <row r="6845" spans="7:8">
      <c r="G6845">
        <v>6835</v>
      </c>
      <c r="H6845">
        <f t="shared" ca="1" si="114"/>
        <v>9.3906481417527689E-3</v>
      </c>
    </row>
    <row r="6846" spans="7:8">
      <c r="G6846">
        <v>6836</v>
      </c>
      <c r="H6846">
        <f t="shared" ca="1" si="114"/>
        <v>-3.238391928049332E-2</v>
      </c>
    </row>
    <row r="6847" spans="7:8">
      <c r="G6847">
        <v>6837</v>
      </c>
      <c r="H6847">
        <f t="shared" ca="1" si="114"/>
        <v>2.9337674085907805E-3</v>
      </c>
    </row>
    <row r="6848" spans="7:8">
      <c r="G6848">
        <v>6838</v>
      </c>
      <c r="H6848">
        <f t="shared" ca="1" si="114"/>
        <v>-2.4574031192461349E-2</v>
      </c>
    </row>
    <row r="6849" spans="7:8">
      <c r="G6849">
        <v>6839</v>
      </c>
      <c r="H6849">
        <f t="shared" ca="1" si="114"/>
        <v>1.3575125160720685E-2</v>
      </c>
    </row>
    <row r="6850" spans="7:8">
      <c r="G6850">
        <v>6840</v>
      </c>
      <c r="H6850">
        <f t="shared" ca="1" si="114"/>
        <v>3.3967883420507133E-2</v>
      </c>
    </row>
    <row r="6851" spans="7:8">
      <c r="G6851">
        <v>6841</v>
      </c>
      <c r="H6851">
        <f t="shared" ca="1" si="114"/>
        <v>1.4522259961903377E-2</v>
      </c>
    </row>
    <row r="6852" spans="7:8">
      <c r="G6852">
        <v>6842</v>
      </c>
      <c r="H6852">
        <f t="shared" ca="1" si="114"/>
        <v>1.1245598992916449E-2</v>
      </c>
    </row>
    <row r="6853" spans="7:8">
      <c r="G6853">
        <v>6843</v>
      </c>
      <c r="H6853">
        <f t="shared" ca="1" si="114"/>
        <v>-4.8237056431544884E-2</v>
      </c>
    </row>
    <row r="6854" spans="7:8">
      <c r="G6854">
        <v>6844</v>
      </c>
      <c r="H6854">
        <f t="shared" ca="1" si="114"/>
        <v>-4.6838602141787708E-3</v>
      </c>
    </row>
    <row r="6855" spans="7:8">
      <c r="G6855">
        <v>6845</v>
      </c>
      <c r="H6855">
        <f t="shared" ca="1" si="114"/>
        <v>2.2511843932250156E-2</v>
      </c>
    </row>
    <row r="6856" spans="7:8">
      <c r="G6856">
        <v>6846</v>
      </c>
      <c r="H6856">
        <f t="shared" ca="1" si="114"/>
        <v>2.2697042209370216E-2</v>
      </c>
    </row>
    <row r="6857" spans="7:8">
      <c r="G6857">
        <v>6847</v>
      </c>
      <c r="H6857">
        <f t="shared" ca="1" si="114"/>
        <v>-5.8816899709859104E-3</v>
      </c>
    </row>
    <row r="6858" spans="7:8">
      <c r="G6858">
        <v>6848</v>
      </c>
      <c r="H6858">
        <f t="shared" ca="1" si="114"/>
        <v>3.1422883820164463E-3</v>
      </c>
    </row>
    <row r="6859" spans="7:8">
      <c r="G6859">
        <v>6849</v>
      </c>
      <c r="H6859">
        <f t="shared" ca="1" si="114"/>
        <v>-2.8680401230934984E-2</v>
      </c>
    </row>
    <row r="6860" spans="7:8">
      <c r="G6860">
        <v>6850</v>
      </c>
      <c r="H6860">
        <f t="shared" ref="H6860:H6923" ca="1" si="115">_xlfn.NORM.INV(RAND(),N$13,N$14)</f>
        <v>5.1281385327263125E-2</v>
      </c>
    </row>
    <row r="6861" spans="7:8">
      <c r="G6861">
        <v>6851</v>
      </c>
      <c r="H6861">
        <f t="shared" ca="1" si="115"/>
        <v>3.8252759076215226E-3</v>
      </c>
    </row>
    <row r="6862" spans="7:8">
      <c r="G6862">
        <v>6852</v>
      </c>
      <c r="H6862">
        <f t="shared" ca="1" si="115"/>
        <v>-2.3764045150184938E-2</v>
      </c>
    </row>
    <row r="6863" spans="7:8">
      <c r="G6863">
        <v>6853</v>
      </c>
      <c r="H6863">
        <f t="shared" ca="1" si="115"/>
        <v>1.7151051854897875E-2</v>
      </c>
    </row>
    <row r="6864" spans="7:8">
      <c r="G6864">
        <v>6854</v>
      </c>
      <c r="H6864">
        <f t="shared" ca="1" si="115"/>
        <v>3.0087240775103232E-3</v>
      </c>
    </row>
    <row r="6865" spans="7:8">
      <c r="G6865">
        <v>6855</v>
      </c>
      <c r="H6865">
        <f t="shared" ca="1" si="115"/>
        <v>-2.2246255800768611E-2</v>
      </c>
    </row>
    <row r="6866" spans="7:8">
      <c r="G6866">
        <v>6856</v>
      </c>
      <c r="H6866">
        <f t="shared" ca="1" si="115"/>
        <v>6.6721565441447755E-3</v>
      </c>
    </row>
    <row r="6867" spans="7:8">
      <c r="G6867">
        <v>6857</v>
      </c>
      <c r="H6867">
        <f t="shared" ca="1" si="115"/>
        <v>-7.7440782689814714E-3</v>
      </c>
    </row>
    <row r="6868" spans="7:8">
      <c r="G6868">
        <v>6858</v>
      </c>
      <c r="H6868">
        <f t="shared" ca="1" si="115"/>
        <v>2.6536845393090428E-2</v>
      </c>
    </row>
    <row r="6869" spans="7:8">
      <c r="G6869">
        <v>6859</v>
      </c>
      <c r="H6869">
        <f t="shared" ca="1" si="115"/>
        <v>2.7892642915040983E-2</v>
      </c>
    </row>
    <row r="6870" spans="7:8">
      <c r="G6870">
        <v>6860</v>
      </c>
      <c r="H6870">
        <f t="shared" ca="1" si="115"/>
        <v>-3.6284004361969821E-3</v>
      </c>
    </row>
    <row r="6871" spans="7:8">
      <c r="G6871">
        <v>6861</v>
      </c>
      <c r="H6871">
        <f t="shared" ca="1" si="115"/>
        <v>3.5521092429688726E-2</v>
      </c>
    </row>
    <row r="6872" spans="7:8">
      <c r="G6872">
        <v>6862</v>
      </c>
      <c r="H6872">
        <f t="shared" ca="1" si="115"/>
        <v>-2.3181224764156762E-2</v>
      </c>
    </row>
    <row r="6873" spans="7:8">
      <c r="G6873">
        <v>6863</v>
      </c>
      <c r="H6873">
        <f t="shared" ca="1" si="115"/>
        <v>-2.9848323929207807E-2</v>
      </c>
    </row>
    <row r="6874" spans="7:8">
      <c r="G6874">
        <v>6864</v>
      </c>
      <c r="H6874">
        <f t="shared" ca="1" si="115"/>
        <v>2.5670887451934368E-3</v>
      </c>
    </row>
    <row r="6875" spans="7:8">
      <c r="G6875">
        <v>6865</v>
      </c>
      <c r="H6875">
        <f t="shared" ca="1" si="115"/>
        <v>-3.8080366374770899E-2</v>
      </c>
    </row>
    <row r="6876" spans="7:8">
      <c r="G6876">
        <v>6866</v>
      </c>
      <c r="H6876">
        <f t="shared" ca="1" si="115"/>
        <v>4.4099436183631581E-2</v>
      </c>
    </row>
    <row r="6877" spans="7:8">
      <c r="G6877">
        <v>6867</v>
      </c>
      <c r="H6877">
        <f t="shared" ca="1" si="115"/>
        <v>3.1971154826792178E-2</v>
      </c>
    </row>
    <row r="6878" spans="7:8">
      <c r="G6878">
        <v>6868</v>
      </c>
      <c r="H6878">
        <f t="shared" ca="1" si="115"/>
        <v>-2.324686451179234E-2</v>
      </c>
    </row>
    <row r="6879" spans="7:8">
      <c r="G6879">
        <v>6869</v>
      </c>
      <c r="H6879">
        <f t="shared" ca="1" si="115"/>
        <v>-3.655912622012765E-2</v>
      </c>
    </row>
    <row r="6880" spans="7:8">
      <c r="G6880">
        <v>6870</v>
      </c>
      <c r="H6880">
        <f t="shared" ca="1" si="115"/>
        <v>-2.6388488045159052E-2</v>
      </c>
    </row>
    <row r="6881" spans="7:8">
      <c r="G6881">
        <v>6871</v>
      </c>
      <c r="H6881">
        <f t="shared" ca="1" si="115"/>
        <v>1.2813261614114268E-2</v>
      </c>
    </row>
    <row r="6882" spans="7:8">
      <c r="G6882">
        <v>6872</v>
      </c>
      <c r="H6882">
        <f t="shared" ca="1" si="115"/>
        <v>1.5606878925575905E-2</v>
      </c>
    </row>
    <row r="6883" spans="7:8">
      <c r="G6883">
        <v>6873</v>
      </c>
      <c r="H6883">
        <f t="shared" ca="1" si="115"/>
        <v>-3.4196984512655593E-3</v>
      </c>
    </row>
    <row r="6884" spans="7:8">
      <c r="G6884">
        <v>6874</v>
      </c>
      <c r="H6884">
        <f t="shared" ca="1" si="115"/>
        <v>1.2878795685518512E-2</v>
      </c>
    </row>
    <row r="6885" spans="7:8">
      <c r="G6885">
        <v>6875</v>
      </c>
      <c r="H6885">
        <f t="shared" ca="1" si="115"/>
        <v>-9.6014692243469573E-3</v>
      </c>
    </row>
    <row r="6886" spans="7:8">
      <c r="G6886">
        <v>6876</v>
      </c>
      <c r="H6886">
        <f t="shared" ca="1" si="115"/>
        <v>1.2594442546724034E-3</v>
      </c>
    </row>
    <row r="6887" spans="7:8">
      <c r="G6887">
        <v>6877</v>
      </c>
      <c r="H6887">
        <f t="shared" ca="1" si="115"/>
        <v>-6.6949797032745902E-4</v>
      </c>
    </row>
    <row r="6888" spans="7:8">
      <c r="G6888">
        <v>6878</v>
      </c>
      <c r="H6888">
        <f t="shared" ca="1" si="115"/>
        <v>1.1404669543308916E-2</v>
      </c>
    </row>
    <row r="6889" spans="7:8">
      <c r="G6889">
        <v>6879</v>
      </c>
      <c r="H6889">
        <f t="shared" ca="1" si="115"/>
        <v>-2.3546855694710524E-2</v>
      </c>
    </row>
    <row r="6890" spans="7:8">
      <c r="G6890">
        <v>6880</v>
      </c>
      <c r="H6890">
        <f t="shared" ca="1" si="115"/>
        <v>2.9162731258444118E-2</v>
      </c>
    </row>
    <row r="6891" spans="7:8">
      <c r="G6891">
        <v>6881</v>
      </c>
      <c r="H6891">
        <f t="shared" ca="1" si="115"/>
        <v>-7.855329274749372E-3</v>
      </c>
    </row>
    <row r="6892" spans="7:8">
      <c r="G6892">
        <v>6882</v>
      </c>
      <c r="H6892">
        <f t="shared" ca="1" si="115"/>
        <v>-2.7543467611588642E-3</v>
      </c>
    </row>
    <row r="6893" spans="7:8">
      <c r="G6893">
        <v>6883</v>
      </c>
      <c r="H6893">
        <f t="shared" ca="1" si="115"/>
        <v>6.5567647759007863E-2</v>
      </c>
    </row>
    <row r="6894" spans="7:8">
      <c r="G6894">
        <v>6884</v>
      </c>
      <c r="H6894">
        <f t="shared" ca="1" si="115"/>
        <v>-1.9834236036554886E-2</v>
      </c>
    </row>
    <row r="6895" spans="7:8">
      <c r="G6895">
        <v>6885</v>
      </c>
      <c r="H6895">
        <f t="shared" ca="1" si="115"/>
        <v>9.3063111912780327E-3</v>
      </c>
    </row>
    <row r="6896" spans="7:8">
      <c r="G6896">
        <v>6886</v>
      </c>
      <c r="H6896">
        <f t="shared" ca="1" si="115"/>
        <v>2.9037392908298931E-2</v>
      </c>
    </row>
    <row r="6897" spans="7:8">
      <c r="G6897">
        <v>6887</v>
      </c>
      <c r="H6897">
        <f t="shared" ca="1" si="115"/>
        <v>-1.2067779911611691E-2</v>
      </c>
    </row>
    <row r="6898" spans="7:8">
      <c r="G6898">
        <v>6888</v>
      </c>
      <c r="H6898">
        <f t="shared" ca="1" si="115"/>
        <v>-2.2021042789440305E-3</v>
      </c>
    </row>
    <row r="6899" spans="7:8">
      <c r="G6899">
        <v>6889</v>
      </c>
      <c r="H6899">
        <f t="shared" ca="1" si="115"/>
        <v>5.8325274726834971E-2</v>
      </c>
    </row>
    <row r="6900" spans="7:8">
      <c r="G6900">
        <v>6890</v>
      </c>
      <c r="H6900">
        <f t="shared" ca="1" si="115"/>
        <v>5.1028380246055098E-2</v>
      </c>
    </row>
    <row r="6901" spans="7:8">
      <c r="G6901">
        <v>6891</v>
      </c>
      <c r="H6901">
        <f t="shared" ca="1" si="115"/>
        <v>1.3913676397175325E-2</v>
      </c>
    </row>
    <row r="6902" spans="7:8">
      <c r="G6902">
        <v>6892</v>
      </c>
      <c r="H6902">
        <f t="shared" ca="1" si="115"/>
        <v>2.363784155640359E-2</v>
      </c>
    </row>
    <row r="6903" spans="7:8">
      <c r="G6903">
        <v>6893</v>
      </c>
      <c r="H6903">
        <f t="shared" ca="1" si="115"/>
        <v>-2.0735529554675468E-2</v>
      </c>
    </row>
    <row r="6904" spans="7:8">
      <c r="G6904">
        <v>6894</v>
      </c>
      <c r="H6904">
        <f t="shared" ca="1" si="115"/>
        <v>-1.6402285973354361E-2</v>
      </c>
    </row>
    <row r="6905" spans="7:8">
      <c r="G6905">
        <v>6895</v>
      </c>
      <c r="H6905">
        <f t="shared" ca="1" si="115"/>
        <v>1.1608690369372069E-2</v>
      </c>
    </row>
    <row r="6906" spans="7:8">
      <c r="G6906">
        <v>6896</v>
      </c>
      <c r="H6906">
        <f t="shared" ca="1" si="115"/>
        <v>1.5013446851680576E-2</v>
      </c>
    </row>
    <row r="6907" spans="7:8">
      <c r="G6907">
        <v>6897</v>
      </c>
      <c r="H6907">
        <f t="shared" ca="1" si="115"/>
        <v>2.7175408364336531E-2</v>
      </c>
    </row>
    <row r="6908" spans="7:8">
      <c r="G6908">
        <v>6898</v>
      </c>
      <c r="H6908">
        <f t="shared" ca="1" si="115"/>
        <v>9.8136080914695209E-3</v>
      </c>
    </row>
    <row r="6909" spans="7:8">
      <c r="G6909">
        <v>6899</v>
      </c>
      <c r="H6909">
        <f t="shared" ca="1" si="115"/>
        <v>-2.923797073307377E-2</v>
      </c>
    </row>
    <row r="6910" spans="7:8">
      <c r="G6910">
        <v>6900</v>
      </c>
      <c r="H6910">
        <f t="shared" ca="1" si="115"/>
        <v>6.5727663970022842E-3</v>
      </c>
    </row>
    <row r="6911" spans="7:8">
      <c r="G6911">
        <v>6901</v>
      </c>
      <c r="H6911">
        <f t="shared" ca="1" si="115"/>
        <v>1.8038325600803498E-2</v>
      </c>
    </row>
    <row r="6912" spans="7:8">
      <c r="G6912">
        <v>6902</v>
      </c>
      <c r="H6912">
        <f t="shared" ca="1" si="115"/>
        <v>-1.5874140836358842E-2</v>
      </c>
    </row>
    <row r="6913" spans="7:8">
      <c r="G6913">
        <v>6903</v>
      </c>
      <c r="H6913">
        <f t="shared" ca="1" si="115"/>
        <v>-1.6458942548186625E-2</v>
      </c>
    </row>
    <row r="6914" spans="7:8">
      <c r="G6914">
        <v>6904</v>
      </c>
      <c r="H6914">
        <f t="shared" ca="1" si="115"/>
        <v>1.9769331204086679E-2</v>
      </c>
    </row>
    <row r="6915" spans="7:8">
      <c r="G6915">
        <v>6905</v>
      </c>
      <c r="H6915">
        <f t="shared" ca="1" si="115"/>
        <v>-1.719608495865204E-3</v>
      </c>
    </row>
    <row r="6916" spans="7:8">
      <c r="G6916">
        <v>6906</v>
      </c>
      <c r="H6916">
        <f t="shared" ca="1" si="115"/>
        <v>9.6661727405221668E-3</v>
      </c>
    </row>
    <row r="6917" spans="7:8">
      <c r="G6917">
        <v>6907</v>
      </c>
      <c r="H6917">
        <f t="shared" ca="1" si="115"/>
        <v>-1.2130607673073513E-3</v>
      </c>
    </row>
    <row r="6918" spans="7:8">
      <c r="G6918">
        <v>6908</v>
      </c>
      <c r="H6918">
        <f t="shared" ca="1" si="115"/>
        <v>9.0902382466551013E-3</v>
      </c>
    </row>
    <row r="6919" spans="7:8">
      <c r="G6919">
        <v>6909</v>
      </c>
      <c r="H6919">
        <f t="shared" ca="1" si="115"/>
        <v>8.0258554108376227E-3</v>
      </c>
    </row>
    <row r="6920" spans="7:8">
      <c r="G6920">
        <v>6910</v>
      </c>
      <c r="H6920">
        <f t="shared" ca="1" si="115"/>
        <v>-2.4975156136919897E-2</v>
      </c>
    </row>
    <row r="6921" spans="7:8">
      <c r="G6921">
        <v>6911</v>
      </c>
      <c r="H6921">
        <f t="shared" ca="1" si="115"/>
        <v>1.6621254675101678E-2</v>
      </c>
    </row>
    <row r="6922" spans="7:8">
      <c r="G6922">
        <v>6912</v>
      </c>
      <c r="H6922">
        <f t="shared" ca="1" si="115"/>
        <v>-2.5211573858543467E-3</v>
      </c>
    </row>
    <row r="6923" spans="7:8">
      <c r="G6923">
        <v>6913</v>
      </c>
      <c r="H6923">
        <f t="shared" ca="1" si="115"/>
        <v>-2.5613677177255271E-2</v>
      </c>
    </row>
    <row r="6924" spans="7:8">
      <c r="G6924">
        <v>6914</v>
      </c>
      <c r="H6924">
        <f t="shared" ref="H6924:H6987" ca="1" si="116">_xlfn.NORM.INV(RAND(),N$13,N$14)</f>
        <v>2.3174389665932577E-2</v>
      </c>
    </row>
    <row r="6925" spans="7:8">
      <c r="G6925">
        <v>6915</v>
      </c>
      <c r="H6925">
        <f t="shared" ca="1" si="116"/>
        <v>2.392166595714415E-2</v>
      </c>
    </row>
    <row r="6926" spans="7:8">
      <c r="G6926">
        <v>6916</v>
      </c>
      <c r="H6926">
        <f t="shared" ca="1" si="116"/>
        <v>-7.2287960765194696E-3</v>
      </c>
    </row>
    <row r="6927" spans="7:8">
      <c r="G6927">
        <v>6917</v>
      </c>
      <c r="H6927">
        <f t="shared" ca="1" si="116"/>
        <v>-1.3570889638109412E-2</v>
      </c>
    </row>
    <row r="6928" spans="7:8">
      <c r="G6928">
        <v>6918</v>
      </c>
      <c r="H6928">
        <f t="shared" ca="1" si="116"/>
        <v>3.7184500167986288E-3</v>
      </c>
    </row>
    <row r="6929" spans="7:8">
      <c r="G6929">
        <v>6919</v>
      </c>
      <c r="H6929">
        <f t="shared" ca="1" si="116"/>
        <v>2.7421785682538325E-2</v>
      </c>
    </row>
    <row r="6930" spans="7:8">
      <c r="G6930">
        <v>6920</v>
      </c>
      <c r="H6930">
        <f t="shared" ca="1" si="116"/>
        <v>-1.6133306074383263E-2</v>
      </c>
    </row>
    <row r="6931" spans="7:8">
      <c r="G6931">
        <v>6921</v>
      </c>
      <c r="H6931">
        <f t="shared" ca="1" si="116"/>
        <v>1.9278984054955949E-2</v>
      </c>
    </row>
    <row r="6932" spans="7:8">
      <c r="G6932">
        <v>6922</v>
      </c>
      <c r="H6932">
        <f t="shared" ca="1" si="116"/>
        <v>4.2100484883680948E-2</v>
      </c>
    </row>
    <row r="6933" spans="7:8">
      <c r="G6933">
        <v>6923</v>
      </c>
      <c r="H6933">
        <f t="shared" ca="1" si="116"/>
        <v>-9.6596833204459377E-3</v>
      </c>
    </row>
    <row r="6934" spans="7:8">
      <c r="G6934">
        <v>6924</v>
      </c>
      <c r="H6934">
        <f t="shared" ca="1" si="116"/>
        <v>-9.2928348660407337E-3</v>
      </c>
    </row>
    <row r="6935" spans="7:8">
      <c r="G6935">
        <v>6925</v>
      </c>
      <c r="H6935">
        <f t="shared" ca="1" si="116"/>
        <v>1.3932100094819617E-2</v>
      </c>
    </row>
    <row r="6936" spans="7:8">
      <c r="G6936">
        <v>6926</v>
      </c>
      <c r="H6936">
        <f t="shared" ca="1" si="116"/>
        <v>2.1030401578884224E-3</v>
      </c>
    </row>
    <row r="6937" spans="7:8">
      <c r="G6937">
        <v>6927</v>
      </c>
      <c r="H6937">
        <f t="shared" ca="1" si="116"/>
        <v>1.0255839743884955E-3</v>
      </c>
    </row>
    <row r="6938" spans="7:8">
      <c r="G6938">
        <v>6928</v>
      </c>
      <c r="H6938">
        <f t="shared" ca="1" si="116"/>
        <v>-9.4276888267637738E-3</v>
      </c>
    </row>
    <row r="6939" spans="7:8">
      <c r="G6939">
        <v>6929</v>
      </c>
      <c r="H6939">
        <f t="shared" ca="1" si="116"/>
        <v>-5.4305018340467734E-3</v>
      </c>
    </row>
    <row r="6940" spans="7:8">
      <c r="G6940">
        <v>6930</v>
      </c>
      <c r="H6940">
        <f t="shared" ca="1" si="116"/>
        <v>-9.9876169906999313E-3</v>
      </c>
    </row>
    <row r="6941" spans="7:8">
      <c r="G6941">
        <v>6931</v>
      </c>
      <c r="H6941">
        <f t="shared" ca="1" si="116"/>
        <v>-8.7202621037308654E-3</v>
      </c>
    </row>
    <row r="6942" spans="7:8">
      <c r="G6942">
        <v>6932</v>
      </c>
      <c r="H6942">
        <f t="shared" ca="1" si="116"/>
        <v>-2.4768553160955883E-2</v>
      </c>
    </row>
    <row r="6943" spans="7:8">
      <c r="G6943">
        <v>6933</v>
      </c>
      <c r="H6943">
        <f t="shared" ca="1" si="116"/>
        <v>-2.7055577195787623E-2</v>
      </c>
    </row>
    <row r="6944" spans="7:8">
      <c r="G6944">
        <v>6934</v>
      </c>
      <c r="H6944">
        <f t="shared" ca="1" si="116"/>
        <v>-3.0395425234392596E-2</v>
      </c>
    </row>
    <row r="6945" spans="7:8">
      <c r="G6945">
        <v>6935</v>
      </c>
      <c r="H6945">
        <f t="shared" ca="1" si="116"/>
        <v>3.1086832803850131E-3</v>
      </c>
    </row>
    <row r="6946" spans="7:8">
      <c r="G6946">
        <v>6936</v>
      </c>
      <c r="H6946">
        <f t="shared" ca="1" si="116"/>
        <v>2.3202433008149052E-2</v>
      </c>
    </row>
    <row r="6947" spans="7:8">
      <c r="G6947">
        <v>6937</v>
      </c>
      <c r="H6947">
        <f t="shared" ca="1" si="116"/>
        <v>-1.0295052801560657E-3</v>
      </c>
    </row>
    <row r="6948" spans="7:8">
      <c r="G6948">
        <v>6938</v>
      </c>
      <c r="H6948">
        <f t="shared" ca="1" si="116"/>
        <v>-3.0089391432885438E-3</v>
      </c>
    </row>
    <row r="6949" spans="7:8">
      <c r="G6949">
        <v>6939</v>
      </c>
      <c r="H6949">
        <f t="shared" ca="1" si="116"/>
        <v>-5.8785737035327752E-3</v>
      </c>
    </row>
    <row r="6950" spans="7:8">
      <c r="G6950">
        <v>6940</v>
      </c>
      <c r="H6950">
        <f t="shared" ca="1" si="116"/>
        <v>6.1180100231826705E-2</v>
      </c>
    </row>
    <row r="6951" spans="7:8">
      <c r="G6951">
        <v>6941</v>
      </c>
      <c r="H6951">
        <f t="shared" ca="1" si="116"/>
        <v>-1.0118087241421483E-2</v>
      </c>
    </row>
    <row r="6952" spans="7:8">
      <c r="G6952">
        <v>6942</v>
      </c>
      <c r="H6952">
        <f t="shared" ca="1" si="116"/>
        <v>-3.8952953209530294E-2</v>
      </c>
    </row>
    <row r="6953" spans="7:8">
      <c r="G6953">
        <v>6943</v>
      </c>
      <c r="H6953">
        <f t="shared" ca="1" si="116"/>
        <v>-1.3823875316867906E-2</v>
      </c>
    </row>
    <row r="6954" spans="7:8">
      <c r="G6954">
        <v>6944</v>
      </c>
      <c r="H6954">
        <f t="shared" ca="1" si="116"/>
        <v>1.6803874617546443E-3</v>
      </c>
    </row>
    <row r="6955" spans="7:8">
      <c r="G6955">
        <v>6945</v>
      </c>
      <c r="H6955">
        <f t="shared" ca="1" si="116"/>
        <v>-5.236319235271044E-2</v>
      </c>
    </row>
    <row r="6956" spans="7:8">
      <c r="G6956">
        <v>6946</v>
      </c>
      <c r="H6956">
        <f t="shared" ca="1" si="116"/>
        <v>-2.756861125931672E-3</v>
      </c>
    </row>
    <row r="6957" spans="7:8">
      <c r="G6957">
        <v>6947</v>
      </c>
      <c r="H6957">
        <f t="shared" ca="1" si="116"/>
        <v>3.3391135503795875E-2</v>
      </c>
    </row>
    <row r="6958" spans="7:8">
      <c r="G6958">
        <v>6948</v>
      </c>
      <c r="H6958">
        <f t="shared" ca="1" si="116"/>
        <v>-7.2693347360744232E-2</v>
      </c>
    </row>
    <row r="6959" spans="7:8">
      <c r="G6959">
        <v>6949</v>
      </c>
      <c r="H6959">
        <f t="shared" ca="1" si="116"/>
        <v>-1.7833693629857723E-2</v>
      </c>
    </row>
    <row r="6960" spans="7:8">
      <c r="G6960">
        <v>6950</v>
      </c>
      <c r="H6960">
        <f t="shared" ca="1" si="116"/>
        <v>-3.0881153568184893E-2</v>
      </c>
    </row>
    <row r="6961" spans="7:8">
      <c r="G6961">
        <v>6951</v>
      </c>
      <c r="H6961">
        <f t="shared" ca="1" si="116"/>
        <v>-1.6002375072328268E-2</v>
      </c>
    </row>
    <row r="6962" spans="7:8">
      <c r="G6962">
        <v>6952</v>
      </c>
      <c r="H6962">
        <f t="shared" ca="1" si="116"/>
        <v>-2.6535529062147712E-3</v>
      </c>
    </row>
    <row r="6963" spans="7:8">
      <c r="G6963">
        <v>6953</v>
      </c>
      <c r="H6963">
        <f t="shared" ca="1" si="116"/>
        <v>1.2612745340809783E-2</v>
      </c>
    </row>
    <row r="6964" spans="7:8">
      <c r="G6964">
        <v>6954</v>
      </c>
      <c r="H6964">
        <f t="shared" ca="1" si="116"/>
        <v>-8.3801497352403529E-3</v>
      </c>
    </row>
    <row r="6965" spans="7:8">
      <c r="G6965">
        <v>6955</v>
      </c>
      <c r="H6965">
        <f t="shared" ca="1" si="116"/>
        <v>-2.8772808668179113E-2</v>
      </c>
    </row>
    <row r="6966" spans="7:8">
      <c r="G6966">
        <v>6956</v>
      </c>
      <c r="H6966">
        <f t="shared" ca="1" si="116"/>
        <v>-2.3673212986272788E-2</v>
      </c>
    </row>
    <row r="6967" spans="7:8">
      <c r="G6967">
        <v>6957</v>
      </c>
      <c r="H6967">
        <f t="shared" ca="1" si="116"/>
        <v>-1.7587253359550685E-2</v>
      </c>
    </row>
    <row r="6968" spans="7:8">
      <c r="G6968">
        <v>6958</v>
      </c>
      <c r="H6968">
        <f t="shared" ca="1" si="116"/>
        <v>-1.164593301562002E-2</v>
      </c>
    </row>
    <row r="6969" spans="7:8">
      <c r="G6969">
        <v>6959</v>
      </c>
      <c r="H6969">
        <f t="shared" ca="1" si="116"/>
        <v>-3.5304600413994719E-2</v>
      </c>
    </row>
    <row r="6970" spans="7:8">
      <c r="G6970">
        <v>6960</v>
      </c>
      <c r="H6970">
        <f t="shared" ca="1" si="116"/>
        <v>-8.9024696592955536E-3</v>
      </c>
    </row>
    <row r="6971" spans="7:8">
      <c r="G6971">
        <v>6961</v>
      </c>
      <c r="H6971">
        <f t="shared" ca="1" si="116"/>
        <v>-1.5624073967204532E-3</v>
      </c>
    </row>
    <row r="6972" spans="7:8">
      <c r="G6972">
        <v>6962</v>
      </c>
      <c r="H6972">
        <f t="shared" ca="1" si="116"/>
        <v>-4.952543978347454E-2</v>
      </c>
    </row>
    <row r="6973" spans="7:8">
      <c r="G6973">
        <v>6963</v>
      </c>
      <c r="H6973">
        <f t="shared" ca="1" si="116"/>
        <v>-2.4772915591346624E-2</v>
      </c>
    </row>
    <row r="6974" spans="7:8">
      <c r="G6974">
        <v>6964</v>
      </c>
      <c r="H6974">
        <f t="shared" ca="1" si="116"/>
        <v>-2.9332523875659815E-2</v>
      </c>
    </row>
    <row r="6975" spans="7:8">
      <c r="G6975">
        <v>6965</v>
      </c>
      <c r="H6975">
        <f t="shared" ca="1" si="116"/>
        <v>-7.2875726171373729E-4</v>
      </c>
    </row>
    <row r="6976" spans="7:8">
      <c r="G6976">
        <v>6966</v>
      </c>
      <c r="H6976">
        <f t="shared" ca="1" si="116"/>
        <v>-6.5097558676930076E-3</v>
      </c>
    </row>
    <row r="6977" spans="7:8">
      <c r="G6977">
        <v>6967</v>
      </c>
      <c r="H6977">
        <f t="shared" ca="1" si="116"/>
        <v>8.0174074492249826E-4</v>
      </c>
    </row>
    <row r="6978" spans="7:8">
      <c r="G6978">
        <v>6968</v>
      </c>
      <c r="H6978">
        <f t="shared" ca="1" si="116"/>
        <v>-1.1060837563968431E-2</v>
      </c>
    </row>
    <row r="6979" spans="7:8">
      <c r="G6979">
        <v>6969</v>
      </c>
      <c r="H6979">
        <f t="shared" ca="1" si="116"/>
        <v>1.9102198184440897E-2</v>
      </c>
    </row>
    <row r="6980" spans="7:8">
      <c r="G6980">
        <v>6970</v>
      </c>
      <c r="H6980">
        <f t="shared" ca="1" si="116"/>
        <v>-7.0294417847966816E-3</v>
      </c>
    </row>
    <row r="6981" spans="7:8">
      <c r="G6981">
        <v>6971</v>
      </c>
      <c r="H6981">
        <f t="shared" ca="1" si="116"/>
        <v>-2.6805872071151322E-2</v>
      </c>
    </row>
    <row r="6982" spans="7:8">
      <c r="G6982">
        <v>6972</v>
      </c>
      <c r="H6982">
        <f t="shared" ca="1" si="116"/>
        <v>-2.6636332627425091E-3</v>
      </c>
    </row>
    <row r="6983" spans="7:8">
      <c r="G6983">
        <v>6973</v>
      </c>
      <c r="H6983">
        <f t="shared" ca="1" si="116"/>
        <v>5.9689239377701177E-3</v>
      </c>
    </row>
    <row r="6984" spans="7:8">
      <c r="G6984">
        <v>6974</v>
      </c>
      <c r="H6984">
        <f t="shared" ca="1" si="116"/>
        <v>-4.6963471265287215E-3</v>
      </c>
    </row>
    <row r="6985" spans="7:8">
      <c r="G6985">
        <v>6975</v>
      </c>
      <c r="H6985">
        <f t="shared" ca="1" si="116"/>
        <v>3.16852111380495E-2</v>
      </c>
    </row>
    <row r="6986" spans="7:8">
      <c r="G6986">
        <v>6976</v>
      </c>
      <c r="H6986">
        <f t="shared" ca="1" si="116"/>
        <v>1.067610886608748E-2</v>
      </c>
    </row>
    <row r="6987" spans="7:8">
      <c r="G6987">
        <v>6977</v>
      </c>
      <c r="H6987">
        <f t="shared" ca="1" si="116"/>
        <v>-1.5399757373496772E-2</v>
      </c>
    </row>
    <row r="6988" spans="7:8">
      <c r="G6988">
        <v>6978</v>
      </c>
      <c r="H6988">
        <f t="shared" ref="H6988:H7051" ca="1" si="117">_xlfn.NORM.INV(RAND(),N$13,N$14)</f>
        <v>2.1764529730045376E-2</v>
      </c>
    </row>
    <row r="6989" spans="7:8">
      <c r="G6989">
        <v>6979</v>
      </c>
      <c r="H6989">
        <f t="shared" ca="1" si="117"/>
        <v>-3.0315629860729878E-3</v>
      </c>
    </row>
    <row r="6990" spans="7:8">
      <c r="G6990">
        <v>6980</v>
      </c>
      <c r="H6990">
        <f t="shared" ca="1" si="117"/>
        <v>2.1448966163393562E-2</v>
      </c>
    </row>
    <row r="6991" spans="7:8">
      <c r="G6991">
        <v>6981</v>
      </c>
      <c r="H6991">
        <f t="shared" ca="1" si="117"/>
        <v>1.9763697455891117E-3</v>
      </c>
    </row>
    <row r="6992" spans="7:8">
      <c r="G6992">
        <v>6982</v>
      </c>
      <c r="H6992">
        <f t="shared" ca="1" si="117"/>
        <v>1.5808249501209778E-2</v>
      </c>
    </row>
    <row r="6993" spans="7:8">
      <c r="G6993">
        <v>6983</v>
      </c>
      <c r="H6993">
        <f t="shared" ca="1" si="117"/>
        <v>-7.7750135872973738E-3</v>
      </c>
    </row>
    <row r="6994" spans="7:8">
      <c r="G6994">
        <v>6984</v>
      </c>
      <c r="H6994">
        <f t="shared" ca="1" si="117"/>
        <v>5.4393600393687685E-3</v>
      </c>
    </row>
    <row r="6995" spans="7:8">
      <c r="G6995">
        <v>6985</v>
      </c>
      <c r="H6995">
        <f t="shared" ca="1" si="117"/>
        <v>-3.4938526334973609E-2</v>
      </c>
    </row>
    <row r="6996" spans="7:8">
      <c r="G6996">
        <v>6986</v>
      </c>
      <c r="H6996">
        <f t="shared" ca="1" si="117"/>
        <v>1.9144413069692511E-2</v>
      </c>
    </row>
    <row r="6997" spans="7:8">
      <c r="G6997">
        <v>6987</v>
      </c>
      <c r="H6997">
        <f t="shared" ca="1" si="117"/>
        <v>-1.6347565441450829E-2</v>
      </c>
    </row>
    <row r="6998" spans="7:8">
      <c r="G6998">
        <v>6988</v>
      </c>
      <c r="H6998">
        <f t="shared" ca="1" si="117"/>
        <v>6.5462332128373699E-2</v>
      </c>
    </row>
    <row r="6999" spans="7:8">
      <c r="G6999">
        <v>6989</v>
      </c>
      <c r="H6999">
        <f t="shared" ca="1" si="117"/>
        <v>1.4537277988666393E-2</v>
      </c>
    </row>
    <row r="7000" spans="7:8">
      <c r="G7000">
        <v>6990</v>
      </c>
      <c r="H7000">
        <f t="shared" ca="1" si="117"/>
        <v>3.2362334726494635E-2</v>
      </c>
    </row>
    <row r="7001" spans="7:8">
      <c r="G7001">
        <v>6991</v>
      </c>
      <c r="H7001">
        <f t="shared" ca="1" si="117"/>
        <v>3.4907907017014045E-2</v>
      </c>
    </row>
    <row r="7002" spans="7:8">
      <c r="G7002">
        <v>6992</v>
      </c>
      <c r="H7002">
        <f t="shared" ca="1" si="117"/>
        <v>-2.8570013984150589E-2</v>
      </c>
    </row>
    <row r="7003" spans="7:8">
      <c r="G7003">
        <v>6993</v>
      </c>
      <c r="H7003">
        <f t="shared" ca="1" si="117"/>
        <v>1.2602477766892457E-2</v>
      </c>
    </row>
    <row r="7004" spans="7:8">
      <c r="G7004">
        <v>6994</v>
      </c>
      <c r="H7004">
        <f t="shared" ca="1" si="117"/>
        <v>1.9372083937032346E-2</v>
      </c>
    </row>
    <row r="7005" spans="7:8">
      <c r="G7005">
        <v>6995</v>
      </c>
      <c r="H7005">
        <f t="shared" ca="1" si="117"/>
        <v>-3.7954164578060882E-2</v>
      </c>
    </row>
    <row r="7006" spans="7:8">
      <c r="G7006">
        <v>6996</v>
      </c>
      <c r="H7006">
        <f t="shared" ca="1" si="117"/>
        <v>2.663447086897747E-2</v>
      </c>
    </row>
    <row r="7007" spans="7:8">
      <c r="G7007">
        <v>6997</v>
      </c>
      <c r="H7007">
        <f t="shared" ca="1" si="117"/>
        <v>1.1191230018202991E-2</v>
      </c>
    </row>
    <row r="7008" spans="7:8">
      <c r="G7008">
        <v>6998</v>
      </c>
      <c r="H7008">
        <f t="shared" ca="1" si="117"/>
        <v>-1.0653208681246289E-2</v>
      </c>
    </row>
    <row r="7009" spans="7:8">
      <c r="G7009">
        <v>6999</v>
      </c>
      <c r="H7009">
        <f t="shared" ca="1" si="117"/>
        <v>2.0599986007947536E-2</v>
      </c>
    </row>
    <row r="7010" spans="7:8">
      <c r="G7010">
        <v>7000</v>
      </c>
      <c r="H7010">
        <f t="shared" ca="1" si="117"/>
        <v>2.5515140153085339E-3</v>
      </c>
    </row>
    <row r="7011" spans="7:8">
      <c r="G7011">
        <v>7001</v>
      </c>
      <c r="H7011">
        <f t="shared" ca="1" si="117"/>
        <v>6.7760416121504158E-2</v>
      </c>
    </row>
    <row r="7012" spans="7:8">
      <c r="G7012">
        <v>7002</v>
      </c>
      <c r="H7012">
        <f t="shared" ca="1" si="117"/>
        <v>7.0098804648309476E-2</v>
      </c>
    </row>
    <row r="7013" spans="7:8">
      <c r="G7013">
        <v>7003</v>
      </c>
      <c r="H7013">
        <f t="shared" ca="1" si="117"/>
        <v>-2.0676182358628389E-2</v>
      </c>
    </row>
    <row r="7014" spans="7:8">
      <c r="G7014">
        <v>7004</v>
      </c>
      <c r="H7014">
        <f t="shared" ca="1" si="117"/>
        <v>9.2186086651214784E-3</v>
      </c>
    </row>
    <row r="7015" spans="7:8">
      <c r="G7015">
        <v>7005</v>
      </c>
      <c r="H7015">
        <f t="shared" ca="1" si="117"/>
        <v>-3.0076128834040271E-2</v>
      </c>
    </row>
    <row r="7016" spans="7:8">
      <c r="G7016">
        <v>7006</v>
      </c>
      <c r="H7016">
        <f t="shared" ca="1" si="117"/>
        <v>1.4588322416668825E-2</v>
      </c>
    </row>
    <row r="7017" spans="7:8">
      <c r="G7017">
        <v>7007</v>
      </c>
      <c r="H7017">
        <f t="shared" ca="1" si="117"/>
        <v>2.6519207763878724E-2</v>
      </c>
    </row>
    <row r="7018" spans="7:8">
      <c r="G7018">
        <v>7008</v>
      </c>
      <c r="H7018">
        <f t="shared" ca="1" si="117"/>
        <v>-1.3988333256104629E-2</v>
      </c>
    </row>
    <row r="7019" spans="7:8">
      <c r="G7019">
        <v>7009</v>
      </c>
      <c r="H7019">
        <f t="shared" ca="1" si="117"/>
        <v>1.5847875670243317E-2</v>
      </c>
    </row>
    <row r="7020" spans="7:8">
      <c r="G7020">
        <v>7010</v>
      </c>
      <c r="H7020">
        <f t="shared" ca="1" si="117"/>
        <v>1.3299985129816824E-2</v>
      </c>
    </row>
    <row r="7021" spans="7:8">
      <c r="G7021">
        <v>7011</v>
      </c>
      <c r="H7021">
        <f t="shared" ca="1" si="117"/>
        <v>-4.0265763199857592E-2</v>
      </c>
    </row>
    <row r="7022" spans="7:8">
      <c r="G7022">
        <v>7012</v>
      </c>
      <c r="H7022">
        <f t="shared" ca="1" si="117"/>
        <v>-4.1576189728869402E-2</v>
      </c>
    </row>
    <row r="7023" spans="7:8">
      <c r="G7023">
        <v>7013</v>
      </c>
      <c r="H7023">
        <f t="shared" ca="1" si="117"/>
        <v>-1.0090683267353441E-2</v>
      </c>
    </row>
    <row r="7024" spans="7:8">
      <c r="G7024">
        <v>7014</v>
      </c>
      <c r="H7024">
        <f t="shared" ca="1" si="117"/>
        <v>-1.50426793624911E-3</v>
      </c>
    </row>
    <row r="7025" spans="7:8">
      <c r="G7025">
        <v>7015</v>
      </c>
      <c r="H7025">
        <f t="shared" ca="1" si="117"/>
        <v>-4.6671900250090903E-4</v>
      </c>
    </row>
    <row r="7026" spans="7:8">
      <c r="G7026">
        <v>7016</v>
      </c>
      <c r="H7026">
        <f t="shared" ca="1" si="117"/>
        <v>-2.3539338261848484E-2</v>
      </c>
    </row>
    <row r="7027" spans="7:8">
      <c r="G7027">
        <v>7017</v>
      </c>
      <c r="H7027">
        <f t="shared" ca="1" si="117"/>
        <v>-2.6452954668732986E-2</v>
      </c>
    </row>
    <row r="7028" spans="7:8">
      <c r="G7028">
        <v>7018</v>
      </c>
      <c r="H7028">
        <f t="shared" ca="1" si="117"/>
        <v>-1.6522165756661961E-2</v>
      </c>
    </row>
    <row r="7029" spans="7:8">
      <c r="G7029">
        <v>7019</v>
      </c>
      <c r="H7029">
        <f t="shared" ca="1" si="117"/>
        <v>2.2263785793678985E-2</v>
      </c>
    </row>
    <row r="7030" spans="7:8">
      <c r="G7030">
        <v>7020</v>
      </c>
      <c r="H7030">
        <f t="shared" ca="1" si="117"/>
        <v>-4.9784509017042886E-4</v>
      </c>
    </row>
    <row r="7031" spans="7:8">
      <c r="G7031">
        <v>7021</v>
      </c>
      <c r="H7031">
        <f t="shared" ca="1" si="117"/>
        <v>-2.1107887855027711E-2</v>
      </c>
    </row>
    <row r="7032" spans="7:8">
      <c r="G7032">
        <v>7022</v>
      </c>
      <c r="H7032">
        <f t="shared" ca="1" si="117"/>
        <v>-1.00036306549126E-3</v>
      </c>
    </row>
    <row r="7033" spans="7:8">
      <c r="G7033">
        <v>7023</v>
      </c>
      <c r="H7033">
        <f t="shared" ca="1" si="117"/>
        <v>3.9893861360201122E-2</v>
      </c>
    </row>
    <row r="7034" spans="7:8">
      <c r="G7034">
        <v>7024</v>
      </c>
      <c r="H7034">
        <f t="shared" ca="1" si="117"/>
        <v>-6.7967569531482029E-4</v>
      </c>
    </row>
    <row r="7035" spans="7:8">
      <c r="G7035">
        <v>7025</v>
      </c>
      <c r="H7035">
        <f t="shared" ca="1" si="117"/>
        <v>3.3401761672630951E-3</v>
      </c>
    </row>
    <row r="7036" spans="7:8">
      <c r="G7036">
        <v>7026</v>
      </c>
      <c r="H7036">
        <f t="shared" ca="1" si="117"/>
        <v>-3.4074471003675375E-2</v>
      </c>
    </row>
    <row r="7037" spans="7:8">
      <c r="G7037">
        <v>7027</v>
      </c>
      <c r="H7037">
        <f t="shared" ca="1" si="117"/>
        <v>-1.134652260761683E-2</v>
      </c>
    </row>
    <row r="7038" spans="7:8">
      <c r="G7038">
        <v>7028</v>
      </c>
      <c r="H7038">
        <f t="shared" ca="1" si="117"/>
        <v>-7.0505017751916303E-3</v>
      </c>
    </row>
    <row r="7039" spans="7:8">
      <c r="G7039">
        <v>7029</v>
      </c>
      <c r="H7039">
        <f t="shared" ca="1" si="117"/>
        <v>8.0592129895364906E-3</v>
      </c>
    </row>
    <row r="7040" spans="7:8">
      <c r="G7040">
        <v>7030</v>
      </c>
      <c r="H7040">
        <f t="shared" ca="1" si="117"/>
        <v>9.8353989443835041E-3</v>
      </c>
    </row>
    <row r="7041" spans="7:8">
      <c r="G7041">
        <v>7031</v>
      </c>
      <c r="H7041">
        <f t="shared" ca="1" si="117"/>
        <v>-1.8725916000561494E-2</v>
      </c>
    </row>
    <row r="7042" spans="7:8">
      <c r="G7042">
        <v>7032</v>
      </c>
      <c r="H7042">
        <f t="shared" ca="1" si="117"/>
        <v>-9.2412046050803446E-3</v>
      </c>
    </row>
    <row r="7043" spans="7:8">
      <c r="G7043">
        <v>7033</v>
      </c>
      <c r="H7043">
        <f t="shared" ca="1" si="117"/>
        <v>-1.5437298427596093E-3</v>
      </c>
    </row>
    <row r="7044" spans="7:8">
      <c r="G7044">
        <v>7034</v>
      </c>
      <c r="H7044">
        <f t="shared" ca="1" si="117"/>
        <v>-4.2448364716669268E-2</v>
      </c>
    </row>
    <row r="7045" spans="7:8">
      <c r="G7045">
        <v>7035</v>
      </c>
      <c r="H7045">
        <f t="shared" ca="1" si="117"/>
        <v>-1.888728882648142E-2</v>
      </c>
    </row>
    <row r="7046" spans="7:8">
      <c r="G7046">
        <v>7036</v>
      </c>
      <c r="H7046">
        <f t="shared" ca="1" si="117"/>
        <v>-1.3584102052716167E-2</v>
      </c>
    </row>
    <row r="7047" spans="7:8">
      <c r="G7047">
        <v>7037</v>
      </c>
      <c r="H7047">
        <f t="shared" ca="1" si="117"/>
        <v>2.955434907441561E-2</v>
      </c>
    </row>
    <row r="7048" spans="7:8">
      <c r="G7048">
        <v>7038</v>
      </c>
      <c r="H7048">
        <f t="shared" ca="1" si="117"/>
        <v>1.2020605799808338E-2</v>
      </c>
    </row>
    <row r="7049" spans="7:8">
      <c r="G7049">
        <v>7039</v>
      </c>
      <c r="H7049">
        <f t="shared" ca="1" si="117"/>
        <v>-5.2960111626326424E-3</v>
      </c>
    </row>
    <row r="7050" spans="7:8">
      <c r="G7050">
        <v>7040</v>
      </c>
      <c r="H7050">
        <f t="shared" ca="1" si="117"/>
        <v>6.7940301173680757E-3</v>
      </c>
    </row>
    <row r="7051" spans="7:8">
      <c r="G7051">
        <v>7041</v>
      </c>
      <c r="H7051">
        <f t="shared" ca="1" si="117"/>
        <v>3.7046490149788919E-2</v>
      </c>
    </row>
    <row r="7052" spans="7:8">
      <c r="G7052">
        <v>7042</v>
      </c>
      <c r="H7052">
        <f t="shared" ref="H7052:H7115" ca="1" si="118">_xlfn.NORM.INV(RAND(),N$13,N$14)</f>
        <v>-3.9567527367674077E-2</v>
      </c>
    </row>
    <row r="7053" spans="7:8">
      <c r="G7053">
        <v>7043</v>
      </c>
      <c r="H7053">
        <f t="shared" ca="1" si="118"/>
        <v>2.2318005668956645E-2</v>
      </c>
    </row>
    <row r="7054" spans="7:8">
      <c r="G7054">
        <v>7044</v>
      </c>
      <c r="H7054">
        <f t="shared" ca="1" si="118"/>
        <v>-5.260516313399472E-3</v>
      </c>
    </row>
    <row r="7055" spans="7:8">
      <c r="G7055">
        <v>7045</v>
      </c>
      <c r="H7055">
        <f t="shared" ca="1" si="118"/>
        <v>-2.1390901950242371E-2</v>
      </c>
    </row>
    <row r="7056" spans="7:8">
      <c r="G7056">
        <v>7046</v>
      </c>
      <c r="H7056">
        <f t="shared" ca="1" si="118"/>
        <v>2.509601346202052E-3</v>
      </c>
    </row>
    <row r="7057" spans="7:8">
      <c r="G7057">
        <v>7047</v>
      </c>
      <c r="H7057">
        <f t="shared" ca="1" si="118"/>
        <v>2.2670608185058106E-2</v>
      </c>
    </row>
    <row r="7058" spans="7:8">
      <c r="G7058">
        <v>7048</v>
      </c>
      <c r="H7058">
        <f t="shared" ca="1" si="118"/>
        <v>1.8444515339045852E-2</v>
      </c>
    </row>
    <row r="7059" spans="7:8">
      <c r="G7059">
        <v>7049</v>
      </c>
      <c r="H7059">
        <f t="shared" ca="1" si="118"/>
        <v>-2.4472238289217851E-2</v>
      </c>
    </row>
    <row r="7060" spans="7:8">
      <c r="G7060">
        <v>7050</v>
      </c>
      <c r="H7060">
        <f t="shared" ca="1" si="118"/>
        <v>-1.77777522046399E-2</v>
      </c>
    </row>
    <row r="7061" spans="7:8">
      <c r="G7061">
        <v>7051</v>
      </c>
      <c r="H7061">
        <f t="shared" ca="1" si="118"/>
        <v>-3.7510609975924696E-3</v>
      </c>
    </row>
    <row r="7062" spans="7:8">
      <c r="G7062">
        <v>7052</v>
      </c>
      <c r="H7062">
        <f t="shared" ca="1" si="118"/>
        <v>-2.9575861160046915E-2</v>
      </c>
    </row>
    <row r="7063" spans="7:8">
      <c r="G7063">
        <v>7053</v>
      </c>
      <c r="H7063">
        <f t="shared" ca="1" si="118"/>
        <v>4.305954045159844E-2</v>
      </c>
    </row>
    <row r="7064" spans="7:8">
      <c r="G7064">
        <v>7054</v>
      </c>
      <c r="H7064">
        <f t="shared" ca="1" si="118"/>
        <v>3.5400543017597855E-3</v>
      </c>
    </row>
    <row r="7065" spans="7:8">
      <c r="G7065">
        <v>7055</v>
      </c>
      <c r="H7065">
        <f t="shared" ca="1" si="118"/>
        <v>-9.5787595406939298E-3</v>
      </c>
    </row>
    <row r="7066" spans="7:8">
      <c r="G7066">
        <v>7056</v>
      </c>
      <c r="H7066">
        <f t="shared" ca="1" si="118"/>
        <v>5.2531451094348758E-2</v>
      </c>
    </row>
    <row r="7067" spans="7:8">
      <c r="G7067">
        <v>7057</v>
      </c>
      <c r="H7067">
        <f t="shared" ca="1" si="118"/>
        <v>4.584350744193888E-3</v>
      </c>
    </row>
    <row r="7068" spans="7:8">
      <c r="G7068">
        <v>7058</v>
      </c>
      <c r="H7068">
        <f t="shared" ca="1" si="118"/>
        <v>-2.1513470175506012E-2</v>
      </c>
    </row>
    <row r="7069" spans="7:8">
      <c r="G7069">
        <v>7059</v>
      </c>
      <c r="H7069">
        <f t="shared" ca="1" si="118"/>
        <v>-3.469794417579255E-3</v>
      </c>
    </row>
    <row r="7070" spans="7:8">
      <c r="G7070">
        <v>7060</v>
      </c>
      <c r="H7070">
        <f t="shared" ca="1" si="118"/>
        <v>1.490251888664742E-2</v>
      </c>
    </row>
    <row r="7071" spans="7:8">
      <c r="G7071">
        <v>7061</v>
      </c>
      <c r="H7071">
        <f t="shared" ca="1" si="118"/>
        <v>3.0553214348796678E-2</v>
      </c>
    </row>
    <row r="7072" spans="7:8">
      <c r="G7072">
        <v>7062</v>
      </c>
      <c r="H7072">
        <f t="shared" ca="1" si="118"/>
        <v>-3.0753793158883984E-2</v>
      </c>
    </row>
    <row r="7073" spans="7:8">
      <c r="G7073">
        <v>7063</v>
      </c>
      <c r="H7073">
        <f t="shared" ca="1" si="118"/>
        <v>-1.3867817108017936E-2</v>
      </c>
    </row>
    <row r="7074" spans="7:8">
      <c r="G7074">
        <v>7064</v>
      </c>
      <c r="H7074">
        <f t="shared" ca="1" si="118"/>
        <v>-1.7801614426331415E-2</v>
      </c>
    </row>
    <row r="7075" spans="7:8">
      <c r="G7075">
        <v>7065</v>
      </c>
      <c r="H7075">
        <f t="shared" ca="1" si="118"/>
        <v>-1.382281846866525E-2</v>
      </c>
    </row>
    <row r="7076" spans="7:8">
      <c r="G7076">
        <v>7066</v>
      </c>
      <c r="H7076">
        <f t="shared" ca="1" si="118"/>
        <v>1.5847057618721714E-2</v>
      </c>
    </row>
    <row r="7077" spans="7:8">
      <c r="G7077">
        <v>7067</v>
      </c>
      <c r="H7077">
        <f t="shared" ca="1" si="118"/>
        <v>-1.5728939031919728E-2</v>
      </c>
    </row>
    <row r="7078" spans="7:8">
      <c r="G7078">
        <v>7068</v>
      </c>
      <c r="H7078">
        <f t="shared" ca="1" si="118"/>
        <v>3.5722374990603835E-3</v>
      </c>
    </row>
    <row r="7079" spans="7:8">
      <c r="G7079">
        <v>7069</v>
      </c>
      <c r="H7079">
        <f t="shared" ca="1" si="118"/>
        <v>-2.5205406644073499E-2</v>
      </c>
    </row>
    <row r="7080" spans="7:8">
      <c r="G7080">
        <v>7070</v>
      </c>
      <c r="H7080">
        <f t="shared" ca="1" si="118"/>
        <v>2.5286872061580343E-2</v>
      </c>
    </row>
    <row r="7081" spans="7:8">
      <c r="G7081">
        <v>7071</v>
      </c>
      <c r="H7081">
        <f t="shared" ca="1" si="118"/>
        <v>-1.0177249236935828E-2</v>
      </c>
    </row>
    <row r="7082" spans="7:8">
      <c r="G7082">
        <v>7072</v>
      </c>
      <c r="H7082">
        <f t="shared" ca="1" si="118"/>
        <v>1.0898499736986741E-2</v>
      </c>
    </row>
    <row r="7083" spans="7:8">
      <c r="G7083">
        <v>7073</v>
      </c>
      <c r="H7083">
        <f t="shared" ca="1" si="118"/>
        <v>6.4372056117821985E-2</v>
      </c>
    </row>
    <row r="7084" spans="7:8">
      <c r="G7084">
        <v>7074</v>
      </c>
      <c r="H7084">
        <f t="shared" ca="1" si="118"/>
        <v>1.98696916948943E-2</v>
      </c>
    </row>
    <row r="7085" spans="7:8">
      <c r="G7085">
        <v>7075</v>
      </c>
      <c r="H7085">
        <f t="shared" ca="1" si="118"/>
        <v>2.4110118457106911E-2</v>
      </c>
    </row>
    <row r="7086" spans="7:8">
      <c r="G7086">
        <v>7076</v>
      </c>
      <c r="H7086">
        <f t="shared" ca="1" si="118"/>
        <v>-2.6416075808394009E-2</v>
      </c>
    </row>
    <row r="7087" spans="7:8">
      <c r="G7087">
        <v>7077</v>
      </c>
      <c r="H7087">
        <f t="shared" ca="1" si="118"/>
        <v>-9.7769146216591871E-3</v>
      </c>
    </row>
    <row r="7088" spans="7:8">
      <c r="G7088">
        <v>7078</v>
      </c>
      <c r="H7088">
        <f t="shared" ca="1" si="118"/>
        <v>-1.2330746576824181E-2</v>
      </c>
    </row>
    <row r="7089" spans="7:8">
      <c r="G7089">
        <v>7079</v>
      </c>
      <c r="H7089">
        <f t="shared" ca="1" si="118"/>
        <v>1.1275764622870015E-2</v>
      </c>
    </row>
    <row r="7090" spans="7:8">
      <c r="G7090">
        <v>7080</v>
      </c>
      <c r="H7090">
        <f t="shared" ca="1" si="118"/>
        <v>1.1446376918597135E-2</v>
      </c>
    </row>
    <row r="7091" spans="7:8">
      <c r="G7091">
        <v>7081</v>
      </c>
      <c r="H7091">
        <f t="shared" ca="1" si="118"/>
        <v>3.0419267507668688E-2</v>
      </c>
    </row>
    <row r="7092" spans="7:8">
      <c r="G7092">
        <v>7082</v>
      </c>
      <c r="H7092">
        <f t="shared" ca="1" si="118"/>
        <v>3.3153313752964493E-2</v>
      </c>
    </row>
    <row r="7093" spans="7:8">
      <c r="G7093">
        <v>7083</v>
      </c>
      <c r="H7093">
        <f t="shared" ca="1" si="118"/>
        <v>2.1050573863267242E-2</v>
      </c>
    </row>
    <row r="7094" spans="7:8">
      <c r="G7094">
        <v>7084</v>
      </c>
      <c r="H7094">
        <f t="shared" ca="1" si="118"/>
        <v>2.6407532792512216E-2</v>
      </c>
    </row>
    <row r="7095" spans="7:8">
      <c r="G7095">
        <v>7085</v>
      </c>
      <c r="H7095">
        <f t="shared" ca="1" si="118"/>
        <v>1.829568724932219E-3</v>
      </c>
    </row>
    <row r="7096" spans="7:8">
      <c r="G7096">
        <v>7086</v>
      </c>
      <c r="H7096">
        <f t="shared" ca="1" si="118"/>
        <v>-3.532194911514479E-4</v>
      </c>
    </row>
    <row r="7097" spans="7:8">
      <c r="G7097">
        <v>7087</v>
      </c>
      <c r="H7097">
        <f t="shared" ca="1" si="118"/>
        <v>1.3712019255850763E-2</v>
      </c>
    </row>
    <row r="7098" spans="7:8">
      <c r="G7098">
        <v>7088</v>
      </c>
      <c r="H7098">
        <f t="shared" ca="1" si="118"/>
        <v>-1.9507334511367488E-2</v>
      </c>
    </row>
    <row r="7099" spans="7:8">
      <c r="G7099">
        <v>7089</v>
      </c>
      <c r="H7099">
        <f t="shared" ca="1" si="118"/>
        <v>1.9808549134681875E-2</v>
      </c>
    </row>
    <row r="7100" spans="7:8">
      <c r="G7100">
        <v>7090</v>
      </c>
      <c r="H7100">
        <f t="shared" ca="1" si="118"/>
        <v>-8.3352894355345312E-3</v>
      </c>
    </row>
    <row r="7101" spans="7:8">
      <c r="G7101">
        <v>7091</v>
      </c>
      <c r="H7101">
        <f t="shared" ca="1" si="118"/>
        <v>-4.8601543473186922E-3</v>
      </c>
    </row>
    <row r="7102" spans="7:8">
      <c r="G7102">
        <v>7092</v>
      </c>
      <c r="H7102">
        <f t="shared" ca="1" si="118"/>
        <v>1.9384275032514667E-2</v>
      </c>
    </row>
    <row r="7103" spans="7:8">
      <c r="G7103">
        <v>7093</v>
      </c>
      <c r="H7103">
        <f t="shared" ca="1" si="118"/>
        <v>3.0814435152289925E-2</v>
      </c>
    </row>
    <row r="7104" spans="7:8">
      <c r="G7104">
        <v>7094</v>
      </c>
      <c r="H7104">
        <f t="shared" ca="1" si="118"/>
        <v>-2.3908699251777125E-2</v>
      </c>
    </row>
    <row r="7105" spans="7:8">
      <c r="G7105">
        <v>7095</v>
      </c>
      <c r="H7105">
        <f t="shared" ca="1" si="118"/>
        <v>-5.0250985349659077E-2</v>
      </c>
    </row>
    <row r="7106" spans="7:8">
      <c r="G7106">
        <v>7096</v>
      </c>
      <c r="H7106">
        <f t="shared" ca="1" si="118"/>
        <v>-1.6904721995377032E-2</v>
      </c>
    </row>
    <row r="7107" spans="7:8">
      <c r="G7107">
        <v>7097</v>
      </c>
      <c r="H7107">
        <f t="shared" ca="1" si="118"/>
        <v>-1.0806673181244146E-2</v>
      </c>
    </row>
    <row r="7108" spans="7:8">
      <c r="G7108">
        <v>7098</v>
      </c>
      <c r="H7108">
        <f t="shared" ca="1" si="118"/>
        <v>2.3993409437333277E-2</v>
      </c>
    </row>
    <row r="7109" spans="7:8">
      <c r="G7109">
        <v>7099</v>
      </c>
      <c r="H7109">
        <f t="shared" ca="1" si="118"/>
        <v>1.8215786799528916E-2</v>
      </c>
    </row>
    <row r="7110" spans="7:8">
      <c r="G7110">
        <v>7100</v>
      </c>
      <c r="H7110">
        <f t="shared" ca="1" si="118"/>
        <v>-1.5621189857289587E-2</v>
      </c>
    </row>
    <row r="7111" spans="7:8">
      <c r="G7111">
        <v>7101</v>
      </c>
      <c r="H7111">
        <f t="shared" ca="1" si="118"/>
        <v>9.7118913176844155E-3</v>
      </c>
    </row>
    <row r="7112" spans="7:8">
      <c r="G7112">
        <v>7102</v>
      </c>
      <c r="H7112">
        <f t="shared" ca="1" si="118"/>
        <v>1.32171394104045E-2</v>
      </c>
    </row>
    <row r="7113" spans="7:8">
      <c r="G7113">
        <v>7103</v>
      </c>
      <c r="H7113">
        <f t="shared" ca="1" si="118"/>
        <v>2.2678215453145563E-3</v>
      </c>
    </row>
    <row r="7114" spans="7:8">
      <c r="G7114">
        <v>7104</v>
      </c>
      <c r="H7114">
        <f t="shared" ca="1" si="118"/>
        <v>-7.9795047553198103E-3</v>
      </c>
    </row>
    <row r="7115" spans="7:8">
      <c r="G7115">
        <v>7105</v>
      </c>
      <c r="H7115">
        <f t="shared" ca="1" si="118"/>
        <v>-2.9158786391614035E-2</v>
      </c>
    </row>
    <row r="7116" spans="7:8">
      <c r="G7116">
        <v>7106</v>
      </c>
      <c r="H7116">
        <f t="shared" ref="H7116:H7179" ca="1" si="119">_xlfn.NORM.INV(RAND(),N$13,N$14)</f>
        <v>7.0523081231209919E-3</v>
      </c>
    </row>
    <row r="7117" spans="7:8">
      <c r="G7117">
        <v>7107</v>
      </c>
      <c r="H7117">
        <f t="shared" ca="1" si="119"/>
        <v>1.2396512593222303E-2</v>
      </c>
    </row>
    <row r="7118" spans="7:8">
      <c r="G7118">
        <v>7108</v>
      </c>
      <c r="H7118">
        <f t="shared" ca="1" si="119"/>
        <v>-7.8853010096344173E-3</v>
      </c>
    </row>
    <row r="7119" spans="7:8">
      <c r="G7119">
        <v>7109</v>
      </c>
      <c r="H7119">
        <f t="shared" ca="1" si="119"/>
        <v>-6.7003742662383398E-3</v>
      </c>
    </row>
    <row r="7120" spans="7:8">
      <c r="G7120">
        <v>7110</v>
      </c>
      <c r="H7120">
        <f t="shared" ca="1" si="119"/>
        <v>3.7484788533933215E-2</v>
      </c>
    </row>
    <row r="7121" spans="7:8">
      <c r="G7121">
        <v>7111</v>
      </c>
      <c r="H7121">
        <f t="shared" ca="1" si="119"/>
        <v>-4.507674102804389E-2</v>
      </c>
    </row>
    <row r="7122" spans="7:8">
      <c r="G7122">
        <v>7112</v>
      </c>
      <c r="H7122">
        <f t="shared" ca="1" si="119"/>
        <v>-8.3154711466169994E-3</v>
      </c>
    </row>
    <row r="7123" spans="7:8">
      <c r="G7123">
        <v>7113</v>
      </c>
      <c r="H7123">
        <f t="shared" ca="1" si="119"/>
        <v>-7.8298385715761011E-3</v>
      </c>
    </row>
    <row r="7124" spans="7:8">
      <c r="G7124">
        <v>7114</v>
      </c>
      <c r="H7124">
        <f t="shared" ca="1" si="119"/>
        <v>1.1582725167485349E-2</v>
      </c>
    </row>
    <row r="7125" spans="7:8">
      <c r="G7125">
        <v>7115</v>
      </c>
      <c r="H7125">
        <f t="shared" ca="1" si="119"/>
        <v>-1.2755288659701157E-2</v>
      </c>
    </row>
    <row r="7126" spans="7:8">
      <c r="G7126">
        <v>7116</v>
      </c>
      <c r="H7126">
        <f t="shared" ca="1" si="119"/>
        <v>2.9444589605306586E-2</v>
      </c>
    </row>
    <row r="7127" spans="7:8">
      <c r="G7127">
        <v>7117</v>
      </c>
      <c r="H7127">
        <f t="shared" ca="1" si="119"/>
        <v>5.6518510058861972E-3</v>
      </c>
    </row>
    <row r="7128" spans="7:8">
      <c r="G7128">
        <v>7118</v>
      </c>
      <c r="H7128">
        <f t="shared" ca="1" si="119"/>
        <v>8.2826179779167675E-3</v>
      </c>
    </row>
    <row r="7129" spans="7:8">
      <c r="G7129">
        <v>7119</v>
      </c>
      <c r="H7129">
        <f t="shared" ca="1" si="119"/>
        <v>2.0313570352756431E-2</v>
      </c>
    </row>
    <row r="7130" spans="7:8">
      <c r="G7130">
        <v>7120</v>
      </c>
      <c r="H7130">
        <f t="shared" ca="1" si="119"/>
        <v>2.2103249981209327E-2</v>
      </c>
    </row>
    <row r="7131" spans="7:8">
      <c r="G7131">
        <v>7121</v>
      </c>
      <c r="H7131">
        <f t="shared" ca="1" si="119"/>
        <v>-7.8849153907127028E-3</v>
      </c>
    </row>
    <row r="7132" spans="7:8">
      <c r="G7132">
        <v>7122</v>
      </c>
      <c r="H7132">
        <f t="shared" ca="1" si="119"/>
        <v>-1.2485095569903694E-2</v>
      </c>
    </row>
    <row r="7133" spans="7:8">
      <c r="G7133">
        <v>7123</v>
      </c>
      <c r="H7133">
        <f t="shared" ca="1" si="119"/>
        <v>-3.1537591513396964E-4</v>
      </c>
    </row>
    <row r="7134" spans="7:8">
      <c r="G7134">
        <v>7124</v>
      </c>
      <c r="H7134">
        <f t="shared" ca="1" si="119"/>
        <v>-2.2471760971402889E-3</v>
      </c>
    </row>
    <row r="7135" spans="7:8">
      <c r="G7135">
        <v>7125</v>
      </c>
      <c r="H7135">
        <f t="shared" ca="1" si="119"/>
        <v>4.4937831706900501E-4</v>
      </c>
    </row>
    <row r="7136" spans="7:8">
      <c r="G7136">
        <v>7126</v>
      </c>
      <c r="H7136">
        <f t="shared" ca="1" si="119"/>
        <v>-5.7633355715806201E-3</v>
      </c>
    </row>
    <row r="7137" spans="7:8">
      <c r="G7137">
        <v>7127</v>
      </c>
      <c r="H7137">
        <f t="shared" ca="1" si="119"/>
        <v>2.0187917957710595E-3</v>
      </c>
    </row>
    <row r="7138" spans="7:8">
      <c r="G7138">
        <v>7128</v>
      </c>
      <c r="H7138">
        <f t="shared" ca="1" si="119"/>
        <v>3.0074107337492016E-2</v>
      </c>
    </row>
    <row r="7139" spans="7:8">
      <c r="G7139">
        <v>7129</v>
      </c>
      <c r="H7139">
        <f t="shared" ca="1" si="119"/>
        <v>-2.5372186213009455E-3</v>
      </c>
    </row>
    <row r="7140" spans="7:8">
      <c r="G7140">
        <v>7130</v>
      </c>
      <c r="H7140">
        <f t="shared" ca="1" si="119"/>
        <v>1.8096053708189355E-2</v>
      </c>
    </row>
    <row r="7141" spans="7:8">
      <c r="G7141">
        <v>7131</v>
      </c>
      <c r="H7141">
        <f t="shared" ca="1" si="119"/>
        <v>-5.9090607573609524E-3</v>
      </c>
    </row>
    <row r="7142" spans="7:8">
      <c r="G7142">
        <v>7132</v>
      </c>
      <c r="H7142">
        <f t="shared" ca="1" si="119"/>
        <v>8.6326814330373938E-3</v>
      </c>
    </row>
    <row r="7143" spans="7:8">
      <c r="G7143">
        <v>7133</v>
      </c>
      <c r="H7143">
        <f t="shared" ca="1" si="119"/>
        <v>3.1859707274839222E-2</v>
      </c>
    </row>
    <row r="7144" spans="7:8">
      <c r="G7144">
        <v>7134</v>
      </c>
      <c r="H7144">
        <f t="shared" ca="1" si="119"/>
        <v>-5.507642920493163E-2</v>
      </c>
    </row>
    <row r="7145" spans="7:8">
      <c r="G7145">
        <v>7135</v>
      </c>
      <c r="H7145">
        <f t="shared" ca="1" si="119"/>
        <v>3.3847095855755918E-2</v>
      </c>
    </row>
    <row r="7146" spans="7:8">
      <c r="G7146">
        <v>7136</v>
      </c>
      <c r="H7146">
        <f t="shared" ca="1" si="119"/>
        <v>-3.199540063387124E-3</v>
      </c>
    </row>
    <row r="7147" spans="7:8">
      <c r="G7147">
        <v>7137</v>
      </c>
      <c r="H7147">
        <f t="shared" ca="1" si="119"/>
        <v>-1.1257907919571035E-2</v>
      </c>
    </row>
    <row r="7148" spans="7:8">
      <c r="G7148">
        <v>7138</v>
      </c>
      <c r="H7148">
        <f t="shared" ca="1" si="119"/>
        <v>2.0441704417354281E-2</v>
      </c>
    </row>
    <row r="7149" spans="7:8">
      <c r="G7149">
        <v>7139</v>
      </c>
      <c r="H7149">
        <f t="shared" ca="1" si="119"/>
        <v>-1.0915661406327043E-2</v>
      </c>
    </row>
    <row r="7150" spans="7:8">
      <c r="G7150">
        <v>7140</v>
      </c>
      <c r="H7150">
        <f t="shared" ca="1" si="119"/>
        <v>-2.5968416128389526E-2</v>
      </c>
    </row>
    <row r="7151" spans="7:8">
      <c r="G7151">
        <v>7141</v>
      </c>
      <c r="H7151">
        <f t="shared" ca="1" si="119"/>
        <v>-4.7914218532890858E-3</v>
      </c>
    </row>
    <row r="7152" spans="7:8">
      <c r="G7152">
        <v>7142</v>
      </c>
      <c r="H7152">
        <f t="shared" ca="1" si="119"/>
        <v>3.384634430252104E-3</v>
      </c>
    </row>
    <row r="7153" spans="7:8">
      <c r="G7153">
        <v>7143</v>
      </c>
      <c r="H7153">
        <f t="shared" ca="1" si="119"/>
        <v>-3.1362549982660679E-2</v>
      </c>
    </row>
    <row r="7154" spans="7:8">
      <c r="G7154">
        <v>7144</v>
      </c>
      <c r="H7154">
        <f t="shared" ca="1" si="119"/>
        <v>-1.6966335763789593E-2</v>
      </c>
    </row>
    <row r="7155" spans="7:8">
      <c r="G7155">
        <v>7145</v>
      </c>
      <c r="H7155">
        <f t="shared" ca="1" si="119"/>
        <v>1.3022225985669798E-2</v>
      </c>
    </row>
    <row r="7156" spans="7:8">
      <c r="G7156">
        <v>7146</v>
      </c>
      <c r="H7156">
        <f t="shared" ca="1" si="119"/>
        <v>1.9042447445011688E-2</v>
      </c>
    </row>
    <row r="7157" spans="7:8">
      <c r="G7157">
        <v>7147</v>
      </c>
      <c r="H7157">
        <f t="shared" ca="1" si="119"/>
        <v>1.5167215231576365E-2</v>
      </c>
    </row>
    <row r="7158" spans="7:8">
      <c r="G7158">
        <v>7148</v>
      </c>
      <c r="H7158">
        <f t="shared" ca="1" si="119"/>
        <v>2.3853316753627882E-2</v>
      </c>
    </row>
    <row r="7159" spans="7:8">
      <c r="G7159">
        <v>7149</v>
      </c>
      <c r="H7159">
        <f t="shared" ca="1" si="119"/>
        <v>-2.7539661888172529E-2</v>
      </c>
    </row>
    <row r="7160" spans="7:8">
      <c r="G7160">
        <v>7150</v>
      </c>
      <c r="H7160">
        <f t="shared" ca="1" si="119"/>
        <v>-7.5070098219623084E-3</v>
      </c>
    </row>
    <row r="7161" spans="7:8">
      <c r="G7161">
        <v>7151</v>
      </c>
      <c r="H7161">
        <f t="shared" ca="1" si="119"/>
        <v>4.8917306521627915E-2</v>
      </c>
    </row>
    <row r="7162" spans="7:8">
      <c r="G7162">
        <v>7152</v>
      </c>
      <c r="H7162">
        <f t="shared" ca="1" si="119"/>
        <v>-2.6316779258489759E-2</v>
      </c>
    </row>
    <row r="7163" spans="7:8">
      <c r="G7163">
        <v>7153</v>
      </c>
      <c r="H7163">
        <f t="shared" ca="1" si="119"/>
        <v>2.539591134712926E-2</v>
      </c>
    </row>
    <row r="7164" spans="7:8">
      <c r="G7164">
        <v>7154</v>
      </c>
      <c r="H7164">
        <f t="shared" ca="1" si="119"/>
        <v>-1.5713524617585007E-2</v>
      </c>
    </row>
    <row r="7165" spans="7:8">
      <c r="G7165">
        <v>7155</v>
      </c>
      <c r="H7165">
        <f t="shared" ca="1" si="119"/>
        <v>-8.879622927492033E-3</v>
      </c>
    </row>
    <row r="7166" spans="7:8">
      <c r="G7166">
        <v>7156</v>
      </c>
      <c r="H7166">
        <f t="shared" ca="1" si="119"/>
        <v>-1.7404413837520592E-2</v>
      </c>
    </row>
    <row r="7167" spans="7:8">
      <c r="G7167">
        <v>7157</v>
      </c>
      <c r="H7167">
        <f t="shared" ca="1" si="119"/>
        <v>2.4040014395045148E-2</v>
      </c>
    </row>
    <row r="7168" spans="7:8">
      <c r="G7168">
        <v>7158</v>
      </c>
      <c r="H7168">
        <f t="shared" ca="1" si="119"/>
        <v>3.6940538070894869E-3</v>
      </c>
    </row>
    <row r="7169" spans="7:8">
      <c r="G7169">
        <v>7159</v>
      </c>
      <c r="H7169">
        <f t="shared" ca="1" si="119"/>
        <v>5.9541707357475401E-3</v>
      </c>
    </row>
    <row r="7170" spans="7:8">
      <c r="G7170">
        <v>7160</v>
      </c>
      <c r="H7170">
        <f t="shared" ca="1" si="119"/>
        <v>1.2881752128134819E-2</v>
      </c>
    </row>
    <row r="7171" spans="7:8">
      <c r="G7171">
        <v>7161</v>
      </c>
      <c r="H7171">
        <f t="shared" ca="1" si="119"/>
        <v>-1.6077857944416969E-2</v>
      </c>
    </row>
    <row r="7172" spans="7:8">
      <c r="G7172">
        <v>7162</v>
      </c>
      <c r="H7172">
        <f t="shared" ca="1" si="119"/>
        <v>1.0686309625011043E-2</v>
      </c>
    </row>
    <row r="7173" spans="7:8">
      <c r="G7173">
        <v>7163</v>
      </c>
      <c r="H7173">
        <f t="shared" ca="1" si="119"/>
        <v>-2.7177364388971293E-3</v>
      </c>
    </row>
    <row r="7174" spans="7:8">
      <c r="G7174">
        <v>7164</v>
      </c>
      <c r="H7174">
        <f t="shared" ca="1" si="119"/>
        <v>2.8719192060524149E-2</v>
      </c>
    </row>
    <row r="7175" spans="7:8">
      <c r="G7175">
        <v>7165</v>
      </c>
      <c r="H7175">
        <f t="shared" ca="1" si="119"/>
        <v>-2.8092715974073711E-2</v>
      </c>
    </row>
    <row r="7176" spans="7:8">
      <c r="G7176">
        <v>7166</v>
      </c>
      <c r="H7176">
        <f t="shared" ca="1" si="119"/>
        <v>-5.6927408137994661E-3</v>
      </c>
    </row>
    <row r="7177" spans="7:8">
      <c r="G7177">
        <v>7167</v>
      </c>
      <c r="H7177">
        <f t="shared" ca="1" si="119"/>
        <v>-1.6900802425279068E-2</v>
      </c>
    </row>
    <row r="7178" spans="7:8">
      <c r="G7178">
        <v>7168</v>
      </c>
      <c r="H7178">
        <f t="shared" ca="1" si="119"/>
        <v>2.1548782418755047E-2</v>
      </c>
    </row>
    <row r="7179" spans="7:8">
      <c r="G7179">
        <v>7169</v>
      </c>
      <c r="H7179">
        <f t="shared" ca="1" si="119"/>
        <v>-5.7268524436935231E-3</v>
      </c>
    </row>
    <row r="7180" spans="7:8">
      <c r="G7180">
        <v>7170</v>
      </c>
      <c r="H7180">
        <f t="shared" ref="H7180:H7243" ca="1" si="120">_xlfn.NORM.INV(RAND(),N$13,N$14)</f>
        <v>-1.0415920227131566E-2</v>
      </c>
    </row>
    <row r="7181" spans="7:8">
      <c r="G7181">
        <v>7171</v>
      </c>
      <c r="H7181">
        <f t="shared" ca="1" si="120"/>
        <v>3.2214717583425888E-2</v>
      </c>
    </row>
    <row r="7182" spans="7:8">
      <c r="G7182">
        <v>7172</v>
      </c>
      <c r="H7182">
        <f t="shared" ca="1" si="120"/>
        <v>9.9644598277805942E-3</v>
      </c>
    </row>
    <row r="7183" spans="7:8">
      <c r="G7183">
        <v>7173</v>
      </c>
      <c r="H7183">
        <f t="shared" ca="1" si="120"/>
        <v>1.6298277445646932E-2</v>
      </c>
    </row>
    <row r="7184" spans="7:8">
      <c r="G7184">
        <v>7174</v>
      </c>
      <c r="H7184">
        <f t="shared" ca="1" si="120"/>
        <v>3.2894185987167264E-2</v>
      </c>
    </row>
    <row r="7185" spans="7:8">
      <c r="G7185">
        <v>7175</v>
      </c>
      <c r="H7185">
        <f t="shared" ca="1" si="120"/>
        <v>-4.4673067685122851E-2</v>
      </c>
    </row>
    <row r="7186" spans="7:8">
      <c r="G7186">
        <v>7176</v>
      </c>
      <c r="H7186">
        <f t="shared" ca="1" si="120"/>
        <v>-5.0536999520100776E-3</v>
      </c>
    </row>
    <row r="7187" spans="7:8">
      <c r="G7187">
        <v>7177</v>
      </c>
      <c r="H7187">
        <f t="shared" ca="1" si="120"/>
        <v>2.693610454133561E-3</v>
      </c>
    </row>
    <row r="7188" spans="7:8">
      <c r="G7188">
        <v>7178</v>
      </c>
      <c r="H7188">
        <f t="shared" ca="1" si="120"/>
        <v>-3.742708804188134E-3</v>
      </c>
    </row>
    <row r="7189" spans="7:8">
      <c r="G7189">
        <v>7179</v>
      </c>
      <c r="H7189">
        <f t="shared" ca="1" si="120"/>
        <v>-4.1286786863183825E-3</v>
      </c>
    </row>
    <row r="7190" spans="7:8">
      <c r="G7190">
        <v>7180</v>
      </c>
      <c r="H7190">
        <f t="shared" ca="1" si="120"/>
        <v>-1.0351412366206455E-2</v>
      </c>
    </row>
    <row r="7191" spans="7:8">
      <c r="G7191">
        <v>7181</v>
      </c>
      <c r="H7191">
        <f t="shared" ca="1" si="120"/>
        <v>-8.9277555715042631E-3</v>
      </c>
    </row>
    <row r="7192" spans="7:8">
      <c r="G7192">
        <v>7182</v>
      </c>
      <c r="H7192">
        <f t="shared" ca="1" si="120"/>
        <v>1.9107786985430242E-2</v>
      </c>
    </row>
    <row r="7193" spans="7:8">
      <c r="G7193">
        <v>7183</v>
      </c>
      <c r="H7193">
        <f t="shared" ca="1" si="120"/>
        <v>7.7510785513171671E-3</v>
      </c>
    </row>
    <row r="7194" spans="7:8">
      <c r="G7194">
        <v>7184</v>
      </c>
      <c r="H7194">
        <f t="shared" ca="1" si="120"/>
        <v>6.706720940943575E-3</v>
      </c>
    </row>
    <row r="7195" spans="7:8">
      <c r="G7195">
        <v>7185</v>
      </c>
      <c r="H7195">
        <f t="shared" ca="1" si="120"/>
        <v>2.2404912902393263E-2</v>
      </c>
    </row>
    <row r="7196" spans="7:8">
      <c r="G7196">
        <v>7186</v>
      </c>
      <c r="H7196">
        <f t="shared" ca="1" si="120"/>
        <v>-4.0190102976083761E-2</v>
      </c>
    </row>
    <row r="7197" spans="7:8">
      <c r="G7197">
        <v>7187</v>
      </c>
      <c r="H7197">
        <f t="shared" ca="1" si="120"/>
        <v>4.2790627979940092E-2</v>
      </c>
    </row>
    <row r="7198" spans="7:8">
      <c r="G7198">
        <v>7188</v>
      </c>
      <c r="H7198">
        <f t="shared" ca="1" si="120"/>
        <v>7.2400520406761251E-3</v>
      </c>
    </row>
    <row r="7199" spans="7:8">
      <c r="G7199">
        <v>7189</v>
      </c>
      <c r="H7199">
        <f t="shared" ca="1" si="120"/>
        <v>1.0817956747721307E-2</v>
      </c>
    </row>
    <row r="7200" spans="7:8">
      <c r="G7200">
        <v>7190</v>
      </c>
      <c r="H7200">
        <f t="shared" ca="1" si="120"/>
        <v>9.9547585675333668E-3</v>
      </c>
    </row>
    <row r="7201" spans="7:8">
      <c r="G7201">
        <v>7191</v>
      </c>
      <c r="H7201">
        <f t="shared" ca="1" si="120"/>
        <v>-1.7507831114245399E-2</v>
      </c>
    </row>
    <row r="7202" spans="7:8">
      <c r="G7202">
        <v>7192</v>
      </c>
      <c r="H7202">
        <f t="shared" ca="1" si="120"/>
        <v>-1.5793098759941723E-2</v>
      </c>
    </row>
    <row r="7203" spans="7:8">
      <c r="G7203">
        <v>7193</v>
      </c>
      <c r="H7203">
        <f t="shared" ca="1" si="120"/>
        <v>1.6159249426430853E-2</v>
      </c>
    </row>
    <row r="7204" spans="7:8">
      <c r="G7204">
        <v>7194</v>
      </c>
      <c r="H7204">
        <f t="shared" ca="1" si="120"/>
        <v>-3.2766968870487453E-2</v>
      </c>
    </row>
    <row r="7205" spans="7:8">
      <c r="G7205">
        <v>7195</v>
      </c>
      <c r="H7205">
        <f t="shared" ca="1" si="120"/>
        <v>1.3180800985650741E-2</v>
      </c>
    </row>
    <row r="7206" spans="7:8">
      <c r="G7206">
        <v>7196</v>
      </c>
      <c r="H7206">
        <f t="shared" ca="1" si="120"/>
        <v>1.24212815773496E-2</v>
      </c>
    </row>
    <row r="7207" spans="7:8">
      <c r="G7207">
        <v>7197</v>
      </c>
      <c r="H7207">
        <f t="shared" ca="1" si="120"/>
        <v>-3.4197836824774161E-2</v>
      </c>
    </row>
    <row r="7208" spans="7:8">
      <c r="G7208">
        <v>7198</v>
      </c>
      <c r="H7208">
        <f t="shared" ca="1" si="120"/>
        <v>-8.6166488452465544E-3</v>
      </c>
    </row>
    <row r="7209" spans="7:8">
      <c r="G7209">
        <v>7199</v>
      </c>
      <c r="H7209">
        <f t="shared" ca="1" si="120"/>
        <v>-3.3968229904512905E-2</v>
      </c>
    </row>
    <row r="7210" spans="7:8">
      <c r="G7210">
        <v>7200</v>
      </c>
      <c r="H7210">
        <f t="shared" ca="1" si="120"/>
        <v>3.216484800328312E-2</v>
      </c>
    </row>
    <row r="7211" spans="7:8">
      <c r="G7211">
        <v>7201</v>
      </c>
      <c r="H7211">
        <f t="shared" ca="1" si="120"/>
        <v>6.1364236331130683E-3</v>
      </c>
    </row>
    <row r="7212" spans="7:8">
      <c r="G7212">
        <v>7202</v>
      </c>
      <c r="H7212">
        <f t="shared" ca="1" si="120"/>
        <v>-1.9514859205171944E-2</v>
      </c>
    </row>
    <row r="7213" spans="7:8">
      <c r="G7213">
        <v>7203</v>
      </c>
      <c r="H7213">
        <f t="shared" ca="1" si="120"/>
        <v>1.8358821511899173E-2</v>
      </c>
    </row>
    <row r="7214" spans="7:8">
      <c r="G7214">
        <v>7204</v>
      </c>
      <c r="H7214">
        <f t="shared" ca="1" si="120"/>
        <v>4.0288001620690003E-2</v>
      </c>
    </row>
    <row r="7215" spans="7:8">
      <c r="G7215">
        <v>7205</v>
      </c>
      <c r="H7215">
        <f t="shared" ca="1" si="120"/>
        <v>9.8397512419944409E-3</v>
      </c>
    </row>
    <row r="7216" spans="7:8">
      <c r="G7216">
        <v>7206</v>
      </c>
      <c r="H7216">
        <f t="shared" ca="1" si="120"/>
        <v>5.1915761273688046E-3</v>
      </c>
    </row>
    <row r="7217" spans="7:8">
      <c r="G7217">
        <v>7207</v>
      </c>
      <c r="H7217">
        <f t="shared" ca="1" si="120"/>
        <v>2.6580618200942204E-2</v>
      </c>
    </row>
    <row r="7218" spans="7:8">
      <c r="G7218">
        <v>7208</v>
      </c>
      <c r="H7218">
        <f t="shared" ca="1" si="120"/>
        <v>-3.529885504021802E-2</v>
      </c>
    </row>
    <row r="7219" spans="7:8">
      <c r="G7219">
        <v>7209</v>
      </c>
      <c r="H7219">
        <f t="shared" ca="1" si="120"/>
        <v>2.5021477482960321E-2</v>
      </c>
    </row>
    <row r="7220" spans="7:8">
      <c r="G7220">
        <v>7210</v>
      </c>
      <c r="H7220">
        <f t="shared" ca="1" si="120"/>
        <v>-2.9310449866995974E-2</v>
      </c>
    </row>
    <row r="7221" spans="7:8">
      <c r="G7221">
        <v>7211</v>
      </c>
      <c r="H7221">
        <f t="shared" ca="1" si="120"/>
        <v>-9.7390351385350719E-4</v>
      </c>
    </row>
    <row r="7222" spans="7:8">
      <c r="G7222">
        <v>7212</v>
      </c>
      <c r="H7222">
        <f t="shared" ca="1" si="120"/>
        <v>1.6885779209735285E-2</v>
      </c>
    </row>
    <row r="7223" spans="7:8">
      <c r="G7223">
        <v>7213</v>
      </c>
      <c r="H7223">
        <f t="shared" ca="1" si="120"/>
        <v>1.1010496562760827E-2</v>
      </c>
    </row>
    <row r="7224" spans="7:8">
      <c r="G7224">
        <v>7214</v>
      </c>
      <c r="H7224">
        <f t="shared" ca="1" si="120"/>
        <v>1.3840392347033928E-2</v>
      </c>
    </row>
    <row r="7225" spans="7:8">
      <c r="G7225">
        <v>7215</v>
      </c>
      <c r="H7225">
        <f t="shared" ca="1" si="120"/>
        <v>-7.0586883234872197E-4</v>
      </c>
    </row>
    <row r="7226" spans="7:8">
      <c r="G7226">
        <v>7216</v>
      </c>
      <c r="H7226">
        <f t="shared" ca="1" si="120"/>
        <v>1.7026764703803935E-2</v>
      </c>
    </row>
    <row r="7227" spans="7:8">
      <c r="G7227">
        <v>7217</v>
      </c>
      <c r="H7227">
        <f t="shared" ca="1" si="120"/>
        <v>1.6183163635239212E-2</v>
      </c>
    </row>
    <row r="7228" spans="7:8">
      <c r="G7228">
        <v>7218</v>
      </c>
      <c r="H7228">
        <f t="shared" ca="1" si="120"/>
        <v>-8.0953429335063436E-3</v>
      </c>
    </row>
    <row r="7229" spans="7:8">
      <c r="G7229">
        <v>7219</v>
      </c>
      <c r="H7229">
        <f t="shared" ca="1" si="120"/>
        <v>-4.4191482038629999E-2</v>
      </c>
    </row>
    <row r="7230" spans="7:8">
      <c r="G7230">
        <v>7220</v>
      </c>
      <c r="H7230">
        <f t="shared" ca="1" si="120"/>
        <v>-2.5469125219013077E-2</v>
      </c>
    </row>
    <row r="7231" spans="7:8">
      <c r="G7231">
        <v>7221</v>
      </c>
      <c r="H7231">
        <f t="shared" ca="1" si="120"/>
        <v>-2.9056387208603242E-2</v>
      </c>
    </row>
    <row r="7232" spans="7:8">
      <c r="G7232">
        <v>7222</v>
      </c>
      <c r="H7232">
        <f t="shared" ca="1" si="120"/>
        <v>-1.6649193380086934E-2</v>
      </c>
    </row>
    <row r="7233" spans="7:8">
      <c r="G7233">
        <v>7223</v>
      </c>
      <c r="H7233">
        <f t="shared" ca="1" si="120"/>
        <v>1.3166736578872431E-2</v>
      </c>
    </row>
    <row r="7234" spans="7:8">
      <c r="G7234">
        <v>7224</v>
      </c>
      <c r="H7234">
        <f t="shared" ca="1" si="120"/>
        <v>-1.7196688919479376E-2</v>
      </c>
    </row>
    <row r="7235" spans="7:8">
      <c r="G7235">
        <v>7225</v>
      </c>
      <c r="H7235">
        <f t="shared" ca="1" si="120"/>
        <v>3.6604002762550471E-2</v>
      </c>
    </row>
    <row r="7236" spans="7:8">
      <c r="G7236">
        <v>7226</v>
      </c>
      <c r="H7236">
        <f t="shared" ca="1" si="120"/>
        <v>-3.1814217931562049E-2</v>
      </c>
    </row>
    <row r="7237" spans="7:8">
      <c r="G7237">
        <v>7227</v>
      </c>
      <c r="H7237">
        <f t="shared" ca="1" si="120"/>
        <v>6.1379282639981081E-3</v>
      </c>
    </row>
    <row r="7238" spans="7:8">
      <c r="G7238">
        <v>7228</v>
      </c>
      <c r="H7238">
        <f t="shared" ca="1" si="120"/>
        <v>-1.9262926830545011E-2</v>
      </c>
    </row>
    <row r="7239" spans="7:8">
      <c r="G7239">
        <v>7229</v>
      </c>
      <c r="H7239">
        <f t="shared" ca="1" si="120"/>
        <v>3.7236566228980257E-2</v>
      </c>
    </row>
    <row r="7240" spans="7:8">
      <c r="G7240">
        <v>7230</v>
      </c>
      <c r="H7240">
        <f t="shared" ca="1" si="120"/>
        <v>9.5325169816792279E-4</v>
      </c>
    </row>
    <row r="7241" spans="7:8">
      <c r="G7241">
        <v>7231</v>
      </c>
      <c r="H7241">
        <f t="shared" ca="1" si="120"/>
        <v>1.6911061916966099E-3</v>
      </c>
    </row>
    <row r="7242" spans="7:8">
      <c r="G7242">
        <v>7232</v>
      </c>
      <c r="H7242">
        <f t="shared" ca="1" si="120"/>
        <v>-3.8673401031325515E-2</v>
      </c>
    </row>
    <row r="7243" spans="7:8">
      <c r="G7243">
        <v>7233</v>
      </c>
      <c r="H7243">
        <f t="shared" ca="1" si="120"/>
        <v>1.7619028597638163E-2</v>
      </c>
    </row>
    <row r="7244" spans="7:8">
      <c r="G7244">
        <v>7234</v>
      </c>
      <c r="H7244">
        <f t="shared" ref="H7244:H7307" ca="1" si="121">_xlfn.NORM.INV(RAND(),N$13,N$14)</f>
        <v>-4.983826690513846E-3</v>
      </c>
    </row>
    <row r="7245" spans="7:8">
      <c r="G7245">
        <v>7235</v>
      </c>
      <c r="H7245">
        <f t="shared" ca="1" si="121"/>
        <v>2.0817201433934233E-2</v>
      </c>
    </row>
    <row r="7246" spans="7:8">
      <c r="G7246">
        <v>7236</v>
      </c>
      <c r="H7246">
        <f t="shared" ca="1" si="121"/>
        <v>3.0329476285191476E-3</v>
      </c>
    </row>
    <row r="7247" spans="7:8">
      <c r="G7247">
        <v>7237</v>
      </c>
      <c r="H7247">
        <f t="shared" ca="1" si="121"/>
        <v>-9.6624836370970985E-3</v>
      </c>
    </row>
    <row r="7248" spans="7:8">
      <c r="G7248">
        <v>7238</v>
      </c>
      <c r="H7248">
        <f t="shared" ca="1" si="121"/>
        <v>-1.3796654358196747E-2</v>
      </c>
    </row>
    <row r="7249" spans="7:8">
      <c r="G7249">
        <v>7239</v>
      </c>
      <c r="H7249">
        <f t="shared" ca="1" si="121"/>
        <v>4.2991366406515547E-2</v>
      </c>
    </row>
    <row r="7250" spans="7:8">
      <c r="G7250">
        <v>7240</v>
      </c>
      <c r="H7250">
        <f t="shared" ca="1" si="121"/>
        <v>1.9180228841762681E-2</v>
      </c>
    </row>
    <row r="7251" spans="7:8">
      <c r="G7251">
        <v>7241</v>
      </c>
      <c r="H7251">
        <f t="shared" ca="1" si="121"/>
        <v>-2.9703570718674813E-2</v>
      </c>
    </row>
    <row r="7252" spans="7:8">
      <c r="G7252">
        <v>7242</v>
      </c>
      <c r="H7252">
        <f t="shared" ca="1" si="121"/>
        <v>4.1254922397515343E-3</v>
      </c>
    </row>
    <row r="7253" spans="7:8">
      <c r="G7253">
        <v>7243</v>
      </c>
      <c r="H7253">
        <f t="shared" ca="1" si="121"/>
        <v>-2.4095802328264301E-2</v>
      </c>
    </row>
    <row r="7254" spans="7:8">
      <c r="G7254">
        <v>7244</v>
      </c>
      <c r="H7254">
        <f t="shared" ca="1" si="121"/>
        <v>3.5673695404143425E-2</v>
      </c>
    </row>
    <row r="7255" spans="7:8">
      <c r="G7255">
        <v>7245</v>
      </c>
      <c r="H7255">
        <f t="shared" ca="1" si="121"/>
        <v>-4.2007756908668765E-2</v>
      </c>
    </row>
    <row r="7256" spans="7:8">
      <c r="G7256">
        <v>7246</v>
      </c>
      <c r="H7256">
        <f t="shared" ca="1" si="121"/>
        <v>1.6800843211373352E-2</v>
      </c>
    </row>
    <row r="7257" spans="7:8">
      <c r="G7257">
        <v>7247</v>
      </c>
      <c r="H7257">
        <f t="shared" ca="1" si="121"/>
        <v>5.07365473568488E-2</v>
      </c>
    </row>
    <row r="7258" spans="7:8">
      <c r="G7258">
        <v>7248</v>
      </c>
      <c r="H7258">
        <f t="shared" ca="1" si="121"/>
        <v>-4.2166289270397948E-3</v>
      </c>
    </row>
    <row r="7259" spans="7:8">
      <c r="G7259">
        <v>7249</v>
      </c>
      <c r="H7259">
        <f t="shared" ca="1" si="121"/>
        <v>2.7009521117132295E-2</v>
      </c>
    </row>
    <row r="7260" spans="7:8">
      <c r="G7260">
        <v>7250</v>
      </c>
      <c r="H7260">
        <f t="shared" ca="1" si="121"/>
        <v>-1.619523983648016E-2</v>
      </c>
    </row>
    <row r="7261" spans="7:8">
      <c r="G7261">
        <v>7251</v>
      </c>
      <c r="H7261">
        <f t="shared" ca="1" si="121"/>
        <v>2.9435756901194623E-2</v>
      </c>
    </row>
    <row r="7262" spans="7:8">
      <c r="G7262">
        <v>7252</v>
      </c>
      <c r="H7262">
        <f t="shared" ca="1" si="121"/>
        <v>-1.1844328141554337E-2</v>
      </c>
    </row>
    <row r="7263" spans="7:8">
      <c r="G7263">
        <v>7253</v>
      </c>
      <c r="H7263">
        <f t="shared" ca="1" si="121"/>
        <v>4.4843224585651459E-2</v>
      </c>
    </row>
    <row r="7264" spans="7:8">
      <c r="G7264">
        <v>7254</v>
      </c>
      <c r="H7264">
        <f t="shared" ca="1" si="121"/>
        <v>-1.2407517565686798E-2</v>
      </c>
    </row>
    <row r="7265" spans="7:8">
      <c r="G7265">
        <v>7255</v>
      </c>
      <c r="H7265">
        <f t="shared" ca="1" si="121"/>
        <v>5.7626461586571713E-3</v>
      </c>
    </row>
    <row r="7266" spans="7:8">
      <c r="G7266">
        <v>7256</v>
      </c>
      <c r="H7266">
        <f t="shared" ca="1" si="121"/>
        <v>3.5210231070430469E-2</v>
      </c>
    </row>
    <row r="7267" spans="7:8">
      <c r="G7267">
        <v>7257</v>
      </c>
      <c r="H7267">
        <f t="shared" ca="1" si="121"/>
        <v>2.3497869213814346E-2</v>
      </c>
    </row>
    <row r="7268" spans="7:8">
      <c r="G7268">
        <v>7258</v>
      </c>
      <c r="H7268">
        <f t="shared" ca="1" si="121"/>
        <v>1.4304499880027938E-2</v>
      </c>
    </row>
    <row r="7269" spans="7:8">
      <c r="G7269">
        <v>7259</v>
      </c>
      <c r="H7269">
        <f t="shared" ca="1" si="121"/>
        <v>-3.9093274317286986E-2</v>
      </c>
    </row>
    <row r="7270" spans="7:8">
      <c r="G7270">
        <v>7260</v>
      </c>
      <c r="H7270">
        <f t="shared" ca="1" si="121"/>
        <v>-3.3602493768769476E-2</v>
      </c>
    </row>
    <row r="7271" spans="7:8">
      <c r="G7271">
        <v>7261</v>
      </c>
      <c r="H7271">
        <f t="shared" ca="1" si="121"/>
        <v>1.9235818911511567E-3</v>
      </c>
    </row>
    <row r="7272" spans="7:8">
      <c r="G7272">
        <v>7262</v>
      </c>
      <c r="H7272">
        <f t="shared" ca="1" si="121"/>
        <v>-1.8121305601395528E-2</v>
      </c>
    </row>
    <row r="7273" spans="7:8">
      <c r="G7273">
        <v>7263</v>
      </c>
      <c r="H7273">
        <f t="shared" ca="1" si="121"/>
        <v>2.7117368696153398E-2</v>
      </c>
    </row>
    <row r="7274" spans="7:8">
      <c r="G7274">
        <v>7264</v>
      </c>
      <c r="H7274">
        <f t="shared" ca="1" si="121"/>
        <v>-1.819115216877349E-2</v>
      </c>
    </row>
    <row r="7275" spans="7:8">
      <c r="G7275">
        <v>7265</v>
      </c>
      <c r="H7275">
        <f t="shared" ca="1" si="121"/>
        <v>-1.9291870731763156E-2</v>
      </c>
    </row>
    <row r="7276" spans="7:8">
      <c r="G7276">
        <v>7266</v>
      </c>
      <c r="H7276">
        <f t="shared" ca="1" si="121"/>
        <v>-1.4476241002277526E-2</v>
      </c>
    </row>
    <row r="7277" spans="7:8">
      <c r="G7277">
        <v>7267</v>
      </c>
      <c r="H7277">
        <f t="shared" ca="1" si="121"/>
        <v>-7.0250537262818054E-3</v>
      </c>
    </row>
    <row r="7278" spans="7:8">
      <c r="G7278">
        <v>7268</v>
      </c>
      <c r="H7278">
        <f t="shared" ca="1" si="121"/>
        <v>4.2690483144433265E-2</v>
      </c>
    </row>
    <row r="7279" spans="7:8">
      <c r="G7279">
        <v>7269</v>
      </c>
      <c r="H7279">
        <f t="shared" ca="1" si="121"/>
        <v>8.4915948732562623E-3</v>
      </c>
    </row>
    <row r="7280" spans="7:8">
      <c r="G7280">
        <v>7270</v>
      </c>
      <c r="H7280">
        <f t="shared" ca="1" si="121"/>
        <v>-1.1696945827159539E-2</v>
      </c>
    </row>
    <row r="7281" spans="7:8">
      <c r="G7281">
        <v>7271</v>
      </c>
      <c r="H7281">
        <f t="shared" ca="1" si="121"/>
        <v>-3.5276770892526725E-2</v>
      </c>
    </row>
    <row r="7282" spans="7:8">
      <c r="G7282">
        <v>7272</v>
      </c>
      <c r="H7282">
        <f t="shared" ca="1" si="121"/>
        <v>-1.8589689951501753E-3</v>
      </c>
    </row>
    <row r="7283" spans="7:8">
      <c r="G7283">
        <v>7273</v>
      </c>
      <c r="H7283">
        <f t="shared" ca="1" si="121"/>
        <v>1.709639458650521E-2</v>
      </c>
    </row>
    <row r="7284" spans="7:8">
      <c r="G7284">
        <v>7274</v>
      </c>
      <c r="H7284">
        <f t="shared" ca="1" si="121"/>
        <v>-3.3164016601791323E-2</v>
      </c>
    </row>
    <row r="7285" spans="7:8">
      <c r="G7285">
        <v>7275</v>
      </c>
      <c r="H7285">
        <f t="shared" ca="1" si="121"/>
        <v>-1.0727727786537238E-2</v>
      </c>
    </row>
    <row r="7286" spans="7:8">
      <c r="G7286">
        <v>7276</v>
      </c>
      <c r="H7286">
        <f t="shared" ca="1" si="121"/>
        <v>-8.76160082319125E-4</v>
      </c>
    </row>
    <row r="7287" spans="7:8">
      <c r="G7287">
        <v>7277</v>
      </c>
      <c r="H7287">
        <f t="shared" ca="1" si="121"/>
        <v>1.0293930597040687E-2</v>
      </c>
    </row>
    <row r="7288" spans="7:8">
      <c r="G7288">
        <v>7278</v>
      </c>
      <c r="H7288">
        <f t="shared" ca="1" si="121"/>
        <v>-1.0406217138080247E-2</v>
      </c>
    </row>
    <row r="7289" spans="7:8">
      <c r="G7289">
        <v>7279</v>
      </c>
      <c r="H7289">
        <f t="shared" ca="1" si="121"/>
        <v>3.3095304235194148E-2</v>
      </c>
    </row>
    <row r="7290" spans="7:8">
      <c r="G7290">
        <v>7280</v>
      </c>
      <c r="H7290">
        <f t="shared" ca="1" si="121"/>
        <v>-1.000784683902686E-3</v>
      </c>
    </row>
    <row r="7291" spans="7:8">
      <c r="G7291">
        <v>7281</v>
      </c>
      <c r="H7291">
        <f t="shared" ca="1" si="121"/>
        <v>1.8134575059900147E-3</v>
      </c>
    </row>
    <row r="7292" spans="7:8">
      <c r="G7292">
        <v>7282</v>
      </c>
      <c r="H7292">
        <f t="shared" ca="1" si="121"/>
        <v>-2.0095759658729676E-2</v>
      </c>
    </row>
    <row r="7293" spans="7:8">
      <c r="G7293">
        <v>7283</v>
      </c>
      <c r="H7293">
        <f t="shared" ca="1" si="121"/>
        <v>-1.0671222244220814E-3</v>
      </c>
    </row>
    <row r="7294" spans="7:8">
      <c r="G7294">
        <v>7284</v>
      </c>
      <c r="H7294">
        <f t="shared" ca="1" si="121"/>
        <v>2.6606323989096337E-2</v>
      </c>
    </row>
    <row r="7295" spans="7:8">
      <c r="G7295">
        <v>7285</v>
      </c>
      <c r="H7295">
        <f t="shared" ca="1" si="121"/>
        <v>1.1892890656752178E-2</v>
      </c>
    </row>
    <row r="7296" spans="7:8">
      <c r="G7296">
        <v>7286</v>
      </c>
      <c r="H7296">
        <f t="shared" ca="1" si="121"/>
        <v>4.0040827023255003E-2</v>
      </c>
    </row>
    <row r="7297" spans="7:8">
      <c r="G7297">
        <v>7287</v>
      </c>
      <c r="H7297">
        <f t="shared" ca="1" si="121"/>
        <v>3.1046296784452091E-3</v>
      </c>
    </row>
    <row r="7298" spans="7:8">
      <c r="G7298">
        <v>7288</v>
      </c>
      <c r="H7298">
        <f t="shared" ca="1" si="121"/>
        <v>1.3469757172341111E-3</v>
      </c>
    </row>
    <row r="7299" spans="7:8">
      <c r="G7299">
        <v>7289</v>
      </c>
      <c r="H7299">
        <f t="shared" ca="1" si="121"/>
        <v>-1.6255987439558212E-2</v>
      </c>
    </row>
    <row r="7300" spans="7:8">
      <c r="G7300">
        <v>7290</v>
      </c>
      <c r="H7300">
        <f t="shared" ca="1" si="121"/>
        <v>-8.0891004268477864E-3</v>
      </c>
    </row>
    <row r="7301" spans="7:8">
      <c r="G7301">
        <v>7291</v>
      </c>
      <c r="H7301">
        <f t="shared" ca="1" si="121"/>
        <v>2.647054000828418E-2</v>
      </c>
    </row>
    <row r="7302" spans="7:8">
      <c r="G7302">
        <v>7292</v>
      </c>
      <c r="H7302">
        <f t="shared" ca="1" si="121"/>
        <v>1.2197984585706468E-3</v>
      </c>
    </row>
    <row r="7303" spans="7:8">
      <c r="G7303">
        <v>7293</v>
      </c>
      <c r="H7303">
        <f t="shared" ca="1" si="121"/>
        <v>-1.2028632954144292E-2</v>
      </c>
    </row>
    <row r="7304" spans="7:8">
      <c r="G7304">
        <v>7294</v>
      </c>
      <c r="H7304">
        <f t="shared" ca="1" si="121"/>
        <v>2.0028365696366798E-4</v>
      </c>
    </row>
    <row r="7305" spans="7:8">
      <c r="G7305">
        <v>7295</v>
      </c>
      <c r="H7305">
        <f t="shared" ca="1" si="121"/>
        <v>4.0421102356197641E-2</v>
      </c>
    </row>
    <row r="7306" spans="7:8">
      <c r="G7306">
        <v>7296</v>
      </c>
      <c r="H7306">
        <f t="shared" ca="1" si="121"/>
        <v>-1.5317024849743024E-2</v>
      </c>
    </row>
    <row r="7307" spans="7:8">
      <c r="G7307">
        <v>7297</v>
      </c>
      <c r="H7307">
        <f t="shared" ca="1" si="121"/>
        <v>7.7180407515127294E-3</v>
      </c>
    </row>
    <row r="7308" spans="7:8">
      <c r="G7308">
        <v>7298</v>
      </c>
      <c r="H7308">
        <f t="shared" ref="H7308:H7371" ca="1" si="122">_xlfn.NORM.INV(RAND(),N$13,N$14)</f>
        <v>3.8714414919484151E-2</v>
      </c>
    </row>
    <row r="7309" spans="7:8">
      <c r="G7309">
        <v>7299</v>
      </c>
      <c r="H7309">
        <f t="shared" ca="1" si="122"/>
        <v>9.9384610540751116E-3</v>
      </c>
    </row>
    <row r="7310" spans="7:8">
      <c r="G7310">
        <v>7300</v>
      </c>
      <c r="H7310">
        <f t="shared" ca="1" si="122"/>
        <v>-4.6863292752161107E-3</v>
      </c>
    </row>
    <row r="7311" spans="7:8">
      <c r="G7311">
        <v>7301</v>
      </c>
      <c r="H7311">
        <f t="shared" ca="1" si="122"/>
        <v>5.7874690835289649E-3</v>
      </c>
    </row>
    <row r="7312" spans="7:8">
      <c r="G7312">
        <v>7302</v>
      </c>
      <c r="H7312">
        <f t="shared" ca="1" si="122"/>
        <v>1.9321120529191708E-2</v>
      </c>
    </row>
    <row r="7313" spans="7:8">
      <c r="G7313">
        <v>7303</v>
      </c>
      <c r="H7313">
        <f t="shared" ca="1" si="122"/>
        <v>1.568133501576402E-2</v>
      </c>
    </row>
    <row r="7314" spans="7:8">
      <c r="G7314">
        <v>7304</v>
      </c>
      <c r="H7314">
        <f t="shared" ca="1" si="122"/>
        <v>1.6316184738385815E-2</v>
      </c>
    </row>
    <row r="7315" spans="7:8">
      <c r="G7315">
        <v>7305</v>
      </c>
      <c r="H7315">
        <f t="shared" ca="1" si="122"/>
        <v>2.3653892428528462E-2</v>
      </c>
    </row>
    <row r="7316" spans="7:8">
      <c r="G7316">
        <v>7306</v>
      </c>
      <c r="H7316">
        <f t="shared" ca="1" si="122"/>
        <v>2.1615211569934831E-2</v>
      </c>
    </row>
    <row r="7317" spans="7:8">
      <c r="G7317">
        <v>7307</v>
      </c>
      <c r="H7317">
        <f t="shared" ca="1" si="122"/>
        <v>-1.0517255910743583E-2</v>
      </c>
    </row>
    <row r="7318" spans="7:8">
      <c r="G7318">
        <v>7308</v>
      </c>
      <c r="H7318">
        <f t="shared" ca="1" si="122"/>
        <v>2.1553413833103059E-2</v>
      </c>
    </row>
    <row r="7319" spans="7:8">
      <c r="G7319">
        <v>7309</v>
      </c>
      <c r="H7319">
        <f t="shared" ca="1" si="122"/>
        <v>-8.9077601692663082E-3</v>
      </c>
    </row>
    <row r="7320" spans="7:8">
      <c r="G7320">
        <v>7310</v>
      </c>
      <c r="H7320">
        <f t="shared" ca="1" si="122"/>
        <v>-5.3017128781185099E-2</v>
      </c>
    </row>
    <row r="7321" spans="7:8">
      <c r="G7321">
        <v>7311</v>
      </c>
      <c r="H7321">
        <f t="shared" ca="1" si="122"/>
        <v>-1.2515994357899787E-3</v>
      </c>
    </row>
    <row r="7322" spans="7:8">
      <c r="G7322">
        <v>7312</v>
      </c>
      <c r="H7322">
        <f t="shared" ca="1" si="122"/>
        <v>8.8533570982553579E-3</v>
      </c>
    </row>
    <row r="7323" spans="7:8">
      <c r="G7323">
        <v>7313</v>
      </c>
      <c r="H7323">
        <f t="shared" ca="1" si="122"/>
        <v>-2.2157146650506162E-2</v>
      </c>
    </row>
    <row r="7324" spans="7:8">
      <c r="G7324">
        <v>7314</v>
      </c>
      <c r="H7324">
        <f t="shared" ca="1" si="122"/>
        <v>2.1768404930209869E-2</v>
      </c>
    </row>
    <row r="7325" spans="7:8">
      <c r="G7325">
        <v>7315</v>
      </c>
      <c r="H7325">
        <f t="shared" ca="1" si="122"/>
        <v>-1.2701776353361199E-2</v>
      </c>
    </row>
    <row r="7326" spans="7:8">
      <c r="G7326">
        <v>7316</v>
      </c>
      <c r="H7326">
        <f t="shared" ca="1" si="122"/>
        <v>-5.7189471640132754E-3</v>
      </c>
    </row>
    <row r="7327" spans="7:8">
      <c r="G7327">
        <v>7317</v>
      </c>
      <c r="H7327">
        <f t="shared" ca="1" si="122"/>
        <v>1.1308030994405584E-2</v>
      </c>
    </row>
    <row r="7328" spans="7:8">
      <c r="G7328">
        <v>7318</v>
      </c>
      <c r="H7328">
        <f t="shared" ca="1" si="122"/>
        <v>9.7704187109134508E-3</v>
      </c>
    </row>
    <row r="7329" spans="7:8">
      <c r="G7329">
        <v>7319</v>
      </c>
      <c r="H7329">
        <f t="shared" ca="1" si="122"/>
        <v>-3.6024641204720959E-3</v>
      </c>
    </row>
    <row r="7330" spans="7:8">
      <c r="G7330">
        <v>7320</v>
      </c>
      <c r="H7330">
        <f t="shared" ca="1" si="122"/>
        <v>4.1061342227545379E-2</v>
      </c>
    </row>
    <row r="7331" spans="7:8">
      <c r="G7331">
        <v>7321</v>
      </c>
      <c r="H7331">
        <f t="shared" ca="1" si="122"/>
        <v>3.4623871636868038E-2</v>
      </c>
    </row>
    <row r="7332" spans="7:8">
      <c r="G7332">
        <v>7322</v>
      </c>
      <c r="H7332">
        <f t="shared" ca="1" si="122"/>
        <v>-1.700020384156083E-2</v>
      </c>
    </row>
    <row r="7333" spans="7:8">
      <c r="G7333">
        <v>7323</v>
      </c>
      <c r="H7333">
        <f t="shared" ca="1" si="122"/>
        <v>-6.0789591235085932E-3</v>
      </c>
    </row>
    <row r="7334" spans="7:8">
      <c r="G7334">
        <v>7324</v>
      </c>
      <c r="H7334">
        <f t="shared" ca="1" si="122"/>
        <v>-3.6011771410089911E-2</v>
      </c>
    </row>
    <row r="7335" spans="7:8">
      <c r="G7335">
        <v>7325</v>
      </c>
      <c r="H7335">
        <f t="shared" ca="1" si="122"/>
        <v>-1.1495621708730121E-2</v>
      </c>
    </row>
    <row r="7336" spans="7:8">
      <c r="G7336">
        <v>7326</v>
      </c>
      <c r="H7336">
        <f t="shared" ca="1" si="122"/>
        <v>1.4731726761923608E-2</v>
      </c>
    </row>
    <row r="7337" spans="7:8">
      <c r="G7337">
        <v>7327</v>
      </c>
      <c r="H7337">
        <f t="shared" ca="1" si="122"/>
        <v>-7.4695823616565413E-3</v>
      </c>
    </row>
    <row r="7338" spans="7:8">
      <c r="G7338">
        <v>7328</v>
      </c>
      <c r="H7338">
        <f t="shared" ca="1" si="122"/>
        <v>-3.9969477567794376E-3</v>
      </c>
    </row>
    <row r="7339" spans="7:8">
      <c r="G7339">
        <v>7329</v>
      </c>
      <c r="H7339">
        <f t="shared" ca="1" si="122"/>
        <v>-1.1903900557622473E-2</v>
      </c>
    </row>
    <row r="7340" spans="7:8">
      <c r="G7340">
        <v>7330</v>
      </c>
      <c r="H7340">
        <f t="shared" ca="1" si="122"/>
        <v>2.8157255190224523E-2</v>
      </c>
    </row>
    <row r="7341" spans="7:8">
      <c r="G7341">
        <v>7331</v>
      </c>
      <c r="H7341">
        <f t="shared" ca="1" si="122"/>
        <v>3.491106886452796E-2</v>
      </c>
    </row>
    <row r="7342" spans="7:8">
      <c r="G7342">
        <v>7332</v>
      </c>
      <c r="H7342">
        <f t="shared" ca="1" si="122"/>
        <v>-9.9987856063290335E-3</v>
      </c>
    </row>
    <row r="7343" spans="7:8">
      <c r="G7343">
        <v>7333</v>
      </c>
      <c r="H7343">
        <f t="shared" ca="1" si="122"/>
        <v>-2.1252279362487091E-2</v>
      </c>
    </row>
    <row r="7344" spans="7:8">
      <c r="G7344">
        <v>7334</v>
      </c>
      <c r="H7344">
        <f t="shared" ca="1" si="122"/>
        <v>-8.1128051998236202E-3</v>
      </c>
    </row>
    <row r="7345" spans="7:8">
      <c r="G7345">
        <v>7335</v>
      </c>
      <c r="H7345">
        <f t="shared" ca="1" si="122"/>
        <v>-4.1116555855263991E-2</v>
      </c>
    </row>
    <row r="7346" spans="7:8">
      <c r="G7346">
        <v>7336</v>
      </c>
      <c r="H7346">
        <f t="shared" ca="1" si="122"/>
        <v>-2.1170475284571711E-2</v>
      </c>
    </row>
    <row r="7347" spans="7:8">
      <c r="G7347">
        <v>7337</v>
      </c>
      <c r="H7347">
        <f t="shared" ca="1" si="122"/>
        <v>2.3824346184033496E-2</v>
      </c>
    </row>
    <row r="7348" spans="7:8">
      <c r="G7348">
        <v>7338</v>
      </c>
      <c r="H7348">
        <f t="shared" ca="1" si="122"/>
        <v>-2.3367991255019635E-2</v>
      </c>
    </row>
    <row r="7349" spans="7:8">
      <c r="G7349">
        <v>7339</v>
      </c>
      <c r="H7349">
        <f t="shared" ca="1" si="122"/>
        <v>-2.4597554805760723E-2</v>
      </c>
    </row>
    <row r="7350" spans="7:8">
      <c r="G7350">
        <v>7340</v>
      </c>
      <c r="H7350">
        <f t="shared" ca="1" si="122"/>
        <v>-1.743230050450018E-3</v>
      </c>
    </row>
    <row r="7351" spans="7:8">
      <c r="G7351">
        <v>7341</v>
      </c>
      <c r="H7351">
        <f t="shared" ca="1" si="122"/>
        <v>-1.4429526020509464E-2</v>
      </c>
    </row>
    <row r="7352" spans="7:8">
      <c r="G7352">
        <v>7342</v>
      </c>
      <c r="H7352">
        <f t="shared" ca="1" si="122"/>
        <v>-2.2787610778204591E-3</v>
      </c>
    </row>
    <row r="7353" spans="7:8">
      <c r="G7353">
        <v>7343</v>
      </c>
      <c r="H7353">
        <f t="shared" ca="1" si="122"/>
        <v>-3.3778953518366621E-2</v>
      </c>
    </row>
    <row r="7354" spans="7:8">
      <c r="G7354">
        <v>7344</v>
      </c>
      <c r="H7354">
        <f t="shared" ca="1" si="122"/>
        <v>-4.6310541171885995E-2</v>
      </c>
    </row>
    <row r="7355" spans="7:8">
      <c r="G7355">
        <v>7345</v>
      </c>
      <c r="H7355">
        <f t="shared" ca="1" si="122"/>
        <v>3.7636490705047453E-2</v>
      </c>
    </row>
    <row r="7356" spans="7:8">
      <c r="G7356">
        <v>7346</v>
      </c>
      <c r="H7356">
        <f t="shared" ca="1" si="122"/>
        <v>2.9620799194068681E-2</v>
      </c>
    </row>
    <row r="7357" spans="7:8">
      <c r="G7357">
        <v>7347</v>
      </c>
      <c r="H7357">
        <f t="shared" ca="1" si="122"/>
        <v>-1.9121117059780691E-2</v>
      </c>
    </row>
    <row r="7358" spans="7:8">
      <c r="G7358">
        <v>7348</v>
      </c>
      <c r="H7358">
        <f t="shared" ca="1" si="122"/>
        <v>3.3100525918853714E-2</v>
      </c>
    </row>
    <row r="7359" spans="7:8">
      <c r="G7359">
        <v>7349</v>
      </c>
      <c r="H7359">
        <f t="shared" ca="1" si="122"/>
        <v>4.8137521693164709E-2</v>
      </c>
    </row>
    <row r="7360" spans="7:8">
      <c r="G7360">
        <v>7350</v>
      </c>
      <c r="H7360">
        <f t="shared" ca="1" si="122"/>
        <v>-5.8052867846847336E-3</v>
      </c>
    </row>
    <row r="7361" spans="7:8">
      <c r="G7361">
        <v>7351</v>
      </c>
      <c r="H7361">
        <f t="shared" ca="1" si="122"/>
        <v>-1.943862692663844E-2</v>
      </c>
    </row>
    <row r="7362" spans="7:8">
      <c r="G7362">
        <v>7352</v>
      </c>
      <c r="H7362">
        <f t="shared" ca="1" si="122"/>
        <v>-1.9751263199108894E-2</v>
      </c>
    </row>
    <row r="7363" spans="7:8">
      <c r="G7363">
        <v>7353</v>
      </c>
      <c r="H7363">
        <f t="shared" ca="1" si="122"/>
        <v>1.1821279372795264E-2</v>
      </c>
    </row>
    <row r="7364" spans="7:8">
      <c r="G7364">
        <v>7354</v>
      </c>
      <c r="H7364">
        <f t="shared" ca="1" si="122"/>
        <v>2.5039056344096297E-2</v>
      </c>
    </row>
    <row r="7365" spans="7:8">
      <c r="G7365">
        <v>7355</v>
      </c>
      <c r="H7365">
        <f t="shared" ca="1" si="122"/>
        <v>2.9119060039808943E-3</v>
      </c>
    </row>
    <row r="7366" spans="7:8">
      <c r="G7366">
        <v>7356</v>
      </c>
      <c r="H7366">
        <f t="shared" ca="1" si="122"/>
        <v>1.367155549254348E-2</v>
      </c>
    </row>
    <row r="7367" spans="7:8">
      <c r="G7367">
        <v>7357</v>
      </c>
      <c r="H7367">
        <f t="shared" ca="1" si="122"/>
        <v>1.4999322135522131E-2</v>
      </c>
    </row>
    <row r="7368" spans="7:8">
      <c r="G7368">
        <v>7358</v>
      </c>
      <c r="H7368">
        <f t="shared" ca="1" si="122"/>
        <v>1.8940069237126999E-2</v>
      </c>
    </row>
    <row r="7369" spans="7:8">
      <c r="G7369">
        <v>7359</v>
      </c>
      <c r="H7369">
        <f t="shared" ca="1" si="122"/>
        <v>1.2703472132203597E-2</v>
      </c>
    </row>
    <row r="7370" spans="7:8">
      <c r="G7370">
        <v>7360</v>
      </c>
      <c r="H7370">
        <f t="shared" ca="1" si="122"/>
        <v>-1.8499912129842512E-2</v>
      </c>
    </row>
    <row r="7371" spans="7:8">
      <c r="G7371">
        <v>7361</v>
      </c>
      <c r="H7371">
        <f t="shared" ca="1" si="122"/>
        <v>-4.2044220154430052E-2</v>
      </c>
    </row>
    <row r="7372" spans="7:8">
      <c r="G7372">
        <v>7362</v>
      </c>
      <c r="H7372">
        <f t="shared" ref="H7372:H7435" ca="1" si="123">_xlfn.NORM.INV(RAND(),N$13,N$14)</f>
        <v>2.375937874033961E-2</v>
      </c>
    </row>
    <row r="7373" spans="7:8">
      <c r="G7373">
        <v>7363</v>
      </c>
      <c r="H7373">
        <f t="shared" ca="1" si="123"/>
        <v>-3.8561794400266158E-3</v>
      </c>
    </row>
    <row r="7374" spans="7:8">
      <c r="G7374">
        <v>7364</v>
      </c>
      <c r="H7374">
        <f t="shared" ca="1" si="123"/>
        <v>-1.2247319242055408E-2</v>
      </c>
    </row>
    <row r="7375" spans="7:8">
      <c r="G7375">
        <v>7365</v>
      </c>
      <c r="H7375">
        <f t="shared" ca="1" si="123"/>
        <v>3.3156477612886863E-2</v>
      </c>
    </row>
    <row r="7376" spans="7:8">
      <c r="G7376">
        <v>7366</v>
      </c>
      <c r="H7376">
        <f t="shared" ca="1" si="123"/>
        <v>8.7997939114146662E-3</v>
      </c>
    </row>
    <row r="7377" spans="7:8">
      <c r="G7377">
        <v>7367</v>
      </c>
      <c r="H7377">
        <f t="shared" ca="1" si="123"/>
        <v>-6.4956640971670443E-3</v>
      </c>
    </row>
    <row r="7378" spans="7:8">
      <c r="G7378">
        <v>7368</v>
      </c>
      <c r="H7378">
        <f t="shared" ca="1" si="123"/>
        <v>-6.9115538259102976E-3</v>
      </c>
    </row>
    <row r="7379" spans="7:8">
      <c r="G7379">
        <v>7369</v>
      </c>
      <c r="H7379">
        <f t="shared" ca="1" si="123"/>
        <v>-3.6336210069957804E-2</v>
      </c>
    </row>
    <row r="7380" spans="7:8">
      <c r="G7380">
        <v>7370</v>
      </c>
      <c r="H7380">
        <f t="shared" ca="1" si="123"/>
        <v>4.8103203017826959E-2</v>
      </c>
    </row>
    <row r="7381" spans="7:8">
      <c r="G7381">
        <v>7371</v>
      </c>
      <c r="H7381">
        <f t="shared" ca="1" si="123"/>
        <v>-2.8731819375294818E-2</v>
      </c>
    </row>
    <row r="7382" spans="7:8">
      <c r="G7382">
        <v>7372</v>
      </c>
      <c r="H7382">
        <f t="shared" ca="1" si="123"/>
        <v>1.5509724708644921E-2</v>
      </c>
    </row>
    <row r="7383" spans="7:8">
      <c r="G7383">
        <v>7373</v>
      </c>
      <c r="H7383">
        <f t="shared" ca="1" si="123"/>
        <v>-1.8391451226894437E-2</v>
      </c>
    </row>
    <row r="7384" spans="7:8">
      <c r="G7384">
        <v>7374</v>
      </c>
      <c r="H7384">
        <f t="shared" ca="1" si="123"/>
        <v>1.8617851010881421E-3</v>
      </c>
    </row>
    <row r="7385" spans="7:8">
      <c r="G7385">
        <v>7375</v>
      </c>
      <c r="H7385">
        <f t="shared" ca="1" si="123"/>
        <v>1.5007425043543179E-2</v>
      </c>
    </row>
    <row r="7386" spans="7:8">
      <c r="G7386">
        <v>7376</v>
      </c>
      <c r="H7386">
        <f t="shared" ca="1" si="123"/>
        <v>8.939462760378044E-3</v>
      </c>
    </row>
    <row r="7387" spans="7:8">
      <c r="G7387">
        <v>7377</v>
      </c>
      <c r="H7387">
        <f t="shared" ca="1" si="123"/>
        <v>1.1211757144143008E-2</v>
      </c>
    </row>
    <row r="7388" spans="7:8">
      <c r="G7388">
        <v>7378</v>
      </c>
      <c r="H7388">
        <f t="shared" ca="1" si="123"/>
        <v>8.1204191951595537E-3</v>
      </c>
    </row>
    <row r="7389" spans="7:8">
      <c r="G7389">
        <v>7379</v>
      </c>
      <c r="H7389">
        <f t="shared" ca="1" si="123"/>
        <v>3.0065959034550477E-2</v>
      </c>
    </row>
    <row r="7390" spans="7:8">
      <c r="G7390">
        <v>7380</v>
      </c>
      <c r="H7390">
        <f t="shared" ca="1" si="123"/>
        <v>1.7353719967387018E-2</v>
      </c>
    </row>
    <row r="7391" spans="7:8">
      <c r="G7391">
        <v>7381</v>
      </c>
      <c r="H7391">
        <f t="shared" ca="1" si="123"/>
        <v>8.1941592172073384E-3</v>
      </c>
    </row>
    <row r="7392" spans="7:8">
      <c r="G7392">
        <v>7382</v>
      </c>
      <c r="H7392">
        <f t="shared" ca="1" si="123"/>
        <v>1.56918927250119E-2</v>
      </c>
    </row>
    <row r="7393" spans="7:8">
      <c r="G7393">
        <v>7383</v>
      </c>
      <c r="H7393">
        <f t="shared" ca="1" si="123"/>
        <v>-3.3534905357052065E-2</v>
      </c>
    </row>
    <row r="7394" spans="7:8">
      <c r="G7394">
        <v>7384</v>
      </c>
      <c r="H7394">
        <f t="shared" ca="1" si="123"/>
        <v>-2.6949981627989526E-2</v>
      </c>
    </row>
    <row r="7395" spans="7:8">
      <c r="G7395">
        <v>7385</v>
      </c>
      <c r="H7395">
        <f t="shared" ca="1" si="123"/>
        <v>6.331955292365378E-2</v>
      </c>
    </row>
    <row r="7396" spans="7:8">
      <c r="G7396">
        <v>7386</v>
      </c>
      <c r="H7396">
        <f t="shared" ca="1" si="123"/>
        <v>-2.4249840362176572E-2</v>
      </c>
    </row>
    <row r="7397" spans="7:8">
      <c r="G7397">
        <v>7387</v>
      </c>
      <c r="H7397">
        <f t="shared" ca="1" si="123"/>
        <v>5.1181518686463812E-2</v>
      </c>
    </row>
    <row r="7398" spans="7:8">
      <c r="G7398">
        <v>7388</v>
      </c>
      <c r="H7398">
        <f t="shared" ca="1" si="123"/>
        <v>1.7594532111724744E-2</v>
      </c>
    </row>
    <row r="7399" spans="7:8">
      <c r="G7399">
        <v>7389</v>
      </c>
      <c r="H7399">
        <f t="shared" ca="1" si="123"/>
        <v>5.5895406881197991E-2</v>
      </c>
    </row>
    <row r="7400" spans="7:8">
      <c r="G7400">
        <v>7390</v>
      </c>
      <c r="H7400">
        <f t="shared" ca="1" si="123"/>
        <v>-3.5242828110094134E-3</v>
      </c>
    </row>
    <row r="7401" spans="7:8">
      <c r="G7401">
        <v>7391</v>
      </c>
      <c r="H7401">
        <f t="shared" ca="1" si="123"/>
        <v>-2.3481823478409908E-2</v>
      </c>
    </row>
    <row r="7402" spans="7:8">
      <c r="G7402">
        <v>7392</v>
      </c>
      <c r="H7402">
        <f t="shared" ca="1" si="123"/>
        <v>1.2851024648936801E-2</v>
      </c>
    </row>
    <row r="7403" spans="7:8">
      <c r="G7403">
        <v>7393</v>
      </c>
      <c r="H7403">
        <f t="shared" ca="1" si="123"/>
        <v>-2.0173331019796192E-2</v>
      </c>
    </row>
    <row r="7404" spans="7:8">
      <c r="G7404">
        <v>7394</v>
      </c>
      <c r="H7404">
        <f t="shared" ca="1" si="123"/>
        <v>-2.9987489684761812E-2</v>
      </c>
    </row>
    <row r="7405" spans="7:8">
      <c r="G7405">
        <v>7395</v>
      </c>
      <c r="H7405">
        <f t="shared" ca="1" si="123"/>
        <v>3.3457916672905152E-2</v>
      </c>
    </row>
    <row r="7406" spans="7:8">
      <c r="G7406">
        <v>7396</v>
      </c>
      <c r="H7406">
        <f t="shared" ca="1" si="123"/>
        <v>2.1431446284672823E-2</v>
      </c>
    </row>
    <row r="7407" spans="7:8">
      <c r="G7407">
        <v>7397</v>
      </c>
      <c r="H7407">
        <f t="shared" ca="1" si="123"/>
        <v>3.1659713077923521E-2</v>
      </c>
    </row>
    <row r="7408" spans="7:8">
      <c r="G7408">
        <v>7398</v>
      </c>
      <c r="H7408">
        <f t="shared" ca="1" si="123"/>
        <v>4.7397905883256299E-2</v>
      </c>
    </row>
    <row r="7409" spans="7:8">
      <c r="G7409">
        <v>7399</v>
      </c>
      <c r="H7409">
        <f t="shared" ca="1" si="123"/>
        <v>-7.8920497961631614E-3</v>
      </c>
    </row>
    <row r="7410" spans="7:8">
      <c r="G7410">
        <v>7400</v>
      </c>
      <c r="H7410">
        <f t="shared" ca="1" si="123"/>
        <v>-1.0408977766498855E-3</v>
      </c>
    </row>
    <row r="7411" spans="7:8">
      <c r="G7411">
        <v>7401</v>
      </c>
      <c r="H7411">
        <f t="shared" ca="1" si="123"/>
        <v>-6.1774472530727884E-3</v>
      </c>
    </row>
    <row r="7412" spans="7:8">
      <c r="G7412">
        <v>7402</v>
      </c>
      <c r="H7412">
        <f t="shared" ca="1" si="123"/>
        <v>-2.5988508263863499E-4</v>
      </c>
    </row>
    <row r="7413" spans="7:8">
      <c r="G7413">
        <v>7403</v>
      </c>
      <c r="H7413">
        <f t="shared" ca="1" si="123"/>
        <v>-5.88799085717625E-2</v>
      </c>
    </row>
    <row r="7414" spans="7:8">
      <c r="G7414">
        <v>7404</v>
      </c>
      <c r="H7414">
        <f t="shared" ca="1" si="123"/>
        <v>1.3328175501781692E-2</v>
      </c>
    </row>
    <row r="7415" spans="7:8">
      <c r="G7415">
        <v>7405</v>
      </c>
      <c r="H7415">
        <f t="shared" ca="1" si="123"/>
        <v>2.6319311409841586E-2</v>
      </c>
    </row>
    <row r="7416" spans="7:8">
      <c r="G7416">
        <v>7406</v>
      </c>
      <c r="H7416">
        <f t="shared" ca="1" si="123"/>
        <v>-1.8953496562544182E-2</v>
      </c>
    </row>
    <row r="7417" spans="7:8">
      <c r="G7417">
        <v>7407</v>
      </c>
      <c r="H7417">
        <f t="shared" ca="1" si="123"/>
        <v>-2.0471305598703584E-4</v>
      </c>
    </row>
    <row r="7418" spans="7:8">
      <c r="G7418">
        <v>7408</v>
      </c>
      <c r="H7418">
        <f t="shared" ca="1" si="123"/>
        <v>3.5513324208863967E-2</v>
      </c>
    </row>
    <row r="7419" spans="7:8">
      <c r="G7419">
        <v>7409</v>
      </c>
      <c r="H7419">
        <f t="shared" ca="1" si="123"/>
        <v>-1.9248929860011622E-2</v>
      </c>
    </row>
    <row r="7420" spans="7:8">
      <c r="G7420">
        <v>7410</v>
      </c>
      <c r="H7420">
        <f t="shared" ca="1" si="123"/>
        <v>-1.0598116938226707E-3</v>
      </c>
    </row>
    <row r="7421" spans="7:8">
      <c r="G7421">
        <v>7411</v>
      </c>
      <c r="H7421">
        <f t="shared" ca="1" si="123"/>
        <v>-5.6971125955654053E-2</v>
      </c>
    </row>
    <row r="7422" spans="7:8">
      <c r="G7422">
        <v>7412</v>
      </c>
      <c r="H7422">
        <f t="shared" ca="1" si="123"/>
        <v>-2.8329285522448053E-2</v>
      </c>
    </row>
    <row r="7423" spans="7:8">
      <c r="G7423">
        <v>7413</v>
      </c>
      <c r="H7423">
        <f t="shared" ca="1" si="123"/>
        <v>-2.5017234420801192E-2</v>
      </c>
    </row>
    <row r="7424" spans="7:8">
      <c r="G7424">
        <v>7414</v>
      </c>
      <c r="H7424">
        <f t="shared" ca="1" si="123"/>
        <v>1.9361202892351236E-2</v>
      </c>
    </row>
    <row r="7425" spans="7:8">
      <c r="G7425">
        <v>7415</v>
      </c>
      <c r="H7425">
        <f t="shared" ca="1" si="123"/>
        <v>-6.7866282251823756E-3</v>
      </c>
    </row>
    <row r="7426" spans="7:8">
      <c r="G7426">
        <v>7416</v>
      </c>
      <c r="H7426">
        <f t="shared" ca="1" si="123"/>
        <v>-7.8413179468277885E-3</v>
      </c>
    </row>
    <row r="7427" spans="7:8">
      <c r="G7427">
        <v>7417</v>
      </c>
      <c r="H7427">
        <f t="shared" ca="1" si="123"/>
        <v>2.0447136914127632E-2</v>
      </c>
    </row>
    <row r="7428" spans="7:8">
      <c r="G7428">
        <v>7418</v>
      </c>
      <c r="H7428">
        <f t="shared" ca="1" si="123"/>
        <v>-7.1202253707376454E-3</v>
      </c>
    </row>
    <row r="7429" spans="7:8">
      <c r="G7429">
        <v>7419</v>
      </c>
      <c r="H7429">
        <f t="shared" ca="1" si="123"/>
        <v>-2.95490597912129E-2</v>
      </c>
    </row>
    <row r="7430" spans="7:8">
      <c r="G7430">
        <v>7420</v>
      </c>
      <c r="H7430">
        <f t="shared" ca="1" si="123"/>
        <v>7.0109819175502748E-3</v>
      </c>
    </row>
    <row r="7431" spans="7:8">
      <c r="G7431">
        <v>7421</v>
      </c>
      <c r="H7431">
        <f t="shared" ca="1" si="123"/>
        <v>1.3501200500828158E-2</v>
      </c>
    </row>
    <row r="7432" spans="7:8">
      <c r="G7432">
        <v>7422</v>
      </c>
      <c r="H7432">
        <f t="shared" ca="1" si="123"/>
        <v>6.2371440519284876E-3</v>
      </c>
    </row>
    <row r="7433" spans="7:8">
      <c r="G7433">
        <v>7423</v>
      </c>
      <c r="H7433">
        <f t="shared" ca="1" si="123"/>
        <v>1.5464711318069193E-2</v>
      </c>
    </row>
    <row r="7434" spans="7:8">
      <c r="G7434">
        <v>7424</v>
      </c>
      <c r="H7434">
        <f t="shared" ca="1" si="123"/>
        <v>4.4065620681313696E-3</v>
      </c>
    </row>
    <row r="7435" spans="7:8">
      <c r="G7435">
        <v>7425</v>
      </c>
      <c r="H7435">
        <f t="shared" ca="1" si="123"/>
        <v>-1.5025802884973374E-2</v>
      </c>
    </row>
    <row r="7436" spans="7:8">
      <c r="G7436">
        <v>7426</v>
      </c>
      <c r="H7436">
        <f t="shared" ref="H7436:H7499" ca="1" si="124">_xlfn.NORM.INV(RAND(),N$13,N$14)</f>
        <v>1.935054584473394E-4</v>
      </c>
    </row>
    <row r="7437" spans="7:8">
      <c r="G7437">
        <v>7427</v>
      </c>
      <c r="H7437">
        <f t="shared" ca="1" si="124"/>
        <v>6.8190270890948149E-3</v>
      </c>
    </row>
    <row r="7438" spans="7:8">
      <c r="G7438">
        <v>7428</v>
      </c>
      <c r="H7438">
        <f t="shared" ca="1" si="124"/>
        <v>1.2389982886660527E-3</v>
      </c>
    </row>
    <row r="7439" spans="7:8">
      <c r="G7439">
        <v>7429</v>
      </c>
      <c r="H7439">
        <f t="shared" ca="1" si="124"/>
        <v>-9.4495829301064916E-3</v>
      </c>
    </row>
    <row r="7440" spans="7:8">
      <c r="G7440">
        <v>7430</v>
      </c>
      <c r="H7440">
        <f t="shared" ca="1" si="124"/>
        <v>-3.6671023077401378E-3</v>
      </c>
    </row>
    <row r="7441" spans="7:8">
      <c r="G7441">
        <v>7431</v>
      </c>
      <c r="H7441">
        <f t="shared" ca="1" si="124"/>
        <v>-4.5305758701831783E-3</v>
      </c>
    </row>
    <row r="7442" spans="7:8">
      <c r="G7442">
        <v>7432</v>
      </c>
      <c r="H7442">
        <f t="shared" ca="1" si="124"/>
        <v>-1.9530466639192792E-2</v>
      </c>
    </row>
    <row r="7443" spans="7:8">
      <c r="G7443">
        <v>7433</v>
      </c>
      <c r="H7443">
        <f t="shared" ca="1" si="124"/>
        <v>1.2722789738481921E-2</v>
      </c>
    </row>
    <row r="7444" spans="7:8">
      <c r="G7444">
        <v>7434</v>
      </c>
      <c r="H7444">
        <f t="shared" ca="1" si="124"/>
        <v>2.1086590710023185E-2</v>
      </c>
    </row>
    <row r="7445" spans="7:8">
      <c r="G7445">
        <v>7435</v>
      </c>
      <c r="H7445">
        <f t="shared" ca="1" si="124"/>
        <v>4.7804882538513534E-3</v>
      </c>
    </row>
    <row r="7446" spans="7:8">
      <c r="G7446">
        <v>7436</v>
      </c>
      <c r="H7446">
        <f t="shared" ca="1" si="124"/>
        <v>-4.2711315264705285E-2</v>
      </c>
    </row>
    <row r="7447" spans="7:8">
      <c r="G7447">
        <v>7437</v>
      </c>
      <c r="H7447">
        <f t="shared" ca="1" si="124"/>
        <v>-7.0573304968409075E-3</v>
      </c>
    </row>
    <row r="7448" spans="7:8">
      <c r="G7448">
        <v>7438</v>
      </c>
      <c r="H7448">
        <f t="shared" ca="1" si="124"/>
        <v>-1.6426236358464266E-2</v>
      </c>
    </row>
    <row r="7449" spans="7:8">
      <c r="G7449">
        <v>7439</v>
      </c>
      <c r="H7449">
        <f t="shared" ca="1" si="124"/>
        <v>3.347915271579819E-2</v>
      </c>
    </row>
    <row r="7450" spans="7:8">
      <c r="G7450">
        <v>7440</v>
      </c>
      <c r="H7450">
        <f t="shared" ca="1" si="124"/>
        <v>-1.7386524359745383E-2</v>
      </c>
    </row>
    <row r="7451" spans="7:8">
      <c r="G7451">
        <v>7441</v>
      </c>
      <c r="H7451">
        <f t="shared" ca="1" si="124"/>
        <v>3.7546346319436274E-3</v>
      </c>
    </row>
    <row r="7452" spans="7:8">
      <c r="G7452">
        <v>7442</v>
      </c>
      <c r="H7452">
        <f t="shared" ca="1" si="124"/>
        <v>-2.9431898270724208E-2</v>
      </c>
    </row>
    <row r="7453" spans="7:8">
      <c r="G7453">
        <v>7443</v>
      </c>
      <c r="H7453">
        <f t="shared" ca="1" si="124"/>
        <v>1.0534887589254232E-2</v>
      </c>
    </row>
    <row r="7454" spans="7:8">
      <c r="G7454">
        <v>7444</v>
      </c>
      <c r="H7454">
        <f t="shared" ca="1" si="124"/>
        <v>-7.1511293246651801E-4</v>
      </c>
    </row>
    <row r="7455" spans="7:8">
      <c r="G7455">
        <v>7445</v>
      </c>
      <c r="H7455">
        <f t="shared" ca="1" si="124"/>
        <v>1.9776681619436648E-3</v>
      </c>
    </row>
    <row r="7456" spans="7:8">
      <c r="G7456">
        <v>7446</v>
      </c>
      <c r="H7456">
        <f t="shared" ca="1" si="124"/>
        <v>-1.2762074588299031E-2</v>
      </c>
    </row>
    <row r="7457" spans="7:8">
      <c r="G7457">
        <v>7447</v>
      </c>
      <c r="H7457">
        <f t="shared" ca="1" si="124"/>
        <v>-5.1748064541043158E-2</v>
      </c>
    </row>
    <row r="7458" spans="7:8">
      <c r="G7458">
        <v>7448</v>
      </c>
      <c r="H7458">
        <f t="shared" ca="1" si="124"/>
        <v>8.9498888927765953E-3</v>
      </c>
    </row>
    <row r="7459" spans="7:8">
      <c r="G7459">
        <v>7449</v>
      </c>
      <c r="H7459">
        <f t="shared" ca="1" si="124"/>
        <v>-6.9816115197161568E-3</v>
      </c>
    </row>
    <row r="7460" spans="7:8">
      <c r="G7460">
        <v>7450</v>
      </c>
      <c r="H7460">
        <f t="shared" ca="1" si="124"/>
        <v>2.231056131954379E-2</v>
      </c>
    </row>
    <row r="7461" spans="7:8">
      <c r="G7461">
        <v>7451</v>
      </c>
      <c r="H7461">
        <f t="shared" ca="1" si="124"/>
        <v>1.8798426369621778E-4</v>
      </c>
    </row>
    <row r="7462" spans="7:8">
      <c r="G7462">
        <v>7452</v>
      </c>
      <c r="H7462">
        <f t="shared" ca="1" si="124"/>
        <v>-1.6854919290295339E-2</v>
      </c>
    </row>
    <row r="7463" spans="7:8">
      <c r="G7463">
        <v>7453</v>
      </c>
      <c r="H7463">
        <f t="shared" ca="1" si="124"/>
        <v>2.0751152068636584E-2</v>
      </c>
    </row>
    <row r="7464" spans="7:8">
      <c r="G7464">
        <v>7454</v>
      </c>
      <c r="H7464">
        <f t="shared" ca="1" si="124"/>
        <v>1.9345151203818862E-2</v>
      </c>
    </row>
    <row r="7465" spans="7:8">
      <c r="G7465">
        <v>7455</v>
      </c>
      <c r="H7465">
        <f t="shared" ca="1" si="124"/>
        <v>3.0304815880106941E-2</v>
      </c>
    </row>
    <row r="7466" spans="7:8">
      <c r="G7466">
        <v>7456</v>
      </c>
      <c r="H7466">
        <f t="shared" ca="1" si="124"/>
        <v>3.2277406411283197E-2</v>
      </c>
    </row>
    <row r="7467" spans="7:8">
      <c r="G7467">
        <v>7457</v>
      </c>
      <c r="H7467">
        <f t="shared" ca="1" si="124"/>
        <v>-1.0163230685204035E-2</v>
      </c>
    </row>
    <row r="7468" spans="7:8">
      <c r="G7468">
        <v>7458</v>
      </c>
      <c r="H7468">
        <f t="shared" ca="1" si="124"/>
        <v>-1.3379399556309969E-3</v>
      </c>
    </row>
    <row r="7469" spans="7:8">
      <c r="G7469">
        <v>7459</v>
      </c>
      <c r="H7469">
        <f t="shared" ca="1" si="124"/>
        <v>6.5024337167648074E-3</v>
      </c>
    </row>
    <row r="7470" spans="7:8">
      <c r="G7470">
        <v>7460</v>
      </c>
      <c r="H7470">
        <f t="shared" ca="1" si="124"/>
        <v>1.5780203202580664E-2</v>
      </c>
    </row>
    <row r="7471" spans="7:8">
      <c r="G7471">
        <v>7461</v>
      </c>
      <c r="H7471">
        <f t="shared" ca="1" si="124"/>
        <v>-8.2860738666330346E-4</v>
      </c>
    </row>
    <row r="7472" spans="7:8">
      <c r="G7472">
        <v>7462</v>
      </c>
      <c r="H7472">
        <f t="shared" ca="1" si="124"/>
        <v>-2.4400284629590856E-2</v>
      </c>
    </row>
    <row r="7473" spans="7:8">
      <c r="G7473">
        <v>7463</v>
      </c>
      <c r="H7473">
        <f t="shared" ca="1" si="124"/>
        <v>-4.6338672993148228E-3</v>
      </c>
    </row>
    <row r="7474" spans="7:8">
      <c r="G7474">
        <v>7464</v>
      </c>
      <c r="H7474">
        <f t="shared" ca="1" si="124"/>
        <v>3.5243561349648629E-2</v>
      </c>
    </row>
    <row r="7475" spans="7:8">
      <c r="G7475">
        <v>7465</v>
      </c>
      <c r="H7475">
        <f t="shared" ca="1" si="124"/>
        <v>4.7030640552881038E-4</v>
      </c>
    </row>
    <row r="7476" spans="7:8">
      <c r="G7476">
        <v>7466</v>
      </c>
      <c r="H7476">
        <f t="shared" ca="1" si="124"/>
        <v>-2.8688456615598445E-2</v>
      </c>
    </row>
    <row r="7477" spans="7:8">
      <c r="G7477">
        <v>7467</v>
      </c>
      <c r="H7477">
        <f t="shared" ca="1" si="124"/>
        <v>-1.5428540806147215E-3</v>
      </c>
    </row>
    <row r="7478" spans="7:8">
      <c r="G7478">
        <v>7468</v>
      </c>
      <c r="H7478">
        <f t="shared" ca="1" si="124"/>
        <v>7.3481632482750546E-3</v>
      </c>
    </row>
    <row r="7479" spans="7:8">
      <c r="G7479">
        <v>7469</v>
      </c>
      <c r="H7479">
        <f t="shared" ca="1" si="124"/>
        <v>-5.0282338152505685E-3</v>
      </c>
    </row>
    <row r="7480" spans="7:8">
      <c r="G7480">
        <v>7470</v>
      </c>
      <c r="H7480">
        <f t="shared" ca="1" si="124"/>
        <v>5.1701289518693008E-4</v>
      </c>
    </row>
    <row r="7481" spans="7:8">
      <c r="G7481">
        <v>7471</v>
      </c>
      <c r="H7481">
        <f t="shared" ca="1" si="124"/>
        <v>-8.8804451039639926E-3</v>
      </c>
    </row>
    <row r="7482" spans="7:8">
      <c r="G7482">
        <v>7472</v>
      </c>
      <c r="H7482">
        <f t="shared" ca="1" si="124"/>
        <v>2.0094852850293429E-2</v>
      </c>
    </row>
    <row r="7483" spans="7:8">
      <c r="G7483">
        <v>7473</v>
      </c>
      <c r="H7483">
        <f t="shared" ca="1" si="124"/>
        <v>-3.7052259566886153E-2</v>
      </c>
    </row>
    <row r="7484" spans="7:8">
      <c r="G7484">
        <v>7474</v>
      </c>
      <c r="H7484">
        <f t="shared" ca="1" si="124"/>
        <v>1.1799872320730497E-2</v>
      </c>
    </row>
    <row r="7485" spans="7:8">
      <c r="G7485">
        <v>7475</v>
      </c>
      <c r="H7485">
        <f t="shared" ca="1" si="124"/>
        <v>-1.6121296435287241E-2</v>
      </c>
    </row>
    <row r="7486" spans="7:8">
      <c r="G7486">
        <v>7476</v>
      </c>
      <c r="H7486">
        <f t="shared" ca="1" si="124"/>
        <v>-3.2847618048450551E-2</v>
      </c>
    </row>
    <row r="7487" spans="7:8">
      <c r="G7487">
        <v>7477</v>
      </c>
      <c r="H7487">
        <f t="shared" ca="1" si="124"/>
        <v>4.88324273068388E-3</v>
      </c>
    </row>
    <row r="7488" spans="7:8">
      <c r="G7488">
        <v>7478</v>
      </c>
      <c r="H7488">
        <f t="shared" ca="1" si="124"/>
        <v>-5.7491410410715829E-3</v>
      </c>
    </row>
    <row r="7489" spans="7:8">
      <c r="G7489">
        <v>7479</v>
      </c>
      <c r="H7489">
        <f t="shared" ca="1" si="124"/>
        <v>1.1271355329606552E-2</v>
      </c>
    </row>
    <row r="7490" spans="7:8">
      <c r="G7490">
        <v>7480</v>
      </c>
      <c r="H7490">
        <f t="shared" ca="1" si="124"/>
        <v>-8.0433102096589583E-3</v>
      </c>
    </row>
    <row r="7491" spans="7:8">
      <c r="G7491">
        <v>7481</v>
      </c>
      <c r="H7491">
        <f t="shared" ca="1" si="124"/>
        <v>3.0281156306619577E-2</v>
      </c>
    </row>
    <row r="7492" spans="7:8">
      <c r="G7492">
        <v>7482</v>
      </c>
      <c r="H7492">
        <f t="shared" ca="1" si="124"/>
        <v>-2.4550216499264216E-2</v>
      </c>
    </row>
    <row r="7493" spans="7:8">
      <c r="G7493">
        <v>7483</v>
      </c>
      <c r="H7493">
        <f t="shared" ca="1" si="124"/>
        <v>-1.5832897615275066E-2</v>
      </c>
    </row>
    <row r="7494" spans="7:8">
      <c r="G7494">
        <v>7484</v>
      </c>
      <c r="H7494">
        <f t="shared" ca="1" si="124"/>
        <v>4.7682582024571575E-2</v>
      </c>
    </row>
    <row r="7495" spans="7:8">
      <c r="G7495">
        <v>7485</v>
      </c>
      <c r="H7495">
        <f t="shared" ca="1" si="124"/>
        <v>1.137109014387162E-2</v>
      </c>
    </row>
    <row r="7496" spans="7:8">
      <c r="G7496">
        <v>7486</v>
      </c>
      <c r="H7496">
        <f t="shared" ca="1" si="124"/>
        <v>-3.1260050849801226E-3</v>
      </c>
    </row>
    <row r="7497" spans="7:8">
      <c r="G7497">
        <v>7487</v>
      </c>
      <c r="H7497">
        <f t="shared" ca="1" si="124"/>
        <v>4.975160282958261E-2</v>
      </c>
    </row>
    <row r="7498" spans="7:8">
      <c r="G7498">
        <v>7488</v>
      </c>
      <c r="H7498">
        <f t="shared" ca="1" si="124"/>
        <v>-5.2498206564901541E-2</v>
      </c>
    </row>
    <row r="7499" spans="7:8">
      <c r="G7499">
        <v>7489</v>
      </c>
      <c r="H7499">
        <f t="shared" ca="1" si="124"/>
        <v>1.2313395323242788E-2</v>
      </c>
    </row>
    <row r="7500" spans="7:8">
      <c r="G7500">
        <v>7490</v>
      </c>
      <c r="H7500">
        <f t="shared" ref="H7500:H7563" ca="1" si="125">_xlfn.NORM.INV(RAND(),N$13,N$14)</f>
        <v>-1.552597374921157E-2</v>
      </c>
    </row>
    <row r="7501" spans="7:8">
      <c r="G7501">
        <v>7491</v>
      </c>
      <c r="H7501">
        <f t="shared" ca="1" si="125"/>
        <v>6.7319266270403503E-3</v>
      </c>
    </row>
    <row r="7502" spans="7:8">
      <c r="G7502">
        <v>7492</v>
      </c>
      <c r="H7502">
        <f t="shared" ca="1" si="125"/>
        <v>-5.962872404809192E-2</v>
      </c>
    </row>
    <row r="7503" spans="7:8">
      <c r="G7503">
        <v>7493</v>
      </c>
      <c r="H7503">
        <f t="shared" ca="1" si="125"/>
        <v>2.4745613931170415E-2</v>
      </c>
    </row>
    <row r="7504" spans="7:8">
      <c r="G7504">
        <v>7494</v>
      </c>
      <c r="H7504">
        <f t="shared" ca="1" si="125"/>
        <v>1.5258025756754039E-2</v>
      </c>
    </row>
    <row r="7505" spans="7:8">
      <c r="G7505">
        <v>7495</v>
      </c>
      <c r="H7505">
        <f t="shared" ca="1" si="125"/>
        <v>7.4858300918861486E-3</v>
      </c>
    </row>
    <row r="7506" spans="7:8">
      <c r="G7506">
        <v>7496</v>
      </c>
      <c r="H7506">
        <f t="shared" ca="1" si="125"/>
        <v>-1.9620090100632301E-2</v>
      </c>
    </row>
    <row r="7507" spans="7:8">
      <c r="G7507">
        <v>7497</v>
      </c>
      <c r="H7507">
        <f t="shared" ca="1" si="125"/>
        <v>-2.521202499104824E-2</v>
      </c>
    </row>
    <row r="7508" spans="7:8">
      <c r="G7508">
        <v>7498</v>
      </c>
      <c r="H7508">
        <f t="shared" ca="1" si="125"/>
        <v>1.3616010743096686E-2</v>
      </c>
    </row>
    <row r="7509" spans="7:8">
      <c r="G7509">
        <v>7499</v>
      </c>
      <c r="H7509">
        <f t="shared" ca="1" si="125"/>
        <v>3.0031560898846905E-2</v>
      </c>
    </row>
    <row r="7510" spans="7:8">
      <c r="G7510">
        <v>7500</v>
      </c>
      <c r="H7510">
        <f t="shared" ca="1" si="125"/>
        <v>1.09077007364016E-3</v>
      </c>
    </row>
    <row r="7511" spans="7:8">
      <c r="G7511">
        <v>7501</v>
      </c>
      <c r="H7511">
        <f t="shared" ca="1" si="125"/>
        <v>1.9074519413460979E-2</v>
      </c>
    </row>
    <row r="7512" spans="7:8">
      <c r="G7512">
        <v>7502</v>
      </c>
      <c r="H7512">
        <f t="shared" ca="1" si="125"/>
        <v>-3.467951447930313E-3</v>
      </c>
    </row>
    <row r="7513" spans="7:8">
      <c r="G7513">
        <v>7503</v>
      </c>
      <c r="H7513">
        <f t="shared" ca="1" si="125"/>
        <v>-8.1753600695717854E-3</v>
      </c>
    </row>
    <row r="7514" spans="7:8">
      <c r="G7514">
        <v>7504</v>
      </c>
      <c r="H7514">
        <f t="shared" ca="1" si="125"/>
        <v>1.5022039866421811E-3</v>
      </c>
    </row>
    <row r="7515" spans="7:8">
      <c r="G7515">
        <v>7505</v>
      </c>
      <c r="H7515">
        <f t="shared" ca="1" si="125"/>
        <v>-1.9717101480765616E-2</v>
      </c>
    </row>
    <row r="7516" spans="7:8">
      <c r="G7516">
        <v>7506</v>
      </c>
      <c r="H7516">
        <f t="shared" ca="1" si="125"/>
        <v>-2.6385969327632455E-3</v>
      </c>
    </row>
    <row r="7517" spans="7:8">
      <c r="G7517">
        <v>7507</v>
      </c>
      <c r="H7517">
        <f t="shared" ca="1" si="125"/>
        <v>3.3926689417926106E-2</v>
      </c>
    </row>
    <row r="7518" spans="7:8">
      <c r="G7518">
        <v>7508</v>
      </c>
      <c r="H7518">
        <f t="shared" ca="1" si="125"/>
        <v>4.2966156034805102E-2</v>
      </c>
    </row>
    <row r="7519" spans="7:8">
      <c r="G7519">
        <v>7509</v>
      </c>
      <c r="H7519">
        <f t="shared" ca="1" si="125"/>
        <v>1.2965287048985659E-3</v>
      </c>
    </row>
    <row r="7520" spans="7:8">
      <c r="G7520">
        <v>7510</v>
      </c>
      <c r="H7520">
        <f t="shared" ca="1" si="125"/>
        <v>-6.3603527659890732E-2</v>
      </c>
    </row>
    <row r="7521" spans="7:8">
      <c r="G7521">
        <v>7511</v>
      </c>
      <c r="H7521">
        <f t="shared" ca="1" si="125"/>
        <v>3.8071082570103429E-2</v>
      </c>
    </row>
    <row r="7522" spans="7:8">
      <c r="G7522">
        <v>7512</v>
      </c>
      <c r="H7522">
        <f t="shared" ca="1" si="125"/>
        <v>6.9926389923154701E-3</v>
      </c>
    </row>
    <row r="7523" spans="7:8">
      <c r="G7523">
        <v>7513</v>
      </c>
      <c r="H7523">
        <f t="shared" ca="1" si="125"/>
        <v>1.4489894366813869E-2</v>
      </c>
    </row>
    <row r="7524" spans="7:8">
      <c r="G7524">
        <v>7514</v>
      </c>
      <c r="H7524">
        <f t="shared" ca="1" si="125"/>
        <v>5.8982156681397259E-2</v>
      </c>
    </row>
    <row r="7525" spans="7:8">
      <c r="G7525">
        <v>7515</v>
      </c>
      <c r="H7525">
        <f t="shared" ca="1" si="125"/>
        <v>8.7955120118313121E-3</v>
      </c>
    </row>
    <row r="7526" spans="7:8">
      <c r="G7526">
        <v>7516</v>
      </c>
      <c r="H7526">
        <f t="shared" ca="1" si="125"/>
        <v>-2.1868458012569775E-2</v>
      </c>
    </row>
    <row r="7527" spans="7:8">
      <c r="G7527">
        <v>7517</v>
      </c>
      <c r="H7527">
        <f t="shared" ca="1" si="125"/>
        <v>1.971194531344302E-2</v>
      </c>
    </row>
    <row r="7528" spans="7:8">
      <c r="G7528">
        <v>7518</v>
      </c>
      <c r="H7528">
        <f t="shared" ca="1" si="125"/>
        <v>-1.0840370741472137E-2</v>
      </c>
    </row>
    <row r="7529" spans="7:8">
      <c r="G7529">
        <v>7519</v>
      </c>
      <c r="H7529">
        <f t="shared" ca="1" si="125"/>
        <v>-2.7077149974469882E-2</v>
      </c>
    </row>
    <row r="7530" spans="7:8">
      <c r="G7530">
        <v>7520</v>
      </c>
      <c r="H7530">
        <f t="shared" ca="1" si="125"/>
        <v>1.7350691775574491E-2</v>
      </c>
    </row>
    <row r="7531" spans="7:8">
      <c r="G7531">
        <v>7521</v>
      </c>
      <c r="H7531">
        <f t="shared" ca="1" si="125"/>
        <v>1.0603890568080783E-2</v>
      </c>
    </row>
    <row r="7532" spans="7:8">
      <c r="G7532">
        <v>7522</v>
      </c>
      <c r="H7532">
        <f t="shared" ca="1" si="125"/>
        <v>3.4918807451445939E-2</v>
      </c>
    </row>
    <row r="7533" spans="7:8">
      <c r="G7533">
        <v>7523</v>
      </c>
      <c r="H7533">
        <f t="shared" ca="1" si="125"/>
        <v>-1.2185740199440956E-2</v>
      </c>
    </row>
    <row r="7534" spans="7:8">
      <c r="G7534">
        <v>7524</v>
      </c>
      <c r="H7534">
        <f t="shared" ca="1" si="125"/>
        <v>-1.4593608297742254E-2</v>
      </c>
    </row>
    <row r="7535" spans="7:8">
      <c r="G7535">
        <v>7525</v>
      </c>
      <c r="H7535">
        <f t="shared" ca="1" si="125"/>
        <v>1.0794849324317768E-2</v>
      </c>
    </row>
    <row r="7536" spans="7:8">
      <c r="G7536">
        <v>7526</v>
      </c>
      <c r="H7536">
        <f t="shared" ca="1" si="125"/>
        <v>6.8747812290803987E-3</v>
      </c>
    </row>
    <row r="7537" spans="7:8">
      <c r="G7537">
        <v>7527</v>
      </c>
      <c r="H7537">
        <f t="shared" ca="1" si="125"/>
        <v>-2.2455990942584752E-2</v>
      </c>
    </row>
    <row r="7538" spans="7:8">
      <c r="G7538">
        <v>7528</v>
      </c>
      <c r="H7538">
        <f t="shared" ca="1" si="125"/>
        <v>-3.3268438686560264E-2</v>
      </c>
    </row>
    <row r="7539" spans="7:8">
      <c r="G7539">
        <v>7529</v>
      </c>
      <c r="H7539">
        <f t="shared" ca="1" si="125"/>
        <v>2.9627764931319692E-2</v>
      </c>
    </row>
    <row r="7540" spans="7:8">
      <c r="G7540">
        <v>7530</v>
      </c>
      <c r="H7540">
        <f t="shared" ca="1" si="125"/>
        <v>3.6880324344334349E-3</v>
      </c>
    </row>
    <row r="7541" spans="7:8">
      <c r="G7541">
        <v>7531</v>
      </c>
      <c r="H7541">
        <f t="shared" ca="1" si="125"/>
        <v>-5.8904261786346885E-4</v>
      </c>
    </row>
    <row r="7542" spans="7:8">
      <c r="G7542">
        <v>7532</v>
      </c>
      <c r="H7542">
        <f t="shared" ca="1" si="125"/>
        <v>1.62480922916012E-3</v>
      </c>
    </row>
    <row r="7543" spans="7:8">
      <c r="G7543">
        <v>7533</v>
      </c>
      <c r="H7543">
        <f t="shared" ca="1" si="125"/>
        <v>7.0235416647707874E-3</v>
      </c>
    </row>
    <row r="7544" spans="7:8">
      <c r="G7544">
        <v>7534</v>
      </c>
      <c r="H7544">
        <f t="shared" ca="1" si="125"/>
        <v>-1.035214857452703E-2</v>
      </c>
    </row>
    <row r="7545" spans="7:8">
      <c r="G7545">
        <v>7535</v>
      </c>
      <c r="H7545">
        <f t="shared" ca="1" si="125"/>
        <v>-1.594148198862879E-2</v>
      </c>
    </row>
    <row r="7546" spans="7:8">
      <c r="G7546">
        <v>7536</v>
      </c>
      <c r="H7546">
        <f t="shared" ca="1" si="125"/>
        <v>-3.9312587568342189E-2</v>
      </c>
    </row>
    <row r="7547" spans="7:8">
      <c r="G7547">
        <v>7537</v>
      </c>
      <c r="H7547">
        <f t="shared" ca="1" si="125"/>
        <v>1.5754914282687712E-2</v>
      </c>
    </row>
    <row r="7548" spans="7:8">
      <c r="G7548">
        <v>7538</v>
      </c>
      <c r="H7548">
        <f t="shared" ca="1" si="125"/>
        <v>-7.2534795759649842E-3</v>
      </c>
    </row>
    <row r="7549" spans="7:8">
      <c r="G7549">
        <v>7539</v>
      </c>
      <c r="H7549">
        <f t="shared" ca="1" si="125"/>
        <v>-2.3298697280449047E-4</v>
      </c>
    </row>
    <row r="7550" spans="7:8">
      <c r="G7550">
        <v>7540</v>
      </c>
      <c r="H7550">
        <f t="shared" ca="1" si="125"/>
        <v>-2.2163785707029867E-2</v>
      </c>
    </row>
    <row r="7551" spans="7:8">
      <c r="G7551">
        <v>7541</v>
      </c>
      <c r="H7551">
        <f t="shared" ca="1" si="125"/>
        <v>5.862872923524963E-2</v>
      </c>
    </row>
    <row r="7552" spans="7:8">
      <c r="G7552">
        <v>7542</v>
      </c>
      <c r="H7552">
        <f t="shared" ca="1" si="125"/>
        <v>-5.8893678783224716E-3</v>
      </c>
    </row>
    <row r="7553" spans="7:8">
      <c r="G7553">
        <v>7543</v>
      </c>
      <c r="H7553">
        <f t="shared" ca="1" si="125"/>
        <v>-2.6870670736996611E-4</v>
      </c>
    </row>
    <row r="7554" spans="7:8">
      <c r="G7554">
        <v>7544</v>
      </c>
      <c r="H7554">
        <f t="shared" ca="1" si="125"/>
        <v>2.794618967164824E-2</v>
      </c>
    </row>
    <row r="7555" spans="7:8">
      <c r="G7555">
        <v>7545</v>
      </c>
      <c r="H7555">
        <f t="shared" ca="1" si="125"/>
        <v>-1.1818407625014897E-2</v>
      </c>
    </row>
    <row r="7556" spans="7:8">
      <c r="G7556">
        <v>7546</v>
      </c>
      <c r="H7556">
        <f t="shared" ca="1" si="125"/>
        <v>6.8159369543645916E-3</v>
      </c>
    </row>
    <row r="7557" spans="7:8">
      <c r="G7557">
        <v>7547</v>
      </c>
      <c r="H7557">
        <f t="shared" ca="1" si="125"/>
        <v>-3.8604940017556238E-2</v>
      </c>
    </row>
    <row r="7558" spans="7:8">
      <c r="G7558">
        <v>7548</v>
      </c>
      <c r="H7558">
        <f t="shared" ca="1" si="125"/>
        <v>-2.7996664398381908E-2</v>
      </c>
    </row>
    <row r="7559" spans="7:8">
      <c r="G7559">
        <v>7549</v>
      </c>
      <c r="H7559">
        <f t="shared" ca="1" si="125"/>
        <v>1.3863227255451289E-2</v>
      </c>
    </row>
    <row r="7560" spans="7:8">
      <c r="G7560">
        <v>7550</v>
      </c>
      <c r="H7560">
        <f t="shared" ca="1" si="125"/>
        <v>6.165569160174765E-3</v>
      </c>
    </row>
    <row r="7561" spans="7:8">
      <c r="G7561">
        <v>7551</v>
      </c>
      <c r="H7561">
        <f t="shared" ca="1" si="125"/>
        <v>-1.0706373498445986E-2</v>
      </c>
    </row>
    <row r="7562" spans="7:8">
      <c r="G7562">
        <v>7552</v>
      </c>
      <c r="H7562">
        <f t="shared" ca="1" si="125"/>
        <v>-1.8796092379378586E-3</v>
      </c>
    </row>
    <row r="7563" spans="7:8">
      <c r="G7563">
        <v>7553</v>
      </c>
      <c r="H7563">
        <f t="shared" ca="1" si="125"/>
        <v>-1.4866473552358227E-2</v>
      </c>
    </row>
    <row r="7564" spans="7:8">
      <c r="G7564">
        <v>7554</v>
      </c>
      <c r="H7564">
        <f t="shared" ref="H7564:H7627" ca="1" si="126">_xlfn.NORM.INV(RAND(),N$13,N$14)</f>
        <v>-3.9183779416240135E-2</v>
      </c>
    </row>
    <row r="7565" spans="7:8">
      <c r="G7565">
        <v>7555</v>
      </c>
      <c r="H7565">
        <f t="shared" ca="1" si="126"/>
        <v>-4.112423689200484E-2</v>
      </c>
    </row>
    <row r="7566" spans="7:8">
      <c r="G7566">
        <v>7556</v>
      </c>
      <c r="H7566">
        <f t="shared" ca="1" si="126"/>
        <v>-1.0781427613498153E-3</v>
      </c>
    </row>
    <row r="7567" spans="7:8">
      <c r="G7567">
        <v>7557</v>
      </c>
      <c r="H7567">
        <f t="shared" ca="1" si="126"/>
        <v>1.1748997083187149E-2</v>
      </c>
    </row>
    <row r="7568" spans="7:8">
      <c r="G7568">
        <v>7558</v>
      </c>
      <c r="H7568">
        <f t="shared" ca="1" si="126"/>
        <v>5.3297518831893154E-2</v>
      </c>
    </row>
    <row r="7569" spans="7:8">
      <c r="G7569">
        <v>7559</v>
      </c>
      <c r="H7569">
        <f t="shared" ca="1" si="126"/>
        <v>2.6294616442243553E-3</v>
      </c>
    </row>
    <row r="7570" spans="7:8">
      <c r="G7570">
        <v>7560</v>
      </c>
      <c r="H7570">
        <f t="shared" ca="1" si="126"/>
        <v>1.1860758413612673E-2</v>
      </c>
    </row>
    <row r="7571" spans="7:8">
      <c r="G7571">
        <v>7561</v>
      </c>
      <c r="H7571">
        <f t="shared" ca="1" si="126"/>
        <v>3.6056774175453984E-2</v>
      </c>
    </row>
    <row r="7572" spans="7:8">
      <c r="G7572">
        <v>7562</v>
      </c>
      <c r="H7572">
        <f t="shared" ca="1" si="126"/>
        <v>3.2117576082826407E-2</v>
      </c>
    </row>
    <row r="7573" spans="7:8">
      <c r="G7573">
        <v>7563</v>
      </c>
      <c r="H7573">
        <f t="shared" ca="1" si="126"/>
        <v>-3.3293302734054987E-2</v>
      </c>
    </row>
    <row r="7574" spans="7:8">
      <c r="G7574">
        <v>7564</v>
      </c>
      <c r="H7574">
        <f t="shared" ca="1" si="126"/>
        <v>2.7000687080877925E-2</v>
      </c>
    </row>
    <row r="7575" spans="7:8">
      <c r="G7575">
        <v>7565</v>
      </c>
      <c r="H7575">
        <f t="shared" ca="1" si="126"/>
        <v>-7.3523802270206258E-3</v>
      </c>
    </row>
    <row r="7576" spans="7:8">
      <c r="G7576">
        <v>7566</v>
      </c>
      <c r="H7576">
        <f t="shared" ca="1" si="126"/>
        <v>8.4210413316922385E-3</v>
      </c>
    </row>
    <row r="7577" spans="7:8">
      <c r="G7577">
        <v>7567</v>
      </c>
      <c r="H7577">
        <f t="shared" ca="1" si="126"/>
        <v>2.6550816635996259E-3</v>
      </c>
    </row>
    <row r="7578" spans="7:8">
      <c r="G7578">
        <v>7568</v>
      </c>
      <c r="H7578">
        <f t="shared" ca="1" si="126"/>
        <v>2.8701422828943395E-3</v>
      </c>
    </row>
    <row r="7579" spans="7:8">
      <c r="G7579">
        <v>7569</v>
      </c>
      <c r="H7579">
        <f t="shared" ca="1" si="126"/>
        <v>-1.2902089777448935E-2</v>
      </c>
    </row>
    <row r="7580" spans="7:8">
      <c r="G7580">
        <v>7570</v>
      </c>
      <c r="H7580">
        <f t="shared" ca="1" si="126"/>
        <v>-6.739545081574413E-4</v>
      </c>
    </row>
    <row r="7581" spans="7:8">
      <c r="G7581">
        <v>7571</v>
      </c>
      <c r="H7581">
        <f t="shared" ca="1" si="126"/>
        <v>-5.1316851731401901E-3</v>
      </c>
    </row>
    <row r="7582" spans="7:8">
      <c r="G7582">
        <v>7572</v>
      </c>
      <c r="H7582">
        <f t="shared" ca="1" si="126"/>
        <v>-3.3939553920039174E-2</v>
      </c>
    </row>
    <row r="7583" spans="7:8">
      <c r="G7583">
        <v>7573</v>
      </c>
      <c r="H7583">
        <f t="shared" ca="1" si="126"/>
        <v>-2.6029330597030595E-2</v>
      </c>
    </row>
    <row r="7584" spans="7:8">
      <c r="G7584">
        <v>7574</v>
      </c>
      <c r="H7584">
        <f t="shared" ca="1" si="126"/>
        <v>-1.6368288151599819E-3</v>
      </c>
    </row>
    <row r="7585" spans="7:8">
      <c r="G7585">
        <v>7575</v>
      </c>
      <c r="H7585">
        <f t="shared" ca="1" si="126"/>
        <v>-8.9602313382876088E-3</v>
      </c>
    </row>
    <row r="7586" spans="7:8">
      <c r="G7586">
        <v>7576</v>
      </c>
      <c r="H7586">
        <f t="shared" ca="1" si="126"/>
        <v>2.8143518487877946E-2</v>
      </c>
    </row>
    <row r="7587" spans="7:8">
      <c r="G7587">
        <v>7577</v>
      </c>
      <c r="H7587">
        <f t="shared" ca="1" si="126"/>
        <v>-5.6843823813325679E-3</v>
      </c>
    </row>
    <row r="7588" spans="7:8">
      <c r="G7588">
        <v>7578</v>
      </c>
      <c r="H7588">
        <f t="shared" ca="1" si="126"/>
        <v>2.1786307299227904E-2</v>
      </c>
    </row>
    <row r="7589" spans="7:8">
      <c r="G7589">
        <v>7579</v>
      </c>
      <c r="H7589">
        <f t="shared" ca="1" si="126"/>
        <v>-5.1625030745162219E-2</v>
      </c>
    </row>
    <row r="7590" spans="7:8">
      <c r="G7590">
        <v>7580</v>
      </c>
      <c r="H7590">
        <f t="shared" ca="1" si="126"/>
        <v>1.160442139533352E-2</v>
      </c>
    </row>
    <row r="7591" spans="7:8">
      <c r="G7591">
        <v>7581</v>
      </c>
      <c r="H7591">
        <f t="shared" ca="1" si="126"/>
        <v>-9.4140786266764011E-3</v>
      </c>
    </row>
    <row r="7592" spans="7:8">
      <c r="G7592">
        <v>7582</v>
      </c>
      <c r="H7592">
        <f t="shared" ca="1" si="126"/>
        <v>-3.6624544976963248E-2</v>
      </c>
    </row>
    <row r="7593" spans="7:8">
      <c r="G7593">
        <v>7583</v>
      </c>
      <c r="H7593">
        <f t="shared" ca="1" si="126"/>
        <v>-1.0254543872033122E-2</v>
      </c>
    </row>
    <row r="7594" spans="7:8">
      <c r="G7594">
        <v>7584</v>
      </c>
      <c r="H7594">
        <f t="shared" ca="1" si="126"/>
        <v>-1.8359474453911669E-2</v>
      </c>
    </row>
    <row r="7595" spans="7:8">
      <c r="G7595">
        <v>7585</v>
      </c>
      <c r="H7595">
        <f t="shared" ca="1" si="126"/>
        <v>1.3040498459476347E-2</v>
      </c>
    </row>
    <row r="7596" spans="7:8">
      <c r="G7596">
        <v>7586</v>
      </c>
      <c r="H7596">
        <f t="shared" ca="1" si="126"/>
        <v>1.8001455627031187E-2</v>
      </c>
    </row>
    <row r="7597" spans="7:8">
      <c r="G7597">
        <v>7587</v>
      </c>
      <c r="H7597">
        <f t="shared" ca="1" si="126"/>
        <v>-4.3886307848973191E-3</v>
      </c>
    </row>
    <row r="7598" spans="7:8">
      <c r="G7598">
        <v>7588</v>
      </c>
      <c r="H7598">
        <f t="shared" ca="1" si="126"/>
        <v>-2.1077853938198547E-2</v>
      </c>
    </row>
    <row r="7599" spans="7:8">
      <c r="G7599">
        <v>7589</v>
      </c>
      <c r="H7599">
        <f t="shared" ca="1" si="126"/>
        <v>1.4530207785490946E-2</v>
      </c>
    </row>
    <row r="7600" spans="7:8">
      <c r="G7600">
        <v>7590</v>
      </c>
      <c r="H7600">
        <f t="shared" ca="1" si="126"/>
        <v>-6.9801752458473875E-3</v>
      </c>
    </row>
    <row r="7601" spans="7:8">
      <c r="G7601">
        <v>7591</v>
      </c>
      <c r="H7601">
        <f t="shared" ca="1" si="126"/>
        <v>5.9082868321285037E-3</v>
      </c>
    </row>
    <row r="7602" spans="7:8">
      <c r="G7602">
        <v>7592</v>
      </c>
      <c r="H7602">
        <f t="shared" ca="1" si="126"/>
        <v>1.9930977271473457E-2</v>
      </c>
    </row>
    <row r="7603" spans="7:8">
      <c r="G7603">
        <v>7593</v>
      </c>
      <c r="H7603">
        <f t="shared" ca="1" si="126"/>
        <v>-1.4926169078728032E-2</v>
      </c>
    </row>
    <row r="7604" spans="7:8">
      <c r="G7604">
        <v>7594</v>
      </c>
      <c r="H7604">
        <f t="shared" ca="1" si="126"/>
        <v>3.867441291080808E-3</v>
      </c>
    </row>
    <row r="7605" spans="7:8">
      <c r="G7605">
        <v>7595</v>
      </c>
      <c r="H7605">
        <f t="shared" ca="1" si="126"/>
        <v>7.3065557589825159E-3</v>
      </c>
    </row>
    <row r="7606" spans="7:8">
      <c r="G7606">
        <v>7596</v>
      </c>
      <c r="H7606">
        <f t="shared" ca="1" si="126"/>
        <v>1.475568380782977E-2</v>
      </c>
    </row>
    <row r="7607" spans="7:8">
      <c r="G7607">
        <v>7597</v>
      </c>
      <c r="H7607">
        <f t="shared" ca="1" si="126"/>
        <v>9.0118808633297097E-3</v>
      </c>
    </row>
    <row r="7608" spans="7:8">
      <c r="G7608">
        <v>7598</v>
      </c>
      <c r="H7608">
        <f t="shared" ca="1" si="126"/>
        <v>1.21484588805876E-3</v>
      </c>
    </row>
    <row r="7609" spans="7:8">
      <c r="G7609">
        <v>7599</v>
      </c>
      <c r="H7609">
        <f t="shared" ca="1" si="126"/>
        <v>1.6746595758111271E-3</v>
      </c>
    </row>
    <row r="7610" spans="7:8">
      <c r="G7610">
        <v>7600</v>
      </c>
      <c r="H7610">
        <f t="shared" ca="1" si="126"/>
        <v>1.1770580208952186E-2</v>
      </c>
    </row>
    <row r="7611" spans="7:8">
      <c r="G7611">
        <v>7601</v>
      </c>
      <c r="H7611">
        <f t="shared" ca="1" si="126"/>
        <v>-5.4760498588982912E-3</v>
      </c>
    </row>
    <row r="7612" spans="7:8">
      <c r="G7612">
        <v>7602</v>
      </c>
      <c r="H7612">
        <f t="shared" ca="1" si="126"/>
        <v>-3.0117678361037854E-2</v>
      </c>
    </row>
    <row r="7613" spans="7:8">
      <c r="G7613">
        <v>7603</v>
      </c>
      <c r="H7613">
        <f t="shared" ca="1" si="126"/>
        <v>-5.0024531988855231E-3</v>
      </c>
    </row>
    <row r="7614" spans="7:8">
      <c r="G7614">
        <v>7604</v>
      </c>
      <c r="H7614">
        <f t="shared" ca="1" si="126"/>
        <v>2.5402602509534233E-6</v>
      </c>
    </row>
    <row r="7615" spans="7:8">
      <c r="G7615">
        <v>7605</v>
      </c>
      <c r="H7615">
        <f t="shared" ca="1" si="126"/>
        <v>-1.4798336636755977E-2</v>
      </c>
    </row>
    <row r="7616" spans="7:8">
      <c r="G7616">
        <v>7606</v>
      </c>
      <c r="H7616">
        <f t="shared" ca="1" si="126"/>
        <v>2.1139054903870202E-2</v>
      </c>
    </row>
    <row r="7617" spans="7:8">
      <c r="G7617">
        <v>7607</v>
      </c>
      <c r="H7617">
        <f t="shared" ca="1" si="126"/>
        <v>-1.1389488711533304E-2</v>
      </c>
    </row>
    <row r="7618" spans="7:8">
      <c r="G7618">
        <v>7608</v>
      </c>
      <c r="H7618">
        <f t="shared" ca="1" si="126"/>
        <v>8.4394439794060697E-3</v>
      </c>
    </row>
    <row r="7619" spans="7:8">
      <c r="G7619">
        <v>7609</v>
      </c>
      <c r="H7619">
        <f t="shared" ca="1" si="126"/>
        <v>-2.0960471402511772E-2</v>
      </c>
    </row>
    <row r="7620" spans="7:8">
      <c r="G7620">
        <v>7610</v>
      </c>
      <c r="H7620">
        <f t="shared" ca="1" si="126"/>
        <v>9.5536478020185819E-3</v>
      </c>
    </row>
    <row r="7621" spans="7:8">
      <c r="G7621">
        <v>7611</v>
      </c>
      <c r="H7621">
        <f t="shared" ca="1" si="126"/>
        <v>-6.4616074874070785E-3</v>
      </c>
    </row>
    <row r="7622" spans="7:8">
      <c r="G7622">
        <v>7612</v>
      </c>
      <c r="H7622">
        <f t="shared" ca="1" si="126"/>
        <v>-1.3115344014128833E-2</v>
      </c>
    </row>
    <row r="7623" spans="7:8">
      <c r="G7623">
        <v>7613</v>
      </c>
      <c r="H7623">
        <f t="shared" ca="1" si="126"/>
        <v>1.0850097221424709E-3</v>
      </c>
    </row>
    <row r="7624" spans="7:8">
      <c r="G7624">
        <v>7614</v>
      </c>
      <c r="H7624">
        <f t="shared" ca="1" si="126"/>
        <v>1.7959733597346688E-2</v>
      </c>
    </row>
    <row r="7625" spans="7:8">
      <c r="G7625">
        <v>7615</v>
      </c>
      <c r="H7625">
        <f t="shared" ca="1" si="126"/>
        <v>-3.9114757533639875E-2</v>
      </c>
    </row>
    <row r="7626" spans="7:8">
      <c r="G7626">
        <v>7616</v>
      </c>
      <c r="H7626">
        <f t="shared" ca="1" si="126"/>
        <v>-3.0583681161634322E-2</v>
      </c>
    </row>
    <row r="7627" spans="7:8">
      <c r="G7627">
        <v>7617</v>
      </c>
      <c r="H7627">
        <f t="shared" ca="1" si="126"/>
        <v>3.5810672571113748E-2</v>
      </c>
    </row>
    <row r="7628" spans="7:8">
      <c r="G7628">
        <v>7618</v>
      </c>
      <c r="H7628">
        <f t="shared" ref="H7628:H7691" ca="1" si="127">_xlfn.NORM.INV(RAND(),N$13,N$14)</f>
        <v>1.7626862680062882E-3</v>
      </c>
    </row>
    <row r="7629" spans="7:8">
      <c r="G7629">
        <v>7619</v>
      </c>
      <c r="H7629">
        <f t="shared" ca="1" si="127"/>
        <v>3.4844696083553381E-2</v>
      </c>
    </row>
    <row r="7630" spans="7:8">
      <c r="G7630">
        <v>7620</v>
      </c>
      <c r="H7630">
        <f t="shared" ca="1" si="127"/>
        <v>-2.0850164656761525E-2</v>
      </c>
    </row>
    <row r="7631" spans="7:8">
      <c r="G7631">
        <v>7621</v>
      </c>
      <c r="H7631">
        <f t="shared" ca="1" si="127"/>
        <v>1.8423939686265271E-2</v>
      </c>
    </row>
    <row r="7632" spans="7:8">
      <c r="G7632">
        <v>7622</v>
      </c>
      <c r="H7632">
        <f t="shared" ca="1" si="127"/>
        <v>-2.8652124772431176E-2</v>
      </c>
    </row>
    <row r="7633" spans="7:8">
      <c r="G7633">
        <v>7623</v>
      </c>
      <c r="H7633">
        <f t="shared" ca="1" si="127"/>
        <v>-9.787346684906521E-3</v>
      </c>
    </row>
    <row r="7634" spans="7:8">
      <c r="G7634">
        <v>7624</v>
      </c>
      <c r="H7634">
        <f t="shared" ca="1" si="127"/>
        <v>1.4445151636129879E-2</v>
      </c>
    </row>
    <row r="7635" spans="7:8">
      <c r="G7635">
        <v>7625</v>
      </c>
      <c r="H7635">
        <f t="shared" ca="1" si="127"/>
        <v>1.5856537366191709E-2</v>
      </c>
    </row>
    <row r="7636" spans="7:8">
      <c r="G7636">
        <v>7626</v>
      </c>
      <c r="H7636">
        <f t="shared" ca="1" si="127"/>
        <v>1.3139333005216941E-2</v>
      </c>
    </row>
    <row r="7637" spans="7:8">
      <c r="G7637">
        <v>7627</v>
      </c>
      <c r="H7637">
        <f t="shared" ca="1" si="127"/>
        <v>2.87686921577094E-2</v>
      </c>
    </row>
    <row r="7638" spans="7:8">
      <c r="G7638">
        <v>7628</v>
      </c>
      <c r="H7638">
        <f t="shared" ca="1" si="127"/>
        <v>-3.1471085487092175E-2</v>
      </c>
    </row>
    <row r="7639" spans="7:8">
      <c r="G7639">
        <v>7629</v>
      </c>
      <c r="H7639">
        <f t="shared" ca="1" si="127"/>
        <v>-4.0720794235078401E-3</v>
      </c>
    </row>
    <row r="7640" spans="7:8">
      <c r="G7640">
        <v>7630</v>
      </c>
      <c r="H7640">
        <f t="shared" ca="1" si="127"/>
        <v>-3.2539383784756022E-2</v>
      </c>
    </row>
    <row r="7641" spans="7:8">
      <c r="G7641">
        <v>7631</v>
      </c>
      <c r="H7641">
        <f t="shared" ca="1" si="127"/>
        <v>-2.6100684872132043E-2</v>
      </c>
    </row>
    <row r="7642" spans="7:8">
      <c r="G7642">
        <v>7632</v>
      </c>
      <c r="H7642">
        <f t="shared" ca="1" si="127"/>
        <v>-2.516915068778194E-2</v>
      </c>
    </row>
    <row r="7643" spans="7:8">
      <c r="G7643">
        <v>7633</v>
      </c>
      <c r="H7643">
        <f t="shared" ca="1" si="127"/>
        <v>1.0500626681462606E-2</v>
      </c>
    </row>
    <row r="7644" spans="7:8">
      <c r="G7644">
        <v>7634</v>
      </c>
      <c r="H7644">
        <f t="shared" ca="1" si="127"/>
        <v>-1.7120641180555635E-2</v>
      </c>
    </row>
    <row r="7645" spans="7:8">
      <c r="G7645">
        <v>7635</v>
      </c>
      <c r="H7645">
        <f t="shared" ca="1" si="127"/>
        <v>3.3272173642749192E-3</v>
      </c>
    </row>
    <row r="7646" spans="7:8">
      <c r="G7646">
        <v>7636</v>
      </c>
      <c r="H7646">
        <f t="shared" ca="1" si="127"/>
        <v>4.8258476185851426E-2</v>
      </c>
    </row>
    <row r="7647" spans="7:8">
      <c r="G7647">
        <v>7637</v>
      </c>
      <c r="H7647">
        <f t="shared" ca="1" si="127"/>
        <v>2.0522911474526843E-2</v>
      </c>
    </row>
    <row r="7648" spans="7:8">
      <c r="G7648">
        <v>7638</v>
      </c>
      <c r="H7648">
        <f t="shared" ca="1" si="127"/>
        <v>1.5844490936779768E-3</v>
      </c>
    </row>
    <row r="7649" spans="7:8">
      <c r="G7649">
        <v>7639</v>
      </c>
      <c r="H7649">
        <f t="shared" ca="1" si="127"/>
        <v>-3.0774074842070512E-2</v>
      </c>
    </row>
    <row r="7650" spans="7:8">
      <c r="G7650">
        <v>7640</v>
      </c>
      <c r="H7650">
        <f t="shared" ca="1" si="127"/>
        <v>-1.9210666160308417E-2</v>
      </c>
    </row>
    <row r="7651" spans="7:8">
      <c r="G7651">
        <v>7641</v>
      </c>
      <c r="H7651">
        <f t="shared" ca="1" si="127"/>
        <v>-8.3289561525047985E-5</v>
      </c>
    </row>
    <row r="7652" spans="7:8">
      <c r="G7652">
        <v>7642</v>
      </c>
      <c r="H7652">
        <f t="shared" ca="1" si="127"/>
        <v>8.751566060310953E-3</v>
      </c>
    </row>
    <row r="7653" spans="7:8">
      <c r="G7653">
        <v>7643</v>
      </c>
      <c r="H7653">
        <f t="shared" ca="1" si="127"/>
        <v>-1.4637273697481794E-2</v>
      </c>
    </row>
    <row r="7654" spans="7:8">
      <c r="G7654">
        <v>7644</v>
      </c>
      <c r="H7654">
        <f t="shared" ca="1" si="127"/>
        <v>-1.07288846355668E-2</v>
      </c>
    </row>
    <row r="7655" spans="7:8">
      <c r="G7655">
        <v>7645</v>
      </c>
      <c r="H7655">
        <f t="shared" ca="1" si="127"/>
        <v>-4.3362006588304781E-3</v>
      </c>
    </row>
    <row r="7656" spans="7:8">
      <c r="G7656">
        <v>7646</v>
      </c>
      <c r="H7656">
        <f t="shared" ca="1" si="127"/>
        <v>-1.8311796014210006E-2</v>
      </c>
    </row>
    <row r="7657" spans="7:8">
      <c r="G7657">
        <v>7647</v>
      </c>
      <c r="H7657">
        <f t="shared" ca="1" si="127"/>
        <v>6.6632184476339024E-3</v>
      </c>
    </row>
    <row r="7658" spans="7:8">
      <c r="G7658">
        <v>7648</v>
      </c>
      <c r="H7658">
        <f t="shared" ca="1" si="127"/>
        <v>-6.7546802375395652E-3</v>
      </c>
    </row>
    <row r="7659" spans="7:8">
      <c r="G7659">
        <v>7649</v>
      </c>
      <c r="H7659">
        <f t="shared" ca="1" si="127"/>
        <v>-6.4651077928162106E-3</v>
      </c>
    </row>
    <row r="7660" spans="7:8">
      <c r="G7660">
        <v>7650</v>
      </c>
      <c r="H7660">
        <f t="shared" ca="1" si="127"/>
        <v>7.0347043822859678E-3</v>
      </c>
    </row>
    <row r="7661" spans="7:8">
      <c r="G7661">
        <v>7651</v>
      </c>
      <c r="H7661">
        <f t="shared" ca="1" si="127"/>
        <v>2.6793694103671227E-3</v>
      </c>
    </row>
    <row r="7662" spans="7:8">
      <c r="G7662">
        <v>7652</v>
      </c>
      <c r="H7662">
        <f t="shared" ca="1" si="127"/>
        <v>-1.4776990731212528E-3</v>
      </c>
    </row>
    <row r="7663" spans="7:8">
      <c r="G7663">
        <v>7653</v>
      </c>
      <c r="H7663">
        <f t="shared" ca="1" si="127"/>
        <v>-4.2582721001043267E-2</v>
      </c>
    </row>
    <row r="7664" spans="7:8">
      <c r="G7664">
        <v>7654</v>
      </c>
      <c r="H7664">
        <f t="shared" ca="1" si="127"/>
        <v>2.6072834200221415E-2</v>
      </c>
    </row>
    <row r="7665" spans="7:8">
      <c r="G7665">
        <v>7655</v>
      </c>
      <c r="H7665">
        <f t="shared" ca="1" si="127"/>
        <v>-8.8921971434690189E-3</v>
      </c>
    </row>
    <row r="7666" spans="7:8">
      <c r="G7666">
        <v>7656</v>
      </c>
      <c r="H7666">
        <f t="shared" ca="1" si="127"/>
        <v>-1.8556146617050046E-2</v>
      </c>
    </row>
    <row r="7667" spans="7:8">
      <c r="G7667">
        <v>7657</v>
      </c>
      <c r="H7667">
        <f t="shared" ca="1" si="127"/>
        <v>-4.9158369352103951E-3</v>
      </c>
    </row>
    <row r="7668" spans="7:8">
      <c r="G7668">
        <v>7658</v>
      </c>
      <c r="H7668">
        <f t="shared" ca="1" si="127"/>
        <v>2.7450121281984138E-2</v>
      </c>
    </row>
    <row r="7669" spans="7:8">
      <c r="G7669">
        <v>7659</v>
      </c>
      <c r="H7669">
        <f t="shared" ca="1" si="127"/>
        <v>-1.0395365114957401E-2</v>
      </c>
    </row>
    <row r="7670" spans="7:8">
      <c r="G7670">
        <v>7660</v>
      </c>
      <c r="H7670">
        <f t="shared" ca="1" si="127"/>
        <v>2.7033461501017035E-2</v>
      </c>
    </row>
    <row r="7671" spans="7:8">
      <c r="G7671">
        <v>7661</v>
      </c>
      <c r="H7671">
        <f t="shared" ca="1" si="127"/>
        <v>-5.3285427633320368E-3</v>
      </c>
    </row>
    <row r="7672" spans="7:8">
      <c r="G7672">
        <v>7662</v>
      </c>
      <c r="H7672">
        <f t="shared" ca="1" si="127"/>
        <v>-7.1545681182986773E-3</v>
      </c>
    </row>
    <row r="7673" spans="7:8">
      <c r="G7673">
        <v>7663</v>
      </c>
      <c r="H7673">
        <f t="shared" ca="1" si="127"/>
        <v>-2.7185903164318508E-2</v>
      </c>
    </row>
    <row r="7674" spans="7:8">
      <c r="G7674">
        <v>7664</v>
      </c>
      <c r="H7674">
        <f t="shared" ca="1" si="127"/>
        <v>-2.8808029773529337E-2</v>
      </c>
    </row>
    <row r="7675" spans="7:8">
      <c r="G7675">
        <v>7665</v>
      </c>
      <c r="H7675">
        <f t="shared" ca="1" si="127"/>
        <v>-6.5923037391714986E-4</v>
      </c>
    </row>
    <row r="7676" spans="7:8">
      <c r="G7676">
        <v>7666</v>
      </c>
      <c r="H7676">
        <f t="shared" ca="1" si="127"/>
        <v>-2.9081949526571647E-2</v>
      </c>
    </row>
    <row r="7677" spans="7:8">
      <c r="G7677">
        <v>7667</v>
      </c>
      <c r="H7677">
        <f t="shared" ca="1" si="127"/>
        <v>-2.8713571721957109E-2</v>
      </c>
    </row>
    <row r="7678" spans="7:8">
      <c r="G7678">
        <v>7668</v>
      </c>
      <c r="H7678">
        <f t="shared" ca="1" si="127"/>
        <v>1.3000953995214693E-2</v>
      </c>
    </row>
    <row r="7679" spans="7:8">
      <c r="G7679">
        <v>7669</v>
      </c>
      <c r="H7679">
        <f t="shared" ca="1" si="127"/>
        <v>3.1771145209324225E-2</v>
      </c>
    </row>
    <row r="7680" spans="7:8">
      <c r="G7680">
        <v>7670</v>
      </c>
      <c r="H7680">
        <f t="shared" ca="1" si="127"/>
        <v>1.1634752153109334E-2</v>
      </c>
    </row>
    <row r="7681" spans="7:8">
      <c r="G7681">
        <v>7671</v>
      </c>
      <c r="H7681">
        <f t="shared" ca="1" si="127"/>
        <v>2.7764121550485646E-2</v>
      </c>
    </row>
    <row r="7682" spans="7:8">
      <c r="G7682">
        <v>7672</v>
      </c>
      <c r="H7682">
        <f t="shared" ca="1" si="127"/>
        <v>-2.6620340896972752E-2</v>
      </c>
    </row>
    <row r="7683" spans="7:8">
      <c r="G7683">
        <v>7673</v>
      </c>
      <c r="H7683">
        <f t="shared" ca="1" si="127"/>
        <v>1.1298290974513601E-2</v>
      </c>
    </row>
    <row r="7684" spans="7:8">
      <c r="G7684">
        <v>7674</v>
      </c>
      <c r="H7684">
        <f t="shared" ca="1" si="127"/>
        <v>8.4223264348394465E-3</v>
      </c>
    </row>
    <row r="7685" spans="7:8">
      <c r="G7685">
        <v>7675</v>
      </c>
      <c r="H7685">
        <f t="shared" ca="1" si="127"/>
        <v>-3.9758191084895197E-3</v>
      </c>
    </row>
    <row r="7686" spans="7:8">
      <c r="G7686">
        <v>7676</v>
      </c>
      <c r="H7686">
        <f t="shared" ca="1" si="127"/>
        <v>3.4837116540965864E-3</v>
      </c>
    </row>
    <row r="7687" spans="7:8">
      <c r="G7687">
        <v>7677</v>
      </c>
      <c r="H7687">
        <f t="shared" ca="1" si="127"/>
        <v>-1.0261923759590697E-2</v>
      </c>
    </row>
    <row r="7688" spans="7:8">
      <c r="G7688">
        <v>7678</v>
      </c>
      <c r="H7688">
        <f t="shared" ca="1" si="127"/>
        <v>-3.5903245904106789E-3</v>
      </c>
    </row>
    <row r="7689" spans="7:8">
      <c r="G7689">
        <v>7679</v>
      </c>
      <c r="H7689">
        <f t="shared" ca="1" si="127"/>
        <v>1.7280661401419709E-2</v>
      </c>
    </row>
    <row r="7690" spans="7:8">
      <c r="G7690">
        <v>7680</v>
      </c>
      <c r="H7690">
        <f t="shared" ca="1" si="127"/>
        <v>4.0094516449410561E-2</v>
      </c>
    </row>
    <row r="7691" spans="7:8">
      <c r="G7691">
        <v>7681</v>
      </c>
      <c r="H7691">
        <f t="shared" ca="1" si="127"/>
        <v>-1.3847131029102662E-2</v>
      </c>
    </row>
    <row r="7692" spans="7:8">
      <c r="G7692">
        <v>7682</v>
      </c>
      <c r="H7692">
        <f t="shared" ref="H7692:H7755" ca="1" si="128">_xlfn.NORM.INV(RAND(),N$13,N$14)</f>
        <v>1.1893189079531241E-3</v>
      </c>
    </row>
    <row r="7693" spans="7:8">
      <c r="G7693">
        <v>7683</v>
      </c>
      <c r="H7693">
        <f t="shared" ca="1" si="128"/>
        <v>-3.2833580239766597E-2</v>
      </c>
    </row>
    <row r="7694" spans="7:8">
      <c r="G7694">
        <v>7684</v>
      </c>
      <c r="H7694">
        <f t="shared" ca="1" si="128"/>
        <v>-1.9531934138246023E-2</v>
      </c>
    </row>
    <row r="7695" spans="7:8">
      <c r="G7695">
        <v>7685</v>
      </c>
      <c r="H7695">
        <f t="shared" ca="1" si="128"/>
        <v>-8.779286693699255E-3</v>
      </c>
    </row>
    <row r="7696" spans="7:8">
      <c r="G7696">
        <v>7686</v>
      </c>
      <c r="H7696">
        <f t="shared" ca="1" si="128"/>
        <v>-7.2947968999370867E-3</v>
      </c>
    </row>
    <row r="7697" spans="7:8">
      <c r="G7697">
        <v>7687</v>
      </c>
      <c r="H7697">
        <f t="shared" ca="1" si="128"/>
        <v>3.7672078475788334E-3</v>
      </c>
    </row>
    <row r="7698" spans="7:8">
      <c r="G7698">
        <v>7688</v>
      </c>
      <c r="H7698">
        <f t="shared" ca="1" si="128"/>
        <v>1.2063214292113144E-2</v>
      </c>
    </row>
    <row r="7699" spans="7:8">
      <c r="G7699">
        <v>7689</v>
      </c>
      <c r="H7699">
        <f t="shared" ca="1" si="128"/>
        <v>-2.7484070631955695E-2</v>
      </c>
    </row>
    <row r="7700" spans="7:8">
      <c r="G7700">
        <v>7690</v>
      </c>
      <c r="H7700">
        <f t="shared" ca="1" si="128"/>
        <v>-1.3004060269335106E-2</v>
      </c>
    </row>
    <row r="7701" spans="7:8">
      <c r="G7701">
        <v>7691</v>
      </c>
      <c r="H7701">
        <f t="shared" ca="1" si="128"/>
        <v>3.3894178588129986E-2</v>
      </c>
    </row>
    <row r="7702" spans="7:8">
      <c r="G7702">
        <v>7692</v>
      </c>
      <c r="H7702">
        <f t="shared" ca="1" si="128"/>
        <v>1.5426199727458326E-2</v>
      </c>
    </row>
    <row r="7703" spans="7:8">
      <c r="G7703">
        <v>7693</v>
      </c>
      <c r="H7703">
        <f t="shared" ca="1" si="128"/>
        <v>6.5010066971576937E-3</v>
      </c>
    </row>
    <row r="7704" spans="7:8">
      <c r="G7704">
        <v>7694</v>
      </c>
      <c r="H7704">
        <f t="shared" ca="1" si="128"/>
        <v>-2.1635837479130782E-2</v>
      </c>
    </row>
    <row r="7705" spans="7:8">
      <c r="G7705">
        <v>7695</v>
      </c>
      <c r="H7705">
        <f t="shared" ca="1" si="128"/>
        <v>2.9986373160888244E-2</v>
      </c>
    </row>
    <row r="7706" spans="7:8">
      <c r="G7706">
        <v>7696</v>
      </c>
      <c r="H7706">
        <f t="shared" ca="1" si="128"/>
        <v>-3.9346607863308423E-2</v>
      </c>
    </row>
    <row r="7707" spans="7:8">
      <c r="G7707">
        <v>7697</v>
      </c>
      <c r="H7707">
        <f t="shared" ca="1" si="128"/>
        <v>3.1757884549137805E-2</v>
      </c>
    </row>
    <row r="7708" spans="7:8">
      <c r="G7708">
        <v>7698</v>
      </c>
      <c r="H7708">
        <f t="shared" ca="1" si="128"/>
        <v>-7.8569430845285351E-4</v>
      </c>
    </row>
    <row r="7709" spans="7:8">
      <c r="G7709">
        <v>7699</v>
      </c>
      <c r="H7709">
        <f t="shared" ca="1" si="128"/>
        <v>2.4282631614177389E-3</v>
      </c>
    </row>
    <row r="7710" spans="7:8">
      <c r="G7710">
        <v>7700</v>
      </c>
      <c r="H7710">
        <f t="shared" ca="1" si="128"/>
        <v>-2.3744371027616475E-2</v>
      </c>
    </row>
    <row r="7711" spans="7:8">
      <c r="G7711">
        <v>7701</v>
      </c>
      <c r="H7711">
        <f t="shared" ca="1" si="128"/>
        <v>2.6131170378392146E-2</v>
      </c>
    </row>
    <row r="7712" spans="7:8">
      <c r="G7712">
        <v>7702</v>
      </c>
      <c r="H7712">
        <f t="shared" ca="1" si="128"/>
        <v>1.3544883505137821E-3</v>
      </c>
    </row>
    <row r="7713" spans="7:8">
      <c r="G7713">
        <v>7703</v>
      </c>
      <c r="H7713">
        <f t="shared" ca="1" si="128"/>
        <v>7.2350845535471249E-3</v>
      </c>
    </row>
    <row r="7714" spans="7:8">
      <c r="G7714">
        <v>7704</v>
      </c>
      <c r="H7714">
        <f t="shared" ca="1" si="128"/>
        <v>-2.6391628832647597E-2</v>
      </c>
    </row>
    <row r="7715" spans="7:8">
      <c r="G7715">
        <v>7705</v>
      </c>
      <c r="H7715">
        <f t="shared" ca="1" si="128"/>
        <v>1.1566627408246691E-2</v>
      </c>
    </row>
    <row r="7716" spans="7:8">
      <c r="G7716">
        <v>7706</v>
      </c>
      <c r="H7716">
        <f t="shared" ca="1" si="128"/>
        <v>3.086881173075718E-2</v>
      </c>
    </row>
    <row r="7717" spans="7:8">
      <c r="G7717">
        <v>7707</v>
      </c>
      <c r="H7717">
        <f t="shared" ca="1" si="128"/>
        <v>3.5766542788883811E-2</v>
      </c>
    </row>
    <row r="7718" spans="7:8">
      <c r="G7718">
        <v>7708</v>
      </c>
      <c r="H7718">
        <f t="shared" ca="1" si="128"/>
        <v>-4.1855342486903271E-2</v>
      </c>
    </row>
    <row r="7719" spans="7:8">
      <c r="G7719">
        <v>7709</v>
      </c>
      <c r="H7719">
        <f t="shared" ca="1" si="128"/>
        <v>-2.3487045347613009E-2</v>
      </c>
    </row>
    <row r="7720" spans="7:8">
      <c r="G7720">
        <v>7710</v>
      </c>
      <c r="H7720">
        <f t="shared" ca="1" si="128"/>
        <v>3.236455695956314E-2</v>
      </c>
    </row>
    <row r="7721" spans="7:8">
      <c r="G7721">
        <v>7711</v>
      </c>
      <c r="H7721">
        <f t="shared" ca="1" si="128"/>
        <v>-8.0890025540630225E-3</v>
      </c>
    </row>
    <row r="7722" spans="7:8">
      <c r="G7722">
        <v>7712</v>
      </c>
      <c r="H7722">
        <f t="shared" ca="1" si="128"/>
        <v>8.4123751657873454E-3</v>
      </c>
    </row>
    <row r="7723" spans="7:8">
      <c r="G7723">
        <v>7713</v>
      </c>
      <c r="H7723">
        <f t="shared" ca="1" si="128"/>
        <v>-7.8459728960076237E-3</v>
      </c>
    </row>
    <row r="7724" spans="7:8">
      <c r="G7724">
        <v>7714</v>
      </c>
      <c r="H7724">
        <f t="shared" ca="1" si="128"/>
        <v>1.5874555551094089E-2</v>
      </c>
    </row>
    <row r="7725" spans="7:8">
      <c r="G7725">
        <v>7715</v>
      </c>
      <c r="H7725">
        <f t="shared" ca="1" si="128"/>
        <v>1.8004187439245735E-2</v>
      </c>
    </row>
    <row r="7726" spans="7:8">
      <c r="G7726">
        <v>7716</v>
      </c>
      <c r="H7726">
        <f t="shared" ca="1" si="128"/>
        <v>-5.016722467264495E-2</v>
      </c>
    </row>
    <row r="7727" spans="7:8">
      <c r="G7727">
        <v>7717</v>
      </c>
      <c r="H7727">
        <f t="shared" ca="1" si="128"/>
        <v>-9.2042783104611045E-3</v>
      </c>
    </row>
    <row r="7728" spans="7:8">
      <c r="G7728">
        <v>7718</v>
      </c>
      <c r="H7728">
        <f t="shared" ca="1" si="128"/>
        <v>4.8925208325985531E-4</v>
      </c>
    </row>
    <row r="7729" spans="7:8">
      <c r="G7729">
        <v>7719</v>
      </c>
      <c r="H7729">
        <f t="shared" ca="1" si="128"/>
        <v>-1.7591883476924235E-2</v>
      </c>
    </row>
    <row r="7730" spans="7:8">
      <c r="G7730">
        <v>7720</v>
      </c>
      <c r="H7730">
        <f t="shared" ca="1" si="128"/>
        <v>2.8897759251385385E-3</v>
      </c>
    </row>
    <row r="7731" spans="7:8">
      <c r="G7731">
        <v>7721</v>
      </c>
      <c r="H7731">
        <f t="shared" ca="1" si="128"/>
        <v>1.0635377599191552E-2</v>
      </c>
    </row>
    <row r="7732" spans="7:8">
      <c r="G7732">
        <v>7722</v>
      </c>
      <c r="H7732">
        <f t="shared" ca="1" si="128"/>
        <v>-1.5719703071246149E-2</v>
      </c>
    </row>
    <row r="7733" spans="7:8">
      <c r="G7733">
        <v>7723</v>
      </c>
      <c r="H7733">
        <f t="shared" ca="1" si="128"/>
        <v>-6.17247096088765E-3</v>
      </c>
    </row>
    <row r="7734" spans="7:8">
      <c r="G7734">
        <v>7724</v>
      </c>
      <c r="H7734">
        <f t="shared" ca="1" si="128"/>
        <v>-1.8330248790822786E-2</v>
      </c>
    </row>
    <row r="7735" spans="7:8">
      <c r="G7735">
        <v>7725</v>
      </c>
      <c r="H7735">
        <f t="shared" ca="1" si="128"/>
        <v>5.1899171109971685E-2</v>
      </c>
    </row>
    <row r="7736" spans="7:8">
      <c r="G7736">
        <v>7726</v>
      </c>
      <c r="H7736">
        <f t="shared" ca="1" si="128"/>
        <v>1.3003019854053246E-2</v>
      </c>
    </row>
    <row r="7737" spans="7:8">
      <c r="G7737">
        <v>7727</v>
      </c>
      <c r="H7737">
        <f t="shared" ca="1" si="128"/>
        <v>-2.0336008114748783E-2</v>
      </c>
    </row>
    <row r="7738" spans="7:8">
      <c r="G7738">
        <v>7728</v>
      </c>
      <c r="H7738">
        <f t="shared" ca="1" si="128"/>
        <v>-4.4269258087597111E-3</v>
      </c>
    </row>
    <row r="7739" spans="7:8">
      <c r="G7739">
        <v>7729</v>
      </c>
      <c r="H7739">
        <f t="shared" ca="1" si="128"/>
        <v>-1.6752476427738465E-2</v>
      </c>
    </row>
    <row r="7740" spans="7:8">
      <c r="G7740">
        <v>7730</v>
      </c>
      <c r="H7740">
        <f t="shared" ca="1" si="128"/>
        <v>-9.6238469984499964E-3</v>
      </c>
    </row>
    <row r="7741" spans="7:8">
      <c r="G7741">
        <v>7731</v>
      </c>
      <c r="H7741">
        <f t="shared" ca="1" si="128"/>
        <v>4.8125648193170348E-2</v>
      </c>
    </row>
    <row r="7742" spans="7:8">
      <c r="G7742">
        <v>7732</v>
      </c>
      <c r="H7742">
        <f t="shared" ca="1" si="128"/>
        <v>-2.3156686381504726E-2</v>
      </c>
    </row>
    <row r="7743" spans="7:8">
      <c r="G7743">
        <v>7733</v>
      </c>
      <c r="H7743">
        <f t="shared" ca="1" si="128"/>
        <v>-1.8283619351956319E-2</v>
      </c>
    </row>
    <row r="7744" spans="7:8">
      <c r="G7744">
        <v>7734</v>
      </c>
      <c r="H7744">
        <f t="shared" ca="1" si="128"/>
        <v>-1.1899225711411873E-2</v>
      </c>
    </row>
    <row r="7745" spans="7:8">
      <c r="G7745">
        <v>7735</v>
      </c>
      <c r="H7745">
        <f t="shared" ca="1" si="128"/>
        <v>3.067860717417081E-3</v>
      </c>
    </row>
    <row r="7746" spans="7:8">
      <c r="G7746">
        <v>7736</v>
      </c>
      <c r="H7746">
        <f t="shared" ca="1" si="128"/>
        <v>5.1887312222733354E-3</v>
      </c>
    </row>
    <row r="7747" spans="7:8">
      <c r="G7747">
        <v>7737</v>
      </c>
      <c r="H7747">
        <f t="shared" ca="1" si="128"/>
        <v>2.056345543960144E-2</v>
      </c>
    </row>
    <row r="7748" spans="7:8">
      <c r="G7748">
        <v>7738</v>
      </c>
      <c r="H7748">
        <f t="shared" ca="1" si="128"/>
        <v>-1.2023339857624323E-3</v>
      </c>
    </row>
    <row r="7749" spans="7:8">
      <c r="G7749">
        <v>7739</v>
      </c>
      <c r="H7749">
        <f t="shared" ca="1" si="128"/>
        <v>-1.489575000581728E-2</v>
      </c>
    </row>
    <row r="7750" spans="7:8">
      <c r="G7750">
        <v>7740</v>
      </c>
      <c r="H7750">
        <f t="shared" ca="1" si="128"/>
        <v>1.5197152934306332E-2</v>
      </c>
    </row>
    <row r="7751" spans="7:8">
      <c r="G7751">
        <v>7741</v>
      </c>
      <c r="H7751">
        <f t="shared" ca="1" si="128"/>
        <v>-9.8463644192515881E-3</v>
      </c>
    </row>
    <row r="7752" spans="7:8">
      <c r="G7752">
        <v>7742</v>
      </c>
      <c r="H7752">
        <f t="shared" ca="1" si="128"/>
        <v>-1.1432548530697278E-2</v>
      </c>
    </row>
    <row r="7753" spans="7:8">
      <c r="G7753">
        <v>7743</v>
      </c>
      <c r="H7753">
        <f t="shared" ca="1" si="128"/>
        <v>-3.0002818349592623E-2</v>
      </c>
    </row>
    <row r="7754" spans="7:8">
      <c r="G7754">
        <v>7744</v>
      </c>
      <c r="H7754">
        <f t="shared" ca="1" si="128"/>
        <v>-7.114240187561357E-3</v>
      </c>
    </row>
    <row r="7755" spans="7:8">
      <c r="G7755">
        <v>7745</v>
      </c>
      <c r="H7755">
        <f t="shared" ca="1" si="128"/>
        <v>3.9557410210455016E-2</v>
      </c>
    </row>
    <row r="7756" spans="7:8">
      <c r="G7756">
        <v>7746</v>
      </c>
      <c r="H7756">
        <f t="shared" ref="H7756:H7819" ca="1" si="129">_xlfn.NORM.INV(RAND(),N$13,N$14)</f>
        <v>-4.0287235776404239E-3</v>
      </c>
    </row>
    <row r="7757" spans="7:8">
      <c r="G7757">
        <v>7747</v>
      </c>
      <c r="H7757">
        <f t="shared" ca="1" si="129"/>
        <v>4.1170510283419177E-2</v>
      </c>
    </row>
    <row r="7758" spans="7:8">
      <c r="G7758">
        <v>7748</v>
      </c>
      <c r="H7758">
        <f t="shared" ca="1" si="129"/>
        <v>-8.3026087010207358E-3</v>
      </c>
    </row>
    <row r="7759" spans="7:8">
      <c r="G7759">
        <v>7749</v>
      </c>
      <c r="H7759">
        <f t="shared" ca="1" si="129"/>
        <v>-3.6754445805285182E-2</v>
      </c>
    </row>
    <row r="7760" spans="7:8">
      <c r="G7760">
        <v>7750</v>
      </c>
      <c r="H7760">
        <f t="shared" ca="1" si="129"/>
        <v>-5.684153041264582E-3</v>
      </c>
    </row>
    <row r="7761" spans="7:8">
      <c r="G7761">
        <v>7751</v>
      </c>
      <c r="H7761">
        <f t="shared" ca="1" si="129"/>
        <v>-3.5864689404787625E-2</v>
      </c>
    </row>
    <row r="7762" spans="7:8">
      <c r="G7762">
        <v>7752</v>
      </c>
      <c r="H7762">
        <f t="shared" ca="1" si="129"/>
        <v>-6.6058518021365489E-2</v>
      </c>
    </row>
    <row r="7763" spans="7:8">
      <c r="G7763">
        <v>7753</v>
      </c>
      <c r="H7763">
        <f t="shared" ca="1" si="129"/>
        <v>1.0184183324069984E-2</v>
      </c>
    </row>
    <row r="7764" spans="7:8">
      <c r="G7764">
        <v>7754</v>
      </c>
      <c r="H7764">
        <f t="shared" ca="1" si="129"/>
        <v>3.0604214337041562E-2</v>
      </c>
    </row>
    <row r="7765" spans="7:8">
      <c r="G7765">
        <v>7755</v>
      </c>
      <c r="H7765">
        <f t="shared" ca="1" si="129"/>
        <v>1.8847736491068467E-2</v>
      </c>
    </row>
    <row r="7766" spans="7:8">
      <c r="G7766">
        <v>7756</v>
      </c>
      <c r="H7766">
        <f t="shared" ca="1" si="129"/>
        <v>3.2585791780241048E-2</v>
      </c>
    </row>
    <row r="7767" spans="7:8">
      <c r="G7767">
        <v>7757</v>
      </c>
      <c r="H7767">
        <f t="shared" ca="1" si="129"/>
        <v>-2.1018885775463594E-2</v>
      </c>
    </row>
    <row r="7768" spans="7:8">
      <c r="G7768">
        <v>7758</v>
      </c>
      <c r="H7768">
        <f t="shared" ca="1" si="129"/>
        <v>1.8414536208788676E-2</v>
      </c>
    </row>
    <row r="7769" spans="7:8">
      <c r="G7769">
        <v>7759</v>
      </c>
      <c r="H7769">
        <f t="shared" ca="1" si="129"/>
        <v>9.1589078383459092E-3</v>
      </c>
    </row>
    <row r="7770" spans="7:8">
      <c r="G7770">
        <v>7760</v>
      </c>
      <c r="H7770">
        <f t="shared" ca="1" si="129"/>
        <v>-1.2695080312816645E-2</v>
      </c>
    </row>
    <row r="7771" spans="7:8">
      <c r="G7771">
        <v>7761</v>
      </c>
      <c r="H7771">
        <f t="shared" ca="1" si="129"/>
        <v>4.5285930837533468E-2</v>
      </c>
    </row>
    <row r="7772" spans="7:8">
      <c r="G7772">
        <v>7762</v>
      </c>
      <c r="H7772">
        <f t="shared" ca="1" si="129"/>
        <v>-2.956009267676115E-2</v>
      </c>
    </row>
    <row r="7773" spans="7:8">
      <c r="G7773">
        <v>7763</v>
      </c>
      <c r="H7773">
        <f t="shared" ca="1" si="129"/>
        <v>-1.7479103522401365E-2</v>
      </c>
    </row>
    <row r="7774" spans="7:8">
      <c r="G7774">
        <v>7764</v>
      </c>
      <c r="H7774">
        <f t="shared" ca="1" si="129"/>
        <v>1.7826768428888914E-2</v>
      </c>
    </row>
    <row r="7775" spans="7:8">
      <c r="G7775">
        <v>7765</v>
      </c>
      <c r="H7775">
        <f t="shared" ca="1" si="129"/>
        <v>2.3226573343399708E-2</v>
      </c>
    </row>
    <row r="7776" spans="7:8">
      <c r="G7776">
        <v>7766</v>
      </c>
      <c r="H7776">
        <f t="shared" ca="1" si="129"/>
        <v>-1.1743903461136603E-2</v>
      </c>
    </row>
    <row r="7777" spans="7:8">
      <c r="G7777">
        <v>7767</v>
      </c>
      <c r="H7777">
        <f t="shared" ca="1" si="129"/>
        <v>3.8322074870329108E-3</v>
      </c>
    </row>
    <row r="7778" spans="7:8">
      <c r="G7778">
        <v>7768</v>
      </c>
      <c r="H7778">
        <f t="shared" ca="1" si="129"/>
        <v>2.7238464817034489E-2</v>
      </c>
    </row>
    <row r="7779" spans="7:8">
      <c r="G7779">
        <v>7769</v>
      </c>
      <c r="H7779">
        <f t="shared" ca="1" si="129"/>
        <v>-2.8586268237525626E-2</v>
      </c>
    </row>
    <row r="7780" spans="7:8">
      <c r="G7780">
        <v>7770</v>
      </c>
      <c r="H7780">
        <f t="shared" ca="1" si="129"/>
        <v>-1.5415417619868876E-2</v>
      </c>
    </row>
    <row r="7781" spans="7:8">
      <c r="G7781">
        <v>7771</v>
      </c>
      <c r="H7781">
        <f t="shared" ca="1" si="129"/>
        <v>3.0749575058852405E-3</v>
      </c>
    </row>
    <row r="7782" spans="7:8">
      <c r="G7782">
        <v>7772</v>
      </c>
      <c r="H7782">
        <f t="shared" ca="1" si="129"/>
        <v>-1.1633668658890808E-2</v>
      </c>
    </row>
    <row r="7783" spans="7:8">
      <c r="G7783">
        <v>7773</v>
      </c>
      <c r="H7783">
        <f t="shared" ca="1" si="129"/>
        <v>1.2697872481342088E-2</v>
      </c>
    </row>
    <row r="7784" spans="7:8">
      <c r="G7784">
        <v>7774</v>
      </c>
      <c r="H7784">
        <f t="shared" ca="1" si="129"/>
        <v>-1.0854152767303225E-2</v>
      </c>
    </row>
    <row r="7785" spans="7:8">
      <c r="G7785">
        <v>7775</v>
      </c>
      <c r="H7785">
        <f t="shared" ca="1" si="129"/>
        <v>4.0792065497641449E-3</v>
      </c>
    </row>
    <row r="7786" spans="7:8">
      <c r="G7786">
        <v>7776</v>
      </c>
      <c r="H7786">
        <f t="shared" ca="1" si="129"/>
        <v>1.1356977883001664E-2</v>
      </c>
    </row>
    <row r="7787" spans="7:8">
      <c r="G7787">
        <v>7777</v>
      </c>
      <c r="H7787">
        <f t="shared" ca="1" si="129"/>
        <v>-2.4920848876018122E-2</v>
      </c>
    </row>
    <row r="7788" spans="7:8">
      <c r="G7788">
        <v>7778</v>
      </c>
      <c r="H7788">
        <f t="shared" ca="1" si="129"/>
        <v>3.6632371529654638E-3</v>
      </c>
    </row>
    <row r="7789" spans="7:8">
      <c r="G7789">
        <v>7779</v>
      </c>
      <c r="H7789">
        <f t="shared" ca="1" si="129"/>
        <v>2.9149328599811657E-2</v>
      </c>
    </row>
    <row r="7790" spans="7:8">
      <c r="G7790">
        <v>7780</v>
      </c>
      <c r="H7790">
        <f t="shared" ca="1" si="129"/>
        <v>-1.6332068260037746E-2</v>
      </c>
    </row>
    <row r="7791" spans="7:8">
      <c r="G7791">
        <v>7781</v>
      </c>
      <c r="H7791">
        <f t="shared" ca="1" si="129"/>
        <v>-7.2542900055900823E-3</v>
      </c>
    </row>
    <row r="7792" spans="7:8">
      <c r="G7792">
        <v>7782</v>
      </c>
      <c r="H7792">
        <f t="shared" ca="1" si="129"/>
        <v>1.0078975563155726E-2</v>
      </c>
    </row>
    <row r="7793" spans="7:8">
      <c r="G7793">
        <v>7783</v>
      </c>
      <c r="H7793">
        <f t="shared" ca="1" si="129"/>
        <v>3.6383667094601934E-3</v>
      </c>
    </row>
    <row r="7794" spans="7:8">
      <c r="G7794">
        <v>7784</v>
      </c>
      <c r="H7794">
        <f t="shared" ca="1" si="129"/>
        <v>-3.7450854004619748E-2</v>
      </c>
    </row>
    <row r="7795" spans="7:8">
      <c r="G7795">
        <v>7785</v>
      </c>
      <c r="H7795">
        <f t="shared" ca="1" si="129"/>
        <v>1.9124533317831881E-2</v>
      </c>
    </row>
    <row r="7796" spans="7:8">
      <c r="G7796">
        <v>7786</v>
      </c>
      <c r="H7796">
        <f t="shared" ca="1" si="129"/>
        <v>-1.578923483938258E-2</v>
      </c>
    </row>
    <row r="7797" spans="7:8">
      <c r="G7797">
        <v>7787</v>
      </c>
      <c r="H7797">
        <f t="shared" ca="1" si="129"/>
        <v>-3.5016449915441297E-2</v>
      </c>
    </row>
    <row r="7798" spans="7:8">
      <c r="G7798">
        <v>7788</v>
      </c>
      <c r="H7798">
        <f t="shared" ca="1" si="129"/>
        <v>2.1530303098764934E-2</v>
      </c>
    </row>
    <row r="7799" spans="7:8">
      <c r="G7799">
        <v>7789</v>
      </c>
      <c r="H7799">
        <f t="shared" ca="1" si="129"/>
        <v>2.6629007074561655E-2</v>
      </c>
    </row>
    <row r="7800" spans="7:8">
      <c r="G7800">
        <v>7790</v>
      </c>
      <c r="H7800">
        <f t="shared" ca="1" si="129"/>
        <v>-6.7909287012715984E-4</v>
      </c>
    </row>
    <row r="7801" spans="7:8">
      <c r="G7801">
        <v>7791</v>
      </c>
      <c r="H7801">
        <f t="shared" ca="1" si="129"/>
        <v>-7.0428723191606887E-4</v>
      </c>
    </row>
    <row r="7802" spans="7:8">
      <c r="G7802">
        <v>7792</v>
      </c>
      <c r="H7802">
        <f t="shared" ca="1" si="129"/>
        <v>-9.3215993840091937E-4</v>
      </c>
    </row>
    <row r="7803" spans="7:8">
      <c r="G7803">
        <v>7793</v>
      </c>
      <c r="H7803">
        <f t="shared" ca="1" si="129"/>
        <v>2.7643088681426613E-2</v>
      </c>
    </row>
    <row r="7804" spans="7:8">
      <c r="G7804">
        <v>7794</v>
      </c>
      <c r="H7804">
        <f t="shared" ca="1" si="129"/>
        <v>-4.5184857643223088E-2</v>
      </c>
    </row>
    <row r="7805" spans="7:8">
      <c r="G7805">
        <v>7795</v>
      </c>
      <c r="H7805">
        <f t="shared" ca="1" si="129"/>
        <v>-5.2800281302734509E-3</v>
      </c>
    </row>
    <row r="7806" spans="7:8">
      <c r="G7806">
        <v>7796</v>
      </c>
      <c r="H7806">
        <f t="shared" ca="1" si="129"/>
        <v>1.337585548443182E-2</v>
      </c>
    </row>
    <row r="7807" spans="7:8">
      <c r="G7807">
        <v>7797</v>
      </c>
      <c r="H7807">
        <f t="shared" ca="1" si="129"/>
        <v>-3.0820195678133763E-3</v>
      </c>
    </row>
    <row r="7808" spans="7:8">
      <c r="G7808">
        <v>7798</v>
      </c>
      <c r="H7808">
        <f t="shared" ca="1" si="129"/>
        <v>-1.4529540947443296E-2</v>
      </c>
    </row>
    <row r="7809" spans="7:8">
      <c r="G7809">
        <v>7799</v>
      </c>
      <c r="H7809">
        <f t="shared" ca="1" si="129"/>
        <v>1.2437198209728861E-2</v>
      </c>
    </row>
    <row r="7810" spans="7:8">
      <c r="G7810">
        <v>7800</v>
      </c>
      <c r="H7810">
        <f t="shared" ca="1" si="129"/>
        <v>9.0110594646941634E-3</v>
      </c>
    </row>
    <row r="7811" spans="7:8">
      <c r="G7811">
        <v>7801</v>
      </c>
      <c r="H7811">
        <f t="shared" ca="1" si="129"/>
        <v>8.0741506368427511E-4</v>
      </c>
    </row>
    <row r="7812" spans="7:8">
      <c r="G7812">
        <v>7802</v>
      </c>
      <c r="H7812">
        <f t="shared" ca="1" si="129"/>
        <v>-1.4401196488776965E-2</v>
      </c>
    </row>
    <row r="7813" spans="7:8">
      <c r="G7813">
        <v>7803</v>
      </c>
      <c r="H7813">
        <f t="shared" ca="1" si="129"/>
        <v>-1.7080401578449506E-2</v>
      </c>
    </row>
    <row r="7814" spans="7:8">
      <c r="G7814">
        <v>7804</v>
      </c>
      <c r="H7814">
        <f t="shared" ca="1" si="129"/>
        <v>5.3078548738341429E-3</v>
      </c>
    </row>
    <row r="7815" spans="7:8">
      <c r="G7815">
        <v>7805</v>
      </c>
      <c r="H7815">
        <f t="shared" ca="1" si="129"/>
        <v>4.2163044849738577E-3</v>
      </c>
    </row>
    <row r="7816" spans="7:8">
      <c r="G7816">
        <v>7806</v>
      </c>
      <c r="H7816">
        <f t="shared" ca="1" si="129"/>
        <v>2.1780618681327253E-2</v>
      </c>
    </row>
    <row r="7817" spans="7:8">
      <c r="G7817">
        <v>7807</v>
      </c>
      <c r="H7817">
        <f t="shared" ca="1" si="129"/>
        <v>7.682125887814876E-3</v>
      </c>
    </row>
    <row r="7818" spans="7:8">
      <c r="G7818">
        <v>7808</v>
      </c>
      <c r="H7818">
        <f t="shared" ca="1" si="129"/>
        <v>2.6766829352202599E-2</v>
      </c>
    </row>
    <row r="7819" spans="7:8">
      <c r="G7819">
        <v>7809</v>
      </c>
      <c r="H7819">
        <f t="shared" ca="1" si="129"/>
        <v>-8.776569692543628E-3</v>
      </c>
    </row>
    <row r="7820" spans="7:8">
      <c r="G7820">
        <v>7810</v>
      </c>
      <c r="H7820">
        <f t="shared" ref="H7820:H7883" ca="1" si="130">_xlfn.NORM.INV(RAND(),N$13,N$14)</f>
        <v>9.5917416175946967E-3</v>
      </c>
    </row>
    <row r="7821" spans="7:8">
      <c r="G7821">
        <v>7811</v>
      </c>
      <c r="H7821">
        <f t="shared" ca="1" si="130"/>
        <v>-2.3791346644642726E-2</v>
      </c>
    </row>
    <row r="7822" spans="7:8">
      <c r="G7822">
        <v>7812</v>
      </c>
      <c r="H7822">
        <f t="shared" ca="1" si="130"/>
        <v>3.5775371584456067E-2</v>
      </c>
    </row>
    <row r="7823" spans="7:8">
      <c r="G7823">
        <v>7813</v>
      </c>
      <c r="H7823">
        <f t="shared" ca="1" si="130"/>
        <v>2.1795644736736081E-2</v>
      </c>
    </row>
    <row r="7824" spans="7:8">
      <c r="G7824">
        <v>7814</v>
      </c>
      <c r="H7824">
        <f t="shared" ca="1" si="130"/>
        <v>-8.2423280898478351E-4</v>
      </c>
    </row>
    <row r="7825" spans="7:8">
      <c r="G7825">
        <v>7815</v>
      </c>
      <c r="H7825">
        <f t="shared" ca="1" si="130"/>
        <v>-8.3017287576210991E-3</v>
      </c>
    </row>
    <row r="7826" spans="7:8">
      <c r="G7826">
        <v>7816</v>
      </c>
      <c r="H7826">
        <f t="shared" ca="1" si="130"/>
        <v>3.0206440028281031E-2</v>
      </c>
    </row>
    <row r="7827" spans="7:8">
      <c r="G7827">
        <v>7817</v>
      </c>
      <c r="H7827">
        <f t="shared" ca="1" si="130"/>
        <v>3.6848164413624388E-3</v>
      </c>
    </row>
    <row r="7828" spans="7:8">
      <c r="G7828">
        <v>7818</v>
      </c>
      <c r="H7828">
        <f t="shared" ca="1" si="130"/>
        <v>8.8041651070739912E-3</v>
      </c>
    </row>
    <row r="7829" spans="7:8">
      <c r="G7829">
        <v>7819</v>
      </c>
      <c r="H7829">
        <f t="shared" ca="1" si="130"/>
        <v>-2.8980126376956374E-2</v>
      </c>
    </row>
    <row r="7830" spans="7:8">
      <c r="G7830">
        <v>7820</v>
      </c>
      <c r="H7830">
        <f t="shared" ca="1" si="130"/>
        <v>-1.0444895758175593E-2</v>
      </c>
    </row>
    <row r="7831" spans="7:8">
      <c r="G7831">
        <v>7821</v>
      </c>
      <c r="H7831">
        <f t="shared" ca="1" si="130"/>
        <v>-7.5523641089176663E-3</v>
      </c>
    </row>
    <row r="7832" spans="7:8">
      <c r="G7832">
        <v>7822</v>
      </c>
      <c r="H7832">
        <f t="shared" ca="1" si="130"/>
        <v>9.3895906711032422E-3</v>
      </c>
    </row>
    <row r="7833" spans="7:8">
      <c r="G7833">
        <v>7823</v>
      </c>
      <c r="H7833">
        <f t="shared" ca="1" si="130"/>
        <v>1.6153729376505367E-2</v>
      </c>
    </row>
    <row r="7834" spans="7:8">
      <c r="G7834">
        <v>7824</v>
      </c>
      <c r="H7834">
        <f t="shared" ca="1" si="130"/>
        <v>-9.2592423955315303E-3</v>
      </c>
    </row>
    <row r="7835" spans="7:8">
      <c r="G7835">
        <v>7825</v>
      </c>
      <c r="H7835">
        <f t="shared" ca="1" si="130"/>
        <v>-1.4951934111702364E-2</v>
      </c>
    </row>
    <row r="7836" spans="7:8">
      <c r="G7836">
        <v>7826</v>
      </c>
      <c r="H7836">
        <f t="shared" ca="1" si="130"/>
        <v>2.5594235217427579E-2</v>
      </c>
    </row>
    <row r="7837" spans="7:8">
      <c r="G7837">
        <v>7827</v>
      </c>
      <c r="H7837">
        <f t="shared" ca="1" si="130"/>
        <v>2.4786602615725975E-2</v>
      </c>
    </row>
    <row r="7838" spans="7:8">
      <c r="G7838">
        <v>7828</v>
      </c>
      <c r="H7838">
        <f t="shared" ca="1" si="130"/>
        <v>2.4311834266356865E-2</v>
      </c>
    </row>
    <row r="7839" spans="7:8">
      <c r="G7839">
        <v>7829</v>
      </c>
      <c r="H7839">
        <f t="shared" ca="1" si="130"/>
        <v>3.5055954936047205E-2</v>
      </c>
    </row>
    <row r="7840" spans="7:8">
      <c r="G7840">
        <v>7830</v>
      </c>
      <c r="H7840">
        <f t="shared" ca="1" si="130"/>
        <v>-5.7902852090918732E-3</v>
      </c>
    </row>
    <row r="7841" spans="7:8">
      <c r="G7841">
        <v>7831</v>
      </c>
      <c r="H7841">
        <f t="shared" ca="1" si="130"/>
        <v>-1.5242891454820435E-2</v>
      </c>
    </row>
    <row r="7842" spans="7:8">
      <c r="G7842">
        <v>7832</v>
      </c>
      <c r="H7842">
        <f t="shared" ca="1" si="130"/>
        <v>-2.1966113762178774E-2</v>
      </c>
    </row>
    <row r="7843" spans="7:8">
      <c r="G7843">
        <v>7833</v>
      </c>
      <c r="H7843">
        <f t="shared" ca="1" si="130"/>
        <v>1.5136226231583148E-2</v>
      </c>
    </row>
    <row r="7844" spans="7:8">
      <c r="G7844">
        <v>7834</v>
      </c>
      <c r="H7844">
        <f t="shared" ca="1" si="130"/>
        <v>-2.5853095999643621E-2</v>
      </c>
    </row>
    <row r="7845" spans="7:8">
      <c r="G7845">
        <v>7835</v>
      </c>
      <c r="H7845">
        <f t="shared" ca="1" si="130"/>
        <v>-2.9967053435242984E-2</v>
      </c>
    </row>
    <row r="7846" spans="7:8">
      <c r="G7846">
        <v>7836</v>
      </c>
      <c r="H7846">
        <f t="shared" ca="1" si="130"/>
        <v>1.8043420662577778E-2</v>
      </c>
    </row>
    <row r="7847" spans="7:8">
      <c r="G7847">
        <v>7837</v>
      </c>
      <c r="H7847">
        <f t="shared" ca="1" si="130"/>
        <v>-2.649966767803957E-2</v>
      </c>
    </row>
    <row r="7848" spans="7:8">
      <c r="G7848">
        <v>7838</v>
      </c>
      <c r="H7848">
        <f t="shared" ca="1" si="130"/>
        <v>-9.4998861916409886E-3</v>
      </c>
    </row>
    <row r="7849" spans="7:8">
      <c r="G7849">
        <v>7839</v>
      </c>
      <c r="H7849">
        <f t="shared" ca="1" si="130"/>
        <v>-1.1850007445704283E-2</v>
      </c>
    </row>
    <row r="7850" spans="7:8">
      <c r="G7850">
        <v>7840</v>
      </c>
      <c r="H7850">
        <f t="shared" ca="1" si="130"/>
        <v>-1.2153658486278454E-2</v>
      </c>
    </row>
    <row r="7851" spans="7:8">
      <c r="G7851">
        <v>7841</v>
      </c>
      <c r="H7851">
        <f t="shared" ca="1" si="130"/>
        <v>2.17347224000939E-2</v>
      </c>
    </row>
    <row r="7852" spans="7:8">
      <c r="G7852">
        <v>7842</v>
      </c>
      <c r="H7852">
        <f t="shared" ca="1" si="130"/>
        <v>5.8868800069155321E-3</v>
      </c>
    </row>
    <row r="7853" spans="7:8">
      <c r="G7853">
        <v>7843</v>
      </c>
      <c r="H7853">
        <f t="shared" ca="1" si="130"/>
        <v>9.9623946554690626E-4</v>
      </c>
    </row>
    <row r="7854" spans="7:8">
      <c r="G7854">
        <v>7844</v>
      </c>
      <c r="H7854">
        <f t="shared" ca="1" si="130"/>
        <v>2.9856734669419883E-2</v>
      </c>
    </row>
    <row r="7855" spans="7:8">
      <c r="G7855">
        <v>7845</v>
      </c>
      <c r="H7855">
        <f t="shared" ca="1" si="130"/>
        <v>3.0136286177757524E-3</v>
      </c>
    </row>
    <row r="7856" spans="7:8">
      <c r="G7856">
        <v>7846</v>
      </c>
      <c r="H7856">
        <f t="shared" ca="1" si="130"/>
        <v>2.3139940975818743E-2</v>
      </c>
    </row>
    <row r="7857" spans="7:8">
      <c r="G7857">
        <v>7847</v>
      </c>
      <c r="H7857">
        <f t="shared" ca="1" si="130"/>
        <v>-1.4481946335344675E-2</v>
      </c>
    </row>
    <row r="7858" spans="7:8">
      <c r="G7858">
        <v>7848</v>
      </c>
      <c r="H7858">
        <f t="shared" ca="1" si="130"/>
        <v>4.4613974552630492E-3</v>
      </c>
    </row>
    <row r="7859" spans="7:8">
      <c r="G7859">
        <v>7849</v>
      </c>
      <c r="H7859">
        <f t="shared" ca="1" si="130"/>
        <v>-2.6789428774322416E-3</v>
      </c>
    </row>
    <row r="7860" spans="7:8">
      <c r="G7860">
        <v>7850</v>
      </c>
      <c r="H7860">
        <f t="shared" ca="1" si="130"/>
        <v>2.0363968453882037E-3</v>
      </c>
    </row>
    <row r="7861" spans="7:8">
      <c r="G7861">
        <v>7851</v>
      </c>
      <c r="H7861">
        <f t="shared" ca="1" si="130"/>
        <v>1.2654819720037663E-2</v>
      </c>
    </row>
    <row r="7862" spans="7:8">
      <c r="G7862">
        <v>7852</v>
      </c>
      <c r="H7862">
        <f t="shared" ca="1" si="130"/>
        <v>-3.3418791170475933E-3</v>
      </c>
    </row>
    <row r="7863" spans="7:8">
      <c r="G7863">
        <v>7853</v>
      </c>
      <c r="H7863">
        <f t="shared" ca="1" si="130"/>
        <v>2.8263416420523022E-2</v>
      </c>
    </row>
    <row r="7864" spans="7:8">
      <c r="G7864">
        <v>7854</v>
      </c>
      <c r="H7864">
        <f t="shared" ca="1" si="130"/>
        <v>-1.1790472336583258E-2</v>
      </c>
    </row>
    <row r="7865" spans="7:8">
      <c r="G7865">
        <v>7855</v>
      </c>
      <c r="H7865">
        <f t="shared" ca="1" si="130"/>
        <v>-2.8294303050846487E-2</v>
      </c>
    </row>
    <row r="7866" spans="7:8">
      <c r="G7866">
        <v>7856</v>
      </c>
      <c r="H7866">
        <f t="shared" ca="1" si="130"/>
        <v>-1.6642986391655391E-2</v>
      </c>
    </row>
    <row r="7867" spans="7:8">
      <c r="G7867">
        <v>7857</v>
      </c>
      <c r="H7867">
        <f t="shared" ca="1" si="130"/>
        <v>-2.1477793804999337E-2</v>
      </c>
    </row>
    <row r="7868" spans="7:8">
      <c r="G7868">
        <v>7858</v>
      </c>
      <c r="H7868">
        <f t="shared" ca="1" si="130"/>
        <v>1.197836006768844E-2</v>
      </c>
    </row>
    <row r="7869" spans="7:8">
      <c r="G7869">
        <v>7859</v>
      </c>
      <c r="H7869">
        <f t="shared" ca="1" si="130"/>
        <v>1.9637938779908853E-2</v>
      </c>
    </row>
    <row r="7870" spans="7:8">
      <c r="G7870">
        <v>7860</v>
      </c>
      <c r="H7870">
        <f t="shared" ca="1" si="130"/>
        <v>2.8336281956908298E-3</v>
      </c>
    </row>
    <row r="7871" spans="7:8">
      <c r="G7871">
        <v>7861</v>
      </c>
      <c r="H7871">
        <f t="shared" ca="1" si="130"/>
        <v>3.6930202913727533E-2</v>
      </c>
    </row>
    <row r="7872" spans="7:8">
      <c r="G7872">
        <v>7862</v>
      </c>
      <c r="H7872">
        <f t="shared" ca="1" si="130"/>
        <v>-1.5202724115076241E-2</v>
      </c>
    </row>
    <row r="7873" spans="7:8">
      <c r="G7873">
        <v>7863</v>
      </c>
      <c r="H7873">
        <f t="shared" ca="1" si="130"/>
        <v>-7.0958477941160843E-3</v>
      </c>
    </row>
    <row r="7874" spans="7:8">
      <c r="G7874">
        <v>7864</v>
      </c>
      <c r="H7874">
        <f t="shared" ca="1" si="130"/>
        <v>-9.6112959679881538E-3</v>
      </c>
    </row>
    <row r="7875" spans="7:8">
      <c r="G7875">
        <v>7865</v>
      </c>
      <c r="H7875">
        <f t="shared" ca="1" si="130"/>
        <v>-2.0553390995968767E-2</v>
      </c>
    </row>
    <row r="7876" spans="7:8">
      <c r="G7876">
        <v>7866</v>
      </c>
      <c r="H7876">
        <f t="shared" ca="1" si="130"/>
        <v>-1.0918355860681406E-2</v>
      </c>
    </row>
    <row r="7877" spans="7:8">
      <c r="G7877">
        <v>7867</v>
      </c>
      <c r="H7877">
        <f t="shared" ca="1" si="130"/>
        <v>7.8616540155286609E-3</v>
      </c>
    </row>
    <row r="7878" spans="7:8">
      <c r="G7878">
        <v>7868</v>
      </c>
      <c r="H7878">
        <f t="shared" ca="1" si="130"/>
        <v>-4.9296001002559044E-3</v>
      </c>
    </row>
    <row r="7879" spans="7:8">
      <c r="G7879">
        <v>7869</v>
      </c>
      <c r="H7879">
        <f t="shared" ca="1" si="130"/>
        <v>1.6389084149858554E-2</v>
      </c>
    </row>
    <row r="7880" spans="7:8">
      <c r="G7880">
        <v>7870</v>
      </c>
      <c r="H7880">
        <f t="shared" ca="1" si="130"/>
        <v>7.9127354169638304E-3</v>
      </c>
    </row>
    <row r="7881" spans="7:8">
      <c r="G7881">
        <v>7871</v>
      </c>
      <c r="H7881">
        <f t="shared" ca="1" si="130"/>
        <v>-3.5934903574911348E-3</v>
      </c>
    </row>
    <row r="7882" spans="7:8">
      <c r="G7882">
        <v>7872</v>
      </c>
      <c r="H7882">
        <f t="shared" ca="1" si="130"/>
        <v>3.5267504293762963E-2</v>
      </c>
    </row>
    <row r="7883" spans="7:8">
      <c r="G7883">
        <v>7873</v>
      </c>
      <c r="H7883">
        <f t="shared" ca="1" si="130"/>
        <v>5.8293693631051762E-3</v>
      </c>
    </row>
    <row r="7884" spans="7:8">
      <c r="G7884">
        <v>7874</v>
      </c>
      <c r="H7884">
        <f t="shared" ref="H7884:H7947" ca="1" si="131">_xlfn.NORM.INV(RAND(),N$13,N$14)</f>
        <v>-9.3339773875853634E-3</v>
      </c>
    </row>
    <row r="7885" spans="7:8">
      <c r="G7885">
        <v>7875</v>
      </c>
      <c r="H7885">
        <f t="shared" ca="1" si="131"/>
        <v>-2.3849877720184376E-2</v>
      </c>
    </row>
    <row r="7886" spans="7:8">
      <c r="G7886">
        <v>7876</v>
      </c>
      <c r="H7886">
        <f t="shared" ca="1" si="131"/>
        <v>-3.1534858029381697E-3</v>
      </c>
    </row>
    <row r="7887" spans="7:8">
      <c r="G7887">
        <v>7877</v>
      </c>
      <c r="H7887">
        <f t="shared" ca="1" si="131"/>
        <v>1.8655609940943757E-2</v>
      </c>
    </row>
    <row r="7888" spans="7:8">
      <c r="G7888">
        <v>7878</v>
      </c>
      <c r="H7888">
        <f t="shared" ca="1" si="131"/>
        <v>2.1174361182502339E-2</v>
      </c>
    </row>
    <row r="7889" spans="7:8">
      <c r="G7889">
        <v>7879</v>
      </c>
      <c r="H7889">
        <f t="shared" ca="1" si="131"/>
        <v>-1.8146772700048108E-3</v>
      </c>
    </row>
    <row r="7890" spans="7:8">
      <c r="G7890">
        <v>7880</v>
      </c>
      <c r="H7890">
        <f t="shared" ca="1" si="131"/>
        <v>9.3362612255884596E-3</v>
      </c>
    </row>
    <row r="7891" spans="7:8">
      <c r="G7891">
        <v>7881</v>
      </c>
      <c r="H7891">
        <f t="shared" ca="1" si="131"/>
        <v>-9.2573256552148896E-3</v>
      </c>
    </row>
    <row r="7892" spans="7:8">
      <c r="G7892">
        <v>7882</v>
      </c>
      <c r="H7892">
        <f t="shared" ca="1" si="131"/>
        <v>3.682169834698721E-2</v>
      </c>
    </row>
    <row r="7893" spans="7:8">
      <c r="G7893">
        <v>7883</v>
      </c>
      <c r="H7893">
        <f t="shared" ca="1" si="131"/>
        <v>-3.8777181095156377E-2</v>
      </c>
    </row>
    <row r="7894" spans="7:8">
      <c r="G7894">
        <v>7884</v>
      </c>
      <c r="H7894">
        <f t="shared" ca="1" si="131"/>
        <v>-8.0032850212000614E-3</v>
      </c>
    </row>
    <row r="7895" spans="7:8">
      <c r="G7895">
        <v>7885</v>
      </c>
      <c r="H7895">
        <f t="shared" ca="1" si="131"/>
        <v>1.7139760828430984E-2</v>
      </c>
    </row>
    <row r="7896" spans="7:8">
      <c r="G7896">
        <v>7886</v>
      </c>
      <c r="H7896">
        <f t="shared" ca="1" si="131"/>
        <v>-2.376052518166322E-2</v>
      </c>
    </row>
    <row r="7897" spans="7:8">
      <c r="G7897">
        <v>7887</v>
      </c>
      <c r="H7897">
        <f t="shared" ca="1" si="131"/>
        <v>-3.735062248277798E-3</v>
      </c>
    </row>
    <row r="7898" spans="7:8">
      <c r="G7898">
        <v>7888</v>
      </c>
      <c r="H7898">
        <f t="shared" ca="1" si="131"/>
        <v>1.4531927904818378E-2</v>
      </c>
    </row>
    <row r="7899" spans="7:8">
      <c r="G7899">
        <v>7889</v>
      </c>
      <c r="H7899">
        <f t="shared" ca="1" si="131"/>
        <v>5.5250931487723053E-3</v>
      </c>
    </row>
    <row r="7900" spans="7:8">
      <c r="G7900">
        <v>7890</v>
      </c>
      <c r="H7900">
        <f t="shared" ca="1" si="131"/>
        <v>6.5320218875775495E-3</v>
      </c>
    </row>
    <row r="7901" spans="7:8">
      <c r="G7901">
        <v>7891</v>
      </c>
      <c r="H7901">
        <f t="shared" ca="1" si="131"/>
        <v>2.3729766108338067E-2</v>
      </c>
    </row>
    <row r="7902" spans="7:8">
      <c r="G7902">
        <v>7892</v>
      </c>
      <c r="H7902">
        <f t="shared" ca="1" si="131"/>
        <v>2.538266977218356E-2</v>
      </c>
    </row>
    <row r="7903" spans="7:8">
      <c r="G7903">
        <v>7893</v>
      </c>
      <c r="H7903">
        <f t="shared" ca="1" si="131"/>
        <v>2.1116095664813529E-2</v>
      </c>
    </row>
    <row r="7904" spans="7:8">
      <c r="G7904">
        <v>7894</v>
      </c>
      <c r="H7904">
        <f t="shared" ca="1" si="131"/>
        <v>3.6112368381854561E-2</v>
      </c>
    </row>
    <row r="7905" spans="7:8">
      <c r="G7905">
        <v>7895</v>
      </c>
      <c r="H7905">
        <f t="shared" ca="1" si="131"/>
        <v>6.6092619500018289E-3</v>
      </c>
    </row>
    <row r="7906" spans="7:8">
      <c r="G7906">
        <v>7896</v>
      </c>
      <c r="H7906">
        <f t="shared" ca="1" si="131"/>
        <v>2.3502894911677993E-3</v>
      </c>
    </row>
    <row r="7907" spans="7:8">
      <c r="G7907">
        <v>7897</v>
      </c>
      <c r="H7907">
        <f t="shared" ca="1" si="131"/>
        <v>3.361097624959447E-3</v>
      </c>
    </row>
    <row r="7908" spans="7:8">
      <c r="G7908">
        <v>7898</v>
      </c>
      <c r="H7908">
        <f t="shared" ca="1" si="131"/>
        <v>-1.2446621426740431E-2</v>
      </c>
    </row>
    <row r="7909" spans="7:8">
      <c r="G7909">
        <v>7899</v>
      </c>
      <c r="H7909">
        <f t="shared" ca="1" si="131"/>
        <v>4.6810887418083126E-3</v>
      </c>
    </row>
    <row r="7910" spans="7:8">
      <c r="G7910">
        <v>7900</v>
      </c>
      <c r="H7910">
        <f t="shared" ca="1" si="131"/>
        <v>7.1525841525352501E-4</v>
      </c>
    </row>
    <row r="7911" spans="7:8">
      <c r="G7911">
        <v>7901</v>
      </c>
      <c r="H7911">
        <f t="shared" ca="1" si="131"/>
        <v>5.8374593764263325E-3</v>
      </c>
    </row>
    <row r="7912" spans="7:8">
      <c r="G7912">
        <v>7902</v>
      </c>
      <c r="H7912">
        <f t="shared" ca="1" si="131"/>
        <v>-1.6908801112107137E-2</v>
      </c>
    </row>
    <row r="7913" spans="7:8">
      <c r="G7913">
        <v>7903</v>
      </c>
      <c r="H7913">
        <f t="shared" ca="1" si="131"/>
        <v>-1.0767033767773449E-2</v>
      </c>
    </row>
    <row r="7914" spans="7:8">
      <c r="G7914">
        <v>7904</v>
      </c>
      <c r="H7914">
        <f t="shared" ca="1" si="131"/>
        <v>1.5113502965135941E-3</v>
      </c>
    </row>
    <row r="7915" spans="7:8">
      <c r="G7915">
        <v>7905</v>
      </c>
      <c r="H7915">
        <f t="shared" ca="1" si="131"/>
        <v>-3.4927094246120838E-2</v>
      </c>
    </row>
    <row r="7916" spans="7:8">
      <c r="G7916">
        <v>7906</v>
      </c>
      <c r="H7916">
        <f t="shared" ca="1" si="131"/>
        <v>-2.9649179056436506E-2</v>
      </c>
    </row>
    <row r="7917" spans="7:8">
      <c r="G7917">
        <v>7907</v>
      </c>
      <c r="H7917">
        <f t="shared" ca="1" si="131"/>
        <v>2.2614017872348135E-2</v>
      </c>
    </row>
    <row r="7918" spans="7:8">
      <c r="G7918">
        <v>7908</v>
      </c>
      <c r="H7918">
        <f t="shared" ca="1" si="131"/>
        <v>1.9964975387054096E-2</v>
      </c>
    </row>
    <row r="7919" spans="7:8">
      <c r="G7919">
        <v>7909</v>
      </c>
      <c r="H7919">
        <f t="shared" ca="1" si="131"/>
        <v>-3.392007115068828E-3</v>
      </c>
    </row>
    <row r="7920" spans="7:8">
      <c r="G7920">
        <v>7910</v>
      </c>
      <c r="H7920">
        <f t="shared" ca="1" si="131"/>
        <v>3.8864196376219177E-2</v>
      </c>
    </row>
    <row r="7921" spans="7:8">
      <c r="G7921">
        <v>7911</v>
      </c>
      <c r="H7921">
        <f t="shared" ca="1" si="131"/>
        <v>1.1974817471207161E-2</v>
      </c>
    </row>
    <row r="7922" spans="7:8">
      <c r="G7922">
        <v>7912</v>
      </c>
      <c r="H7922">
        <f t="shared" ca="1" si="131"/>
        <v>1.8556665167254179E-2</v>
      </c>
    </row>
    <row r="7923" spans="7:8">
      <c r="G7923">
        <v>7913</v>
      </c>
      <c r="H7923">
        <f t="shared" ca="1" si="131"/>
        <v>-3.5112264192534139E-2</v>
      </c>
    </row>
    <row r="7924" spans="7:8">
      <c r="G7924">
        <v>7914</v>
      </c>
      <c r="H7924">
        <f t="shared" ca="1" si="131"/>
        <v>1.5989488299730018E-2</v>
      </c>
    </row>
    <row r="7925" spans="7:8">
      <c r="G7925">
        <v>7915</v>
      </c>
      <c r="H7925">
        <f t="shared" ca="1" si="131"/>
        <v>-3.1043997223493196E-2</v>
      </c>
    </row>
    <row r="7926" spans="7:8">
      <c r="G7926">
        <v>7916</v>
      </c>
      <c r="H7926">
        <f t="shared" ca="1" si="131"/>
        <v>1.7638531685156077E-2</v>
      </c>
    </row>
    <row r="7927" spans="7:8">
      <c r="G7927">
        <v>7917</v>
      </c>
      <c r="H7927">
        <f t="shared" ca="1" si="131"/>
        <v>8.417719970731246E-3</v>
      </c>
    </row>
    <row r="7928" spans="7:8">
      <c r="G7928">
        <v>7918</v>
      </c>
      <c r="H7928">
        <f t="shared" ca="1" si="131"/>
        <v>-9.5029792832612113E-3</v>
      </c>
    </row>
    <row r="7929" spans="7:8">
      <c r="G7929">
        <v>7919</v>
      </c>
      <c r="H7929">
        <f t="shared" ca="1" si="131"/>
        <v>1.4850419419376313E-2</v>
      </c>
    </row>
    <row r="7930" spans="7:8">
      <c r="G7930">
        <v>7920</v>
      </c>
      <c r="H7930">
        <f t="shared" ca="1" si="131"/>
        <v>3.1151319990879719E-2</v>
      </c>
    </row>
    <row r="7931" spans="7:8">
      <c r="G7931">
        <v>7921</v>
      </c>
      <c r="H7931">
        <f t="shared" ca="1" si="131"/>
        <v>-1.2387998438858355E-2</v>
      </c>
    </row>
    <row r="7932" spans="7:8">
      <c r="G7932">
        <v>7922</v>
      </c>
      <c r="H7932">
        <f t="shared" ca="1" si="131"/>
        <v>2.1065036593700157E-2</v>
      </c>
    </row>
    <row r="7933" spans="7:8">
      <c r="G7933">
        <v>7923</v>
      </c>
      <c r="H7933">
        <f t="shared" ca="1" si="131"/>
        <v>-1.0059702317725719E-2</v>
      </c>
    </row>
    <row r="7934" spans="7:8">
      <c r="G7934">
        <v>7924</v>
      </c>
      <c r="H7934">
        <f t="shared" ca="1" si="131"/>
        <v>-5.6618489641030896E-2</v>
      </c>
    </row>
    <row r="7935" spans="7:8">
      <c r="G7935">
        <v>7925</v>
      </c>
      <c r="H7935">
        <f t="shared" ca="1" si="131"/>
        <v>-1.9562660041530067E-2</v>
      </c>
    </row>
    <row r="7936" spans="7:8">
      <c r="G7936">
        <v>7926</v>
      </c>
      <c r="H7936">
        <f t="shared" ca="1" si="131"/>
        <v>-3.0497596808063514E-2</v>
      </c>
    </row>
    <row r="7937" spans="7:8">
      <c r="G7937">
        <v>7927</v>
      </c>
      <c r="H7937">
        <f t="shared" ca="1" si="131"/>
        <v>-2.8445466027644025E-2</v>
      </c>
    </row>
    <row r="7938" spans="7:8">
      <c r="G7938">
        <v>7928</v>
      </c>
      <c r="H7938">
        <f t="shared" ca="1" si="131"/>
        <v>7.3761669328932841E-2</v>
      </c>
    </row>
    <row r="7939" spans="7:8">
      <c r="G7939">
        <v>7929</v>
      </c>
      <c r="H7939">
        <f t="shared" ca="1" si="131"/>
        <v>2.6805309887628123E-2</v>
      </c>
    </row>
    <row r="7940" spans="7:8">
      <c r="G7940">
        <v>7930</v>
      </c>
      <c r="H7940">
        <f t="shared" ca="1" si="131"/>
        <v>3.0682785917005004E-2</v>
      </c>
    </row>
    <row r="7941" spans="7:8">
      <c r="G7941">
        <v>7931</v>
      </c>
      <c r="H7941">
        <f t="shared" ca="1" si="131"/>
        <v>9.7389996666568486E-4</v>
      </c>
    </row>
    <row r="7942" spans="7:8">
      <c r="G7942">
        <v>7932</v>
      </c>
      <c r="H7942">
        <f t="shared" ca="1" si="131"/>
        <v>-3.2106100066044405E-2</v>
      </c>
    </row>
    <row r="7943" spans="7:8">
      <c r="G7943">
        <v>7933</v>
      </c>
      <c r="H7943">
        <f t="shared" ca="1" si="131"/>
        <v>-1.4022738553529963E-4</v>
      </c>
    </row>
    <row r="7944" spans="7:8">
      <c r="G7944">
        <v>7934</v>
      </c>
      <c r="H7944">
        <f t="shared" ca="1" si="131"/>
        <v>-2.8201796698945271E-2</v>
      </c>
    </row>
    <row r="7945" spans="7:8">
      <c r="G7945">
        <v>7935</v>
      </c>
      <c r="H7945">
        <f t="shared" ca="1" si="131"/>
        <v>-1.8336267644017461E-2</v>
      </c>
    </row>
    <row r="7946" spans="7:8">
      <c r="G7946">
        <v>7936</v>
      </c>
      <c r="H7946">
        <f t="shared" ca="1" si="131"/>
        <v>-2.2086171335707068E-2</v>
      </c>
    </row>
    <row r="7947" spans="7:8">
      <c r="G7947">
        <v>7937</v>
      </c>
      <c r="H7947">
        <f t="shared" ca="1" si="131"/>
        <v>3.6700061434203381E-2</v>
      </c>
    </row>
    <row r="7948" spans="7:8">
      <c r="G7948">
        <v>7938</v>
      </c>
      <c r="H7948">
        <f t="shared" ref="H7948:H8011" ca="1" si="132">_xlfn.NORM.INV(RAND(),N$13,N$14)</f>
        <v>2.9310895825592796E-2</v>
      </c>
    </row>
    <row r="7949" spans="7:8">
      <c r="G7949">
        <v>7939</v>
      </c>
      <c r="H7949">
        <f t="shared" ca="1" si="132"/>
        <v>2.5560038577813072E-2</v>
      </c>
    </row>
    <row r="7950" spans="7:8">
      <c r="G7950">
        <v>7940</v>
      </c>
      <c r="H7950">
        <f t="shared" ca="1" si="132"/>
        <v>-2.3493322819512774E-3</v>
      </c>
    </row>
    <row r="7951" spans="7:8">
      <c r="G7951">
        <v>7941</v>
      </c>
      <c r="H7951">
        <f t="shared" ca="1" si="132"/>
        <v>-5.1813039796602942E-2</v>
      </c>
    </row>
    <row r="7952" spans="7:8">
      <c r="G7952">
        <v>7942</v>
      </c>
      <c r="H7952">
        <f t="shared" ca="1" si="132"/>
        <v>2.7128060025657531E-2</v>
      </c>
    </row>
    <row r="7953" spans="7:8">
      <c r="G7953">
        <v>7943</v>
      </c>
      <c r="H7953">
        <f t="shared" ca="1" si="132"/>
        <v>-3.3589876630072991E-2</v>
      </c>
    </row>
    <row r="7954" spans="7:8">
      <c r="G7954">
        <v>7944</v>
      </c>
      <c r="H7954">
        <f t="shared" ca="1" si="132"/>
        <v>7.3036434881000806E-3</v>
      </c>
    </row>
    <row r="7955" spans="7:8">
      <c r="G7955">
        <v>7945</v>
      </c>
      <c r="H7955">
        <f t="shared" ca="1" si="132"/>
        <v>-8.5011299471133301E-3</v>
      </c>
    </row>
    <row r="7956" spans="7:8">
      <c r="G7956">
        <v>7946</v>
      </c>
      <c r="H7956">
        <f t="shared" ca="1" si="132"/>
        <v>-3.2390494915606145E-2</v>
      </c>
    </row>
    <row r="7957" spans="7:8">
      <c r="G7957">
        <v>7947</v>
      </c>
      <c r="H7957">
        <f t="shared" ca="1" si="132"/>
        <v>1.3071581409323376E-2</v>
      </c>
    </row>
    <row r="7958" spans="7:8">
      <c r="G7958">
        <v>7948</v>
      </c>
      <c r="H7958">
        <f t="shared" ca="1" si="132"/>
        <v>6.9783117583723971E-3</v>
      </c>
    </row>
    <row r="7959" spans="7:8">
      <c r="G7959">
        <v>7949</v>
      </c>
      <c r="H7959">
        <f t="shared" ca="1" si="132"/>
        <v>4.499535984863344E-2</v>
      </c>
    </row>
    <row r="7960" spans="7:8">
      <c r="G7960">
        <v>7950</v>
      </c>
      <c r="H7960">
        <f t="shared" ca="1" si="132"/>
        <v>-5.034146229327971E-2</v>
      </c>
    </row>
    <row r="7961" spans="7:8">
      <c r="G7961">
        <v>7951</v>
      </c>
      <c r="H7961">
        <f t="shared" ca="1" si="132"/>
        <v>-5.3786865766266984E-2</v>
      </c>
    </row>
    <row r="7962" spans="7:8">
      <c r="G7962">
        <v>7952</v>
      </c>
      <c r="H7962">
        <f t="shared" ca="1" si="132"/>
        <v>2.0004315514079586E-2</v>
      </c>
    </row>
    <row r="7963" spans="7:8">
      <c r="G7963">
        <v>7953</v>
      </c>
      <c r="H7963">
        <f t="shared" ca="1" si="132"/>
        <v>1.7573163960671885E-2</v>
      </c>
    </row>
    <row r="7964" spans="7:8">
      <c r="G7964">
        <v>7954</v>
      </c>
      <c r="H7964">
        <f t="shared" ca="1" si="132"/>
        <v>-2.2716679865780333E-2</v>
      </c>
    </row>
    <row r="7965" spans="7:8">
      <c r="G7965">
        <v>7955</v>
      </c>
      <c r="H7965">
        <f t="shared" ca="1" si="132"/>
        <v>3.0145756253907877E-2</v>
      </c>
    </row>
    <row r="7966" spans="7:8">
      <c r="G7966">
        <v>7956</v>
      </c>
      <c r="H7966">
        <f t="shared" ca="1" si="132"/>
        <v>5.0409388972700593E-2</v>
      </c>
    </row>
    <row r="7967" spans="7:8">
      <c r="G7967">
        <v>7957</v>
      </c>
      <c r="H7967">
        <f t="shared" ca="1" si="132"/>
        <v>-8.6509827388081776E-3</v>
      </c>
    </row>
    <row r="7968" spans="7:8">
      <c r="G7968">
        <v>7958</v>
      </c>
      <c r="H7968">
        <f t="shared" ca="1" si="132"/>
        <v>1.5970205228763728E-2</v>
      </c>
    </row>
    <row r="7969" spans="7:8">
      <c r="G7969">
        <v>7959</v>
      </c>
      <c r="H7969">
        <f t="shared" ca="1" si="132"/>
        <v>6.4208900190957175E-3</v>
      </c>
    </row>
    <row r="7970" spans="7:8">
      <c r="G7970">
        <v>7960</v>
      </c>
      <c r="H7970">
        <f t="shared" ca="1" si="132"/>
        <v>-3.2400766010703451E-3</v>
      </c>
    </row>
    <row r="7971" spans="7:8">
      <c r="G7971">
        <v>7961</v>
      </c>
      <c r="H7971">
        <f t="shared" ca="1" si="132"/>
        <v>1.6417683184751227E-2</v>
      </c>
    </row>
    <row r="7972" spans="7:8">
      <c r="G7972">
        <v>7962</v>
      </c>
      <c r="H7972">
        <f t="shared" ca="1" si="132"/>
        <v>1.6905617380875763E-2</v>
      </c>
    </row>
    <row r="7973" spans="7:8">
      <c r="G7973">
        <v>7963</v>
      </c>
      <c r="H7973">
        <f t="shared" ca="1" si="132"/>
        <v>-1.8317965765528271E-2</v>
      </c>
    </row>
    <row r="7974" spans="7:8">
      <c r="G7974">
        <v>7964</v>
      </c>
      <c r="H7974">
        <f t="shared" ca="1" si="132"/>
        <v>-2.5676458007547264E-2</v>
      </c>
    </row>
    <row r="7975" spans="7:8">
      <c r="G7975">
        <v>7965</v>
      </c>
      <c r="H7975">
        <f t="shared" ca="1" si="132"/>
        <v>5.6570452531882968E-2</v>
      </c>
    </row>
    <row r="7976" spans="7:8">
      <c r="G7976">
        <v>7966</v>
      </c>
      <c r="H7976">
        <f t="shared" ca="1" si="132"/>
        <v>-2.4212980872029014E-2</v>
      </c>
    </row>
    <row r="7977" spans="7:8">
      <c r="G7977">
        <v>7967</v>
      </c>
      <c r="H7977">
        <f t="shared" ca="1" si="132"/>
        <v>4.2794161353992152E-2</v>
      </c>
    </row>
    <row r="7978" spans="7:8">
      <c r="G7978">
        <v>7968</v>
      </c>
      <c r="H7978">
        <f t="shared" ca="1" si="132"/>
        <v>1.8709558859599674E-2</v>
      </c>
    </row>
    <row r="7979" spans="7:8">
      <c r="G7979">
        <v>7969</v>
      </c>
      <c r="H7979">
        <f t="shared" ca="1" si="132"/>
        <v>-2.8626445183800473E-3</v>
      </c>
    </row>
    <row r="7980" spans="7:8">
      <c r="G7980">
        <v>7970</v>
      </c>
      <c r="H7980">
        <f t="shared" ca="1" si="132"/>
        <v>-1.4086284674901741E-2</v>
      </c>
    </row>
    <row r="7981" spans="7:8">
      <c r="G7981">
        <v>7971</v>
      </c>
      <c r="H7981">
        <f t="shared" ca="1" si="132"/>
        <v>-6.7822397165562534E-3</v>
      </c>
    </row>
    <row r="7982" spans="7:8">
      <c r="G7982">
        <v>7972</v>
      </c>
      <c r="H7982">
        <f t="shared" ca="1" si="132"/>
        <v>2.5230298024687919E-3</v>
      </c>
    </row>
    <row r="7983" spans="7:8">
      <c r="G7983">
        <v>7973</v>
      </c>
      <c r="H7983">
        <f t="shared" ca="1" si="132"/>
        <v>-3.2671054546581382E-2</v>
      </c>
    </row>
    <row r="7984" spans="7:8">
      <c r="G7984">
        <v>7974</v>
      </c>
      <c r="H7984">
        <f t="shared" ca="1" si="132"/>
        <v>-1.7890921887394523E-2</v>
      </c>
    </row>
    <row r="7985" spans="7:8">
      <c r="G7985">
        <v>7975</v>
      </c>
      <c r="H7985">
        <f t="shared" ca="1" si="132"/>
        <v>-2.983953473100108E-2</v>
      </c>
    </row>
    <row r="7986" spans="7:8">
      <c r="G7986">
        <v>7976</v>
      </c>
      <c r="H7986">
        <f t="shared" ca="1" si="132"/>
        <v>-2.7363485810170386E-2</v>
      </c>
    </row>
    <row r="7987" spans="7:8">
      <c r="G7987">
        <v>7977</v>
      </c>
      <c r="H7987">
        <f t="shared" ca="1" si="132"/>
        <v>-1.1298348034538988E-2</v>
      </c>
    </row>
    <row r="7988" spans="7:8">
      <c r="G7988">
        <v>7978</v>
      </c>
      <c r="H7988">
        <f t="shared" ca="1" si="132"/>
        <v>9.0382804785671175E-3</v>
      </c>
    </row>
    <row r="7989" spans="7:8">
      <c r="G7989">
        <v>7979</v>
      </c>
      <c r="H7989">
        <f t="shared" ca="1" si="132"/>
        <v>-3.6768015793924871E-2</v>
      </c>
    </row>
    <row r="7990" spans="7:8">
      <c r="G7990">
        <v>7980</v>
      </c>
      <c r="H7990">
        <f t="shared" ca="1" si="132"/>
        <v>2.1835853261261199E-2</v>
      </c>
    </row>
    <row r="7991" spans="7:8">
      <c r="G7991">
        <v>7981</v>
      </c>
      <c r="H7991">
        <f t="shared" ca="1" si="132"/>
        <v>-3.9856024499330615E-2</v>
      </c>
    </row>
    <row r="7992" spans="7:8">
      <c r="G7992">
        <v>7982</v>
      </c>
      <c r="H7992">
        <f t="shared" ca="1" si="132"/>
        <v>-3.1263003291749749E-3</v>
      </c>
    </row>
    <row r="7993" spans="7:8">
      <c r="G7993">
        <v>7983</v>
      </c>
      <c r="H7993">
        <f t="shared" ca="1" si="132"/>
        <v>8.8936844238906351E-3</v>
      </c>
    </row>
    <row r="7994" spans="7:8">
      <c r="G7994">
        <v>7984</v>
      </c>
      <c r="H7994">
        <f t="shared" ca="1" si="132"/>
        <v>-1.1030191264191427E-2</v>
      </c>
    </row>
    <row r="7995" spans="7:8">
      <c r="G7995">
        <v>7985</v>
      </c>
      <c r="H7995">
        <f t="shared" ca="1" si="132"/>
        <v>3.0137509849687476E-2</v>
      </c>
    </row>
    <row r="7996" spans="7:8">
      <c r="G7996">
        <v>7986</v>
      </c>
      <c r="H7996">
        <f t="shared" ca="1" si="132"/>
        <v>2.824425656080785E-2</v>
      </c>
    </row>
    <row r="7997" spans="7:8">
      <c r="G7997">
        <v>7987</v>
      </c>
      <c r="H7997">
        <f t="shared" ca="1" si="132"/>
        <v>-2.7097130690170768E-2</v>
      </c>
    </row>
    <row r="7998" spans="7:8">
      <c r="G7998">
        <v>7988</v>
      </c>
      <c r="H7998">
        <f t="shared" ca="1" si="132"/>
        <v>-1.3025583950776037E-4</v>
      </c>
    </row>
    <row r="7999" spans="7:8">
      <c r="G7999">
        <v>7989</v>
      </c>
      <c r="H7999">
        <f t="shared" ca="1" si="132"/>
        <v>2.6670601711255421E-2</v>
      </c>
    </row>
    <row r="8000" spans="7:8">
      <c r="G8000">
        <v>7990</v>
      </c>
      <c r="H8000">
        <f t="shared" ca="1" si="132"/>
        <v>2.6257311782711339E-2</v>
      </c>
    </row>
    <row r="8001" spans="7:8">
      <c r="G8001">
        <v>7991</v>
      </c>
      <c r="H8001">
        <f t="shared" ca="1" si="132"/>
        <v>-4.231963809783168E-2</v>
      </c>
    </row>
    <row r="8002" spans="7:8">
      <c r="G8002">
        <v>7992</v>
      </c>
      <c r="H8002">
        <f t="shared" ca="1" si="132"/>
        <v>-1.8063632977834667E-2</v>
      </c>
    </row>
    <row r="8003" spans="7:8">
      <c r="G8003">
        <v>7993</v>
      </c>
      <c r="H8003">
        <f t="shared" ca="1" si="132"/>
        <v>9.182602121427753E-3</v>
      </c>
    </row>
    <row r="8004" spans="7:8">
      <c r="G8004">
        <v>7994</v>
      </c>
      <c r="H8004">
        <f t="shared" ca="1" si="132"/>
        <v>-1.3898599201497584E-2</v>
      </c>
    </row>
    <row r="8005" spans="7:8">
      <c r="G8005">
        <v>7995</v>
      </c>
      <c r="H8005">
        <f t="shared" ca="1" si="132"/>
        <v>-1.5798116918734142E-2</v>
      </c>
    </row>
    <row r="8006" spans="7:8">
      <c r="G8006">
        <v>7996</v>
      </c>
      <c r="H8006">
        <f t="shared" ca="1" si="132"/>
        <v>2.0344163674566273E-2</v>
      </c>
    </row>
    <row r="8007" spans="7:8">
      <c r="G8007">
        <v>7997</v>
      </c>
      <c r="H8007">
        <f t="shared" ca="1" si="132"/>
        <v>4.5287921285422368E-2</v>
      </c>
    </row>
    <row r="8008" spans="7:8">
      <c r="G8008">
        <v>7998</v>
      </c>
      <c r="H8008">
        <f t="shared" ca="1" si="132"/>
        <v>-1.8199954920145738E-2</v>
      </c>
    </row>
    <row r="8009" spans="7:8">
      <c r="G8009">
        <v>7999</v>
      </c>
      <c r="H8009">
        <f t="shared" ca="1" si="132"/>
        <v>-2.7052536571228306E-2</v>
      </c>
    </row>
    <row r="8010" spans="7:8">
      <c r="G8010">
        <v>8000</v>
      </c>
      <c r="H8010">
        <f t="shared" ca="1" si="132"/>
        <v>6.1235374069570588E-4</v>
      </c>
    </row>
    <row r="8011" spans="7:8">
      <c r="G8011">
        <v>8001</v>
      </c>
      <c r="H8011">
        <f t="shared" ca="1" si="132"/>
        <v>-9.9488552732565662E-3</v>
      </c>
    </row>
    <row r="8012" spans="7:8">
      <c r="G8012">
        <v>8002</v>
      </c>
      <c r="H8012">
        <f t="shared" ref="H8012:H8075" ca="1" si="133">_xlfn.NORM.INV(RAND(),N$13,N$14)</f>
        <v>1.3109850138429852E-2</v>
      </c>
    </row>
    <row r="8013" spans="7:8">
      <c r="G8013">
        <v>8003</v>
      </c>
      <c r="H8013">
        <f t="shared" ca="1" si="133"/>
        <v>2.1329535311341279E-3</v>
      </c>
    </row>
    <row r="8014" spans="7:8">
      <c r="G8014">
        <v>8004</v>
      </c>
      <c r="H8014">
        <f t="shared" ca="1" si="133"/>
        <v>-1.9854460522856902E-3</v>
      </c>
    </row>
    <row r="8015" spans="7:8">
      <c r="G8015">
        <v>8005</v>
      </c>
      <c r="H8015">
        <f t="shared" ca="1" si="133"/>
        <v>2.8732790994262562E-2</v>
      </c>
    </row>
    <row r="8016" spans="7:8">
      <c r="G8016">
        <v>8006</v>
      </c>
      <c r="H8016">
        <f t="shared" ca="1" si="133"/>
        <v>-5.7807596230183673E-2</v>
      </c>
    </row>
    <row r="8017" spans="7:8">
      <c r="G8017">
        <v>8007</v>
      </c>
      <c r="H8017">
        <f t="shared" ca="1" si="133"/>
        <v>-8.9458259643157498E-3</v>
      </c>
    </row>
    <row r="8018" spans="7:8">
      <c r="G8018">
        <v>8008</v>
      </c>
      <c r="H8018">
        <f t="shared" ca="1" si="133"/>
        <v>-9.9450632045554252E-3</v>
      </c>
    </row>
    <row r="8019" spans="7:8">
      <c r="G8019">
        <v>8009</v>
      </c>
      <c r="H8019">
        <f t="shared" ca="1" si="133"/>
        <v>2.7054516195058513E-3</v>
      </c>
    </row>
    <row r="8020" spans="7:8">
      <c r="G8020">
        <v>8010</v>
      </c>
      <c r="H8020">
        <f t="shared" ca="1" si="133"/>
        <v>2.0888064455396836E-2</v>
      </c>
    </row>
    <row r="8021" spans="7:8">
      <c r="G8021">
        <v>8011</v>
      </c>
      <c r="H8021">
        <f t="shared" ca="1" si="133"/>
        <v>2.1348155762608151E-2</v>
      </c>
    </row>
    <row r="8022" spans="7:8">
      <c r="G8022">
        <v>8012</v>
      </c>
      <c r="H8022">
        <f t="shared" ca="1" si="133"/>
        <v>3.804945827992174E-2</v>
      </c>
    </row>
    <row r="8023" spans="7:8">
      <c r="G8023">
        <v>8013</v>
      </c>
      <c r="H8023">
        <f t="shared" ca="1" si="133"/>
        <v>1.9488143348540071E-2</v>
      </c>
    </row>
    <row r="8024" spans="7:8">
      <c r="G8024">
        <v>8014</v>
      </c>
      <c r="H8024">
        <f t="shared" ca="1" si="133"/>
        <v>1.5165531727100253E-2</v>
      </c>
    </row>
    <row r="8025" spans="7:8">
      <c r="G8025">
        <v>8015</v>
      </c>
      <c r="H8025">
        <f t="shared" ca="1" si="133"/>
        <v>-4.0744616052188071E-3</v>
      </c>
    </row>
    <row r="8026" spans="7:8">
      <c r="G8026">
        <v>8016</v>
      </c>
      <c r="H8026">
        <f t="shared" ca="1" si="133"/>
        <v>-3.4794857387909571E-2</v>
      </c>
    </row>
    <row r="8027" spans="7:8">
      <c r="G8027">
        <v>8017</v>
      </c>
      <c r="H8027">
        <f t="shared" ca="1" si="133"/>
        <v>-2.5355846839178606E-2</v>
      </c>
    </row>
    <row r="8028" spans="7:8">
      <c r="G8028">
        <v>8018</v>
      </c>
      <c r="H8028">
        <f t="shared" ca="1" si="133"/>
        <v>-1.7999168489665684E-3</v>
      </c>
    </row>
    <row r="8029" spans="7:8">
      <c r="G8029">
        <v>8019</v>
      </c>
      <c r="H8029">
        <f t="shared" ca="1" si="133"/>
        <v>-2.5401515493766375E-2</v>
      </c>
    </row>
    <row r="8030" spans="7:8">
      <c r="G8030">
        <v>8020</v>
      </c>
      <c r="H8030">
        <f t="shared" ca="1" si="133"/>
        <v>1.5495228027303358E-3</v>
      </c>
    </row>
    <row r="8031" spans="7:8">
      <c r="G8031">
        <v>8021</v>
      </c>
      <c r="H8031">
        <f t="shared" ca="1" si="133"/>
        <v>5.4616583474393771E-3</v>
      </c>
    </row>
    <row r="8032" spans="7:8">
      <c r="G8032">
        <v>8022</v>
      </c>
      <c r="H8032">
        <f t="shared" ca="1" si="133"/>
        <v>-9.0406996224453688E-3</v>
      </c>
    </row>
    <row r="8033" spans="7:8">
      <c r="G8033">
        <v>8023</v>
      </c>
      <c r="H8033">
        <f t="shared" ca="1" si="133"/>
        <v>-1.529877494518781E-3</v>
      </c>
    </row>
    <row r="8034" spans="7:8">
      <c r="G8034">
        <v>8024</v>
      </c>
      <c r="H8034">
        <f t="shared" ca="1" si="133"/>
        <v>-3.3923882037171053E-2</v>
      </c>
    </row>
    <row r="8035" spans="7:8">
      <c r="G8035">
        <v>8025</v>
      </c>
      <c r="H8035">
        <f t="shared" ca="1" si="133"/>
        <v>1.1345825849252306E-2</v>
      </c>
    </row>
    <row r="8036" spans="7:8">
      <c r="G8036">
        <v>8026</v>
      </c>
      <c r="H8036">
        <f t="shared" ca="1" si="133"/>
        <v>4.0433866044984779E-2</v>
      </c>
    </row>
    <row r="8037" spans="7:8">
      <c r="G8037">
        <v>8027</v>
      </c>
      <c r="H8037">
        <f t="shared" ca="1" si="133"/>
        <v>2.7955191468380668E-2</v>
      </c>
    </row>
    <row r="8038" spans="7:8">
      <c r="G8038">
        <v>8028</v>
      </c>
      <c r="H8038">
        <f t="shared" ca="1" si="133"/>
        <v>-2.3955368440819368E-2</v>
      </c>
    </row>
    <row r="8039" spans="7:8">
      <c r="G8039">
        <v>8029</v>
      </c>
      <c r="H8039">
        <f t="shared" ca="1" si="133"/>
        <v>2.5234056056776765E-2</v>
      </c>
    </row>
    <row r="8040" spans="7:8">
      <c r="G8040">
        <v>8030</v>
      </c>
      <c r="H8040">
        <f t="shared" ca="1" si="133"/>
        <v>-2.0583432596859064E-2</v>
      </c>
    </row>
    <row r="8041" spans="7:8">
      <c r="G8041">
        <v>8031</v>
      </c>
      <c r="H8041">
        <f t="shared" ca="1" si="133"/>
        <v>-1.10614079567625E-2</v>
      </c>
    </row>
    <row r="8042" spans="7:8">
      <c r="G8042">
        <v>8032</v>
      </c>
      <c r="H8042">
        <f t="shared" ca="1" si="133"/>
        <v>1.7699647151349401E-2</v>
      </c>
    </row>
    <row r="8043" spans="7:8">
      <c r="G8043">
        <v>8033</v>
      </c>
      <c r="H8043">
        <f t="shared" ca="1" si="133"/>
        <v>-1.592579737816471E-2</v>
      </c>
    </row>
    <row r="8044" spans="7:8">
      <c r="G8044">
        <v>8034</v>
      </c>
      <c r="H8044">
        <f t="shared" ca="1" si="133"/>
        <v>4.6760514350108508E-2</v>
      </c>
    </row>
    <row r="8045" spans="7:8">
      <c r="G8045">
        <v>8035</v>
      </c>
      <c r="H8045">
        <f t="shared" ca="1" si="133"/>
        <v>-1.6469396808839062E-2</v>
      </c>
    </row>
    <row r="8046" spans="7:8">
      <c r="G8046">
        <v>8036</v>
      </c>
      <c r="H8046">
        <f t="shared" ca="1" si="133"/>
        <v>-1.0032243379013534E-2</v>
      </c>
    </row>
    <row r="8047" spans="7:8">
      <c r="G8047">
        <v>8037</v>
      </c>
      <c r="H8047">
        <f t="shared" ca="1" si="133"/>
        <v>-3.9743740644915511E-3</v>
      </c>
    </row>
    <row r="8048" spans="7:8">
      <c r="G8048">
        <v>8038</v>
      </c>
      <c r="H8048">
        <f t="shared" ca="1" si="133"/>
        <v>-2.0249114968406246E-2</v>
      </c>
    </row>
    <row r="8049" spans="7:8">
      <c r="G8049">
        <v>8039</v>
      </c>
      <c r="H8049">
        <f t="shared" ca="1" si="133"/>
        <v>-2.1029396886481384E-2</v>
      </c>
    </row>
    <row r="8050" spans="7:8">
      <c r="G8050">
        <v>8040</v>
      </c>
      <c r="H8050">
        <f t="shared" ca="1" si="133"/>
        <v>-2.7946717115681252E-2</v>
      </c>
    </row>
    <row r="8051" spans="7:8">
      <c r="G8051">
        <v>8041</v>
      </c>
      <c r="H8051">
        <f t="shared" ca="1" si="133"/>
        <v>-1.6167025482627554E-2</v>
      </c>
    </row>
    <row r="8052" spans="7:8">
      <c r="G8052">
        <v>8042</v>
      </c>
      <c r="H8052">
        <f t="shared" ca="1" si="133"/>
        <v>-5.127154955762216E-3</v>
      </c>
    </row>
    <row r="8053" spans="7:8">
      <c r="G8053">
        <v>8043</v>
      </c>
      <c r="H8053">
        <f t="shared" ca="1" si="133"/>
        <v>2.1588333256872955E-2</v>
      </c>
    </row>
    <row r="8054" spans="7:8">
      <c r="G8054">
        <v>8044</v>
      </c>
      <c r="H8054">
        <f t="shared" ca="1" si="133"/>
        <v>-2.3165586160778556E-2</v>
      </c>
    </row>
    <row r="8055" spans="7:8">
      <c r="G8055">
        <v>8045</v>
      </c>
      <c r="H8055">
        <f t="shared" ca="1" si="133"/>
        <v>-1.280307543429406E-2</v>
      </c>
    </row>
    <row r="8056" spans="7:8">
      <c r="G8056">
        <v>8046</v>
      </c>
      <c r="H8056">
        <f t="shared" ca="1" si="133"/>
        <v>1.9400932352877237E-2</v>
      </c>
    </row>
    <row r="8057" spans="7:8">
      <c r="G8057">
        <v>8047</v>
      </c>
      <c r="H8057">
        <f t="shared" ca="1" si="133"/>
        <v>-2.4441692420305457E-3</v>
      </c>
    </row>
    <row r="8058" spans="7:8">
      <c r="G8058">
        <v>8048</v>
      </c>
      <c r="H8058">
        <f t="shared" ca="1" si="133"/>
        <v>-2.7132245335482368E-5</v>
      </c>
    </row>
    <row r="8059" spans="7:8">
      <c r="G8059">
        <v>8049</v>
      </c>
      <c r="H8059">
        <f t="shared" ca="1" si="133"/>
        <v>1.3903329269793827E-2</v>
      </c>
    </row>
    <row r="8060" spans="7:8">
      <c r="G8060">
        <v>8050</v>
      </c>
      <c r="H8060">
        <f t="shared" ca="1" si="133"/>
        <v>2.9583948776427081E-3</v>
      </c>
    </row>
    <row r="8061" spans="7:8">
      <c r="G8061">
        <v>8051</v>
      </c>
      <c r="H8061">
        <f t="shared" ca="1" si="133"/>
        <v>-2.0950690461304312E-2</v>
      </c>
    </row>
    <row r="8062" spans="7:8">
      <c r="G8062">
        <v>8052</v>
      </c>
      <c r="H8062">
        <f t="shared" ca="1" si="133"/>
        <v>-7.743190563923385E-3</v>
      </c>
    </row>
    <row r="8063" spans="7:8">
      <c r="G8063">
        <v>8053</v>
      </c>
      <c r="H8063">
        <f t="shared" ca="1" si="133"/>
        <v>-1.9572097295441446E-2</v>
      </c>
    </row>
    <row r="8064" spans="7:8">
      <c r="G8064">
        <v>8054</v>
      </c>
      <c r="H8064">
        <f t="shared" ca="1" si="133"/>
        <v>1.0436687750991951E-2</v>
      </c>
    </row>
    <row r="8065" spans="7:8">
      <c r="G8065">
        <v>8055</v>
      </c>
      <c r="H8065">
        <f t="shared" ca="1" si="133"/>
        <v>2.2765176714826422E-2</v>
      </c>
    </row>
    <row r="8066" spans="7:8">
      <c r="G8066">
        <v>8056</v>
      </c>
      <c r="H8066">
        <f t="shared" ca="1" si="133"/>
        <v>-2.1255123677240147E-2</v>
      </c>
    </row>
    <row r="8067" spans="7:8">
      <c r="G8067">
        <v>8057</v>
      </c>
      <c r="H8067">
        <f t="shared" ca="1" si="133"/>
        <v>-3.0648646667197233E-2</v>
      </c>
    </row>
    <row r="8068" spans="7:8">
      <c r="G8068">
        <v>8058</v>
      </c>
      <c r="H8068">
        <f t="shared" ca="1" si="133"/>
        <v>2.7925371551469323E-2</v>
      </c>
    </row>
    <row r="8069" spans="7:8">
      <c r="G8069">
        <v>8059</v>
      </c>
      <c r="H8069">
        <f t="shared" ca="1" si="133"/>
        <v>2.4956621719581028E-2</v>
      </c>
    </row>
    <row r="8070" spans="7:8">
      <c r="G8070">
        <v>8060</v>
      </c>
      <c r="H8070">
        <f t="shared" ca="1" si="133"/>
        <v>3.2576044091536878E-3</v>
      </c>
    </row>
    <row r="8071" spans="7:8">
      <c r="G8071">
        <v>8061</v>
      </c>
      <c r="H8071">
        <f t="shared" ca="1" si="133"/>
        <v>-9.5752567727629464E-3</v>
      </c>
    </row>
    <row r="8072" spans="7:8">
      <c r="G8072">
        <v>8062</v>
      </c>
      <c r="H8072">
        <f t="shared" ca="1" si="133"/>
        <v>2.2911338154256982E-2</v>
      </c>
    </row>
    <row r="8073" spans="7:8">
      <c r="G8073">
        <v>8063</v>
      </c>
      <c r="H8073">
        <f t="shared" ca="1" si="133"/>
        <v>1.8864431279473636E-2</v>
      </c>
    </row>
    <row r="8074" spans="7:8">
      <c r="G8074">
        <v>8064</v>
      </c>
      <c r="H8074">
        <f t="shared" ca="1" si="133"/>
        <v>-1.9194058542781715E-2</v>
      </c>
    </row>
    <row r="8075" spans="7:8">
      <c r="G8075">
        <v>8065</v>
      </c>
      <c r="H8075">
        <f t="shared" ca="1" si="133"/>
        <v>2.0248055064338626E-2</v>
      </c>
    </row>
    <row r="8076" spans="7:8">
      <c r="G8076">
        <v>8066</v>
      </c>
      <c r="H8076">
        <f t="shared" ref="H8076:H8139" ca="1" si="134">_xlfn.NORM.INV(RAND(),N$13,N$14)</f>
        <v>2.8210335658922811E-3</v>
      </c>
    </row>
    <row r="8077" spans="7:8">
      <c r="G8077">
        <v>8067</v>
      </c>
      <c r="H8077">
        <f t="shared" ca="1" si="134"/>
        <v>-4.6331185515510802E-4</v>
      </c>
    </row>
    <row r="8078" spans="7:8">
      <c r="G8078">
        <v>8068</v>
      </c>
      <c r="H8078">
        <f t="shared" ca="1" si="134"/>
        <v>3.507846758106932E-2</v>
      </c>
    </row>
    <row r="8079" spans="7:8">
      <c r="G8079">
        <v>8069</v>
      </c>
      <c r="H8079">
        <f t="shared" ca="1" si="134"/>
        <v>4.9793387781839483E-2</v>
      </c>
    </row>
    <row r="8080" spans="7:8">
      <c r="G8080">
        <v>8070</v>
      </c>
      <c r="H8080">
        <f t="shared" ca="1" si="134"/>
        <v>1.6546480043570979E-2</v>
      </c>
    </row>
    <row r="8081" spans="7:8">
      <c r="G8081">
        <v>8071</v>
      </c>
      <c r="H8081">
        <f t="shared" ca="1" si="134"/>
        <v>1.756547795217666E-2</v>
      </c>
    </row>
    <row r="8082" spans="7:8">
      <c r="G8082">
        <v>8072</v>
      </c>
      <c r="H8082">
        <f t="shared" ca="1" si="134"/>
        <v>2.0938912195769026E-2</v>
      </c>
    </row>
    <row r="8083" spans="7:8">
      <c r="G8083">
        <v>8073</v>
      </c>
      <c r="H8083">
        <f t="shared" ca="1" si="134"/>
        <v>1.2608371702812465E-2</v>
      </c>
    </row>
    <row r="8084" spans="7:8">
      <c r="G8084">
        <v>8074</v>
      </c>
      <c r="H8084">
        <f t="shared" ca="1" si="134"/>
        <v>-3.2608425014800269E-2</v>
      </c>
    </row>
    <row r="8085" spans="7:8">
      <c r="G8085">
        <v>8075</v>
      </c>
      <c r="H8085">
        <f t="shared" ca="1" si="134"/>
        <v>-2.2084980159730705E-2</v>
      </c>
    </row>
    <row r="8086" spans="7:8">
      <c r="G8086">
        <v>8076</v>
      </c>
      <c r="H8086">
        <f t="shared" ca="1" si="134"/>
        <v>4.0699611902878907E-2</v>
      </c>
    </row>
    <row r="8087" spans="7:8">
      <c r="G8087">
        <v>8077</v>
      </c>
      <c r="H8087">
        <f t="shared" ca="1" si="134"/>
        <v>3.6179831289814675E-2</v>
      </c>
    </row>
    <row r="8088" spans="7:8">
      <c r="G8088">
        <v>8078</v>
      </c>
      <c r="H8088">
        <f t="shared" ca="1" si="134"/>
        <v>-2.059516499321673E-2</v>
      </c>
    </row>
    <row r="8089" spans="7:8">
      <c r="G8089">
        <v>8079</v>
      </c>
      <c r="H8089">
        <f t="shared" ca="1" si="134"/>
        <v>2.7362627801422418E-2</v>
      </c>
    </row>
    <row r="8090" spans="7:8">
      <c r="G8090">
        <v>8080</v>
      </c>
      <c r="H8090">
        <f t="shared" ca="1" si="134"/>
        <v>-3.1910641836786275E-4</v>
      </c>
    </row>
    <row r="8091" spans="7:8">
      <c r="G8091">
        <v>8081</v>
      </c>
      <c r="H8091">
        <f t="shared" ca="1" si="134"/>
        <v>2.1570203343885294E-3</v>
      </c>
    </row>
    <row r="8092" spans="7:8">
      <c r="G8092">
        <v>8082</v>
      </c>
      <c r="H8092">
        <f t="shared" ca="1" si="134"/>
        <v>1.2690372421155826E-2</v>
      </c>
    </row>
    <row r="8093" spans="7:8">
      <c r="G8093">
        <v>8083</v>
      </c>
      <c r="H8093">
        <f t="shared" ca="1" si="134"/>
        <v>7.3413276777907705E-3</v>
      </c>
    </row>
    <row r="8094" spans="7:8">
      <c r="G8094">
        <v>8084</v>
      </c>
      <c r="H8094">
        <f t="shared" ca="1" si="134"/>
        <v>2.4120255390026584E-2</v>
      </c>
    </row>
    <row r="8095" spans="7:8">
      <c r="G8095">
        <v>8085</v>
      </c>
      <c r="H8095">
        <f t="shared" ca="1" si="134"/>
        <v>-2.3669205549025209E-2</v>
      </c>
    </row>
    <row r="8096" spans="7:8">
      <c r="G8096">
        <v>8086</v>
      </c>
      <c r="H8096">
        <f t="shared" ca="1" si="134"/>
        <v>-9.7776092991355857E-3</v>
      </c>
    </row>
    <row r="8097" spans="7:8">
      <c r="G8097">
        <v>8087</v>
      </c>
      <c r="H8097">
        <f t="shared" ca="1" si="134"/>
        <v>-1.2610871801589412E-2</v>
      </c>
    </row>
    <row r="8098" spans="7:8">
      <c r="G8098">
        <v>8088</v>
      </c>
      <c r="H8098">
        <f t="shared" ca="1" si="134"/>
        <v>-1.7743897148174655E-2</v>
      </c>
    </row>
    <row r="8099" spans="7:8">
      <c r="G8099">
        <v>8089</v>
      </c>
      <c r="H8099">
        <f t="shared" ca="1" si="134"/>
        <v>4.6548770433304035E-2</v>
      </c>
    </row>
    <row r="8100" spans="7:8">
      <c r="G8100">
        <v>8090</v>
      </c>
      <c r="H8100">
        <f t="shared" ca="1" si="134"/>
        <v>4.2641974126056944E-3</v>
      </c>
    </row>
    <row r="8101" spans="7:8">
      <c r="G8101">
        <v>8091</v>
      </c>
      <c r="H8101">
        <f t="shared" ca="1" si="134"/>
        <v>-8.6477461290220946E-3</v>
      </c>
    </row>
    <row r="8102" spans="7:8">
      <c r="G8102">
        <v>8092</v>
      </c>
      <c r="H8102">
        <f t="shared" ca="1" si="134"/>
        <v>-1.2571023404743323E-2</v>
      </c>
    </row>
    <row r="8103" spans="7:8">
      <c r="G8103">
        <v>8093</v>
      </c>
      <c r="H8103">
        <f t="shared" ca="1" si="134"/>
        <v>-2.5635898893443528E-2</v>
      </c>
    </row>
    <row r="8104" spans="7:8">
      <c r="G8104">
        <v>8094</v>
      </c>
      <c r="H8104">
        <f t="shared" ca="1" si="134"/>
        <v>-4.1221834934423024E-3</v>
      </c>
    </row>
    <row r="8105" spans="7:8">
      <c r="G8105">
        <v>8095</v>
      </c>
      <c r="H8105">
        <f t="shared" ca="1" si="134"/>
        <v>1.4554836319340302E-2</v>
      </c>
    </row>
    <row r="8106" spans="7:8">
      <c r="G8106">
        <v>8096</v>
      </c>
      <c r="H8106">
        <f t="shared" ca="1" si="134"/>
        <v>5.9743230581145272E-3</v>
      </c>
    </row>
    <row r="8107" spans="7:8">
      <c r="G8107">
        <v>8097</v>
      </c>
      <c r="H8107">
        <f t="shared" ca="1" si="134"/>
        <v>1.1739350414780003E-2</v>
      </c>
    </row>
    <row r="8108" spans="7:8">
      <c r="G8108">
        <v>8098</v>
      </c>
      <c r="H8108">
        <f t="shared" ca="1" si="134"/>
        <v>-8.6612878402564462E-3</v>
      </c>
    </row>
    <row r="8109" spans="7:8">
      <c r="G8109">
        <v>8099</v>
      </c>
      <c r="H8109">
        <f t="shared" ca="1" si="134"/>
        <v>4.5757512109805753E-3</v>
      </c>
    </row>
    <row r="8110" spans="7:8">
      <c r="G8110">
        <v>8100</v>
      </c>
      <c r="H8110">
        <f t="shared" ca="1" si="134"/>
        <v>-1.8504337766718629E-2</v>
      </c>
    </row>
    <row r="8111" spans="7:8">
      <c r="G8111">
        <v>8101</v>
      </c>
      <c r="H8111">
        <f t="shared" ca="1" si="134"/>
        <v>-2.6316881560803722E-3</v>
      </c>
    </row>
    <row r="8112" spans="7:8">
      <c r="G8112">
        <v>8102</v>
      </c>
      <c r="H8112">
        <f t="shared" ca="1" si="134"/>
        <v>-8.0859846588049959E-3</v>
      </c>
    </row>
    <row r="8113" spans="7:8">
      <c r="G8113">
        <v>8103</v>
      </c>
      <c r="H8113">
        <f t="shared" ca="1" si="134"/>
        <v>-2.2270301205033521E-2</v>
      </c>
    </row>
    <row r="8114" spans="7:8">
      <c r="G8114">
        <v>8104</v>
      </c>
      <c r="H8114">
        <f t="shared" ca="1" si="134"/>
        <v>-3.0286546544090492E-2</v>
      </c>
    </row>
    <row r="8115" spans="7:8">
      <c r="G8115">
        <v>8105</v>
      </c>
      <c r="H8115">
        <f t="shared" ca="1" si="134"/>
        <v>-6.4102786718014801E-3</v>
      </c>
    </row>
    <row r="8116" spans="7:8">
      <c r="G8116">
        <v>8106</v>
      </c>
      <c r="H8116">
        <f t="shared" ca="1" si="134"/>
        <v>-3.6560152927686703E-3</v>
      </c>
    </row>
    <row r="8117" spans="7:8">
      <c r="G8117">
        <v>8107</v>
      </c>
      <c r="H8117">
        <f t="shared" ca="1" si="134"/>
        <v>-8.5521354331002369E-3</v>
      </c>
    </row>
    <row r="8118" spans="7:8">
      <c r="G8118">
        <v>8108</v>
      </c>
      <c r="H8118">
        <f t="shared" ca="1" si="134"/>
        <v>2.8973469062934126E-3</v>
      </c>
    </row>
    <row r="8119" spans="7:8">
      <c r="G8119">
        <v>8109</v>
      </c>
      <c r="H8119">
        <f t="shared" ca="1" si="134"/>
        <v>-3.1356863849499733E-2</v>
      </c>
    </row>
    <row r="8120" spans="7:8">
      <c r="G8120">
        <v>8110</v>
      </c>
      <c r="H8120">
        <f t="shared" ca="1" si="134"/>
        <v>2.2157891103705626E-2</v>
      </c>
    </row>
    <row r="8121" spans="7:8">
      <c r="G8121">
        <v>8111</v>
      </c>
      <c r="H8121">
        <f t="shared" ca="1" si="134"/>
        <v>-2.0737616763475599E-3</v>
      </c>
    </row>
    <row r="8122" spans="7:8">
      <c r="G8122">
        <v>8112</v>
      </c>
      <c r="H8122">
        <f t="shared" ca="1" si="134"/>
        <v>-1.7500324288668927E-2</v>
      </c>
    </row>
    <row r="8123" spans="7:8">
      <c r="G8123">
        <v>8113</v>
      </c>
      <c r="H8123">
        <f t="shared" ca="1" si="134"/>
        <v>-3.7333974546555224E-2</v>
      </c>
    </row>
    <row r="8124" spans="7:8">
      <c r="G8124">
        <v>8114</v>
      </c>
      <c r="H8124">
        <f t="shared" ca="1" si="134"/>
        <v>-6.4960459883939255E-3</v>
      </c>
    </row>
    <row r="8125" spans="7:8">
      <c r="G8125">
        <v>8115</v>
      </c>
      <c r="H8125">
        <f t="shared" ca="1" si="134"/>
        <v>-1.6227265605793198E-2</v>
      </c>
    </row>
    <row r="8126" spans="7:8">
      <c r="G8126">
        <v>8116</v>
      </c>
      <c r="H8126">
        <f t="shared" ca="1" si="134"/>
        <v>-4.3176591191784595E-2</v>
      </c>
    </row>
    <row r="8127" spans="7:8">
      <c r="G8127">
        <v>8117</v>
      </c>
      <c r="H8127">
        <f t="shared" ca="1" si="134"/>
        <v>-1.2638400557248186E-2</v>
      </c>
    </row>
    <row r="8128" spans="7:8">
      <c r="G8128">
        <v>8118</v>
      </c>
      <c r="H8128">
        <f t="shared" ca="1" si="134"/>
        <v>-3.0514047739693902E-2</v>
      </c>
    </row>
    <row r="8129" spans="7:8">
      <c r="G8129">
        <v>8119</v>
      </c>
      <c r="H8129">
        <f t="shared" ca="1" si="134"/>
        <v>-9.9227057198467711E-3</v>
      </c>
    </row>
    <row r="8130" spans="7:8">
      <c r="G8130">
        <v>8120</v>
      </c>
      <c r="H8130">
        <f t="shared" ca="1" si="134"/>
        <v>-2.3860336126708886E-2</v>
      </c>
    </row>
    <row r="8131" spans="7:8">
      <c r="G8131">
        <v>8121</v>
      </c>
      <c r="H8131">
        <f t="shared" ca="1" si="134"/>
        <v>5.6016217264245926E-3</v>
      </c>
    </row>
    <row r="8132" spans="7:8">
      <c r="G8132">
        <v>8122</v>
      </c>
      <c r="H8132">
        <f t="shared" ca="1" si="134"/>
        <v>-3.9075689328571951E-2</v>
      </c>
    </row>
    <row r="8133" spans="7:8">
      <c r="G8133">
        <v>8123</v>
      </c>
      <c r="H8133">
        <f t="shared" ca="1" si="134"/>
        <v>4.8742321399978972E-2</v>
      </c>
    </row>
    <row r="8134" spans="7:8">
      <c r="G8134">
        <v>8124</v>
      </c>
      <c r="H8134">
        <f t="shared" ca="1" si="134"/>
        <v>-2.5107373364105685E-2</v>
      </c>
    </row>
    <row r="8135" spans="7:8">
      <c r="G8135">
        <v>8125</v>
      </c>
      <c r="H8135">
        <f t="shared" ca="1" si="134"/>
        <v>-3.1967326123119671E-2</v>
      </c>
    </row>
    <row r="8136" spans="7:8">
      <c r="G8136">
        <v>8126</v>
      </c>
      <c r="H8136">
        <f t="shared" ca="1" si="134"/>
        <v>1.8862960623955868E-2</v>
      </c>
    </row>
    <row r="8137" spans="7:8">
      <c r="G8137">
        <v>8127</v>
      </c>
      <c r="H8137">
        <f t="shared" ca="1" si="134"/>
        <v>-3.1747552671514356E-2</v>
      </c>
    </row>
    <row r="8138" spans="7:8">
      <c r="G8138">
        <v>8128</v>
      </c>
      <c r="H8138">
        <f t="shared" ca="1" si="134"/>
        <v>-4.5594036109421608E-2</v>
      </c>
    </row>
    <row r="8139" spans="7:8">
      <c r="G8139">
        <v>8129</v>
      </c>
      <c r="H8139">
        <f t="shared" ca="1" si="134"/>
        <v>1.8872914635306753E-2</v>
      </c>
    </row>
    <row r="8140" spans="7:8">
      <c r="G8140">
        <v>8130</v>
      </c>
      <c r="H8140">
        <f t="shared" ref="H8140:H8203" ca="1" si="135">_xlfn.NORM.INV(RAND(),N$13,N$14)</f>
        <v>2.0160282950431301E-2</v>
      </c>
    </row>
    <row r="8141" spans="7:8">
      <c r="G8141">
        <v>8131</v>
      </c>
      <c r="H8141">
        <f t="shared" ca="1" si="135"/>
        <v>-2.756416986263411E-3</v>
      </c>
    </row>
    <row r="8142" spans="7:8">
      <c r="G8142">
        <v>8132</v>
      </c>
      <c r="H8142">
        <f t="shared" ca="1" si="135"/>
        <v>-2.4359927313093457E-2</v>
      </c>
    </row>
    <row r="8143" spans="7:8">
      <c r="G8143">
        <v>8133</v>
      </c>
      <c r="H8143">
        <f t="shared" ca="1" si="135"/>
        <v>-2.8621922386416715E-3</v>
      </c>
    </row>
    <row r="8144" spans="7:8">
      <c r="G8144">
        <v>8134</v>
      </c>
      <c r="H8144">
        <f t="shared" ca="1" si="135"/>
        <v>-2.8277065833707989E-2</v>
      </c>
    </row>
    <row r="8145" spans="7:8">
      <c r="G8145">
        <v>8135</v>
      </c>
      <c r="H8145">
        <f t="shared" ca="1" si="135"/>
        <v>2.2414472151903481E-2</v>
      </c>
    </row>
    <row r="8146" spans="7:8">
      <c r="G8146">
        <v>8136</v>
      </c>
      <c r="H8146">
        <f t="shared" ca="1" si="135"/>
        <v>-1.1301414241499313E-2</v>
      </c>
    </row>
    <row r="8147" spans="7:8">
      <c r="G8147">
        <v>8137</v>
      </c>
      <c r="H8147">
        <f t="shared" ca="1" si="135"/>
        <v>-2.4031279837009714E-2</v>
      </c>
    </row>
    <row r="8148" spans="7:8">
      <c r="G8148">
        <v>8138</v>
      </c>
      <c r="H8148">
        <f t="shared" ca="1" si="135"/>
        <v>8.9598049775580155E-3</v>
      </c>
    </row>
    <row r="8149" spans="7:8">
      <c r="G8149">
        <v>8139</v>
      </c>
      <c r="H8149">
        <f t="shared" ca="1" si="135"/>
        <v>-2.5779811816449209E-3</v>
      </c>
    </row>
    <row r="8150" spans="7:8">
      <c r="G8150">
        <v>8140</v>
      </c>
      <c r="H8150">
        <f t="shared" ca="1" si="135"/>
        <v>2.3358779095381279E-2</v>
      </c>
    </row>
    <row r="8151" spans="7:8">
      <c r="G8151">
        <v>8141</v>
      </c>
      <c r="H8151">
        <f t="shared" ca="1" si="135"/>
        <v>3.7410213548165615E-2</v>
      </c>
    </row>
    <row r="8152" spans="7:8">
      <c r="G8152">
        <v>8142</v>
      </c>
      <c r="H8152">
        <f t="shared" ca="1" si="135"/>
        <v>1.8876148649724981E-2</v>
      </c>
    </row>
    <row r="8153" spans="7:8">
      <c r="G8153">
        <v>8143</v>
      </c>
      <c r="H8153">
        <f t="shared" ca="1" si="135"/>
        <v>-7.0238543760214444E-3</v>
      </c>
    </row>
    <row r="8154" spans="7:8">
      <c r="G8154">
        <v>8144</v>
      </c>
      <c r="H8154">
        <f t="shared" ca="1" si="135"/>
        <v>2.1661743743369082E-2</v>
      </c>
    </row>
    <row r="8155" spans="7:8">
      <c r="G8155">
        <v>8145</v>
      </c>
      <c r="H8155">
        <f t="shared" ca="1" si="135"/>
        <v>-3.6686249347833197E-2</v>
      </c>
    </row>
    <row r="8156" spans="7:8">
      <c r="G8156">
        <v>8146</v>
      </c>
      <c r="H8156">
        <f t="shared" ca="1" si="135"/>
        <v>2.5642259376806486E-2</v>
      </c>
    </row>
    <row r="8157" spans="7:8">
      <c r="G8157">
        <v>8147</v>
      </c>
      <c r="H8157">
        <f t="shared" ca="1" si="135"/>
        <v>7.1900467179929525E-2</v>
      </c>
    </row>
    <row r="8158" spans="7:8">
      <c r="G8158">
        <v>8148</v>
      </c>
      <c r="H8158">
        <f t="shared" ca="1" si="135"/>
        <v>8.4112750181535283E-5</v>
      </c>
    </row>
    <row r="8159" spans="7:8">
      <c r="G8159">
        <v>8149</v>
      </c>
      <c r="H8159">
        <f t="shared" ca="1" si="135"/>
        <v>-3.4698254819549988E-2</v>
      </c>
    </row>
    <row r="8160" spans="7:8">
      <c r="G8160">
        <v>8150</v>
      </c>
      <c r="H8160">
        <f t="shared" ca="1" si="135"/>
        <v>1.513061143706893E-2</v>
      </c>
    </row>
    <row r="8161" spans="7:8">
      <c r="G8161">
        <v>8151</v>
      </c>
      <c r="H8161">
        <f t="shared" ca="1" si="135"/>
        <v>-3.4281111484211105E-2</v>
      </c>
    </row>
    <row r="8162" spans="7:8">
      <c r="G8162">
        <v>8152</v>
      </c>
      <c r="H8162">
        <f t="shared" ca="1" si="135"/>
        <v>2.8556798497409937E-2</v>
      </c>
    </row>
    <row r="8163" spans="7:8">
      <c r="G8163">
        <v>8153</v>
      </c>
      <c r="H8163">
        <f t="shared" ca="1" si="135"/>
        <v>-2.407621487485069E-2</v>
      </c>
    </row>
    <row r="8164" spans="7:8">
      <c r="G8164">
        <v>8154</v>
      </c>
      <c r="H8164">
        <f t="shared" ca="1" si="135"/>
        <v>-1.9287930689463828E-2</v>
      </c>
    </row>
    <row r="8165" spans="7:8">
      <c r="G8165">
        <v>8155</v>
      </c>
      <c r="H8165">
        <f t="shared" ca="1" si="135"/>
        <v>2.4873143376627167E-2</v>
      </c>
    </row>
    <row r="8166" spans="7:8">
      <c r="G8166">
        <v>8156</v>
      </c>
      <c r="H8166">
        <f t="shared" ca="1" si="135"/>
        <v>-4.1309062404905304E-2</v>
      </c>
    </row>
    <row r="8167" spans="7:8">
      <c r="G8167">
        <v>8157</v>
      </c>
      <c r="H8167">
        <f t="shared" ca="1" si="135"/>
        <v>6.5083905933173217E-3</v>
      </c>
    </row>
    <row r="8168" spans="7:8">
      <c r="G8168">
        <v>8158</v>
      </c>
      <c r="H8168">
        <f t="shared" ca="1" si="135"/>
        <v>-1.1445199052314132E-2</v>
      </c>
    </row>
    <row r="8169" spans="7:8">
      <c r="G8169">
        <v>8159</v>
      </c>
      <c r="H8169">
        <f t="shared" ca="1" si="135"/>
        <v>3.2310703212032478E-2</v>
      </c>
    </row>
    <row r="8170" spans="7:8">
      <c r="G8170">
        <v>8160</v>
      </c>
      <c r="H8170">
        <f t="shared" ca="1" si="135"/>
        <v>7.2105732490761161E-3</v>
      </c>
    </row>
    <row r="8171" spans="7:8">
      <c r="G8171">
        <v>8161</v>
      </c>
      <c r="H8171">
        <f t="shared" ca="1" si="135"/>
        <v>-5.3454942721875891E-2</v>
      </c>
    </row>
    <row r="8172" spans="7:8">
      <c r="G8172">
        <v>8162</v>
      </c>
      <c r="H8172">
        <f t="shared" ca="1" si="135"/>
        <v>-3.9299818688485873E-2</v>
      </c>
    </row>
    <row r="8173" spans="7:8">
      <c r="G8173">
        <v>8163</v>
      </c>
      <c r="H8173">
        <f t="shared" ca="1" si="135"/>
        <v>4.1848339318923185E-2</v>
      </c>
    </row>
    <row r="8174" spans="7:8">
      <c r="G8174">
        <v>8164</v>
      </c>
      <c r="H8174">
        <f t="shared" ca="1" si="135"/>
        <v>4.6773902266295186E-2</v>
      </c>
    </row>
    <row r="8175" spans="7:8">
      <c r="G8175">
        <v>8165</v>
      </c>
      <c r="H8175">
        <f t="shared" ca="1" si="135"/>
        <v>-2.5569930852107924E-2</v>
      </c>
    </row>
    <row r="8176" spans="7:8">
      <c r="G8176">
        <v>8166</v>
      </c>
      <c r="H8176">
        <f t="shared" ca="1" si="135"/>
        <v>-9.6838997664000018E-3</v>
      </c>
    </row>
    <row r="8177" spans="7:8">
      <c r="G8177">
        <v>8167</v>
      </c>
      <c r="H8177">
        <f t="shared" ca="1" si="135"/>
        <v>-5.4064181747939054E-2</v>
      </c>
    </row>
    <row r="8178" spans="7:8">
      <c r="G8178">
        <v>8168</v>
      </c>
      <c r="H8178">
        <f t="shared" ca="1" si="135"/>
        <v>7.3586251202147355E-3</v>
      </c>
    </row>
    <row r="8179" spans="7:8">
      <c r="G8179">
        <v>8169</v>
      </c>
      <c r="H8179">
        <f t="shared" ca="1" si="135"/>
        <v>-2.9359939654008328E-2</v>
      </c>
    </row>
    <row r="8180" spans="7:8">
      <c r="G8180">
        <v>8170</v>
      </c>
      <c r="H8180">
        <f t="shared" ca="1" si="135"/>
        <v>6.4889932514124102E-3</v>
      </c>
    </row>
    <row r="8181" spans="7:8">
      <c r="G8181">
        <v>8171</v>
      </c>
      <c r="H8181">
        <f t="shared" ca="1" si="135"/>
        <v>-5.2394145565908025E-3</v>
      </c>
    </row>
    <row r="8182" spans="7:8">
      <c r="G8182">
        <v>8172</v>
      </c>
      <c r="H8182">
        <f t="shared" ca="1" si="135"/>
        <v>4.7419341509771819E-3</v>
      </c>
    </row>
    <row r="8183" spans="7:8">
      <c r="G8183">
        <v>8173</v>
      </c>
      <c r="H8183">
        <f t="shared" ca="1" si="135"/>
        <v>-1.7521493230843569E-2</v>
      </c>
    </row>
    <row r="8184" spans="7:8">
      <c r="G8184">
        <v>8174</v>
      </c>
      <c r="H8184">
        <f t="shared" ca="1" si="135"/>
        <v>-5.4284244546991432E-3</v>
      </c>
    </row>
    <row r="8185" spans="7:8">
      <c r="G8185">
        <v>8175</v>
      </c>
      <c r="H8185">
        <f t="shared" ca="1" si="135"/>
        <v>-1.5596636106893619E-2</v>
      </c>
    </row>
    <row r="8186" spans="7:8">
      <c r="G8186">
        <v>8176</v>
      </c>
      <c r="H8186">
        <f t="shared" ca="1" si="135"/>
        <v>-2.3040531584751712E-2</v>
      </c>
    </row>
    <row r="8187" spans="7:8">
      <c r="G8187">
        <v>8177</v>
      </c>
      <c r="H8187">
        <f t="shared" ca="1" si="135"/>
        <v>1.1565755841588962E-2</v>
      </c>
    </row>
    <row r="8188" spans="7:8">
      <c r="G8188">
        <v>8178</v>
      </c>
      <c r="H8188">
        <f t="shared" ca="1" si="135"/>
        <v>-1.8372277657006147E-2</v>
      </c>
    </row>
    <row r="8189" spans="7:8">
      <c r="G8189">
        <v>8179</v>
      </c>
      <c r="H8189">
        <f t="shared" ca="1" si="135"/>
        <v>4.6867479172830087E-2</v>
      </c>
    </row>
    <row r="8190" spans="7:8">
      <c r="G8190">
        <v>8180</v>
      </c>
      <c r="H8190">
        <f t="shared" ca="1" si="135"/>
        <v>2.5915550572218993E-3</v>
      </c>
    </row>
    <row r="8191" spans="7:8">
      <c r="G8191">
        <v>8181</v>
      </c>
      <c r="H8191">
        <f t="shared" ca="1" si="135"/>
        <v>1.7323612165230297E-2</v>
      </c>
    </row>
    <row r="8192" spans="7:8">
      <c r="G8192">
        <v>8182</v>
      </c>
      <c r="H8192">
        <f t="shared" ca="1" si="135"/>
        <v>-2.506763223951847E-2</v>
      </c>
    </row>
    <row r="8193" spans="7:8">
      <c r="G8193">
        <v>8183</v>
      </c>
      <c r="H8193">
        <f t="shared" ca="1" si="135"/>
        <v>-1.1302747719806704E-2</v>
      </c>
    </row>
    <row r="8194" spans="7:8">
      <c r="G8194">
        <v>8184</v>
      </c>
      <c r="H8194">
        <f t="shared" ca="1" si="135"/>
        <v>-1.0385557618214874E-2</v>
      </c>
    </row>
    <row r="8195" spans="7:8">
      <c r="G8195">
        <v>8185</v>
      </c>
      <c r="H8195">
        <f t="shared" ca="1" si="135"/>
        <v>2.4029834691770398E-2</v>
      </c>
    </row>
    <row r="8196" spans="7:8">
      <c r="G8196">
        <v>8186</v>
      </c>
      <c r="H8196">
        <f t="shared" ca="1" si="135"/>
        <v>-1.9191390227639871E-2</v>
      </c>
    </row>
    <row r="8197" spans="7:8">
      <c r="G8197">
        <v>8187</v>
      </c>
      <c r="H8197">
        <f t="shared" ca="1" si="135"/>
        <v>1.7261209609884677E-2</v>
      </c>
    </row>
    <row r="8198" spans="7:8">
      <c r="G8198">
        <v>8188</v>
      </c>
      <c r="H8198">
        <f t="shared" ca="1" si="135"/>
        <v>1.5507770066566071E-2</v>
      </c>
    </row>
    <row r="8199" spans="7:8">
      <c r="G8199">
        <v>8189</v>
      </c>
      <c r="H8199">
        <f t="shared" ca="1" si="135"/>
        <v>1.703306509373392E-2</v>
      </c>
    </row>
    <row r="8200" spans="7:8">
      <c r="G8200">
        <v>8190</v>
      </c>
      <c r="H8200">
        <f t="shared" ca="1" si="135"/>
        <v>7.5873973770825822E-3</v>
      </c>
    </row>
    <row r="8201" spans="7:8">
      <c r="G8201">
        <v>8191</v>
      </c>
      <c r="H8201">
        <f t="shared" ca="1" si="135"/>
        <v>8.8212169646105041E-3</v>
      </c>
    </row>
    <row r="8202" spans="7:8">
      <c r="G8202">
        <v>8192</v>
      </c>
      <c r="H8202">
        <f t="shared" ca="1" si="135"/>
        <v>-3.8808974894975778E-3</v>
      </c>
    </row>
    <row r="8203" spans="7:8">
      <c r="G8203">
        <v>8193</v>
      </c>
      <c r="H8203">
        <f t="shared" ca="1" si="135"/>
        <v>-2.0524670185376168E-2</v>
      </c>
    </row>
    <row r="8204" spans="7:8">
      <c r="G8204">
        <v>8194</v>
      </c>
      <c r="H8204">
        <f t="shared" ref="H8204:H8267" ca="1" si="136">_xlfn.NORM.INV(RAND(),N$13,N$14)</f>
        <v>-3.242420741937839E-2</v>
      </c>
    </row>
    <row r="8205" spans="7:8">
      <c r="G8205">
        <v>8195</v>
      </c>
      <c r="H8205">
        <f t="shared" ca="1" si="136"/>
        <v>1.344812393069598E-2</v>
      </c>
    </row>
    <row r="8206" spans="7:8">
      <c r="G8206">
        <v>8196</v>
      </c>
      <c r="H8206">
        <f t="shared" ca="1" si="136"/>
        <v>1.6165999301333951E-2</v>
      </c>
    </row>
    <row r="8207" spans="7:8">
      <c r="G8207">
        <v>8197</v>
      </c>
      <c r="H8207">
        <f t="shared" ca="1" si="136"/>
        <v>1.4488181953768857E-2</v>
      </c>
    </row>
    <row r="8208" spans="7:8">
      <c r="G8208">
        <v>8198</v>
      </c>
      <c r="H8208">
        <f t="shared" ca="1" si="136"/>
        <v>-3.4705473896944054E-2</v>
      </c>
    </row>
    <row r="8209" spans="7:8">
      <c r="G8209">
        <v>8199</v>
      </c>
      <c r="H8209">
        <f t="shared" ca="1" si="136"/>
        <v>-1.9047463317553907E-3</v>
      </c>
    </row>
    <row r="8210" spans="7:8">
      <c r="G8210">
        <v>8200</v>
      </c>
      <c r="H8210">
        <f t="shared" ca="1" si="136"/>
        <v>3.2399054281985078E-2</v>
      </c>
    </row>
    <row r="8211" spans="7:8">
      <c r="G8211">
        <v>8201</v>
      </c>
      <c r="H8211">
        <f t="shared" ca="1" si="136"/>
        <v>-7.2241784374744468E-4</v>
      </c>
    </row>
    <row r="8212" spans="7:8">
      <c r="G8212">
        <v>8202</v>
      </c>
      <c r="H8212">
        <f t="shared" ca="1" si="136"/>
        <v>-6.8798128628739022E-5</v>
      </c>
    </row>
    <row r="8213" spans="7:8">
      <c r="G8213">
        <v>8203</v>
      </c>
      <c r="H8213">
        <f t="shared" ca="1" si="136"/>
        <v>1.7209273693962263E-2</v>
      </c>
    </row>
    <row r="8214" spans="7:8">
      <c r="G8214">
        <v>8204</v>
      </c>
      <c r="H8214">
        <f t="shared" ca="1" si="136"/>
        <v>-1.0056906606621665E-2</v>
      </c>
    </row>
    <row r="8215" spans="7:8">
      <c r="G8215">
        <v>8205</v>
      </c>
      <c r="H8215">
        <f t="shared" ca="1" si="136"/>
        <v>-4.240891388664892E-2</v>
      </c>
    </row>
    <row r="8216" spans="7:8">
      <c r="G8216">
        <v>8206</v>
      </c>
      <c r="H8216">
        <f t="shared" ca="1" si="136"/>
        <v>1.3293958240878563E-2</v>
      </c>
    </row>
    <row r="8217" spans="7:8">
      <c r="G8217">
        <v>8207</v>
      </c>
      <c r="H8217">
        <f t="shared" ca="1" si="136"/>
        <v>-2.9869797252293388E-2</v>
      </c>
    </row>
    <row r="8218" spans="7:8">
      <c r="G8218">
        <v>8208</v>
      </c>
      <c r="H8218">
        <f t="shared" ca="1" si="136"/>
        <v>-9.2123843205897948E-3</v>
      </c>
    </row>
    <row r="8219" spans="7:8">
      <c r="G8219">
        <v>8209</v>
      </c>
      <c r="H8219">
        <f t="shared" ca="1" si="136"/>
        <v>-1.0094111592694393E-2</v>
      </c>
    </row>
    <row r="8220" spans="7:8">
      <c r="G8220">
        <v>8210</v>
      </c>
      <c r="H8220">
        <f t="shared" ca="1" si="136"/>
        <v>-5.7184477545869027E-4</v>
      </c>
    </row>
    <row r="8221" spans="7:8">
      <c r="G8221">
        <v>8211</v>
      </c>
      <c r="H8221">
        <f t="shared" ca="1" si="136"/>
        <v>-5.3335526561147116E-2</v>
      </c>
    </row>
    <row r="8222" spans="7:8">
      <c r="G8222">
        <v>8212</v>
      </c>
      <c r="H8222">
        <f t="shared" ca="1" si="136"/>
        <v>1.7568631297733717E-2</v>
      </c>
    </row>
    <row r="8223" spans="7:8">
      <c r="G8223">
        <v>8213</v>
      </c>
      <c r="H8223">
        <f t="shared" ca="1" si="136"/>
        <v>2.4654987904658313E-2</v>
      </c>
    </row>
    <row r="8224" spans="7:8">
      <c r="G8224">
        <v>8214</v>
      </c>
      <c r="H8224">
        <f t="shared" ca="1" si="136"/>
        <v>4.6288066815498942E-2</v>
      </c>
    </row>
    <row r="8225" spans="7:8">
      <c r="G8225">
        <v>8215</v>
      </c>
      <c r="H8225">
        <f t="shared" ca="1" si="136"/>
        <v>-3.0170150186910247E-2</v>
      </c>
    </row>
    <row r="8226" spans="7:8">
      <c r="G8226">
        <v>8216</v>
      </c>
      <c r="H8226">
        <f t="shared" ca="1" si="136"/>
        <v>2.5872057745606348E-2</v>
      </c>
    </row>
    <row r="8227" spans="7:8">
      <c r="G8227">
        <v>8217</v>
      </c>
      <c r="H8227">
        <f t="shared" ca="1" si="136"/>
        <v>3.7837502903029676E-3</v>
      </c>
    </row>
    <row r="8228" spans="7:8">
      <c r="G8228">
        <v>8218</v>
      </c>
      <c r="H8228">
        <f t="shared" ca="1" si="136"/>
        <v>-2.4872852345847071E-2</v>
      </c>
    </row>
    <row r="8229" spans="7:8">
      <c r="G8229">
        <v>8219</v>
      </c>
      <c r="H8229">
        <f t="shared" ca="1" si="136"/>
        <v>2.4985940115995016E-3</v>
      </c>
    </row>
    <row r="8230" spans="7:8">
      <c r="G8230">
        <v>8220</v>
      </c>
      <c r="H8230">
        <f t="shared" ca="1" si="136"/>
        <v>-6.5419921163431659E-3</v>
      </c>
    </row>
    <row r="8231" spans="7:8">
      <c r="G8231">
        <v>8221</v>
      </c>
      <c r="H8231">
        <f t="shared" ca="1" si="136"/>
        <v>-3.5932734640487664E-2</v>
      </c>
    </row>
    <row r="8232" spans="7:8">
      <c r="G8232">
        <v>8222</v>
      </c>
      <c r="H8232">
        <f t="shared" ca="1" si="136"/>
        <v>3.132236728554836E-2</v>
      </c>
    </row>
    <row r="8233" spans="7:8">
      <c r="G8233">
        <v>8223</v>
      </c>
      <c r="H8233">
        <f t="shared" ca="1" si="136"/>
        <v>-4.5855016219787222E-4</v>
      </c>
    </row>
    <row r="8234" spans="7:8">
      <c r="G8234">
        <v>8224</v>
      </c>
      <c r="H8234">
        <f t="shared" ca="1" si="136"/>
        <v>3.0299057539112849E-2</v>
      </c>
    </row>
    <row r="8235" spans="7:8">
      <c r="G8235">
        <v>8225</v>
      </c>
      <c r="H8235">
        <f t="shared" ca="1" si="136"/>
        <v>-4.5889647010704778E-3</v>
      </c>
    </row>
    <row r="8236" spans="7:8">
      <c r="G8236">
        <v>8226</v>
      </c>
      <c r="H8236">
        <f t="shared" ca="1" si="136"/>
        <v>6.9261265277841292E-3</v>
      </c>
    </row>
    <row r="8237" spans="7:8">
      <c r="G8237">
        <v>8227</v>
      </c>
      <c r="H8237">
        <f t="shared" ca="1" si="136"/>
        <v>-2.8147978934393809E-2</v>
      </c>
    </row>
    <row r="8238" spans="7:8">
      <c r="G8238">
        <v>8228</v>
      </c>
      <c r="H8238">
        <f t="shared" ca="1" si="136"/>
        <v>-1.7716017769099368E-2</v>
      </c>
    </row>
    <row r="8239" spans="7:8">
      <c r="G8239">
        <v>8229</v>
      </c>
      <c r="H8239">
        <f t="shared" ca="1" si="136"/>
        <v>-5.7705429248580608E-3</v>
      </c>
    </row>
    <row r="8240" spans="7:8">
      <c r="G8240">
        <v>8230</v>
      </c>
      <c r="H8240">
        <f t="shared" ca="1" si="136"/>
        <v>2.9763902298436191E-2</v>
      </c>
    </row>
    <row r="8241" spans="7:8">
      <c r="G8241">
        <v>8231</v>
      </c>
      <c r="H8241">
        <f t="shared" ca="1" si="136"/>
        <v>2.6350917311963682E-2</v>
      </c>
    </row>
    <row r="8242" spans="7:8">
      <c r="G8242">
        <v>8232</v>
      </c>
      <c r="H8242">
        <f t="shared" ca="1" si="136"/>
        <v>-3.9872245542954952E-2</v>
      </c>
    </row>
    <row r="8243" spans="7:8">
      <c r="G8243">
        <v>8233</v>
      </c>
      <c r="H8243">
        <f t="shared" ca="1" si="136"/>
        <v>1.1001776922837507E-2</v>
      </c>
    </row>
    <row r="8244" spans="7:8">
      <c r="G8244">
        <v>8234</v>
      </c>
      <c r="H8244">
        <f t="shared" ca="1" si="136"/>
        <v>2.4588887264247947E-2</v>
      </c>
    </row>
    <row r="8245" spans="7:8">
      <c r="G8245">
        <v>8235</v>
      </c>
      <c r="H8245">
        <f t="shared" ca="1" si="136"/>
        <v>-1.1175976442028781E-2</v>
      </c>
    </row>
    <row r="8246" spans="7:8">
      <c r="G8246">
        <v>8236</v>
      </c>
      <c r="H8246">
        <f t="shared" ca="1" si="136"/>
        <v>1.422808762069413E-2</v>
      </c>
    </row>
    <row r="8247" spans="7:8">
      <c r="G8247">
        <v>8237</v>
      </c>
      <c r="H8247">
        <f t="shared" ca="1" si="136"/>
        <v>-1.1188838000098171E-2</v>
      </c>
    </row>
    <row r="8248" spans="7:8">
      <c r="G8248">
        <v>8238</v>
      </c>
      <c r="H8248">
        <f t="shared" ca="1" si="136"/>
        <v>-1.9318682314817662E-2</v>
      </c>
    </row>
    <row r="8249" spans="7:8">
      <c r="G8249">
        <v>8239</v>
      </c>
      <c r="H8249">
        <f t="shared" ca="1" si="136"/>
        <v>-3.9815008310918762E-2</v>
      </c>
    </row>
    <row r="8250" spans="7:8">
      <c r="G8250">
        <v>8240</v>
      </c>
      <c r="H8250">
        <f t="shared" ca="1" si="136"/>
        <v>6.9829947409697788E-3</v>
      </c>
    </row>
    <row r="8251" spans="7:8">
      <c r="G8251">
        <v>8241</v>
      </c>
      <c r="H8251">
        <f t="shared" ca="1" si="136"/>
        <v>-2.3079230182791944E-2</v>
      </c>
    </row>
    <row r="8252" spans="7:8">
      <c r="G8252">
        <v>8242</v>
      </c>
      <c r="H8252">
        <f t="shared" ca="1" si="136"/>
        <v>9.9200470652495848E-3</v>
      </c>
    </row>
    <row r="8253" spans="7:8">
      <c r="G8253">
        <v>8243</v>
      </c>
      <c r="H8253">
        <f t="shared" ca="1" si="136"/>
        <v>-4.0680700320179418E-2</v>
      </c>
    </row>
    <row r="8254" spans="7:8">
      <c r="G8254">
        <v>8244</v>
      </c>
      <c r="H8254">
        <f t="shared" ca="1" si="136"/>
        <v>-2.8663713976973509E-2</v>
      </c>
    </row>
    <row r="8255" spans="7:8">
      <c r="G8255">
        <v>8245</v>
      </c>
      <c r="H8255">
        <f t="shared" ca="1" si="136"/>
        <v>5.5062010747195477E-4</v>
      </c>
    </row>
    <row r="8256" spans="7:8">
      <c r="G8256">
        <v>8246</v>
      </c>
      <c r="H8256">
        <f t="shared" ca="1" si="136"/>
        <v>-3.0832093980112558E-2</v>
      </c>
    </row>
    <row r="8257" spans="7:8">
      <c r="G8257">
        <v>8247</v>
      </c>
      <c r="H8257">
        <f t="shared" ca="1" si="136"/>
        <v>-7.8823713980860355E-3</v>
      </c>
    </row>
    <row r="8258" spans="7:8">
      <c r="G8258">
        <v>8248</v>
      </c>
      <c r="H8258">
        <f t="shared" ca="1" si="136"/>
        <v>3.990658910124267E-3</v>
      </c>
    </row>
    <row r="8259" spans="7:8">
      <c r="G8259">
        <v>8249</v>
      </c>
      <c r="H8259">
        <f t="shared" ca="1" si="136"/>
        <v>1.869657059321686E-2</v>
      </c>
    </row>
    <row r="8260" spans="7:8">
      <c r="G8260">
        <v>8250</v>
      </c>
      <c r="H8260">
        <f t="shared" ca="1" si="136"/>
        <v>3.5360026567829911E-2</v>
      </c>
    </row>
    <row r="8261" spans="7:8">
      <c r="G8261">
        <v>8251</v>
      </c>
      <c r="H8261">
        <f t="shared" ca="1" si="136"/>
        <v>-3.8617522050816769E-2</v>
      </c>
    </row>
    <row r="8262" spans="7:8">
      <c r="G8262">
        <v>8252</v>
      </c>
      <c r="H8262">
        <f t="shared" ca="1" si="136"/>
        <v>1.3334431896431501E-3</v>
      </c>
    </row>
    <row r="8263" spans="7:8">
      <c r="G8263">
        <v>8253</v>
      </c>
      <c r="H8263">
        <f t="shared" ca="1" si="136"/>
        <v>2.1703128667005443E-2</v>
      </c>
    </row>
    <row r="8264" spans="7:8">
      <c r="G8264">
        <v>8254</v>
      </c>
      <c r="H8264">
        <f t="shared" ca="1" si="136"/>
        <v>1.1016303640493802E-2</v>
      </c>
    </row>
    <row r="8265" spans="7:8">
      <c r="G8265">
        <v>8255</v>
      </c>
      <c r="H8265">
        <f t="shared" ca="1" si="136"/>
        <v>-2.0742978873776952E-2</v>
      </c>
    </row>
    <row r="8266" spans="7:8">
      <c r="G8266">
        <v>8256</v>
      </c>
      <c r="H8266">
        <f t="shared" ca="1" si="136"/>
        <v>-3.6176233064325783E-2</v>
      </c>
    </row>
    <row r="8267" spans="7:8">
      <c r="G8267">
        <v>8257</v>
      </c>
      <c r="H8267">
        <f t="shared" ca="1" si="136"/>
        <v>3.8042323874340971E-2</v>
      </c>
    </row>
    <row r="8268" spans="7:8">
      <c r="G8268">
        <v>8258</v>
      </c>
      <c r="H8268">
        <f t="shared" ref="H8268:H8331" ca="1" si="137">_xlfn.NORM.INV(RAND(),N$13,N$14)</f>
        <v>-1.2181519817487189E-2</v>
      </c>
    </row>
    <row r="8269" spans="7:8">
      <c r="G8269">
        <v>8259</v>
      </c>
      <c r="H8269">
        <f t="shared" ca="1" si="137"/>
        <v>-3.7610089342843378E-2</v>
      </c>
    </row>
    <row r="8270" spans="7:8">
      <c r="G8270">
        <v>8260</v>
      </c>
      <c r="H8270">
        <f t="shared" ca="1" si="137"/>
        <v>2.0978534553190837E-2</v>
      </c>
    </row>
    <row r="8271" spans="7:8">
      <c r="G8271">
        <v>8261</v>
      </c>
      <c r="H8271">
        <f t="shared" ca="1" si="137"/>
        <v>2.7242402206726385E-2</v>
      </c>
    </row>
    <row r="8272" spans="7:8">
      <c r="G8272">
        <v>8262</v>
      </c>
      <c r="H8272">
        <f t="shared" ca="1" si="137"/>
        <v>2.3616333676894355E-3</v>
      </c>
    </row>
    <row r="8273" spans="7:8">
      <c r="G8273">
        <v>8263</v>
      </c>
      <c r="H8273">
        <f t="shared" ca="1" si="137"/>
        <v>-2.7985624797526632E-2</v>
      </c>
    </row>
    <row r="8274" spans="7:8">
      <c r="G8274">
        <v>8264</v>
      </c>
      <c r="H8274">
        <f t="shared" ca="1" si="137"/>
        <v>-2.6719734270734759E-2</v>
      </c>
    </row>
    <row r="8275" spans="7:8">
      <c r="G8275">
        <v>8265</v>
      </c>
      <c r="H8275">
        <f t="shared" ca="1" si="137"/>
        <v>-4.7910457907671448E-2</v>
      </c>
    </row>
    <row r="8276" spans="7:8">
      <c r="G8276">
        <v>8266</v>
      </c>
      <c r="H8276">
        <f t="shared" ca="1" si="137"/>
        <v>-2.7967093295060219E-3</v>
      </c>
    </row>
    <row r="8277" spans="7:8">
      <c r="G8277">
        <v>8267</v>
      </c>
      <c r="H8277">
        <f t="shared" ca="1" si="137"/>
        <v>1.1031699711032183E-2</v>
      </c>
    </row>
    <row r="8278" spans="7:8">
      <c r="G8278">
        <v>8268</v>
      </c>
      <c r="H8278">
        <f t="shared" ca="1" si="137"/>
        <v>4.7819796615219913E-3</v>
      </c>
    </row>
    <row r="8279" spans="7:8">
      <c r="G8279">
        <v>8269</v>
      </c>
      <c r="H8279">
        <f t="shared" ca="1" si="137"/>
        <v>-2.8099243612598316E-3</v>
      </c>
    </row>
    <row r="8280" spans="7:8">
      <c r="G8280">
        <v>8270</v>
      </c>
      <c r="H8280">
        <f t="shared" ca="1" si="137"/>
        <v>3.0595005218715242E-2</v>
      </c>
    </row>
    <row r="8281" spans="7:8">
      <c r="G8281">
        <v>8271</v>
      </c>
      <c r="H8281">
        <f t="shared" ca="1" si="137"/>
        <v>2.1990739088981394E-2</v>
      </c>
    </row>
    <row r="8282" spans="7:8">
      <c r="G8282">
        <v>8272</v>
      </c>
      <c r="H8282">
        <f t="shared" ca="1" si="137"/>
        <v>6.8805574197317535E-3</v>
      </c>
    </row>
    <row r="8283" spans="7:8">
      <c r="G8283">
        <v>8273</v>
      </c>
      <c r="H8283">
        <f t="shared" ca="1" si="137"/>
        <v>-4.2979014517360789E-2</v>
      </c>
    </row>
    <row r="8284" spans="7:8">
      <c r="G8284">
        <v>8274</v>
      </c>
      <c r="H8284">
        <f t="shared" ca="1" si="137"/>
        <v>7.3893473677782854E-3</v>
      </c>
    </row>
    <row r="8285" spans="7:8">
      <c r="G8285">
        <v>8275</v>
      </c>
      <c r="H8285">
        <f t="shared" ca="1" si="137"/>
        <v>-6.0355276755151219E-3</v>
      </c>
    </row>
    <row r="8286" spans="7:8">
      <c r="G8286">
        <v>8276</v>
      </c>
      <c r="H8286">
        <f t="shared" ca="1" si="137"/>
        <v>4.6118325593137478E-2</v>
      </c>
    </row>
    <row r="8287" spans="7:8">
      <c r="G8287">
        <v>8277</v>
      </c>
      <c r="H8287">
        <f t="shared" ca="1" si="137"/>
        <v>-4.9934254822381211E-3</v>
      </c>
    </row>
    <row r="8288" spans="7:8">
      <c r="G8288">
        <v>8278</v>
      </c>
      <c r="H8288">
        <f t="shared" ca="1" si="137"/>
        <v>-5.155231663880554E-4</v>
      </c>
    </row>
    <row r="8289" spans="7:8">
      <c r="G8289">
        <v>8279</v>
      </c>
      <c r="H8289">
        <f t="shared" ca="1" si="137"/>
        <v>-1.2739002402795666E-2</v>
      </c>
    </row>
    <row r="8290" spans="7:8">
      <c r="G8290">
        <v>8280</v>
      </c>
      <c r="H8290">
        <f t="shared" ca="1" si="137"/>
        <v>-2.3435184871286107E-2</v>
      </c>
    </row>
    <row r="8291" spans="7:8">
      <c r="G8291">
        <v>8281</v>
      </c>
      <c r="H8291">
        <f t="shared" ca="1" si="137"/>
        <v>-8.2624232264266653E-4</v>
      </c>
    </row>
    <row r="8292" spans="7:8">
      <c r="G8292">
        <v>8282</v>
      </c>
      <c r="H8292">
        <f t="shared" ca="1" si="137"/>
        <v>3.8117755134187731E-3</v>
      </c>
    </row>
    <row r="8293" spans="7:8">
      <c r="G8293">
        <v>8283</v>
      </c>
      <c r="H8293">
        <f t="shared" ca="1" si="137"/>
        <v>6.9694473589619306E-4</v>
      </c>
    </row>
    <row r="8294" spans="7:8">
      <c r="G8294">
        <v>8284</v>
      </c>
      <c r="H8294">
        <f t="shared" ca="1" si="137"/>
        <v>1.1055600670380522E-2</v>
      </c>
    </row>
    <row r="8295" spans="7:8">
      <c r="G8295">
        <v>8285</v>
      </c>
      <c r="H8295">
        <f t="shared" ca="1" si="137"/>
        <v>-3.1833369698771305E-2</v>
      </c>
    </row>
    <row r="8296" spans="7:8">
      <c r="G8296">
        <v>8286</v>
      </c>
      <c r="H8296">
        <f t="shared" ca="1" si="137"/>
        <v>-3.6357416230191605E-2</v>
      </c>
    </row>
    <row r="8297" spans="7:8">
      <c r="G8297">
        <v>8287</v>
      </c>
      <c r="H8297">
        <f t="shared" ca="1" si="137"/>
        <v>-6.6103374079496515E-3</v>
      </c>
    </row>
    <row r="8298" spans="7:8">
      <c r="G8298">
        <v>8288</v>
      </c>
      <c r="H8298">
        <f t="shared" ca="1" si="137"/>
        <v>3.0355340683279372E-2</v>
      </c>
    </row>
    <row r="8299" spans="7:8">
      <c r="G8299">
        <v>8289</v>
      </c>
      <c r="H8299">
        <f t="shared" ca="1" si="137"/>
        <v>-1.5497131067554664E-2</v>
      </c>
    </row>
    <row r="8300" spans="7:8">
      <c r="G8300">
        <v>8290</v>
      </c>
      <c r="H8300">
        <f t="shared" ca="1" si="137"/>
        <v>-2.6876735151420618E-2</v>
      </c>
    </row>
    <row r="8301" spans="7:8">
      <c r="G8301">
        <v>8291</v>
      </c>
      <c r="H8301">
        <f t="shared" ca="1" si="137"/>
        <v>9.815981208063991E-3</v>
      </c>
    </row>
    <row r="8302" spans="7:8">
      <c r="G8302">
        <v>8292</v>
      </c>
      <c r="H8302">
        <f t="shared" ca="1" si="137"/>
        <v>2.6428055132634069E-2</v>
      </c>
    </row>
    <row r="8303" spans="7:8">
      <c r="G8303">
        <v>8293</v>
      </c>
      <c r="H8303">
        <f t="shared" ca="1" si="137"/>
        <v>1.8075838572442521E-2</v>
      </c>
    </row>
    <row r="8304" spans="7:8">
      <c r="G8304">
        <v>8294</v>
      </c>
      <c r="H8304">
        <f t="shared" ca="1" si="137"/>
        <v>-5.2060257132567796E-2</v>
      </c>
    </row>
    <row r="8305" spans="7:8">
      <c r="G8305">
        <v>8295</v>
      </c>
      <c r="H8305">
        <f t="shared" ca="1" si="137"/>
        <v>3.429830347671859E-2</v>
      </c>
    </row>
    <row r="8306" spans="7:8">
      <c r="G8306">
        <v>8296</v>
      </c>
      <c r="H8306">
        <f t="shared" ca="1" si="137"/>
        <v>-3.0425906689507815E-2</v>
      </c>
    </row>
    <row r="8307" spans="7:8">
      <c r="G8307">
        <v>8297</v>
      </c>
      <c r="H8307">
        <f t="shared" ca="1" si="137"/>
        <v>-2.0726331522902361E-2</v>
      </c>
    </row>
    <row r="8308" spans="7:8">
      <c r="G8308">
        <v>8298</v>
      </c>
      <c r="H8308">
        <f t="shared" ca="1" si="137"/>
        <v>-3.2638596540736128E-2</v>
      </c>
    </row>
    <row r="8309" spans="7:8">
      <c r="G8309">
        <v>8299</v>
      </c>
      <c r="H8309">
        <f t="shared" ca="1" si="137"/>
        <v>8.5550231351883346E-4</v>
      </c>
    </row>
    <row r="8310" spans="7:8">
      <c r="G8310">
        <v>8300</v>
      </c>
      <c r="H8310">
        <f t="shared" ca="1" si="137"/>
        <v>-1.4940122924709068E-2</v>
      </c>
    </row>
    <row r="8311" spans="7:8">
      <c r="G8311">
        <v>8301</v>
      </c>
      <c r="H8311">
        <f t="shared" ca="1" si="137"/>
        <v>-2.0174485024710805E-2</v>
      </c>
    </row>
    <row r="8312" spans="7:8">
      <c r="G8312">
        <v>8302</v>
      </c>
      <c r="H8312">
        <f t="shared" ca="1" si="137"/>
        <v>-1.0672834980773736E-2</v>
      </c>
    </row>
    <row r="8313" spans="7:8">
      <c r="G8313">
        <v>8303</v>
      </c>
      <c r="H8313">
        <f t="shared" ca="1" si="137"/>
        <v>-2.2984012324451738E-2</v>
      </c>
    </row>
    <row r="8314" spans="7:8">
      <c r="G8314">
        <v>8304</v>
      </c>
      <c r="H8314">
        <f t="shared" ca="1" si="137"/>
        <v>3.9766856609625288E-4</v>
      </c>
    </row>
    <row r="8315" spans="7:8">
      <c r="G8315">
        <v>8305</v>
      </c>
      <c r="H8315">
        <f t="shared" ca="1" si="137"/>
        <v>-5.6924555606213435E-3</v>
      </c>
    </row>
    <row r="8316" spans="7:8">
      <c r="G8316">
        <v>8306</v>
      </c>
      <c r="H8316">
        <f t="shared" ca="1" si="137"/>
        <v>-5.0964321124090817E-3</v>
      </c>
    </row>
    <row r="8317" spans="7:8">
      <c r="G8317">
        <v>8307</v>
      </c>
      <c r="H8317">
        <f t="shared" ca="1" si="137"/>
        <v>2.6046245179847664E-2</v>
      </c>
    </row>
    <row r="8318" spans="7:8">
      <c r="G8318">
        <v>8308</v>
      </c>
      <c r="H8318">
        <f t="shared" ca="1" si="137"/>
        <v>-2.283039428325831E-2</v>
      </c>
    </row>
    <row r="8319" spans="7:8">
      <c r="G8319">
        <v>8309</v>
      </c>
      <c r="H8319">
        <f t="shared" ca="1" si="137"/>
        <v>2.5986063499941138E-3</v>
      </c>
    </row>
    <row r="8320" spans="7:8">
      <c r="G8320">
        <v>8310</v>
      </c>
      <c r="H8320">
        <f t="shared" ca="1" si="137"/>
        <v>-9.2738436743271483E-3</v>
      </c>
    </row>
    <row r="8321" spans="7:8">
      <c r="G8321">
        <v>8311</v>
      </c>
      <c r="H8321">
        <f t="shared" ca="1" si="137"/>
        <v>-9.1917480328886011E-3</v>
      </c>
    </row>
    <row r="8322" spans="7:8">
      <c r="G8322">
        <v>8312</v>
      </c>
      <c r="H8322">
        <f t="shared" ca="1" si="137"/>
        <v>-1.947092493496988E-2</v>
      </c>
    </row>
    <row r="8323" spans="7:8">
      <c r="G8323">
        <v>8313</v>
      </c>
      <c r="H8323">
        <f t="shared" ca="1" si="137"/>
        <v>-1.8853130930047535E-2</v>
      </c>
    </row>
    <row r="8324" spans="7:8">
      <c r="G8324">
        <v>8314</v>
      </c>
      <c r="H8324">
        <f t="shared" ca="1" si="137"/>
        <v>-6.7472253377328321E-3</v>
      </c>
    </row>
    <row r="8325" spans="7:8">
      <c r="G8325">
        <v>8315</v>
      </c>
      <c r="H8325">
        <f t="shared" ca="1" si="137"/>
        <v>-5.5178948623288981E-2</v>
      </c>
    </row>
    <row r="8326" spans="7:8">
      <c r="G8326">
        <v>8316</v>
      </c>
      <c r="H8326">
        <f t="shared" ca="1" si="137"/>
        <v>-5.0114538426013428E-3</v>
      </c>
    </row>
    <row r="8327" spans="7:8">
      <c r="G8327">
        <v>8317</v>
      </c>
      <c r="H8327">
        <f t="shared" ca="1" si="137"/>
        <v>-3.3608822363454809E-3</v>
      </c>
    </row>
    <row r="8328" spans="7:8">
      <c r="G8328">
        <v>8318</v>
      </c>
      <c r="H8328">
        <f t="shared" ca="1" si="137"/>
        <v>2.7566012599219987E-2</v>
      </c>
    </row>
    <row r="8329" spans="7:8">
      <c r="G8329">
        <v>8319</v>
      </c>
      <c r="H8329">
        <f t="shared" ca="1" si="137"/>
        <v>-7.2348201318820318E-2</v>
      </c>
    </row>
    <row r="8330" spans="7:8">
      <c r="G8330">
        <v>8320</v>
      </c>
      <c r="H8330">
        <f t="shared" ca="1" si="137"/>
        <v>4.0652639692025754E-2</v>
      </c>
    </row>
    <row r="8331" spans="7:8">
      <c r="G8331">
        <v>8321</v>
      </c>
      <c r="H8331">
        <f t="shared" ca="1" si="137"/>
        <v>1.1306379797700827E-2</v>
      </c>
    </row>
    <row r="8332" spans="7:8">
      <c r="G8332">
        <v>8322</v>
      </c>
      <c r="H8332">
        <f t="shared" ref="H8332:H8395" ca="1" si="138">_xlfn.NORM.INV(RAND(),N$13,N$14)</f>
        <v>-3.6249493138962485E-3</v>
      </c>
    </row>
    <row r="8333" spans="7:8">
      <c r="G8333">
        <v>8323</v>
      </c>
      <c r="H8333">
        <f t="shared" ca="1" si="138"/>
        <v>-7.8819390559679986E-3</v>
      </c>
    </row>
    <row r="8334" spans="7:8">
      <c r="G8334">
        <v>8324</v>
      </c>
      <c r="H8334">
        <f t="shared" ca="1" si="138"/>
        <v>-1.1860685060924792E-2</v>
      </c>
    </row>
    <row r="8335" spans="7:8">
      <c r="G8335">
        <v>8325</v>
      </c>
      <c r="H8335">
        <f t="shared" ca="1" si="138"/>
        <v>1.4166334797144533E-3</v>
      </c>
    </row>
    <row r="8336" spans="7:8">
      <c r="G8336">
        <v>8326</v>
      </c>
      <c r="H8336">
        <f t="shared" ca="1" si="138"/>
        <v>2.7054921347899691E-2</v>
      </c>
    </row>
    <row r="8337" spans="7:8">
      <c r="G8337">
        <v>8327</v>
      </c>
      <c r="H8337">
        <f t="shared" ca="1" si="138"/>
        <v>2.9301409401896079E-2</v>
      </c>
    </row>
    <row r="8338" spans="7:8">
      <c r="G8338">
        <v>8328</v>
      </c>
      <c r="H8338">
        <f t="shared" ca="1" si="138"/>
        <v>-6.9843925498539808E-3</v>
      </c>
    </row>
    <row r="8339" spans="7:8">
      <c r="G8339">
        <v>8329</v>
      </c>
      <c r="H8339">
        <f t="shared" ca="1" si="138"/>
        <v>-2.0065388182996073E-2</v>
      </c>
    </row>
    <row r="8340" spans="7:8">
      <c r="G8340">
        <v>8330</v>
      </c>
      <c r="H8340">
        <f t="shared" ca="1" si="138"/>
        <v>5.7820572606024105E-3</v>
      </c>
    </row>
    <row r="8341" spans="7:8">
      <c r="G8341">
        <v>8331</v>
      </c>
      <c r="H8341">
        <f t="shared" ca="1" si="138"/>
        <v>-5.2635318949859282E-2</v>
      </c>
    </row>
    <row r="8342" spans="7:8">
      <c r="G8342">
        <v>8332</v>
      </c>
      <c r="H8342">
        <f t="shared" ca="1" si="138"/>
        <v>9.3643927024910784E-3</v>
      </c>
    </row>
    <row r="8343" spans="7:8">
      <c r="G8343">
        <v>8333</v>
      </c>
      <c r="H8343">
        <f t="shared" ca="1" si="138"/>
        <v>-4.8996844048396257E-2</v>
      </c>
    </row>
    <row r="8344" spans="7:8">
      <c r="G8344">
        <v>8334</v>
      </c>
      <c r="H8344">
        <f t="shared" ca="1" si="138"/>
        <v>-9.3328358626931993E-3</v>
      </c>
    </row>
    <row r="8345" spans="7:8">
      <c r="G8345">
        <v>8335</v>
      </c>
      <c r="H8345">
        <f t="shared" ca="1" si="138"/>
        <v>1.2869537122449941E-2</v>
      </c>
    </row>
    <row r="8346" spans="7:8">
      <c r="G8346">
        <v>8336</v>
      </c>
      <c r="H8346">
        <f t="shared" ca="1" si="138"/>
        <v>-7.3954232082547216E-3</v>
      </c>
    </row>
    <row r="8347" spans="7:8">
      <c r="G8347">
        <v>8337</v>
      </c>
      <c r="H8347">
        <f t="shared" ca="1" si="138"/>
        <v>-3.5342922320151703E-2</v>
      </c>
    </row>
    <row r="8348" spans="7:8">
      <c r="G8348">
        <v>8338</v>
      </c>
      <c r="H8348">
        <f t="shared" ca="1" si="138"/>
        <v>2.9537521945275626E-2</v>
      </c>
    </row>
    <row r="8349" spans="7:8">
      <c r="G8349">
        <v>8339</v>
      </c>
      <c r="H8349">
        <f t="shared" ca="1" si="138"/>
        <v>-9.4671651505703943E-3</v>
      </c>
    </row>
    <row r="8350" spans="7:8">
      <c r="G8350">
        <v>8340</v>
      </c>
      <c r="H8350">
        <f t="shared" ca="1" si="138"/>
        <v>-2.4906890509236435E-2</v>
      </c>
    </row>
    <row r="8351" spans="7:8">
      <c r="G8351">
        <v>8341</v>
      </c>
      <c r="H8351">
        <f t="shared" ca="1" si="138"/>
        <v>7.8057932185990947E-3</v>
      </c>
    </row>
    <row r="8352" spans="7:8">
      <c r="G8352">
        <v>8342</v>
      </c>
      <c r="H8352">
        <f t="shared" ca="1" si="138"/>
        <v>6.1892487327266351E-3</v>
      </c>
    </row>
    <row r="8353" spans="7:8">
      <c r="G8353">
        <v>8343</v>
      </c>
      <c r="H8353">
        <f t="shared" ca="1" si="138"/>
        <v>1.8835414388369241E-2</v>
      </c>
    </row>
    <row r="8354" spans="7:8">
      <c r="G8354">
        <v>8344</v>
      </c>
      <c r="H8354">
        <f t="shared" ca="1" si="138"/>
        <v>-2.2662189188911944E-3</v>
      </c>
    </row>
    <row r="8355" spans="7:8">
      <c r="G8355">
        <v>8345</v>
      </c>
      <c r="H8355">
        <f t="shared" ca="1" si="138"/>
        <v>9.1579001193497801E-3</v>
      </c>
    </row>
    <row r="8356" spans="7:8">
      <c r="G8356">
        <v>8346</v>
      </c>
      <c r="H8356">
        <f t="shared" ca="1" si="138"/>
        <v>1.5978246055633308E-2</v>
      </c>
    </row>
    <row r="8357" spans="7:8">
      <c r="G8357">
        <v>8347</v>
      </c>
      <c r="H8357">
        <f t="shared" ca="1" si="138"/>
        <v>1.1004646327722916E-2</v>
      </c>
    </row>
    <row r="8358" spans="7:8">
      <c r="G8358">
        <v>8348</v>
      </c>
      <c r="H8358">
        <f t="shared" ca="1" si="138"/>
        <v>-1.1581037635082853E-2</v>
      </c>
    </row>
    <row r="8359" spans="7:8">
      <c r="G8359">
        <v>8349</v>
      </c>
      <c r="H8359">
        <f t="shared" ca="1" si="138"/>
        <v>-1.2698279553254333E-2</v>
      </c>
    </row>
    <row r="8360" spans="7:8">
      <c r="G8360">
        <v>8350</v>
      </c>
      <c r="H8360">
        <f t="shared" ca="1" si="138"/>
        <v>-3.3635553820098238E-2</v>
      </c>
    </row>
    <row r="8361" spans="7:8">
      <c r="G8361">
        <v>8351</v>
      </c>
      <c r="H8361">
        <f t="shared" ca="1" si="138"/>
        <v>-1.7702509260747457E-2</v>
      </c>
    </row>
    <row r="8362" spans="7:8">
      <c r="G8362">
        <v>8352</v>
      </c>
      <c r="H8362">
        <f t="shared" ca="1" si="138"/>
        <v>2.2158286569505744E-2</v>
      </c>
    </row>
    <row r="8363" spans="7:8">
      <c r="G8363">
        <v>8353</v>
      </c>
      <c r="H8363">
        <f t="shared" ca="1" si="138"/>
        <v>7.1077418076096813E-3</v>
      </c>
    </row>
    <row r="8364" spans="7:8">
      <c r="G8364">
        <v>8354</v>
      </c>
      <c r="H8364">
        <f t="shared" ca="1" si="138"/>
        <v>3.9126648707290636E-2</v>
      </c>
    </row>
    <row r="8365" spans="7:8">
      <c r="G8365">
        <v>8355</v>
      </c>
      <c r="H8365">
        <f t="shared" ca="1" si="138"/>
        <v>-1.2583713405159415E-3</v>
      </c>
    </row>
    <row r="8366" spans="7:8">
      <c r="G8366">
        <v>8356</v>
      </c>
      <c r="H8366">
        <f t="shared" ca="1" si="138"/>
        <v>-1.4808810107945533E-2</v>
      </c>
    </row>
    <row r="8367" spans="7:8">
      <c r="G8367">
        <v>8357</v>
      </c>
      <c r="H8367">
        <f t="shared" ca="1" si="138"/>
        <v>2.4416990627791325E-3</v>
      </c>
    </row>
    <row r="8368" spans="7:8">
      <c r="G8368">
        <v>8358</v>
      </c>
      <c r="H8368">
        <f t="shared" ca="1" si="138"/>
        <v>-6.0160319172868669E-3</v>
      </c>
    </row>
    <row r="8369" spans="7:8">
      <c r="G8369">
        <v>8359</v>
      </c>
      <c r="H8369">
        <f t="shared" ca="1" si="138"/>
        <v>3.6250046650530381E-2</v>
      </c>
    </row>
    <row r="8370" spans="7:8">
      <c r="G8370">
        <v>8360</v>
      </c>
      <c r="H8370">
        <f t="shared" ca="1" si="138"/>
        <v>-1.3753218187204531E-2</v>
      </c>
    </row>
    <row r="8371" spans="7:8">
      <c r="G8371">
        <v>8361</v>
      </c>
      <c r="H8371">
        <f t="shared" ca="1" si="138"/>
        <v>-8.6535448753240866E-3</v>
      </c>
    </row>
    <row r="8372" spans="7:8">
      <c r="G8372">
        <v>8362</v>
      </c>
      <c r="H8372">
        <f t="shared" ca="1" si="138"/>
        <v>-3.3024405967101836E-2</v>
      </c>
    </row>
    <row r="8373" spans="7:8">
      <c r="G8373">
        <v>8363</v>
      </c>
      <c r="H8373">
        <f t="shared" ca="1" si="138"/>
        <v>-1.5753505155912513E-2</v>
      </c>
    </row>
    <row r="8374" spans="7:8">
      <c r="G8374">
        <v>8364</v>
      </c>
      <c r="H8374">
        <f t="shared" ca="1" si="138"/>
        <v>-1.4900425728677268E-2</v>
      </c>
    </row>
    <row r="8375" spans="7:8">
      <c r="G8375">
        <v>8365</v>
      </c>
      <c r="H8375">
        <f t="shared" ca="1" si="138"/>
        <v>-1.6557873258940359E-2</v>
      </c>
    </row>
    <row r="8376" spans="7:8">
      <c r="G8376">
        <v>8366</v>
      </c>
      <c r="H8376">
        <f t="shared" ca="1" si="138"/>
        <v>1.235873884944746E-2</v>
      </c>
    </row>
    <row r="8377" spans="7:8">
      <c r="G8377">
        <v>8367</v>
      </c>
      <c r="H8377">
        <f t="shared" ca="1" si="138"/>
        <v>-4.2048275085512033E-3</v>
      </c>
    </row>
    <row r="8378" spans="7:8">
      <c r="G8378">
        <v>8368</v>
      </c>
      <c r="H8378">
        <f t="shared" ca="1" si="138"/>
        <v>-1.9935632127026114E-3</v>
      </c>
    </row>
    <row r="8379" spans="7:8">
      <c r="G8379">
        <v>8369</v>
      </c>
      <c r="H8379">
        <f t="shared" ca="1" si="138"/>
        <v>2.305370539810532E-2</v>
      </c>
    </row>
    <row r="8380" spans="7:8">
      <c r="G8380">
        <v>8370</v>
      </c>
      <c r="H8380">
        <f t="shared" ca="1" si="138"/>
        <v>-9.0414395166467897E-3</v>
      </c>
    </row>
    <row r="8381" spans="7:8">
      <c r="G8381">
        <v>8371</v>
      </c>
      <c r="H8381">
        <f t="shared" ca="1" si="138"/>
        <v>-1.6210858334579415E-3</v>
      </c>
    </row>
    <row r="8382" spans="7:8">
      <c r="G8382">
        <v>8372</v>
      </c>
      <c r="H8382">
        <f t="shared" ca="1" si="138"/>
        <v>3.5497223094691284E-2</v>
      </c>
    </row>
    <row r="8383" spans="7:8">
      <c r="G8383">
        <v>8373</v>
      </c>
      <c r="H8383">
        <f t="shared" ca="1" si="138"/>
        <v>2.1395831828701015E-2</v>
      </c>
    </row>
    <row r="8384" spans="7:8">
      <c r="G8384">
        <v>8374</v>
      </c>
      <c r="H8384">
        <f t="shared" ca="1" si="138"/>
        <v>-2.6589012627806687E-3</v>
      </c>
    </row>
    <row r="8385" spans="7:8">
      <c r="G8385">
        <v>8375</v>
      </c>
      <c r="H8385">
        <f t="shared" ca="1" si="138"/>
        <v>8.8187312339275455E-3</v>
      </c>
    </row>
    <row r="8386" spans="7:8">
      <c r="G8386">
        <v>8376</v>
      </c>
      <c r="H8386">
        <f t="shared" ca="1" si="138"/>
        <v>3.2183089358287578E-2</v>
      </c>
    </row>
    <row r="8387" spans="7:8">
      <c r="G8387">
        <v>8377</v>
      </c>
      <c r="H8387">
        <f t="shared" ca="1" si="138"/>
        <v>2.8883232092099573E-2</v>
      </c>
    </row>
    <row r="8388" spans="7:8">
      <c r="G8388">
        <v>8378</v>
      </c>
      <c r="H8388">
        <f t="shared" ca="1" si="138"/>
        <v>2.4308729542459575E-2</v>
      </c>
    </row>
    <row r="8389" spans="7:8">
      <c r="G8389">
        <v>8379</v>
      </c>
      <c r="H8389">
        <f t="shared" ca="1" si="138"/>
        <v>-1.4329266679019407E-2</v>
      </c>
    </row>
    <row r="8390" spans="7:8">
      <c r="G8390">
        <v>8380</v>
      </c>
      <c r="H8390">
        <f t="shared" ca="1" si="138"/>
        <v>-4.0708747168512312E-2</v>
      </c>
    </row>
    <row r="8391" spans="7:8">
      <c r="G8391">
        <v>8381</v>
      </c>
      <c r="H8391">
        <f t="shared" ca="1" si="138"/>
        <v>8.3623925832712245E-3</v>
      </c>
    </row>
    <row r="8392" spans="7:8">
      <c r="G8392">
        <v>8382</v>
      </c>
      <c r="H8392">
        <f t="shared" ca="1" si="138"/>
        <v>-7.7517963398761039E-3</v>
      </c>
    </row>
    <row r="8393" spans="7:8">
      <c r="G8393">
        <v>8383</v>
      </c>
      <c r="H8393">
        <f t="shared" ca="1" si="138"/>
        <v>-1.5716362298289308E-2</v>
      </c>
    </row>
    <row r="8394" spans="7:8">
      <c r="G8394">
        <v>8384</v>
      </c>
      <c r="H8394">
        <f t="shared" ca="1" si="138"/>
        <v>6.4728406669660413E-2</v>
      </c>
    </row>
    <row r="8395" spans="7:8">
      <c r="G8395">
        <v>8385</v>
      </c>
      <c r="H8395">
        <f t="shared" ca="1" si="138"/>
        <v>-2.8689092280533297E-2</v>
      </c>
    </row>
    <row r="8396" spans="7:8">
      <c r="G8396">
        <v>8386</v>
      </c>
      <c r="H8396">
        <f t="shared" ref="H8396:H8459" ca="1" si="139">_xlfn.NORM.INV(RAND(),N$13,N$14)</f>
        <v>-2.8189345691938535E-2</v>
      </c>
    </row>
    <row r="8397" spans="7:8">
      <c r="G8397">
        <v>8387</v>
      </c>
      <c r="H8397">
        <f t="shared" ca="1" si="139"/>
        <v>2.169399399295378E-2</v>
      </c>
    </row>
    <row r="8398" spans="7:8">
      <c r="G8398">
        <v>8388</v>
      </c>
      <c r="H8398">
        <f t="shared" ca="1" si="139"/>
        <v>-4.3055609576634638E-2</v>
      </c>
    </row>
    <row r="8399" spans="7:8">
      <c r="G8399">
        <v>8389</v>
      </c>
      <c r="H8399">
        <f t="shared" ca="1" si="139"/>
        <v>-3.3316369990368987E-2</v>
      </c>
    </row>
    <row r="8400" spans="7:8">
      <c r="G8400">
        <v>8390</v>
      </c>
      <c r="H8400">
        <f t="shared" ca="1" si="139"/>
        <v>-3.1880420082380304E-2</v>
      </c>
    </row>
    <row r="8401" spans="7:8">
      <c r="G8401">
        <v>8391</v>
      </c>
      <c r="H8401">
        <f t="shared" ca="1" si="139"/>
        <v>-4.7112699520880999E-3</v>
      </c>
    </row>
    <row r="8402" spans="7:8">
      <c r="G8402">
        <v>8392</v>
      </c>
      <c r="H8402">
        <f t="shared" ca="1" si="139"/>
        <v>1.1925806904104818E-2</v>
      </c>
    </row>
    <row r="8403" spans="7:8">
      <c r="G8403">
        <v>8393</v>
      </c>
      <c r="H8403">
        <f t="shared" ca="1" si="139"/>
        <v>-9.9707613206071952E-3</v>
      </c>
    </row>
    <row r="8404" spans="7:8">
      <c r="G8404">
        <v>8394</v>
      </c>
      <c r="H8404">
        <f t="shared" ca="1" si="139"/>
        <v>7.1641356542657582E-3</v>
      </c>
    </row>
    <row r="8405" spans="7:8">
      <c r="G8405">
        <v>8395</v>
      </c>
      <c r="H8405">
        <f t="shared" ca="1" si="139"/>
        <v>8.5559608523801609E-3</v>
      </c>
    </row>
    <row r="8406" spans="7:8">
      <c r="G8406">
        <v>8396</v>
      </c>
      <c r="H8406">
        <f t="shared" ca="1" si="139"/>
        <v>7.915230139911366E-3</v>
      </c>
    </row>
    <row r="8407" spans="7:8">
      <c r="G8407">
        <v>8397</v>
      </c>
      <c r="H8407">
        <f t="shared" ca="1" si="139"/>
        <v>-2.573271448035851E-2</v>
      </c>
    </row>
    <row r="8408" spans="7:8">
      <c r="G8408">
        <v>8398</v>
      </c>
      <c r="H8408">
        <f t="shared" ca="1" si="139"/>
        <v>-1.6513369946244295E-2</v>
      </c>
    </row>
    <row r="8409" spans="7:8">
      <c r="G8409">
        <v>8399</v>
      </c>
      <c r="H8409">
        <f t="shared" ca="1" si="139"/>
        <v>1.1361372829844292E-2</v>
      </c>
    </row>
    <row r="8410" spans="7:8">
      <c r="G8410">
        <v>8400</v>
      </c>
      <c r="H8410">
        <f t="shared" ca="1" si="139"/>
        <v>-1.4122213091792063E-2</v>
      </c>
    </row>
    <row r="8411" spans="7:8">
      <c r="G8411">
        <v>8401</v>
      </c>
      <c r="H8411">
        <f t="shared" ca="1" si="139"/>
        <v>-1.4763072332782883E-2</v>
      </c>
    </row>
    <row r="8412" spans="7:8">
      <c r="G8412">
        <v>8402</v>
      </c>
      <c r="H8412">
        <f t="shared" ca="1" si="139"/>
        <v>-1.0625116819353941E-2</v>
      </c>
    </row>
    <row r="8413" spans="7:8">
      <c r="G8413">
        <v>8403</v>
      </c>
      <c r="H8413">
        <f t="shared" ca="1" si="139"/>
        <v>4.0021047735149147E-2</v>
      </c>
    </row>
    <row r="8414" spans="7:8">
      <c r="G8414">
        <v>8404</v>
      </c>
      <c r="H8414">
        <f t="shared" ca="1" si="139"/>
        <v>4.9902793810971367E-3</v>
      </c>
    </row>
    <row r="8415" spans="7:8">
      <c r="G8415">
        <v>8405</v>
      </c>
      <c r="H8415">
        <f t="shared" ca="1" si="139"/>
        <v>-9.3403384737120367E-3</v>
      </c>
    </row>
    <row r="8416" spans="7:8">
      <c r="G8416">
        <v>8406</v>
      </c>
      <c r="H8416">
        <f t="shared" ca="1" si="139"/>
        <v>8.4744054146773645E-3</v>
      </c>
    </row>
    <row r="8417" spans="7:8">
      <c r="G8417">
        <v>8407</v>
      </c>
      <c r="H8417">
        <f t="shared" ca="1" si="139"/>
        <v>-2.5739368800260381E-2</v>
      </c>
    </row>
    <row r="8418" spans="7:8">
      <c r="G8418">
        <v>8408</v>
      </c>
      <c r="H8418">
        <f t="shared" ca="1" si="139"/>
        <v>-2.8623051014408107E-2</v>
      </c>
    </row>
    <row r="8419" spans="7:8">
      <c r="G8419">
        <v>8409</v>
      </c>
      <c r="H8419">
        <f t="shared" ca="1" si="139"/>
        <v>1.2029945006731617E-2</v>
      </c>
    </row>
    <row r="8420" spans="7:8">
      <c r="G8420">
        <v>8410</v>
      </c>
      <c r="H8420">
        <f t="shared" ca="1" si="139"/>
        <v>-7.752473857102476E-3</v>
      </c>
    </row>
    <row r="8421" spans="7:8">
      <c r="G8421">
        <v>8411</v>
      </c>
      <c r="H8421">
        <f t="shared" ca="1" si="139"/>
        <v>-9.4081756900176276E-3</v>
      </c>
    </row>
    <row r="8422" spans="7:8">
      <c r="G8422">
        <v>8412</v>
      </c>
      <c r="H8422">
        <f t="shared" ca="1" si="139"/>
        <v>-2.636116836307492E-3</v>
      </c>
    </row>
    <row r="8423" spans="7:8">
      <c r="G8423">
        <v>8413</v>
      </c>
      <c r="H8423">
        <f t="shared" ca="1" si="139"/>
        <v>-4.0180730692330441E-2</v>
      </c>
    </row>
    <row r="8424" spans="7:8">
      <c r="G8424">
        <v>8414</v>
      </c>
      <c r="H8424">
        <f t="shared" ca="1" si="139"/>
        <v>2.704030029803885E-2</v>
      </c>
    </row>
    <row r="8425" spans="7:8">
      <c r="G8425">
        <v>8415</v>
      </c>
      <c r="H8425">
        <f t="shared" ca="1" si="139"/>
        <v>-2.585190956817135E-2</v>
      </c>
    </row>
    <row r="8426" spans="7:8">
      <c r="G8426">
        <v>8416</v>
      </c>
      <c r="H8426">
        <f t="shared" ca="1" si="139"/>
        <v>-2.4917570586931618E-2</v>
      </c>
    </row>
    <row r="8427" spans="7:8">
      <c r="G8427">
        <v>8417</v>
      </c>
      <c r="H8427">
        <f t="shared" ca="1" si="139"/>
        <v>-3.8999252690291926E-2</v>
      </c>
    </row>
    <row r="8428" spans="7:8">
      <c r="G8428">
        <v>8418</v>
      </c>
      <c r="H8428">
        <f t="shared" ca="1" si="139"/>
        <v>2.7503605903434892E-3</v>
      </c>
    </row>
    <row r="8429" spans="7:8">
      <c r="G8429">
        <v>8419</v>
      </c>
      <c r="H8429">
        <f t="shared" ca="1" si="139"/>
        <v>-1.2863395334509805E-2</v>
      </c>
    </row>
    <row r="8430" spans="7:8">
      <c r="G8430">
        <v>8420</v>
      </c>
      <c r="H8430">
        <f t="shared" ca="1" si="139"/>
        <v>2.307665674779719E-2</v>
      </c>
    </row>
    <row r="8431" spans="7:8">
      <c r="G8431">
        <v>8421</v>
      </c>
      <c r="H8431">
        <f t="shared" ca="1" si="139"/>
        <v>-2.3994551898826031E-3</v>
      </c>
    </row>
    <row r="8432" spans="7:8">
      <c r="G8432">
        <v>8422</v>
      </c>
      <c r="H8432">
        <f t="shared" ca="1" si="139"/>
        <v>-6.5512164559530768E-3</v>
      </c>
    </row>
    <row r="8433" spans="7:8">
      <c r="G8433">
        <v>8423</v>
      </c>
      <c r="H8433">
        <f t="shared" ca="1" si="139"/>
        <v>-2.5180902369719635E-2</v>
      </c>
    </row>
    <row r="8434" spans="7:8">
      <c r="G8434">
        <v>8424</v>
      </c>
      <c r="H8434">
        <f t="shared" ca="1" si="139"/>
        <v>-1.2138120157727944E-2</v>
      </c>
    </row>
    <row r="8435" spans="7:8">
      <c r="G8435">
        <v>8425</v>
      </c>
      <c r="H8435">
        <f t="shared" ca="1" si="139"/>
        <v>6.1667922138919579E-3</v>
      </c>
    </row>
    <row r="8436" spans="7:8">
      <c r="G8436">
        <v>8426</v>
      </c>
      <c r="H8436">
        <f t="shared" ca="1" si="139"/>
        <v>-3.2756953345222925E-2</v>
      </c>
    </row>
    <row r="8437" spans="7:8">
      <c r="G8437">
        <v>8427</v>
      </c>
      <c r="H8437">
        <f t="shared" ca="1" si="139"/>
        <v>-5.0524662469736137E-2</v>
      </c>
    </row>
    <row r="8438" spans="7:8">
      <c r="G8438">
        <v>8428</v>
      </c>
      <c r="H8438">
        <f t="shared" ca="1" si="139"/>
        <v>1.0612112346787004E-2</v>
      </c>
    </row>
    <row r="8439" spans="7:8">
      <c r="G8439">
        <v>8429</v>
      </c>
      <c r="H8439">
        <f t="shared" ca="1" si="139"/>
        <v>-3.3578561228234542E-2</v>
      </c>
    </row>
    <row r="8440" spans="7:8">
      <c r="G8440">
        <v>8430</v>
      </c>
      <c r="H8440">
        <f t="shared" ca="1" si="139"/>
        <v>1.5474524889750539E-2</v>
      </c>
    </row>
    <row r="8441" spans="7:8">
      <c r="G8441">
        <v>8431</v>
      </c>
      <c r="H8441">
        <f t="shared" ca="1" si="139"/>
        <v>2.5004119937506238E-2</v>
      </c>
    </row>
    <row r="8442" spans="7:8">
      <c r="G8442">
        <v>8432</v>
      </c>
      <c r="H8442">
        <f t="shared" ca="1" si="139"/>
        <v>-3.4666784610981133E-2</v>
      </c>
    </row>
    <row r="8443" spans="7:8">
      <c r="G8443">
        <v>8433</v>
      </c>
      <c r="H8443">
        <f t="shared" ca="1" si="139"/>
        <v>-4.2051469962511578E-2</v>
      </c>
    </row>
    <row r="8444" spans="7:8">
      <c r="G8444">
        <v>8434</v>
      </c>
      <c r="H8444">
        <f t="shared" ca="1" si="139"/>
        <v>2.3725539573488493E-2</v>
      </c>
    </row>
    <row r="8445" spans="7:8">
      <c r="G8445">
        <v>8435</v>
      </c>
      <c r="H8445">
        <f t="shared" ca="1" si="139"/>
        <v>-2.8716951875340586E-2</v>
      </c>
    </row>
    <row r="8446" spans="7:8">
      <c r="G8446">
        <v>8436</v>
      </c>
      <c r="H8446">
        <f t="shared" ca="1" si="139"/>
        <v>-4.4671233495941952E-2</v>
      </c>
    </row>
    <row r="8447" spans="7:8">
      <c r="G8447">
        <v>8437</v>
      </c>
      <c r="H8447">
        <f t="shared" ca="1" si="139"/>
        <v>4.8868635904120387E-3</v>
      </c>
    </row>
    <row r="8448" spans="7:8">
      <c r="G8448">
        <v>8438</v>
      </c>
      <c r="H8448">
        <f t="shared" ca="1" si="139"/>
        <v>2.9065917108410881E-2</v>
      </c>
    </row>
    <row r="8449" spans="7:8">
      <c r="G8449">
        <v>8439</v>
      </c>
      <c r="H8449">
        <f t="shared" ca="1" si="139"/>
        <v>2.0117415278629883E-2</v>
      </c>
    </row>
    <row r="8450" spans="7:8">
      <c r="G8450">
        <v>8440</v>
      </c>
      <c r="H8450">
        <f t="shared" ca="1" si="139"/>
        <v>-1.7202554503828748E-2</v>
      </c>
    </row>
    <row r="8451" spans="7:8">
      <c r="G8451">
        <v>8441</v>
      </c>
      <c r="H8451">
        <f t="shared" ca="1" si="139"/>
        <v>-5.486902989846347E-2</v>
      </c>
    </row>
    <row r="8452" spans="7:8">
      <c r="G8452">
        <v>8442</v>
      </c>
      <c r="H8452">
        <f t="shared" ca="1" si="139"/>
        <v>-2.0523962744075041E-2</v>
      </c>
    </row>
    <row r="8453" spans="7:8">
      <c r="G8453">
        <v>8443</v>
      </c>
      <c r="H8453">
        <f t="shared" ca="1" si="139"/>
        <v>1.1266571963850284E-2</v>
      </c>
    </row>
    <row r="8454" spans="7:8">
      <c r="G8454">
        <v>8444</v>
      </c>
      <c r="H8454">
        <f t="shared" ca="1" si="139"/>
        <v>1.9154572229588804E-2</v>
      </c>
    </row>
    <row r="8455" spans="7:8">
      <c r="G8455">
        <v>8445</v>
      </c>
      <c r="H8455">
        <f t="shared" ca="1" si="139"/>
        <v>7.7917307474068276E-3</v>
      </c>
    </row>
    <row r="8456" spans="7:8">
      <c r="G8456">
        <v>8446</v>
      </c>
      <c r="H8456">
        <f t="shared" ca="1" si="139"/>
        <v>-1.3335314999556373E-2</v>
      </c>
    </row>
    <row r="8457" spans="7:8">
      <c r="G8457">
        <v>8447</v>
      </c>
      <c r="H8457">
        <f t="shared" ca="1" si="139"/>
        <v>-1.0175931682731057E-2</v>
      </c>
    </row>
    <row r="8458" spans="7:8">
      <c r="G8458">
        <v>8448</v>
      </c>
      <c r="H8458">
        <f t="shared" ca="1" si="139"/>
        <v>8.4276283694877645E-3</v>
      </c>
    </row>
    <row r="8459" spans="7:8">
      <c r="G8459">
        <v>8449</v>
      </c>
      <c r="H8459">
        <f t="shared" ca="1" si="139"/>
        <v>-2.0416289970399477E-2</v>
      </c>
    </row>
    <row r="8460" spans="7:8">
      <c r="G8460">
        <v>8450</v>
      </c>
      <c r="H8460">
        <f t="shared" ref="H8460:H8523" ca="1" si="140">_xlfn.NORM.INV(RAND(),N$13,N$14)</f>
        <v>5.1858169604687698E-3</v>
      </c>
    </row>
    <row r="8461" spans="7:8">
      <c r="G8461">
        <v>8451</v>
      </c>
      <c r="H8461">
        <f t="shared" ca="1" si="140"/>
        <v>7.632912340725139E-4</v>
      </c>
    </row>
    <row r="8462" spans="7:8">
      <c r="G8462">
        <v>8452</v>
      </c>
      <c r="H8462">
        <f t="shared" ca="1" si="140"/>
        <v>9.1069602810321475E-4</v>
      </c>
    </row>
    <row r="8463" spans="7:8">
      <c r="G8463">
        <v>8453</v>
      </c>
      <c r="H8463">
        <f t="shared" ca="1" si="140"/>
        <v>6.3624678834166429E-3</v>
      </c>
    </row>
    <row r="8464" spans="7:8">
      <c r="G8464">
        <v>8454</v>
      </c>
      <c r="H8464">
        <f t="shared" ca="1" si="140"/>
        <v>-1.3936368040213342E-2</v>
      </c>
    </row>
    <row r="8465" spans="7:8">
      <c r="G8465">
        <v>8455</v>
      </c>
      <c r="H8465">
        <f t="shared" ca="1" si="140"/>
        <v>-1.2615160544826153E-2</v>
      </c>
    </row>
    <row r="8466" spans="7:8">
      <c r="G8466">
        <v>8456</v>
      </c>
      <c r="H8466">
        <f t="shared" ca="1" si="140"/>
        <v>-1.1996346565665167E-2</v>
      </c>
    </row>
    <row r="8467" spans="7:8">
      <c r="G8467">
        <v>8457</v>
      </c>
      <c r="H8467">
        <f t="shared" ca="1" si="140"/>
        <v>-1.2074170201135772E-2</v>
      </c>
    </row>
    <row r="8468" spans="7:8">
      <c r="G8468">
        <v>8458</v>
      </c>
      <c r="H8468">
        <f t="shared" ca="1" si="140"/>
        <v>2.304808139742813E-2</v>
      </c>
    </row>
    <row r="8469" spans="7:8">
      <c r="G8469">
        <v>8459</v>
      </c>
      <c r="H8469">
        <f t="shared" ca="1" si="140"/>
        <v>-1.4784883569548811E-2</v>
      </c>
    </row>
    <row r="8470" spans="7:8">
      <c r="G8470">
        <v>8460</v>
      </c>
      <c r="H8470">
        <f t="shared" ca="1" si="140"/>
        <v>-3.2546258018880413E-2</v>
      </c>
    </row>
    <row r="8471" spans="7:8">
      <c r="G8471">
        <v>8461</v>
      </c>
      <c r="H8471">
        <f t="shared" ca="1" si="140"/>
        <v>6.5922954999724356E-3</v>
      </c>
    </row>
    <row r="8472" spans="7:8">
      <c r="G8472">
        <v>8462</v>
      </c>
      <c r="H8472">
        <f t="shared" ca="1" si="140"/>
        <v>-1.0232150304409382E-2</v>
      </c>
    </row>
    <row r="8473" spans="7:8">
      <c r="G8473">
        <v>8463</v>
      </c>
      <c r="H8473">
        <f t="shared" ca="1" si="140"/>
        <v>4.969928691706255E-3</v>
      </c>
    </row>
    <row r="8474" spans="7:8">
      <c r="G8474">
        <v>8464</v>
      </c>
      <c r="H8474">
        <f t="shared" ca="1" si="140"/>
        <v>4.2384653332355068E-2</v>
      </c>
    </row>
    <row r="8475" spans="7:8">
      <c r="G8475">
        <v>8465</v>
      </c>
      <c r="H8475">
        <f t="shared" ca="1" si="140"/>
        <v>7.4349442761331456E-3</v>
      </c>
    </row>
    <row r="8476" spans="7:8">
      <c r="G8476">
        <v>8466</v>
      </c>
      <c r="H8476">
        <f t="shared" ca="1" si="140"/>
        <v>-1.4938509691940055E-2</v>
      </c>
    </row>
    <row r="8477" spans="7:8">
      <c r="G8477">
        <v>8467</v>
      </c>
      <c r="H8477">
        <f t="shared" ca="1" si="140"/>
        <v>-5.064899188483455E-2</v>
      </c>
    </row>
    <row r="8478" spans="7:8">
      <c r="G8478">
        <v>8468</v>
      </c>
      <c r="H8478">
        <f t="shared" ca="1" si="140"/>
        <v>3.1442296000054391E-3</v>
      </c>
    </row>
    <row r="8479" spans="7:8">
      <c r="G8479">
        <v>8469</v>
      </c>
      <c r="H8479">
        <f t="shared" ca="1" si="140"/>
        <v>-7.7044726598904404E-3</v>
      </c>
    </row>
    <row r="8480" spans="7:8">
      <c r="G8480">
        <v>8470</v>
      </c>
      <c r="H8480">
        <f t="shared" ca="1" si="140"/>
        <v>1.7296502433317509E-3</v>
      </c>
    </row>
    <row r="8481" spans="7:8">
      <c r="G8481">
        <v>8471</v>
      </c>
      <c r="H8481">
        <f t="shared" ca="1" si="140"/>
        <v>4.4577245124598104E-3</v>
      </c>
    </row>
    <row r="8482" spans="7:8">
      <c r="G8482">
        <v>8472</v>
      </c>
      <c r="H8482">
        <f t="shared" ca="1" si="140"/>
        <v>-1.3090027762413164E-2</v>
      </c>
    </row>
    <row r="8483" spans="7:8">
      <c r="G8483">
        <v>8473</v>
      </c>
      <c r="H8483">
        <f t="shared" ca="1" si="140"/>
        <v>-2.4836621940642163E-3</v>
      </c>
    </row>
    <row r="8484" spans="7:8">
      <c r="G8484">
        <v>8474</v>
      </c>
      <c r="H8484">
        <f t="shared" ca="1" si="140"/>
        <v>2.6656245201900559E-4</v>
      </c>
    </row>
    <row r="8485" spans="7:8">
      <c r="G8485">
        <v>8475</v>
      </c>
      <c r="H8485">
        <f t="shared" ca="1" si="140"/>
        <v>1.0730155078879188E-2</v>
      </c>
    </row>
    <row r="8486" spans="7:8">
      <c r="G8486">
        <v>8476</v>
      </c>
      <c r="H8486">
        <f t="shared" ca="1" si="140"/>
        <v>1.8235228367623486E-2</v>
      </c>
    </row>
    <row r="8487" spans="7:8">
      <c r="G8487">
        <v>8477</v>
      </c>
      <c r="H8487">
        <f t="shared" ca="1" si="140"/>
        <v>3.5539212822858881E-3</v>
      </c>
    </row>
    <row r="8488" spans="7:8">
      <c r="G8488">
        <v>8478</v>
      </c>
      <c r="H8488">
        <f t="shared" ca="1" si="140"/>
        <v>-3.1774578098976915E-2</v>
      </c>
    </row>
    <row r="8489" spans="7:8">
      <c r="G8489">
        <v>8479</v>
      </c>
      <c r="H8489">
        <f t="shared" ca="1" si="140"/>
        <v>-3.9188605188191497E-3</v>
      </c>
    </row>
    <row r="8490" spans="7:8">
      <c r="G8490">
        <v>8480</v>
      </c>
      <c r="H8490">
        <f t="shared" ca="1" si="140"/>
        <v>-4.2624574522340059E-2</v>
      </c>
    </row>
    <row r="8491" spans="7:8">
      <c r="G8491">
        <v>8481</v>
      </c>
      <c r="H8491">
        <f t="shared" ca="1" si="140"/>
        <v>1.0984982568786435E-2</v>
      </c>
    </row>
    <row r="8492" spans="7:8">
      <c r="G8492">
        <v>8482</v>
      </c>
      <c r="H8492">
        <f t="shared" ca="1" si="140"/>
        <v>4.3613759181690359E-2</v>
      </c>
    </row>
    <row r="8493" spans="7:8">
      <c r="G8493">
        <v>8483</v>
      </c>
      <c r="H8493">
        <f t="shared" ca="1" si="140"/>
        <v>-8.7367093900023833E-3</v>
      </c>
    </row>
    <row r="8494" spans="7:8">
      <c r="G8494">
        <v>8484</v>
      </c>
      <c r="H8494">
        <f t="shared" ca="1" si="140"/>
        <v>-3.0823523927852592E-2</v>
      </c>
    </row>
    <row r="8495" spans="7:8">
      <c r="G8495">
        <v>8485</v>
      </c>
      <c r="H8495">
        <f t="shared" ca="1" si="140"/>
        <v>3.8943017127671647E-2</v>
      </c>
    </row>
    <row r="8496" spans="7:8">
      <c r="G8496">
        <v>8486</v>
      </c>
      <c r="H8496">
        <f t="shared" ca="1" si="140"/>
        <v>-1.2057302131282551E-2</v>
      </c>
    </row>
    <row r="8497" spans="7:8">
      <c r="G8497">
        <v>8487</v>
      </c>
      <c r="H8497">
        <f t="shared" ca="1" si="140"/>
        <v>-1.9420328579191695E-3</v>
      </c>
    </row>
    <row r="8498" spans="7:8">
      <c r="G8498">
        <v>8488</v>
      </c>
      <c r="H8498">
        <f t="shared" ca="1" si="140"/>
        <v>1.4365582490330426E-2</v>
      </c>
    </row>
    <row r="8499" spans="7:8">
      <c r="G8499">
        <v>8489</v>
      </c>
      <c r="H8499">
        <f t="shared" ca="1" si="140"/>
        <v>-1.8087662665745841E-2</v>
      </c>
    </row>
    <row r="8500" spans="7:8">
      <c r="G8500">
        <v>8490</v>
      </c>
      <c r="H8500">
        <f t="shared" ca="1" si="140"/>
        <v>3.524715876628564E-2</v>
      </c>
    </row>
    <row r="8501" spans="7:8">
      <c r="G8501">
        <v>8491</v>
      </c>
      <c r="H8501">
        <f t="shared" ca="1" si="140"/>
        <v>3.2529910905044195E-2</v>
      </c>
    </row>
    <row r="8502" spans="7:8">
      <c r="G8502">
        <v>8492</v>
      </c>
      <c r="H8502">
        <f t="shared" ca="1" si="140"/>
        <v>1.0245592024327465E-2</v>
      </c>
    </row>
    <row r="8503" spans="7:8">
      <c r="G8503">
        <v>8493</v>
      </c>
      <c r="H8503">
        <f t="shared" ca="1" si="140"/>
        <v>-1.2773689651847985E-2</v>
      </c>
    </row>
    <row r="8504" spans="7:8">
      <c r="G8504">
        <v>8494</v>
      </c>
      <c r="H8504">
        <f t="shared" ca="1" si="140"/>
        <v>3.9430389126606895E-2</v>
      </c>
    </row>
    <row r="8505" spans="7:8">
      <c r="G8505">
        <v>8495</v>
      </c>
      <c r="H8505">
        <f t="shared" ca="1" si="140"/>
        <v>-2.4254768176270843E-3</v>
      </c>
    </row>
    <row r="8506" spans="7:8">
      <c r="G8506">
        <v>8496</v>
      </c>
      <c r="H8506">
        <f t="shared" ca="1" si="140"/>
        <v>-1.7526376230808666E-4</v>
      </c>
    </row>
    <row r="8507" spans="7:8">
      <c r="G8507">
        <v>8497</v>
      </c>
      <c r="H8507">
        <f t="shared" ca="1" si="140"/>
        <v>3.2317315045584439E-3</v>
      </c>
    </row>
    <row r="8508" spans="7:8">
      <c r="G8508">
        <v>8498</v>
      </c>
      <c r="H8508">
        <f t="shared" ca="1" si="140"/>
        <v>1.1690676283269169E-2</v>
      </c>
    </row>
    <row r="8509" spans="7:8">
      <c r="G8509">
        <v>8499</v>
      </c>
      <c r="H8509">
        <f t="shared" ca="1" si="140"/>
        <v>-5.3918240169828338E-2</v>
      </c>
    </row>
    <row r="8510" spans="7:8">
      <c r="G8510">
        <v>8500</v>
      </c>
      <c r="H8510">
        <f t="shared" ca="1" si="140"/>
        <v>-1.4530662021352002E-2</v>
      </c>
    </row>
    <row r="8511" spans="7:8">
      <c r="G8511">
        <v>8501</v>
      </c>
      <c r="H8511">
        <f t="shared" ca="1" si="140"/>
        <v>-1.8372694860447767E-2</v>
      </c>
    </row>
    <row r="8512" spans="7:8">
      <c r="G8512">
        <v>8502</v>
      </c>
      <c r="H8512">
        <f t="shared" ca="1" si="140"/>
        <v>-2.4525035284963891E-4</v>
      </c>
    </row>
    <row r="8513" spans="7:8">
      <c r="G8513">
        <v>8503</v>
      </c>
      <c r="H8513">
        <f t="shared" ca="1" si="140"/>
        <v>2.3615657025771154E-2</v>
      </c>
    </row>
    <row r="8514" spans="7:8">
      <c r="G8514">
        <v>8504</v>
      </c>
      <c r="H8514">
        <f t="shared" ca="1" si="140"/>
        <v>-5.8872348089824479E-2</v>
      </c>
    </row>
    <row r="8515" spans="7:8">
      <c r="G8515">
        <v>8505</v>
      </c>
      <c r="H8515">
        <f t="shared" ca="1" si="140"/>
        <v>-3.1913863588598136E-4</v>
      </c>
    </row>
    <row r="8516" spans="7:8">
      <c r="G8516">
        <v>8506</v>
      </c>
      <c r="H8516">
        <f t="shared" ca="1" si="140"/>
        <v>-3.0832148002317518E-2</v>
      </c>
    </row>
    <row r="8517" spans="7:8">
      <c r="G8517">
        <v>8507</v>
      </c>
      <c r="H8517">
        <f t="shared" ca="1" si="140"/>
        <v>-1.4537600074818111E-3</v>
      </c>
    </row>
    <row r="8518" spans="7:8">
      <c r="G8518">
        <v>8508</v>
      </c>
      <c r="H8518">
        <f t="shared" ca="1" si="140"/>
        <v>9.8010293117178036E-3</v>
      </c>
    </row>
    <row r="8519" spans="7:8">
      <c r="G8519">
        <v>8509</v>
      </c>
      <c r="H8519">
        <f t="shared" ca="1" si="140"/>
        <v>-2.4619119825365091E-2</v>
      </c>
    </row>
    <row r="8520" spans="7:8">
      <c r="G8520">
        <v>8510</v>
      </c>
      <c r="H8520">
        <f t="shared" ca="1" si="140"/>
        <v>-4.1077453970388263E-2</v>
      </c>
    </row>
    <row r="8521" spans="7:8">
      <c r="G8521">
        <v>8511</v>
      </c>
      <c r="H8521">
        <f t="shared" ca="1" si="140"/>
        <v>3.2387476218450992E-2</v>
      </c>
    </row>
    <row r="8522" spans="7:8">
      <c r="G8522">
        <v>8512</v>
      </c>
      <c r="H8522">
        <f t="shared" ca="1" si="140"/>
        <v>1.7401063680352342E-2</v>
      </c>
    </row>
    <row r="8523" spans="7:8">
      <c r="G8523">
        <v>8513</v>
      </c>
      <c r="H8523">
        <f t="shared" ca="1" si="140"/>
        <v>4.0693123450912986E-4</v>
      </c>
    </row>
    <row r="8524" spans="7:8">
      <c r="G8524">
        <v>8514</v>
      </c>
      <c r="H8524">
        <f t="shared" ref="H8524:H8587" ca="1" si="141">_xlfn.NORM.INV(RAND(),N$13,N$14)</f>
        <v>1.4972533947383005E-2</v>
      </c>
    </row>
    <row r="8525" spans="7:8">
      <c r="G8525">
        <v>8515</v>
      </c>
      <c r="H8525">
        <f t="shared" ca="1" si="141"/>
        <v>-4.9885144911888963E-3</v>
      </c>
    </row>
    <row r="8526" spans="7:8">
      <c r="G8526">
        <v>8516</v>
      </c>
      <c r="H8526">
        <f t="shared" ca="1" si="141"/>
        <v>5.4304009709285693E-2</v>
      </c>
    </row>
    <row r="8527" spans="7:8">
      <c r="G8527">
        <v>8517</v>
      </c>
      <c r="H8527">
        <f t="shared" ca="1" si="141"/>
        <v>6.0288518204511124E-3</v>
      </c>
    </row>
    <row r="8528" spans="7:8">
      <c r="G8528">
        <v>8518</v>
      </c>
      <c r="H8528">
        <f t="shared" ca="1" si="141"/>
        <v>-1.7299739815136921E-2</v>
      </c>
    </row>
    <row r="8529" spans="7:8">
      <c r="G8529">
        <v>8519</v>
      </c>
      <c r="H8529">
        <f t="shared" ca="1" si="141"/>
        <v>-2.6099198652703515E-3</v>
      </c>
    </row>
    <row r="8530" spans="7:8">
      <c r="G8530">
        <v>8520</v>
      </c>
      <c r="H8530">
        <f t="shared" ca="1" si="141"/>
        <v>5.7211323602546034E-3</v>
      </c>
    </row>
    <row r="8531" spans="7:8">
      <c r="G8531">
        <v>8521</v>
      </c>
      <c r="H8531">
        <f t="shared" ca="1" si="141"/>
        <v>2.9409864081150233E-2</v>
      </c>
    </row>
    <row r="8532" spans="7:8">
      <c r="G8532">
        <v>8522</v>
      </c>
      <c r="H8532">
        <f t="shared" ca="1" si="141"/>
        <v>-1.7885046207605032E-2</v>
      </c>
    </row>
    <row r="8533" spans="7:8">
      <c r="G8533">
        <v>8523</v>
      </c>
      <c r="H8533">
        <f t="shared" ca="1" si="141"/>
        <v>2.6946111437881969E-2</v>
      </c>
    </row>
    <row r="8534" spans="7:8">
      <c r="G8534">
        <v>8524</v>
      </c>
      <c r="H8534">
        <f t="shared" ca="1" si="141"/>
        <v>-9.9258093863539305E-3</v>
      </c>
    </row>
    <row r="8535" spans="7:8">
      <c r="G8535">
        <v>8525</v>
      </c>
      <c r="H8535">
        <f t="shared" ca="1" si="141"/>
        <v>-9.6311039392013853E-3</v>
      </c>
    </row>
    <row r="8536" spans="7:8">
      <c r="G8536">
        <v>8526</v>
      </c>
      <c r="H8536">
        <f t="shared" ca="1" si="141"/>
        <v>-7.010694727583448E-3</v>
      </c>
    </row>
    <row r="8537" spans="7:8">
      <c r="G8537">
        <v>8527</v>
      </c>
      <c r="H8537">
        <f t="shared" ca="1" si="141"/>
        <v>-1.9209370800067512E-2</v>
      </c>
    </row>
    <row r="8538" spans="7:8">
      <c r="G8538">
        <v>8528</v>
      </c>
      <c r="H8538">
        <f t="shared" ca="1" si="141"/>
        <v>3.9309353026445254E-2</v>
      </c>
    </row>
    <row r="8539" spans="7:8">
      <c r="G8539">
        <v>8529</v>
      </c>
      <c r="H8539">
        <f t="shared" ca="1" si="141"/>
        <v>5.734013739006138E-3</v>
      </c>
    </row>
    <row r="8540" spans="7:8">
      <c r="G8540">
        <v>8530</v>
      </c>
      <c r="H8540">
        <f t="shared" ca="1" si="141"/>
        <v>1.5489399738973704E-2</v>
      </c>
    </row>
    <row r="8541" spans="7:8">
      <c r="G8541">
        <v>8531</v>
      </c>
      <c r="H8541">
        <f t="shared" ca="1" si="141"/>
        <v>-9.7208657705289015E-3</v>
      </c>
    </row>
    <row r="8542" spans="7:8">
      <c r="G8542">
        <v>8532</v>
      </c>
      <c r="H8542">
        <f t="shared" ca="1" si="141"/>
        <v>1.8030229189882282E-2</v>
      </c>
    </row>
    <row r="8543" spans="7:8">
      <c r="G8543">
        <v>8533</v>
      </c>
      <c r="H8543">
        <f t="shared" ca="1" si="141"/>
        <v>3.5149352418416713E-2</v>
      </c>
    </row>
    <row r="8544" spans="7:8">
      <c r="G8544">
        <v>8534</v>
      </c>
      <c r="H8544">
        <f t="shared" ca="1" si="141"/>
        <v>3.668726818118665E-3</v>
      </c>
    </row>
    <row r="8545" spans="7:8">
      <c r="G8545">
        <v>8535</v>
      </c>
      <c r="H8545">
        <f t="shared" ca="1" si="141"/>
        <v>-3.9509268050261816E-2</v>
      </c>
    </row>
    <row r="8546" spans="7:8">
      <c r="G8546">
        <v>8536</v>
      </c>
      <c r="H8546">
        <f t="shared" ca="1" si="141"/>
        <v>-1.163876224517007E-2</v>
      </c>
    </row>
    <row r="8547" spans="7:8">
      <c r="G8547">
        <v>8537</v>
      </c>
      <c r="H8547">
        <f t="shared" ca="1" si="141"/>
        <v>1.9481289341230393E-2</v>
      </c>
    </row>
    <row r="8548" spans="7:8">
      <c r="G8548">
        <v>8538</v>
      </c>
      <c r="H8548">
        <f t="shared" ca="1" si="141"/>
        <v>2.9467985386352404E-2</v>
      </c>
    </row>
    <row r="8549" spans="7:8">
      <c r="G8549">
        <v>8539</v>
      </c>
      <c r="H8549">
        <f t="shared" ca="1" si="141"/>
        <v>1.3333682166458069E-3</v>
      </c>
    </row>
    <row r="8550" spans="7:8">
      <c r="G8550">
        <v>8540</v>
      </c>
      <c r="H8550">
        <f t="shared" ca="1" si="141"/>
        <v>2.4966931099668268E-2</v>
      </c>
    </row>
    <row r="8551" spans="7:8">
      <c r="G8551">
        <v>8541</v>
      </c>
      <c r="H8551">
        <f t="shared" ca="1" si="141"/>
        <v>3.1901206314076613E-2</v>
      </c>
    </row>
    <row r="8552" spans="7:8">
      <c r="G8552">
        <v>8542</v>
      </c>
      <c r="H8552">
        <f t="shared" ca="1" si="141"/>
        <v>-2.1600426014035341E-2</v>
      </c>
    </row>
    <row r="8553" spans="7:8">
      <c r="G8553">
        <v>8543</v>
      </c>
      <c r="H8553">
        <f t="shared" ca="1" si="141"/>
        <v>-2.861386670277103E-3</v>
      </c>
    </row>
    <row r="8554" spans="7:8">
      <c r="G8554">
        <v>8544</v>
      </c>
      <c r="H8554">
        <f t="shared" ca="1" si="141"/>
        <v>6.8095339916560494E-3</v>
      </c>
    </row>
    <row r="8555" spans="7:8">
      <c r="G8555">
        <v>8545</v>
      </c>
      <c r="H8555">
        <f t="shared" ca="1" si="141"/>
        <v>3.2601024892691427E-2</v>
      </c>
    </row>
    <row r="8556" spans="7:8">
      <c r="G8556">
        <v>8546</v>
      </c>
      <c r="H8556">
        <f t="shared" ca="1" si="141"/>
        <v>3.9579577418838802E-2</v>
      </c>
    </row>
    <row r="8557" spans="7:8">
      <c r="G8557">
        <v>8547</v>
      </c>
      <c r="H8557">
        <f t="shared" ca="1" si="141"/>
        <v>4.9885281858154495E-2</v>
      </c>
    </row>
    <row r="8558" spans="7:8">
      <c r="G8558">
        <v>8548</v>
      </c>
      <c r="H8558">
        <f t="shared" ca="1" si="141"/>
        <v>5.1910690503499616E-3</v>
      </c>
    </row>
    <row r="8559" spans="7:8">
      <c r="G8559">
        <v>8549</v>
      </c>
      <c r="H8559">
        <f t="shared" ca="1" si="141"/>
        <v>6.4008345629478478E-2</v>
      </c>
    </row>
    <row r="8560" spans="7:8">
      <c r="G8560">
        <v>8550</v>
      </c>
      <c r="H8560">
        <f t="shared" ca="1" si="141"/>
        <v>6.9560317805833442E-3</v>
      </c>
    </row>
    <row r="8561" spans="7:8">
      <c r="G8561">
        <v>8551</v>
      </c>
      <c r="H8561">
        <f t="shared" ca="1" si="141"/>
        <v>-1.0548334026182358E-2</v>
      </c>
    </row>
    <row r="8562" spans="7:8">
      <c r="G8562">
        <v>8552</v>
      </c>
      <c r="H8562">
        <f t="shared" ca="1" si="141"/>
        <v>7.6939279871280838E-2</v>
      </c>
    </row>
    <row r="8563" spans="7:8">
      <c r="G8563">
        <v>8553</v>
      </c>
      <c r="H8563">
        <f t="shared" ca="1" si="141"/>
        <v>-9.8599119494518894E-3</v>
      </c>
    </row>
    <row r="8564" spans="7:8">
      <c r="G8564">
        <v>8554</v>
      </c>
      <c r="H8564">
        <f t="shared" ca="1" si="141"/>
        <v>-1.0064116714535791E-2</v>
      </c>
    </row>
    <row r="8565" spans="7:8">
      <c r="G8565">
        <v>8555</v>
      </c>
      <c r="H8565">
        <f t="shared" ca="1" si="141"/>
        <v>8.0242866952295044E-3</v>
      </c>
    </row>
    <row r="8566" spans="7:8">
      <c r="G8566">
        <v>8556</v>
      </c>
      <c r="H8566">
        <f t="shared" ca="1" si="141"/>
        <v>-1.2817711505085521E-2</v>
      </c>
    </row>
    <row r="8567" spans="7:8">
      <c r="G8567">
        <v>8557</v>
      </c>
      <c r="H8567">
        <f t="shared" ca="1" si="141"/>
        <v>-4.6885438389717579E-2</v>
      </c>
    </row>
    <row r="8568" spans="7:8">
      <c r="G8568">
        <v>8558</v>
      </c>
      <c r="H8568">
        <f t="shared" ca="1" si="141"/>
        <v>-2.1844088310745541E-2</v>
      </c>
    </row>
    <row r="8569" spans="7:8">
      <c r="G8569">
        <v>8559</v>
      </c>
      <c r="H8569">
        <f t="shared" ca="1" si="141"/>
        <v>-1.8292218942703376E-2</v>
      </c>
    </row>
    <row r="8570" spans="7:8">
      <c r="G8570">
        <v>8560</v>
      </c>
      <c r="H8570">
        <f t="shared" ca="1" si="141"/>
        <v>6.4588089634334059E-3</v>
      </c>
    </row>
    <row r="8571" spans="7:8">
      <c r="G8571">
        <v>8561</v>
      </c>
      <c r="H8571">
        <f t="shared" ca="1" si="141"/>
        <v>-2.500170951201033E-2</v>
      </c>
    </row>
    <row r="8572" spans="7:8">
      <c r="G8572">
        <v>8562</v>
      </c>
      <c r="H8572">
        <f t="shared" ca="1" si="141"/>
        <v>1.0444981430256989E-2</v>
      </c>
    </row>
    <row r="8573" spans="7:8">
      <c r="G8573">
        <v>8563</v>
      </c>
      <c r="H8573">
        <f t="shared" ca="1" si="141"/>
        <v>1.9315658348191649E-2</v>
      </c>
    </row>
    <row r="8574" spans="7:8">
      <c r="G8574">
        <v>8564</v>
      </c>
      <c r="H8574">
        <f t="shared" ca="1" si="141"/>
        <v>-1.6294690185695307E-2</v>
      </c>
    </row>
    <row r="8575" spans="7:8">
      <c r="G8575">
        <v>8565</v>
      </c>
      <c r="H8575">
        <f t="shared" ca="1" si="141"/>
        <v>4.3293022464271037E-3</v>
      </c>
    </row>
    <row r="8576" spans="7:8">
      <c r="G8576">
        <v>8566</v>
      </c>
      <c r="H8576">
        <f t="shared" ca="1" si="141"/>
        <v>-1.4464778288994437E-2</v>
      </c>
    </row>
    <row r="8577" spans="7:8">
      <c r="G8577">
        <v>8567</v>
      </c>
      <c r="H8577">
        <f t="shared" ca="1" si="141"/>
        <v>-1.823978348051692E-2</v>
      </c>
    </row>
    <row r="8578" spans="7:8">
      <c r="G8578">
        <v>8568</v>
      </c>
      <c r="H8578">
        <f t="shared" ca="1" si="141"/>
        <v>2.3524623402960756E-2</v>
      </c>
    </row>
    <row r="8579" spans="7:8">
      <c r="G8579">
        <v>8569</v>
      </c>
      <c r="H8579">
        <f t="shared" ca="1" si="141"/>
        <v>-1.1817483151726033E-2</v>
      </c>
    </row>
    <row r="8580" spans="7:8">
      <c r="G8580">
        <v>8570</v>
      </c>
      <c r="H8580">
        <f t="shared" ca="1" si="141"/>
        <v>-1.1185924895209219E-2</v>
      </c>
    </row>
    <row r="8581" spans="7:8">
      <c r="G8581">
        <v>8571</v>
      </c>
      <c r="H8581">
        <f t="shared" ca="1" si="141"/>
        <v>1.1346679508549579E-2</v>
      </c>
    </row>
    <row r="8582" spans="7:8">
      <c r="G8582">
        <v>8572</v>
      </c>
      <c r="H8582">
        <f t="shared" ca="1" si="141"/>
        <v>1.1687818917180163E-2</v>
      </c>
    </row>
    <row r="8583" spans="7:8">
      <c r="G8583">
        <v>8573</v>
      </c>
      <c r="H8583">
        <f t="shared" ca="1" si="141"/>
        <v>3.6743238950235686E-2</v>
      </c>
    </row>
    <row r="8584" spans="7:8">
      <c r="G8584">
        <v>8574</v>
      </c>
      <c r="H8584">
        <f t="shared" ca="1" si="141"/>
        <v>-2.0007475491299043E-2</v>
      </c>
    </row>
    <row r="8585" spans="7:8">
      <c r="G8585">
        <v>8575</v>
      </c>
      <c r="H8585">
        <f t="shared" ca="1" si="141"/>
        <v>1.4241836361032918E-2</v>
      </c>
    </row>
    <row r="8586" spans="7:8">
      <c r="G8586">
        <v>8576</v>
      </c>
      <c r="H8586">
        <f t="shared" ca="1" si="141"/>
        <v>8.8160171705155797E-4</v>
      </c>
    </row>
    <row r="8587" spans="7:8">
      <c r="G8587">
        <v>8577</v>
      </c>
      <c r="H8587">
        <f t="shared" ca="1" si="141"/>
        <v>-4.2645519038530576E-3</v>
      </c>
    </row>
    <row r="8588" spans="7:8">
      <c r="G8588">
        <v>8578</v>
      </c>
      <c r="H8588">
        <f t="shared" ref="H8588:H8651" ca="1" si="142">_xlfn.NORM.INV(RAND(),N$13,N$14)</f>
        <v>2.6391764552993531E-2</v>
      </c>
    </row>
    <row r="8589" spans="7:8">
      <c r="G8589">
        <v>8579</v>
      </c>
      <c r="H8589">
        <f t="shared" ca="1" si="142"/>
        <v>-4.4333542387285145E-2</v>
      </c>
    </row>
    <row r="8590" spans="7:8">
      <c r="G8590">
        <v>8580</v>
      </c>
      <c r="H8590">
        <f t="shared" ca="1" si="142"/>
        <v>-4.9546602952488987E-4</v>
      </c>
    </row>
    <row r="8591" spans="7:8">
      <c r="G8591">
        <v>8581</v>
      </c>
      <c r="H8591">
        <f t="shared" ca="1" si="142"/>
        <v>1.8170046646074561E-2</v>
      </c>
    </row>
    <row r="8592" spans="7:8">
      <c r="G8592">
        <v>8582</v>
      </c>
      <c r="H8592">
        <f t="shared" ca="1" si="142"/>
        <v>-5.476416597572063E-4</v>
      </c>
    </row>
    <row r="8593" spans="7:8">
      <c r="G8593">
        <v>8583</v>
      </c>
      <c r="H8593">
        <f t="shared" ca="1" si="142"/>
        <v>-2.7100656950364045E-2</v>
      </c>
    </row>
    <row r="8594" spans="7:8">
      <c r="G8594">
        <v>8584</v>
      </c>
      <c r="H8594">
        <f t="shared" ca="1" si="142"/>
        <v>3.3150231112054389E-2</v>
      </c>
    </row>
    <row r="8595" spans="7:8">
      <c r="G8595">
        <v>8585</v>
      </c>
      <c r="H8595">
        <f t="shared" ca="1" si="142"/>
        <v>1.8841719841215271E-2</v>
      </c>
    </row>
    <row r="8596" spans="7:8">
      <c r="G8596">
        <v>8586</v>
      </c>
      <c r="H8596">
        <f t="shared" ca="1" si="142"/>
        <v>-2.3863336018861626E-2</v>
      </c>
    </row>
    <row r="8597" spans="7:8">
      <c r="G8597">
        <v>8587</v>
      </c>
      <c r="H8597">
        <f t="shared" ca="1" si="142"/>
        <v>-6.9645709701141641E-3</v>
      </c>
    </row>
    <row r="8598" spans="7:8">
      <c r="G8598">
        <v>8588</v>
      </c>
      <c r="H8598">
        <f t="shared" ca="1" si="142"/>
        <v>-1.4341452116151459E-2</v>
      </c>
    </row>
    <row r="8599" spans="7:8">
      <c r="G8599">
        <v>8589</v>
      </c>
      <c r="H8599">
        <f t="shared" ca="1" si="142"/>
        <v>2.6984914306311641E-2</v>
      </c>
    </row>
    <row r="8600" spans="7:8">
      <c r="G8600">
        <v>8590</v>
      </c>
      <c r="H8600">
        <f t="shared" ca="1" si="142"/>
        <v>2.7035880310705362E-3</v>
      </c>
    </row>
    <row r="8601" spans="7:8">
      <c r="G8601">
        <v>8591</v>
      </c>
      <c r="H8601">
        <f t="shared" ca="1" si="142"/>
        <v>-6.0467886467639774E-5</v>
      </c>
    </row>
    <row r="8602" spans="7:8">
      <c r="G8602">
        <v>8592</v>
      </c>
      <c r="H8602">
        <f t="shared" ca="1" si="142"/>
        <v>2.844072741916806E-2</v>
      </c>
    </row>
    <row r="8603" spans="7:8">
      <c r="G8603">
        <v>8593</v>
      </c>
      <c r="H8603">
        <f t="shared" ca="1" si="142"/>
        <v>5.9368949119277298E-4</v>
      </c>
    </row>
    <row r="8604" spans="7:8">
      <c r="G8604">
        <v>8594</v>
      </c>
      <c r="H8604">
        <f t="shared" ca="1" si="142"/>
        <v>1.1933648867692395E-2</v>
      </c>
    </row>
    <row r="8605" spans="7:8">
      <c r="G8605">
        <v>8595</v>
      </c>
      <c r="H8605">
        <f t="shared" ca="1" si="142"/>
        <v>-1.7296602317175089E-2</v>
      </c>
    </row>
    <row r="8606" spans="7:8">
      <c r="G8606">
        <v>8596</v>
      </c>
      <c r="H8606">
        <f t="shared" ca="1" si="142"/>
        <v>-2.1196922464828558E-2</v>
      </c>
    </row>
    <row r="8607" spans="7:8">
      <c r="G8607">
        <v>8597</v>
      </c>
      <c r="H8607">
        <f t="shared" ca="1" si="142"/>
        <v>3.2029102640648566E-2</v>
      </c>
    </row>
    <row r="8608" spans="7:8">
      <c r="G8608">
        <v>8598</v>
      </c>
      <c r="H8608">
        <f t="shared" ca="1" si="142"/>
        <v>-8.9956161762248521E-3</v>
      </c>
    </row>
    <row r="8609" spans="7:8">
      <c r="G8609">
        <v>8599</v>
      </c>
      <c r="H8609">
        <f t="shared" ca="1" si="142"/>
        <v>1.4815101988238787E-2</v>
      </c>
    </row>
    <row r="8610" spans="7:8">
      <c r="G8610">
        <v>8600</v>
      </c>
      <c r="H8610">
        <f t="shared" ca="1" si="142"/>
        <v>3.8274761070795998E-3</v>
      </c>
    </row>
    <row r="8611" spans="7:8">
      <c r="G8611">
        <v>8601</v>
      </c>
      <c r="H8611">
        <f t="shared" ca="1" si="142"/>
        <v>1.1770944800427167E-2</v>
      </c>
    </row>
    <row r="8612" spans="7:8">
      <c r="G8612">
        <v>8602</v>
      </c>
      <c r="H8612">
        <f t="shared" ca="1" si="142"/>
        <v>-2.1067178942878323E-2</v>
      </c>
    </row>
    <row r="8613" spans="7:8">
      <c r="G8613">
        <v>8603</v>
      </c>
      <c r="H8613">
        <f t="shared" ca="1" si="142"/>
        <v>-1.0440181815223142E-2</v>
      </c>
    </row>
    <row r="8614" spans="7:8">
      <c r="G8614">
        <v>8604</v>
      </c>
      <c r="H8614">
        <f t="shared" ca="1" si="142"/>
        <v>2.1049623797041576E-3</v>
      </c>
    </row>
    <row r="8615" spans="7:8">
      <c r="G8615">
        <v>8605</v>
      </c>
      <c r="H8615">
        <f t="shared" ca="1" si="142"/>
        <v>-1.8093215057848649E-2</v>
      </c>
    </row>
    <row r="8616" spans="7:8">
      <c r="G8616">
        <v>8606</v>
      </c>
      <c r="H8616">
        <f t="shared" ca="1" si="142"/>
        <v>3.1685633266577841E-2</v>
      </c>
    </row>
    <row r="8617" spans="7:8">
      <c r="G8617">
        <v>8607</v>
      </c>
      <c r="H8617">
        <f t="shared" ca="1" si="142"/>
        <v>3.7501584275341469E-2</v>
      </c>
    </row>
    <row r="8618" spans="7:8">
      <c r="G8618">
        <v>8608</v>
      </c>
      <c r="H8618">
        <f t="shared" ca="1" si="142"/>
        <v>4.3513797187025105E-3</v>
      </c>
    </row>
    <row r="8619" spans="7:8">
      <c r="G8619">
        <v>8609</v>
      </c>
      <c r="H8619">
        <f t="shared" ca="1" si="142"/>
        <v>-3.2410828079976847E-2</v>
      </c>
    </row>
    <row r="8620" spans="7:8">
      <c r="G8620">
        <v>8610</v>
      </c>
      <c r="H8620">
        <f t="shared" ca="1" si="142"/>
        <v>-1.3702271916286805E-2</v>
      </c>
    </row>
    <row r="8621" spans="7:8">
      <c r="G8621">
        <v>8611</v>
      </c>
      <c r="H8621">
        <f t="shared" ca="1" si="142"/>
        <v>4.9556997670756622E-2</v>
      </c>
    </row>
    <row r="8622" spans="7:8">
      <c r="G8622">
        <v>8612</v>
      </c>
      <c r="H8622">
        <f t="shared" ca="1" si="142"/>
        <v>3.5837845379560321E-2</v>
      </c>
    </row>
    <row r="8623" spans="7:8">
      <c r="G8623">
        <v>8613</v>
      </c>
      <c r="H8623">
        <f t="shared" ca="1" si="142"/>
        <v>-9.606244300458016E-3</v>
      </c>
    </row>
    <row r="8624" spans="7:8">
      <c r="G8624">
        <v>8614</v>
      </c>
      <c r="H8624">
        <f t="shared" ca="1" si="142"/>
        <v>-1.4838320121836805E-2</v>
      </c>
    </row>
    <row r="8625" spans="7:8">
      <c r="G8625">
        <v>8615</v>
      </c>
      <c r="H8625">
        <f t="shared" ca="1" si="142"/>
        <v>9.77411558765111E-3</v>
      </c>
    </row>
    <row r="8626" spans="7:8">
      <c r="G8626">
        <v>8616</v>
      </c>
      <c r="H8626">
        <f t="shared" ca="1" si="142"/>
        <v>1.2061254109985464E-2</v>
      </c>
    </row>
    <row r="8627" spans="7:8">
      <c r="G8627">
        <v>8617</v>
      </c>
      <c r="H8627">
        <f t="shared" ca="1" si="142"/>
        <v>-1.6955205530551225E-2</v>
      </c>
    </row>
    <row r="8628" spans="7:8">
      <c r="G8628">
        <v>8618</v>
      </c>
      <c r="H8628">
        <f t="shared" ca="1" si="142"/>
        <v>2.3516209104654025E-2</v>
      </c>
    </row>
    <row r="8629" spans="7:8">
      <c r="G8629">
        <v>8619</v>
      </c>
      <c r="H8629">
        <f t="shared" ca="1" si="142"/>
        <v>-1.4586078716533449E-2</v>
      </c>
    </row>
    <row r="8630" spans="7:8">
      <c r="G8630">
        <v>8620</v>
      </c>
      <c r="H8630">
        <f t="shared" ca="1" si="142"/>
        <v>1.1056402996936207E-2</v>
      </c>
    </row>
    <row r="8631" spans="7:8">
      <c r="G8631">
        <v>8621</v>
      </c>
      <c r="H8631">
        <f t="shared" ca="1" si="142"/>
        <v>4.0713668479380447E-2</v>
      </c>
    </row>
    <row r="8632" spans="7:8">
      <c r="G8632">
        <v>8622</v>
      </c>
      <c r="H8632">
        <f t="shared" ca="1" si="142"/>
        <v>-3.5855962334017219E-3</v>
      </c>
    </row>
    <row r="8633" spans="7:8">
      <c r="G8633">
        <v>8623</v>
      </c>
      <c r="H8633">
        <f t="shared" ca="1" si="142"/>
        <v>2.3577354293734993E-2</v>
      </c>
    </row>
    <row r="8634" spans="7:8">
      <c r="G8634">
        <v>8624</v>
      </c>
      <c r="H8634">
        <f t="shared" ca="1" si="142"/>
        <v>1.2025176455102275E-3</v>
      </c>
    </row>
    <row r="8635" spans="7:8">
      <c r="G8635">
        <v>8625</v>
      </c>
      <c r="H8635">
        <f t="shared" ca="1" si="142"/>
        <v>1.5495877618953975E-2</v>
      </c>
    </row>
    <row r="8636" spans="7:8">
      <c r="G8636">
        <v>8626</v>
      </c>
      <c r="H8636">
        <f t="shared" ca="1" si="142"/>
        <v>-2.8293528160461688E-3</v>
      </c>
    </row>
    <row r="8637" spans="7:8">
      <c r="G8637">
        <v>8627</v>
      </c>
      <c r="H8637">
        <f t="shared" ca="1" si="142"/>
        <v>1.6673171958574019E-2</v>
      </c>
    </row>
    <row r="8638" spans="7:8">
      <c r="G8638">
        <v>8628</v>
      </c>
      <c r="H8638">
        <f t="shared" ca="1" si="142"/>
        <v>4.7545226407562534E-3</v>
      </c>
    </row>
    <row r="8639" spans="7:8">
      <c r="G8639">
        <v>8629</v>
      </c>
      <c r="H8639">
        <f t="shared" ca="1" si="142"/>
        <v>-1.8490052087640579E-2</v>
      </c>
    </row>
    <row r="8640" spans="7:8">
      <c r="G8640">
        <v>8630</v>
      </c>
      <c r="H8640">
        <f t="shared" ca="1" si="142"/>
        <v>5.5599971088613115E-2</v>
      </c>
    </row>
    <row r="8641" spans="7:8">
      <c r="G8641">
        <v>8631</v>
      </c>
      <c r="H8641">
        <f t="shared" ca="1" si="142"/>
        <v>-2.6046607181574519E-2</v>
      </c>
    </row>
    <row r="8642" spans="7:8">
      <c r="G8642">
        <v>8632</v>
      </c>
      <c r="H8642">
        <f t="shared" ca="1" si="142"/>
        <v>-2.8875213046065672E-2</v>
      </c>
    </row>
    <row r="8643" spans="7:8">
      <c r="G8643">
        <v>8633</v>
      </c>
      <c r="H8643">
        <f t="shared" ca="1" si="142"/>
        <v>-4.9904308604737144E-2</v>
      </c>
    </row>
    <row r="8644" spans="7:8">
      <c r="G8644">
        <v>8634</v>
      </c>
      <c r="H8644">
        <f t="shared" ca="1" si="142"/>
        <v>-1.4380126056707318E-2</v>
      </c>
    </row>
    <row r="8645" spans="7:8">
      <c r="G8645">
        <v>8635</v>
      </c>
      <c r="H8645">
        <f t="shared" ca="1" si="142"/>
        <v>4.0912350827655319E-2</v>
      </c>
    </row>
    <row r="8646" spans="7:8">
      <c r="G8646">
        <v>8636</v>
      </c>
      <c r="H8646">
        <f t="shared" ca="1" si="142"/>
        <v>3.0793143319321121E-3</v>
      </c>
    </row>
    <row r="8647" spans="7:8">
      <c r="G8647">
        <v>8637</v>
      </c>
      <c r="H8647">
        <f t="shared" ca="1" si="142"/>
        <v>9.5011292307837676E-3</v>
      </c>
    </row>
    <row r="8648" spans="7:8">
      <c r="G8648">
        <v>8638</v>
      </c>
      <c r="H8648">
        <f t="shared" ca="1" si="142"/>
        <v>1.1642647100135746E-2</v>
      </c>
    </row>
    <row r="8649" spans="7:8">
      <c r="G8649">
        <v>8639</v>
      </c>
      <c r="H8649">
        <f t="shared" ca="1" si="142"/>
        <v>-1.8694561768704779E-2</v>
      </c>
    </row>
    <row r="8650" spans="7:8">
      <c r="G8650">
        <v>8640</v>
      </c>
      <c r="H8650">
        <f t="shared" ca="1" si="142"/>
        <v>5.8151289711303261E-2</v>
      </c>
    </row>
    <row r="8651" spans="7:8">
      <c r="G8651">
        <v>8641</v>
      </c>
      <c r="H8651">
        <f t="shared" ca="1" si="142"/>
        <v>3.3593521060296075E-2</v>
      </c>
    </row>
    <row r="8652" spans="7:8">
      <c r="G8652">
        <v>8642</v>
      </c>
      <c r="H8652">
        <f t="shared" ref="H8652:H8715" ca="1" si="143">_xlfn.NORM.INV(RAND(),N$13,N$14)</f>
        <v>9.9621185507670872E-3</v>
      </c>
    </row>
    <row r="8653" spans="7:8">
      <c r="G8653">
        <v>8643</v>
      </c>
      <c r="H8653">
        <f t="shared" ca="1" si="143"/>
        <v>-2.0987263078652701E-2</v>
      </c>
    </row>
    <row r="8654" spans="7:8">
      <c r="G8654">
        <v>8644</v>
      </c>
      <c r="H8654">
        <f t="shared" ca="1" si="143"/>
        <v>-1.4225747904732446E-3</v>
      </c>
    </row>
    <row r="8655" spans="7:8">
      <c r="G8655">
        <v>8645</v>
      </c>
      <c r="H8655">
        <f t="shared" ca="1" si="143"/>
        <v>-1.200901622484421E-2</v>
      </c>
    </row>
    <row r="8656" spans="7:8">
      <c r="G8656">
        <v>8646</v>
      </c>
      <c r="H8656">
        <f t="shared" ca="1" si="143"/>
        <v>-2.3670534375953681E-2</v>
      </c>
    </row>
    <row r="8657" spans="7:8">
      <c r="G8657">
        <v>8647</v>
      </c>
      <c r="H8657">
        <f t="shared" ca="1" si="143"/>
        <v>-8.7896039662580822E-3</v>
      </c>
    </row>
    <row r="8658" spans="7:8">
      <c r="G8658">
        <v>8648</v>
      </c>
      <c r="H8658">
        <f t="shared" ca="1" si="143"/>
        <v>-7.0299203951095391E-3</v>
      </c>
    </row>
    <row r="8659" spans="7:8">
      <c r="G8659">
        <v>8649</v>
      </c>
      <c r="H8659">
        <f t="shared" ca="1" si="143"/>
        <v>-2.4955134822628277E-3</v>
      </c>
    </row>
    <row r="8660" spans="7:8">
      <c r="G8660">
        <v>8650</v>
      </c>
      <c r="H8660">
        <f t="shared" ca="1" si="143"/>
        <v>-3.2459456269581135E-3</v>
      </c>
    </row>
    <row r="8661" spans="7:8">
      <c r="G8661">
        <v>8651</v>
      </c>
      <c r="H8661">
        <f t="shared" ca="1" si="143"/>
        <v>2.6341053336081496E-2</v>
      </c>
    </row>
    <row r="8662" spans="7:8">
      <c r="G8662">
        <v>8652</v>
      </c>
      <c r="H8662">
        <f t="shared" ca="1" si="143"/>
        <v>-1.3258938925286966E-2</v>
      </c>
    </row>
    <row r="8663" spans="7:8">
      <c r="G8663">
        <v>8653</v>
      </c>
      <c r="H8663">
        <f t="shared" ca="1" si="143"/>
        <v>2.7398357063819323E-2</v>
      </c>
    </row>
    <row r="8664" spans="7:8">
      <c r="G8664">
        <v>8654</v>
      </c>
      <c r="H8664">
        <f t="shared" ca="1" si="143"/>
        <v>-5.1564749475093812E-3</v>
      </c>
    </row>
    <row r="8665" spans="7:8">
      <c r="G8665">
        <v>8655</v>
      </c>
      <c r="H8665">
        <f t="shared" ca="1" si="143"/>
        <v>-1.3944106701686778E-2</v>
      </c>
    </row>
    <row r="8666" spans="7:8">
      <c r="G8666">
        <v>8656</v>
      </c>
      <c r="H8666">
        <f t="shared" ca="1" si="143"/>
        <v>-1.9481616110853566E-2</v>
      </c>
    </row>
    <row r="8667" spans="7:8">
      <c r="G8667">
        <v>8657</v>
      </c>
      <c r="H8667">
        <f t="shared" ca="1" si="143"/>
        <v>8.3700579688880828E-3</v>
      </c>
    </row>
    <row r="8668" spans="7:8">
      <c r="G8668">
        <v>8658</v>
      </c>
      <c r="H8668">
        <f t="shared" ca="1" si="143"/>
        <v>-1.6715576130436053E-4</v>
      </c>
    </row>
    <row r="8669" spans="7:8">
      <c r="G8669">
        <v>8659</v>
      </c>
      <c r="H8669">
        <f t="shared" ca="1" si="143"/>
        <v>-3.5461639441991447E-2</v>
      </c>
    </row>
    <row r="8670" spans="7:8">
      <c r="G8670">
        <v>8660</v>
      </c>
      <c r="H8670">
        <f t="shared" ca="1" si="143"/>
        <v>2.7803096146990499E-2</v>
      </c>
    </row>
    <row r="8671" spans="7:8">
      <c r="G8671">
        <v>8661</v>
      </c>
      <c r="H8671">
        <f t="shared" ca="1" si="143"/>
        <v>1.8234516523765842E-2</v>
      </c>
    </row>
    <row r="8672" spans="7:8">
      <c r="G8672">
        <v>8662</v>
      </c>
      <c r="H8672">
        <f t="shared" ca="1" si="143"/>
        <v>-3.0380271523167066E-2</v>
      </c>
    </row>
    <row r="8673" spans="7:8">
      <c r="G8673">
        <v>8663</v>
      </c>
      <c r="H8673">
        <f t="shared" ca="1" si="143"/>
        <v>-1.6341688267329898E-2</v>
      </c>
    </row>
    <row r="8674" spans="7:8">
      <c r="G8674">
        <v>8664</v>
      </c>
      <c r="H8674">
        <f t="shared" ca="1" si="143"/>
        <v>-7.1424003360589577E-3</v>
      </c>
    </row>
    <row r="8675" spans="7:8">
      <c r="G8675">
        <v>8665</v>
      </c>
      <c r="H8675">
        <f t="shared" ca="1" si="143"/>
        <v>-7.3260573205852931E-3</v>
      </c>
    </row>
    <row r="8676" spans="7:8">
      <c r="G8676">
        <v>8666</v>
      </c>
      <c r="H8676">
        <f t="shared" ca="1" si="143"/>
        <v>-2.5497040683455079E-2</v>
      </c>
    </row>
    <row r="8677" spans="7:8">
      <c r="G8677">
        <v>8667</v>
      </c>
      <c r="H8677">
        <f t="shared" ca="1" si="143"/>
        <v>1.8816671762712681E-2</v>
      </c>
    </row>
    <row r="8678" spans="7:8">
      <c r="G8678">
        <v>8668</v>
      </c>
      <c r="H8678">
        <f t="shared" ca="1" si="143"/>
        <v>-3.943256623527229E-2</v>
      </c>
    </row>
    <row r="8679" spans="7:8">
      <c r="G8679">
        <v>8669</v>
      </c>
      <c r="H8679">
        <f t="shared" ca="1" si="143"/>
        <v>-3.1201374366430192E-2</v>
      </c>
    </row>
    <row r="8680" spans="7:8">
      <c r="G8680">
        <v>8670</v>
      </c>
      <c r="H8680">
        <f t="shared" ca="1" si="143"/>
        <v>2.0027919339905643E-2</v>
      </c>
    </row>
    <row r="8681" spans="7:8">
      <c r="G8681">
        <v>8671</v>
      </c>
      <c r="H8681">
        <f t="shared" ca="1" si="143"/>
        <v>-3.7014413708234092E-2</v>
      </c>
    </row>
    <row r="8682" spans="7:8">
      <c r="G8682">
        <v>8672</v>
      </c>
      <c r="H8682">
        <f t="shared" ca="1" si="143"/>
        <v>-4.0694985118054951E-2</v>
      </c>
    </row>
    <row r="8683" spans="7:8">
      <c r="G8683">
        <v>8673</v>
      </c>
      <c r="H8683">
        <f t="shared" ca="1" si="143"/>
        <v>-3.6319816093454908E-2</v>
      </c>
    </row>
    <row r="8684" spans="7:8">
      <c r="G8684">
        <v>8674</v>
      </c>
      <c r="H8684">
        <f t="shared" ca="1" si="143"/>
        <v>-2.338060596911468E-2</v>
      </c>
    </row>
    <row r="8685" spans="7:8">
      <c r="G8685">
        <v>8675</v>
      </c>
      <c r="H8685">
        <f t="shared" ca="1" si="143"/>
        <v>2.0140281194552825E-2</v>
      </c>
    </row>
    <row r="8686" spans="7:8">
      <c r="G8686">
        <v>8676</v>
      </c>
      <c r="H8686">
        <f t="shared" ca="1" si="143"/>
        <v>1.5195740798782092E-2</v>
      </c>
    </row>
    <row r="8687" spans="7:8">
      <c r="G8687">
        <v>8677</v>
      </c>
      <c r="H8687">
        <f t="shared" ca="1" si="143"/>
        <v>1.8748025157285068E-2</v>
      </c>
    </row>
    <row r="8688" spans="7:8">
      <c r="G8688">
        <v>8678</v>
      </c>
      <c r="H8688">
        <f t="shared" ca="1" si="143"/>
        <v>-2.3662924225664496E-2</v>
      </c>
    </row>
    <row r="8689" spans="7:8">
      <c r="G8689">
        <v>8679</v>
      </c>
      <c r="H8689">
        <f t="shared" ca="1" si="143"/>
        <v>-1.0223356042930313E-2</v>
      </c>
    </row>
    <row r="8690" spans="7:8">
      <c r="G8690">
        <v>8680</v>
      </c>
      <c r="H8690">
        <f t="shared" ca="1" si="143"/>
        <v>-2.2334014244717777E-2</v>
      </c>
    </row>
    <row r="8691" spans="7:8">
      <c r="G8691">
        <v>8681</v>
      </c>
      <c r="H8691">
        <f t="shared" ca="1" si="143"/>
        <v>-7.6093277236695808E-3</v>
      </c>
    </row>
    <row r="8692" spans="7:8">
      <c r="G8692">
        <v>8682</v>
      </c>
      <c r="H8692">
        <f t="shared" ca="1" si="143"/>
        <v>3.6835227661974122E-3</v>
      </c>
    </row>
    <row r="8693" spans="7:8">
      <c r="G8693">
        <v>8683</v>
      </c>
      <c r="H8693">
        <f t="shared" ca="1" si="143"/>
        <v>1.0052617777097889E-2</v>
      </c>
    </row>
    <row r="8694" spans="7:8">
      <c r="G8694">
        <v>8684</v>
      </c>
      <c r="H8694">
        <f t="shared" ca="1" si="143"/>
        <v>-2.4737442207170952E-2</v>
      </c>
    </row>
    <row r="8695" spans="7:8">
      <c r="G8695">
        <v>8685</v>
      </c>
      <c r="H8695">
        <f t="shared" ca="1" si="143"/>
        <v>2.0532680550781258E-2</v>
      </c>
    </row>
    <row r="8696" spans="7:8">
      <c r="G8696">
        <v>8686</v>
      </c>
      <c r="H8696">
        <f t="shared" ca="1" si="143"/>
        <v>2.7973204244396213E-2</v>
      </c>
    </row>
    <row r="8697" spans="7:8">
      <c r="G8697">
        <v>8687</v>
      </c>
      <c r="H8697">
        <f t="shared" ca="1" si="143"/>
        <v>8.1626384796349774E-3</v>
      </c>
    </row>
    <row r="8698" spans="7:8">
      <c r="G8698">
        <v>8688</v>
      </c>
      <c r="H8698">
        <f t="shared" ca="1" si="143"/>
        <v>-5.6202084348066011E-3</v>
      </c>
    </row>
    <row r="8699" spans="7:8">
      <c r="G8699">
        <v>8689</v>
      </c>
      <c r="H8699">
        <f t="shared" ca="1" si="143"/>
        <v>4.8748481635701836E-3</v>
      </c>
    </row>
    <row r="8700" spans="7:8">
      <c r="G8700">
        <v>8690</v>
      </c>
      <c r="H8700">
        <f t="shared" ca="1" si="143"/>
        <v>-2.0080531735810425E-2</v>
      </c>
    </row>
    <row r="8701" spans="7:8">
      <c r="G8701">
        <v>8691</v>
      </c>
      <c r="H8701">
        <f t="shared" ca="1" si="143"/>
        <v>-5.075036897556806E-4</v>
      </c>
    </row>
    <row r="8702" spans="7:8">
      <c r="G8702">
        <v>8692</v>
      </c>
      <c r="H8702">
        <f t="shared" ca="1" si="143"/>
        <v>2.1241125810810172E-2</v>
      </c>
    </row>
    <row r="8703" spans="7:8">
      <c r="G8703">
        <v>8693</v>
      </c>
      <c r="H8703">
        <f t="shared" ca="1" si="143"/>
        <v>-2.5143214583409814E-3</v>
      </c>
    </row>
    <row r="8704" spans="7:8">
      <c r="G8704">
        <v>8694</v>
      </c>
      <c r="H8704">
        <f t="shared" ca="1" si="143"/>
        <v>1.1155924548583254E-3</v>
      </c>
    </row>
    <row r="8705" spans="7:8">
      <c r="G8705">
        <v>8695</v>
      </c>
      <c r="H8705">
        <f t="shared" ca="1" si="143"/>
        <v>-3.0090028976213878E-2</v>
      </c>
    </row>
    <row r="8706" spans="7:8">
      <c r="G8706">
        <v>8696</v>
      </c>
      <c r="H8706">
        <f t="shared" ca="1" si="143"/>
        <v>-3.5718991395545421E-2</v>
      </c>
    </row>
    <row r="8707" spans="7:8">
      <c r="G8707">
        <v>8697</v>
      </c>
      <c r="H8707">
        <f t="shared" ca="1" si="143"/>
        <v>-3.4385426032171616E-2</v>
      </c>
    </row>
    <row r="8708" spans="7:8">
      <c r="G8708">
        <v>8698</v>
      </c>
      <c r="H8708">
        <f t="shared" ca="1" si="143"/>
        <v>2.3389254219355454E-4</v>
      </c>
    </row>
    <row r="8709" spans="7:8">
      <c r="G8709">
        <v>8699</v>
      </c>
      <c r="H8709">
        <f t="shared" ca="1" si="143"/>
        <v>-7.4466907789894612E-3</v>
      </c>
    </row>
    <row r="8710" spans="7:8">
      <c r="G8710">
        <v>8700</v>
      </c>
      <c r="H8710">
        <f t="shared" ca="1" si="143"/>
        <v>-4.8583243980501681E-3</v>
      </c>
    </row>
    <row r="8711" spans="7:8">
      <c r="G8711">
        <v>8701</v>
      </c>
      <c r="H8711">
        <f t="shared" ca="1" si="143"/>
        <v>-2.3647988724212168E-2</v>
      </c>
    </row>
    <row r="8712" spans="7:8">
      <c r="G8712">
        <v>8702</v>
      </c>
      <c r="H8712">
        <f t="shared" ca="1" si="143"/>
        <v>-1.3916159630331165E-2</v>
      </c>
    </row>
    <row r="8713" spans="7:8">
      <c r="G8713">
        <v>8703</v>
      </c>
      <c r="H8713">
        <f t="shared" ca="1" si="143"/>
        <v>-5.6678192815184152E-2</v>
      </c>
    </row>
    <row r="8714" spans="7:8">
      <c r="G8714">
        <v>8704</v>
      </c>
      <c r="H8714">
        <f t="shared" ca="1" si="143"/>
        <v>2.1631976764763614E-2</v>
      </c>
    </row>
    <row r="8715" spans="7:8">
      <c r="G8715">
        <v>8705</v>
      </c>
      <c r="H8715">
        <f t="shared" ca="1" si="143"/>
        <v>-6.6646422880530421E-4</v>
      </c>
    </row>
    <row r="8716" spans="7:8">
      <c r="G8716">
        <v>8706</v>
      </c>
      <c r="H8716">
        <f t="shared" ref="H8716:H8779" ca="1" si="144">_xlfn.NORM.INV(RAND(),N$13,N$14)</f>
        <v>8.3836413555067029E-3</v>
      </c>
    </row>
    <row r="8717" spans="7:8">
      <c r="G8717">
        <v>8707</v>
      </c>
      <c r="H8717">
        <f t="shared" ca="1" si="144"/>
        <v>1.4513093889856742E-2</v>
      </c>
    </row>
    <row r="8718" spans="7:8">
      <c r="G8718">
        <v>8708</v>
      </c>
      <c r="H8718">
        <f t="shared" ca="1" si="144"/>
        <v>2.1596491452688326E-3</v>
      </c>
    </row>
    <row r="8719" spans="7:8">
      <c r="G8719">
        <v>8709</v>
      </c>
      <c r="H8719">
        <f t="shared" ca="1" si="144"/>
        <v>-2.639006884021311E-2</v>
      </c>
    </row>
    <row r="8720" spans="7:8">
      <c r="G8720">
        <v>8710</v>
      </c>
      <c r="H8720">
        <f t="shared" ca="1" si="144"/>
        <v>2.7732572419319125E-2</v>
      </c>
    </row>
    <row r="8721" spans="7:8">
      <c r="G8721">
        <v>8711</v>
      </c>
      <c r="H8721">
        <f t="shared" ca="1" si="144"/>
        <v>2.7120309213572072E-2</v>
      </c>
    </row>
    <row r="8722" spans="7:8">
      <c r="G8722">
        <v>8712</v>
      </c>
      <c r="H8722">
        <f t="shared" ca="1" si="144"/>
        <v>-3.7230056131757494E-4</v>
      </c>
    </row>
    <row r="8723" spans="7:8">
      <c r="G8723">
        <v>8713</v>
      </c>
      <c r="H8723">
        <f t="shared" ca="1" si="144"/>
        <v>-1.3787274878392984E-2</v>
      </c>
    </row>
    <row r="8724" spans="7:8">
      <c r="G8724">
        <v>8714</v>
      </c>
      <c r="H8724">
        <f t="shared" ca="1" si="144"/>
        <v>2.9165782200367269E-2</v>
      </c>
    </row>
    <row r="8725" spans="7:8">
      <c r="G8725">
        <v>8715</v>
      </c>
      <c r="H8725">
        <f t="shared" ca="1" si="144"/>
        <v>-5.5079178804283398E-3</v>
      </c>
    </row>
    <row r="8726" spans="7:8">
      <c r="G8726">
        <v>8716</v>
      </c>
      <c r="H8726">
        <f t="shared" ca="1" si="144"/>
        <v>2.1690758255705188E-4</v>
      </c>
    </row>
    <row r="8727" spans="7:8">
      <c r="G8727">
        <v>8717</v>
      </c>
      <c r="H8727">
        <f t="shared" ca="1" si="144"/>
        <v>-2.5770226563867654E-2</v>
      </c>
    </row>
    <row r="8728" spans="7:8">
      <c r="G8728">
        <v>8718</v>
      </c>
      <c r="H8728">
        <f t="shared" ca="1" si="144"/>
        <v>3.178380839443902E-2</v>
      </c>
    </row>
    <row r="8729" spans="7:8">
      <c r="G8729">
        <v>8719</v>
      </c>
      <c r="H8729">
        <f t="shared" ca="1" si="144"/>
        <v>-2.7202526656384608E-2</v>
      </c>
    </row>
    <row r="8730" spans="7:8">
      <c r="G8730">
        <v>8720</v>
      </c>
      <c r="H8730">
        <f t="shared" ca="1" si="144"/>
        <v>-1.0015280195656015E-2</v>
      </c>
    </row>
    <row r="8731" spans="7:8">
      <c r="G8731">
        <v>8721</v>
      </c>
      <c r="H8731">
        <f t="shared" ca="1" si="144"/>
        <v>-3.5650796256836662E-2</v>
      </c>
    </row>
    <row r="8732" spans="7:8">
      <c r="G8732">
        <v>8722</v>
      </c>
      <c r="H8732">
        <f t="shared" ca="1" si="144"/>
        <v>5.0673065399792E-3</v>
      </c>
    </row>
    <row r="8733" spans="7:8">
      <c r="G8733">
        <v>8723</v>
      </c>
      <c r="H8733">
        <f t="shared" ca="1" si="144"/>
        <v>1.0918805840945641E-3</v>
      </c>
    </row>
    <row r="8734" spans="7:8">
      <c r="G8734">
        <v>8724</v>
      </c>
      <c r="H8734">
        <f t="shared" ca="1" si="144"/>
        <v>6.3807383913615401E-2</v>
      </c>
    </row>
    <row r="8735" spans="7:8">
      <c r="G8735">
        <v>8725</v>
      </c>
      <c r="H8735">
        <f t="shared" ca="1" si="144"/>
        <v>2.7043402938488992E-3</v>
      </c>
    </row>
    <row r="8736" spans="7:8">
      <c r="G8736">
        <v>8726</v>
      </c>
      <c r="H8736">
        <f t="shared" ca="1" si="144"/>
        <v>1.3769928574018942E-2</v>
      </c>
    </row>
    <row r="8737" spans="7:8">
      <c r="G8737">
        <v>8727</v>
      </c>
      <c r="H8737">
        <f t="shared" ca="1" si="144"/>
        <v>-6.6968733316836821E-3</v>
      </c>
    </row>
    <row r="8738" spans="7:8">
      <c r="G8738">
        <v>8728</v>
      </c>
      <c r="H8738">
        <f t="shared" ca="1" si="144"/>
        <v>6.6156874226397226E-4</v>
      </c>
    </row>
    <row r="8739" spans="7:8">
      <c r="G8739">
        <v>8729</v>
      </c>
      <c r="H8739">
        <f t="shared" ca="1" si="144"/>
        <v>2.9840622161918661E-3</v>
      </c>
    </row>
    <row r="8740" spans="7:8">
      <c r="G8740">
        <v>8730</v>
      </c>
      <c r="H8740">
        <f t="shared" ca="1" si="144"/>
        <v>-3.2163275287291258E-2</v>
      </c>
    </row>
    <row r="8741" spans="7:8">
      <c r="G8741">
        <v>8731</v>
      </c>
      <c r="H8741">
        <f t="shared" ca="1" si="144"/>
        <v>3.7253141737699981E-2</v>
      </c>
    </row>
    <row r="8742" spans="7:8">
      <c r="G8742">
        <v>8732</v>
      </c>
      <c r="H8742">
        <f t="shared" ca="1" si="144"/>
        <v>-2.3448447460235902E-2</v>
      </c>
    </row>
    <row r="8743" spans="7:8">
      <c r="G8743">
        <v>8733</v>
      </c>
      <c r="H8743">
        <f t="shared" ca="1" si="144"/>
        <v>1.5575033156192247E-2</v>
      </c>
    </row>
    <row r="8744" spans="7:8">
      <c r="G8744">
        <v>8734</v>
      </c>
      <c r="H8744">
        <f t="shared" ca="1" si="144"/>
        <v>1.01215634298911E-2</v>
      </c>
    </row>
    <row r="8745" spans="7:8">
      <c r="G8745">
        <v>8735</v>
      </c>
      <c r="H8745">
        <f t="shared" ca="1" si="144"/>
        <v>3.992506647540283E-2</v>
      </c>
    </row>
    <row r="8746" spans="7:8">
      <c r="G8746">
        <v>8736</v>
      </c>
      <c r="H8746">
        <f t="shared" ca="1" si="144"/>
        <v>-4.2090528380516648E-2</v>
      </c>
    </row>
    <row r="8747" spans="7:8">
      <c r="G8747">
        <v>8737</v>
      </c>
      <c r="H8747">
        <f t="shared" ca="1" si="144"/>
        <v>-3.300317003367681E-2</v>
      </c>
    </row>
    <row r="8748" spans="7:8">
      <c r="G8748">
        <v>8738</v>
      </c>
      <c r="H8748">
        <f t="shared" ca="1" si="144"/>
        <v>-5.9707466264268365E-3</v>
      </c>
    </row>
    <row r="8749" spans="7:8">
      <c r="G8749">
        <v>8739</v>
      </c>
      <c r="H8749">
        <f t="shared" ca="1" si="144"/>
        <v>2.8460789795724899E-2</v>
      </c>
    </row>
    <row r="8750" spans="7:8">
      <c r="G8750">
        <v>8740</v>
      </c>
      <c r="H8750">
        <f t="shared" ca="1" si="144"/>
        <v>4.5979070312816499E-2</v>
      </c>
    </row>
    <row r="8751" spans="7:8">
      <c r="G8751">
        <v>8741</v>
      </c>
      <c r="H8751">
        <f t="shared" ca="1" si="144"/>
        <v>4.8800880088795108E-2</v>
      </c>
    </row>
    <row r="8752" spans="7:8">
      <c r="G8752">
        <v>8742</v>
      </c>
      <c r="H8752">
        <f t="shared" ca="1" si="144"/>
        <v>1.0659534173048228E-3</v>
      </c>
    </row>
    <row r="8753" spans="7:8">
      <c r="G8753">
        <v>8743</v>
      </c>
      <c r="H8753">
        <f t="shared" ca="1" si="144"/>
        <v>1.9306847630068541E-2</v>
      </c>
    </row>
    <row r="8754" spans="7:8">
      <c r="G8754">
        <v>8744</v>
      </c>
      <c r="H8754">
        <f t="shared" ca="1" si="144"/>
        <v>-2.6101243679097611E-2</v>
      </c>
    </row>
    <row r="8755" spans="7:8">
      <c r="G8755">
        <v>8745</v>
      </c>
      <c r="H8755">
        <f t="shared" ca="1" si="144"/>
        <v>1.8791595359241126E-3</v>
      </c>
    </row>
    <row r="8756" spans="7:8">
      <c r="G8756">
        <v>8746</v>
      </c>
      <c r="H8756">
        <f t="shared" ca="1" si="144"/>
        <v>-3.1372307266880249E-2</v>
      </c>
    </row>
    <row r="8757" spans="7:8">
      <c r="G8757">
        <v>8747</v>
      </c>
      <c r="H8757">
        <f t="shared" ca="1" si="144"/>
        <v>-3.0271920336866199E-2</v>
      </c>
    </row>
    <row r="8758" spans="7:8">
      <c r="G8758">
        <v>8748</v>
      </c>
      <c r="H8758">
        <f t="shared" ca="1" si="144"/>
        <v>-1.9933317270494053E-2</v>
      </c>
    </row>
    <row r="8759" spans="7:8">
      <c r="G8759">
        <v>8749</v>
      </c>
      <c r="H8759">
        <f t="shared" ca="1" si="144"/>
        <v>-8.8068709445677084E-3</v>
      </c>
    </row>
    <row r="8760" spans="7:8">
      <c r="G8760">
        <v>8750</v>
      </c>
      <c r="H8760">
        <f t="shared" ca="1" si="144"/>
        <v>6.4524550970123488E-3</v>
      </c>
    </row>
    <row r="8761" spans="7:8">
      <c r="G8761">
        <v>8751</v>
      </c>
      <c r="H8761">
        <f t="shared" ca="1" si="144"/>
        <v>-8.2201337759530823E-3</v>
      </c>
    </row>
    <row r="8762" spans="7:8">
      <c r="G8762">
        <v>8752</v>
      </c>
      <c r="H8762">
        <f t="shared" ca="1" si="144"/>
        <v>5.5040065486258581E-2</v>
      </c>
    </row>
    <row r="8763" spans="7:8">
      <c r="G8763">
        <v>8753</v>
      </c>
      <c r="H8763">
        <f t="shared" ca="1" si="144"/>
        <v>7.0019126905561044E-3</v>
      </c>
    </row>
    <row r="8764" spans="7:8">
      <c r="G8764">
        <v>8754</v>
      </c>
      <c r="H8764">
        <f t="shared" ca="1" si="144"/>
        <v>-2.0426464775727203E-2</v>
      </c>
    </row>
    <row r="8765" spans="7:8">
      <c r="G8765">
        <v>8755</v>
      </c>
      <c r="H8765">
        <f t="shared" ca="1" si="144"/>
        <v>9.2115084740857184E-4</v>
      </c>
    </row>
    <row r="8766" spans="7:8">
      <c r="G8766">
        <v>8756</v>
      </c>
      <c r="H8766">
        <f t="shared" ca="1" si="144"/>
        <v>6.6425782309921355E-2</v>
      </c>
    </row>
    <row r="8767" spans="7:8">
      <c r="G8767">
        <v>8757</v>
      </c>
      <c r="H8767">
        <f t="shared" ca="1" si="144"/>
        <v>-8.5118115415961405E-3</v>
      </c>
    </row>
    <row r="8768" spans="7:8">
      <c r="G8768">
        <v>8758</v>
      </c>
      <c r="H8768">
        <f t="shared" ca="1" si="144"/>
        <v>3.1105991769136494E-2</v>
      </c>
    </row>
    <row r="8769" spans="7:8">
      <c r="G8769">
        <v>8759</v>
      </c>
      <c r="H8769">
        <f t="shared" ca="1" si="144"/>
        <v>1.1875720075252167E-2</v>
      </c>
    </row>
    <row r="8770" spans="7:8">
      <c r="G8770">
        <v>8760</v>
      </c>
      <c r="H8770">
        <f t="shared" ca="1" si="144"/>
        <v>-1.1960022806797237E-2</v>
      </c>
    </row>
    <row r="8771" spans="7:8">
      <c r="G8771">
        <v>8761</v>
      </c>
      <c r="H8771">
        <f t="shared" ca="1" si="144"/>
        <v>-9.4408215125920073E-3</v>
      </c>
    </row>
    <row r="8772" spans="7:8">
      <c r="G8772">
        <v>8762</v>
      </c>
      <c r="H8772">
        <f t="shared" ca="1" si="144"/>
        <v>3.5078090813198466E-2</v>
      </c>
    </row>
    <row r="8773" spans="7:8">
      <c r="G8773">
        <v>8763</v>
      </c>
      <c r="H8773">
        <f t="shared" ca="1" si="144"/>
        <v>1.9901363002515073E-2</v>
      </c>
    </row>
    <row r="8774" spans="7:8">
      <c r="G8774">
        <v>8764</v>
      </c>
      <c r="H8774">
        <f t="shared" ca="1" si="144"/>
        <v>-4.8663757433753826E-2</v>
      </c>
    </row>
    <row r="8775" spans="7:8">
      <c r="G8775">
        <v>8765</v>
      </c>
      <c r="H8775">
        <f t="shared" ca="1" si="144"/>
        <v>-1.5227412680313074E-3</v>
      </c>
    </row>
    <row r="8776" spans="7:8">
      <c r="G8776">
        <v>8766</v>
      </c>
      <c r="H8776">
        <f t="shared" ca="1" si="144"/>
        <v>7.068838128339955E-3</v>
      </c>
    </row>
    <row r="8777" spans="7:8">
      <c r="G8777">
        <v>8767</v>
      </c>
      <c r="H8777">
        <f t="shared" ca="1" si="144"/>
        <v>2.6352402868538849E-3</v>
      </c>
    </row>
    <row r="8778" spans="7:8">
      <c r="G8778">
        <v>8768</v>
      </c>
      <c r="H8778">
        <f t="shared" ca="1" si="144"/>
        <v>1.4126760398625253E-2</v>
      </c>
    </row>
    <row r="8779" spans="7:8">
      <c r="G8779">
        <v>8769</v>
      </c>
      <c r="H8779">
        <f t="shared" ca="1" si="144"/>
        <v>-9.7975905694316443E-3</v>
      </c>
    </row>
    <row r="8780" spans="7:8">
      <c r="G8780">
        <v>8770</v>
      </c>
      <c r="H8780">
        <f t="shared" ref="H8780:H8843" ca="1" si="145">_xlfn.NORM.INV(RAND(),N$13,N$14)</f>
        <v>7.0089075463084056E-3</v>
      </c>
    </row>
    <row r="8781" spans="7:8">
      <c r="G8781">
        <v>8771</v>
      </c>
      <c r="H8781">
        <f t="shared" ca="1" si="145"/>
        <v>1.7032928267174445E-2</v>
      </c>
    </row>
    <row r="8782" spans="7:8">
      <c r="G8782">
        <v>8772</v>
      </c>
      <c r="H8782">
        <f t="shared" ca="1" si="145"/>
        <v>2.1677792773372149E-2</v>
      </c>
    </row>
    <row r="8783" spans="7:8">
      <c r="G8783">
        <v>8773</v>
      </c>
      <c r="H8783">
        <f t="shared" ca="1" si="145"/>
        <v>-2.9428381036285881E-2</v>
      </c>
    </row>
    <row r="8784" spans="7:8">
      <c r="G8784">
        <v>8774</v>
      </c>
      <c r="H8784">
        <f t="shared" ca="1" si="145"/>
        <v>-2.4179560261768436E-2</v>
      </c>
    </row>
    <row r="8785" spans="7:8">
      <c r="G8785">
        <v>8775</v>
      </c>
      <c r="H8785">
        <f t="shared" ca="1" si="145"/>
        <v>2.9783682772508011E-2</v>
      </c>
    </row>
    <row r="8786" spans="7:8">
      <c r="G8786">
        <v>8776</v>
      </c>
      <c r="H8786">
        <f t="shared" ca="1" si="145"/>
        <v>-4.8474169681412393E-3</v>
      </c>
    </row>
    <row r="8787" spans="7:8">
      <c r="G8787">
        <v>8777</v>
      </c>
      <c r="H8787">
        <f t="shared" ca="1" si="145"/>
        <v>1.0632975349419786E-2</v>
      </c>
    </row>
    <row r="8788" spans="7:8">
      <c r="G8788">
        <v>8778</v>
      </c>
      <c r="H8788">
        <f t="shared" ca="1" si="145"/>
        <v>-9.5975515302391349E-4</v>
      </c>
    </row>
    <row r="8789" spans="7:8">
      <c r="G8789">
        <v>8779</v>
      </c>
      <c r="H8789">
        <f t="shared" ca="1" si="145"/>
        <v>2.6643654940972167E-2</v>
      </c>
    </row>
    <row r="8790" spans="7:8">
      <c r="G8790">
        <v>8780</v>
      </c>
      <c r="H8790">
        <f t="shared" ca="1" si="145"/>
        <v>-1.595445448294525E-2</v>
      </c>
    </row>
    <row r="8791" spans="7:8">
      <c r="G8791">
        <v>8781</v>
      </c>
      <c r="H8791">
        <f t="shared" ca="1" si="145"/>
        <v>-4.7472067087502342E-3</v>
      </c>
    </row>
    <row r="8792" spans="7:8">
      <c r="G8792">
        <v>8782</v>
      </c>
      <c r="H8792">
        <f t="shared" ca="1" si="145"/>
        <v>3.4888607709259868E-2</v>
      </c>
    </row>
    <row r="8793" spans="7:8">
      <c r="G8793">
        <v>8783</v>
      </c>
      <c r="H8793">
        <f t="shared" ca="1" si="145"/>
        <v>-1.3792291240685494E-2</v>
      </c>
    </row>
    <row r="8794" spans="7:8">
      <c r="G8794">
        <v>8784</v>
      </c>
      <c r="H8794">
        <f t="shared" ca="1" si="145"/>
        <v>-5.4084463655646271E-3</v>
      </c>
    </row>
    <row r="8795" spans="7:8">
      <c r="G8795">
        <v>8785</v>
      </c>
      <c r="H8795">
        <f t="shared" ca="1" si="145"/>
        <v>6.2273702538462165E-4</v>
      </c>
    </row>
    <row r="8796" spans="7:8">
      <c r="G8796">
        <v>8786</v>
      </c>
      <c r="H8796">
        <f t="shared" ca="1" si="145"/>
        <v>1.618412776928194E-2</v>
      </c>
    </row>
    <row r="8797" spans="7:8">
      <c r="G8797">
        <v>8787</v>
      </c>
      <c r="H8797">
        <f t="shared" ca="1" si="145"/>
        <v>2.3773993488252309E-3</v>
      </c>
    </row>
    <row r="8798" spans="7:8">
      <c r="G8798">
        <v>8788</v>
      </c>
      <c r="H8798">
        <f t="shared" ca="1" si="145"/>
        <v>-2.6109250117437092E-2</v>
      </c>
    </row>
    <row r="8799" spans="7:8">
      <c r="G8799">
        <v>8789</v>
      </c>
      <c r="H8799">
        <f t="shared" ca="1" si="145"/>
        <v>5.2920146589079918E-3</v>
      </c>
    </row>
    <row r="8800" spans="7:8">
      <c r="G8800">
        <v>8790</v>
      </c>
      <c r="H8800">
        <f t="shared" ca="1" si="145"/>
        <v>3.1454605594972374E-2</v>
      </c>
    </row>
    <row r="8801" spans="7:8">
      <c r="G8801">
        <v>8791</v>
      </c>
      <c r="H8801">
        <f t="shared" ca="1" si="145"/>
        <v>-9.0790051981352263E-3</v>
      </c>
    </row>
    <row r="8802" spans="7:8">
      <c r="G8802">
        <v>8792</v>
      </c>
      <c r="H8802">
        <f t="shared" ca="1" si="145"/>
        <v>-3.368759905715276E-2</v>
      </c>
    </row>
    <row r="8803" spans="7:8">
      <c r="G8803">
        <v>8793</v>
      </c>
      <c r="H8803">
        <f t="shared" ca="1" si="145"/>
        <v>2.3726774011966563E-3</v>
      </c>
    </row>
    <row r="8804" spans="7:8">
      <c r="G8804">
        <v>8794</v>
      </c>
      <c r="H8804">
        <f t="shared" ca="1" si="145"/>
        <v>2.2795255267782824E-4</v>
      </c>
    </row>
    <row r="8805" spans="7:8">
      <c r="G8805">
        <v>8795</v>
      </c>
      <c r="H8805">
        <f t="shared" ca="1" si="145"/>
        <v>2.1943657644191705E-2</v>
      </c>
    </row>
    <row r="8806" spans="7:8">
      <c r="G8806">
        <v>8796</v>
      </c>
      <c r="H8806">
        <f t="shared" ca="1" si="145"/>
        <v>1.5876551985527152E-4</v>
      </c>
    </row>
    <row r="8807" spans="7:8">
      <c r="G8807">
        <v>8797</v>
      </c>
      <c r="H8807">
        <f t="shared" ca="1" si="145"/>
        <v>2.9047219224418671E-3</v>
      </c>
    </row>
    <row r="8808" spans="7:8">
      <c r="G8808">
        <v>8798</v>
      </c>
      <c r="H8808">
        <f t="shared" ca="1" si="145"/>
        <v>1.9064331014728993E-2</v>
      </c>
    </row>
    <row r="8809" spans="7:8">
      <c r="G8809">
        <v>8799</v>
      </c>
      <c r="H8809">
        <f t="shared" ca="1" si="145"/>
        <v>-5.2635894200262611E-3</v>
      </c>
    </row>
    <row r="8810" spans="7:8">
      <c r="G8810">
        <v>8800</v>
      </c>
      <c r="H8810">
        <f t="shared" ca="1" si="145"/>
        <v>-1.9545550754378811E-2</v>
      </c>
    </row>
    <row r="8811" spans="7:8">
      <c r="G8811">
        <v>8801</v>
      </c>
      <c r="H8811">
        <f t="shared" ca="1" si="145"/>
        <v>-8.3437883147608524E-4</v>
      </c>
    </row>
    <row r="8812" spans="7:8">
      <c r="G8812">
        <v>8802</v>
      </c>
      <c r="H8812">
        <f t="shared" ca="1" si="145"/>
        <v>7.4270302578409624E-3</v>
      </c>
    </row>
    <row r="8813" spans="7:8">
      <c r="G8813">
        <v>8803</v>
      </c>
      <c r="H8813">
        <f t="shared" ca="1" si="145"/>
        <v>-5.3275613301281884E-3</v>
      </c>
    </row>
    <row r="8814" spans="7:8">
      <c r="G8814">
        <v>8804</v>
      </c>
      <c r="H8814">
        <f t="shared" ca="1" si="145"/>
        <v>6.3637628992896681E-3</v>
      </c>
    </row>
    <row r="8815" spans="7:8">
      <c r="G8815">
        <v>8805</v>
      </c>
      <c r="H8815">
        <f t="shared" ca="1" si="145"/>
        <v>1.7094570606529545E-2</v>
      </c>
    </row>
    <row r="8816" spans="7:8">
      <c r="G8816">
        <v>8806</v>
      </c>
      <c r="H8816">
        <f t="shared" ca="1" si="145"/>
        <v>1.0409963648833986E-2</v>
      </c>
    </row>
    <row r="8817" spans="7:8">
      <c r="G8817">
        <v>8807</v>
      </c>
      <c r="H8817">
        <f t="shared" ca="1" si="145"/>
        <v>-1.4122156190263596E-3</v>
      </c>
    </row>
    <row r="8818" spans="7:8">
      <c r="G8818">
        <v>8808</v>
      </c>
      <c r="H8818">
        <f t="shared" ca="1" si="145"/>
        <v>-1.663355825964926E-2</v>
      </c>
    </row>
    <row r="8819" spans="7:8">
      <c r="G8819">
        <v>8809</v>
      </c>
      <c r="H8819">
        <f t="shared" ca="1" si="145"/>
        <v>4.2993210862730939E-2</v>
      </c>
    </row>
    <row r="8820" spans="7:8">
      <c r="G8820">
        <v>8810</v>
      </c>
      <c r="H8820">
        <f t="shared" ca="1" si="145"/>
        <v>-2.9972664585020597E-2</v>
      </c>
    </row>
    <row r="8821" spans="7:8">
      <c r="G8821">
        <v>8811</v>
      </c>
      <c r="H8821">
        <f t="shared" ca="1" si="145"/>
        <v>1.1133752567304025E-2</v>
      </c>
    </row>
    <row r="8822" spans="7:8">
      <c r="G8822">
        <v>8812</v>
      </c>
      <c r="H8822">
        <f t="shared" ca="1" si="145"/>
        <v>-1.692774604687807E-3</v>
      </c>
    </row>
    <row r="8823" spans="7:8">
      <c r="G8823">
        <v>8813</v>
      </c>
      <c r="H8823">
        <f t="shared" ca="1" si="145"/>
        <v>1.1657994471687258E-2</v>
      </c>
    </row>
    <row r="8824" spans="7:8">
      <c r="G8824">
        <v>8814</v>
      </c>
      <c r="H8824">
        <f t="shared" ca="1" si="145"/>
        <v>-6.0148215275359863E-3</v>
      </c>
    </row>
    <row r="8825" spans="7:8">
      <c r="G8825">
        <v>8815</v>
      </c>
      <c r="H8825">
        <f t="shared" ca="1" si="145"/>
        <v>-1.5101604302835617E-2</v>
      </c>
    </row>
    <row r="8826" spans="7:8">
      <c r="G8826">
        <v>8816</v>
      </c>
      <c r="H8826">
        <f t="shared" ca="1" si="145"/>
        <v>-1.7146896223062622E-2</v>
      </c>
    </row>
    <row r="8827" spans="7:8">
      <c r="G8827">
        <v>8817</v>
      </c>
      <c r="H8827">
        <f t="shared" ca="1" si="145"/>
        <v>4.0011961423060179E-3</v>
      </c>
    </row>
    <row r="8828" spans="7:8">
      <c r="G8828">
        <v>8818</v>
      </c>
      <c r="H8828">
        <f t="shared" ca="1" si="145"/>
        <v>2.7042500726611875E-2</v>
      </c>
    </row>
    <row r="8829" spans="7:8">
      <c r="G8829">
        <v>8819</v>
      </c>
      <c r="H8829">
        <f t="shared" ca="1" si="145"/>
        <v>-4.1748073788149936E-4</v>
      </c>
    </row>
    <row r="8830" spans="7:8">
      <c r="G8830">
        <v>8820</v>
      </c>
      <c r="H8830">
        <f t="shared" ca="1" si="145"/>
        <v>-1.0349449865256138E-2</v>
      </c>
    </row>
    <row r="8831" spans="7:8">
      <c r="G8831">
        <v>8821</v>
      </c>
      <c r="H8831">
        <f t="shared" ca="1" si="145"/>
        <v>1.5480715701569439E-2</v>
      </c>
    </row>
    <row r="8832" spans="7:8">
      <c r="G8832">
        <v>8822</v>
      </c>
      <c r="H8832">
        <f t="shared" ca="1" si="145"/>
        <v>-5.2367023584941096E-3</v>
      </c>
    </row>
    <row r="8833" spans="7:8">
      <c r="G8833">
        <v>8823</v>
      </c>
      <c r="H8833">
        <f t="shared" ca="1" si="145"/>
        <v>1.2236822801827609E-2</v>
      </c>
    </row>
    <row r="8834" spans="7:8">
      <c r="G8834">
        <v>8824</v>
      </c>
      <c r="H8834">
        <f t="shared" ca="1" si="145"/>
        <v>2.9707526557535714E-2</v>
      </c>
    </row>
    <row r="8835" spans="7:8">
      <c r="G8835">
        <v>8825</v>
      </c>
      <c r="H8835">
        <f t="shared" ca="1" si="145"/>
        <v>1.8920260411241851E-4</v>
      </c>
    </row>
    <row r="8836" spans="7:8">
      <c r="G8836">
        <v>8826</v>
      </c>
      <c r="H8836">
        <f t="shared" ca="1" si="145"/>
        <v>-3.5275902080990585E-3</v>
      </c>
    </row>
    <row r="8837" spans="7:8">
      <c r="G8837">
        <v>8827</v>
      </c>
      <c r="H8837">
        <f t="shared" ca="1" si="145"/>
        <v>2.5584535839976955E-2</v>
      </c>
    </row>
    <row r="8838" spans="7:8">
      <c r="G8838">
        <v>8828</v>
      </c>
      <c r="H8838">
        <f t="shared" ca="1" si="145"/>
        <v>4.3191222535787131E-2</v>
      </c>
    </row>
    <row r="8839" spans="7:8">
      <c r="G8839">
        <v>8829</v>
      </c>
      <c r="H8839">
        <f t="shared" ca="1" si="145"/>
        <v>3.0171822362436995E-2</v>
      </c>
    </row>
    <row r="8840" spans="7:8">
      <c r="G8840">
        <v>8830</v>
      </c>
      <c r="H8840">
        <f t="shared" ca="1" si="145"/>
        <v>-9.6081283674257865E-3</v>
      </c>
    </row>
    <row r="8841" spans="7:8">
      <c r="G8841">
        <v>8831</v>
      </c>
      <c r="H8841">
        <f t="shared" ca="1" si="145"/>
        <v>6.0436192494624135E-3</v>
      </c>
    </row>
    <row r="8842" spans="7:8">
      <c r="G8842">
        <v>8832</v>
      </c>
      <c r="H8842">
        <f t="shared" ca="1" si="145"/>
        <v>-2.2420313387857192E-2</v>
      </c>
    </row>
    <row r="8843" spans="7:8">
      <c r="G8843">
        <v>8833</v>
      </c>
      <c r="H8843">
        <f t="shared" ca="1" si="145"/>
        <v>2.3480545616170176E-2</v>
      </c>
    </row>
    <row r="8844" spans="7:8">
      <c r="G8844">
        <v>8834</v>
      </c>
      <c r="H8844">
        <f t="shared" ref="H8844:H8907" ca="1" si="146">_xlfn.NORM.INV(RAND(),N$13,N$14)</f>
        <v>3.8316223148280833E-4</v>
      </c>
    </row>
    <row r="8845" spans="7:8">
      <c r="G8845">
        <v>8835</v>
      </c>
      <c r="H8845">
        <f t="shared" ca="1" si="146"/>
        <v>-3.0213627691293786E-2</v>
      </c>
    </row>
    <row r="8846" spans="7:8">
      <c r="G8846">
        <v>8836</v>
      </c>
      <c r="H8846">
        <f t="shared" ca="1" si="146"/>
        <v>-5.7611415942444228E-3</v>
      </c>
    </row>
    <row r="8847" spans="7:8">
      <c r="G8847">
        <v>8837</v>
      </c>
      <c r="H8847">
        <f t="shared" ca="1" si="146"/>
        <v>4.2509658670208559E-3</v>
      </c>
    </row>
    <row r="8848" spans="7:8">
      <c r="G8848">
        <v>8838</v>
      </c>
      <c r="H8848">
        <f t="shared" ca="1" si="146"/>
        <v>2.4261674358668731E-2</v>
      </c>
    </row>
    <row r="8849" spans="7:8">
      <c r="G8849">
        <v>8839</v>
      </c>
      <c r="H8849">
        <f t="shared" ca="1" si="146"/>
        <v>3.508985397345015E-3</v>
      </c>
    </row>
    <row r="8850" spans="7:8">
      <c r="G8850">
        <v>8840</v>
      </c>
      <c r="H8850">
        <f t="shared" ca="1" si="146"/>
        <v>2.7337776186180097E-2</v>
      </c>
    </row>
    <row r="8851" spans="7:8">
      <c r="G8851">
        <v>8841</v>
      </c>
      <c r="H8851">
        <f t="shared" ca="1" si="146"/>
        <v>3.2515015102972535E-2</v>
      </c>
    </row>
    <row r="8852" spans="7:8">
      <c r="G8852">
        <v>8842</v>
      </c>
      <c r="H8852">
        <f t="shared" ca="1" si="146"/>
        <v>3.0473136600750104E-2</v>
      </c>
    </row>
    <row r="8853" spans="7:8">
      <c r="G8853">
        <v>8843</v>
      </c>
      <c r="H8853">
        <f t="shared" ca="1" si="146"/>
        <v>-3.7422388306848589E-2</v>
      </c>
    </row>
    <row r="8854" spans="7:8">
      <c r="G8854">
        <v>8844</v>
      </c>
      <c r="H8854">
        <f t="shared" ca="1" si="146"/>
        <v>2.7416538655574314E-3</v>
      </c>
    </row>
    <row r="8855" spans="7:8">
      <c r="G8855">
        <v>8845</v>
      </c>
      <c r="H8855">
        <f t="shared" ca="1" si="146"/>
        <v>2.7896098764653057E-2</v>
      </c>
    </row>
    <row r="8856" spans="7:8">
      <c r="G8856">
        <v>8846</v>
      </c>
      <c r="H8856">
        <f t="shared" ca="1" si="146"/>
        <v>2.5395259659357763E-2</v>
      </c>
    </row>
    <row r="8857" spans="7:8">
      <c r="G8857">
        <v>8847</v>
      </c>
      <c r="H8857">
        <f t="shared" ca="1" si="146"/>
        <v>-5.4390294926503543E-3</v>
      </c>
    </row>
    <row r="8858" spans="7:8">
      <c r="G8858">
        <v>8848</v>
      </c>
      <c r="H8858">
        <f t="shared" ca="1" si="146"/>
        <v>1.1484684149509457E-2</v>
      </c>
    </row>
    <row r="8859" spans="7:8">
      <c r="G8859">
        <v>8849</v>
      </c>
      <c r="H8859">
        <f t="shared" ca="1" si="146"/>
        <v>-2.2273940172125303E-2</v>
      </c>
    </row>
    <row r="8860" spans="7:8">
      <c r="G8860">
        <v>8850</v>
      </c>
      <c r="H8860">
        <f t="shared" ca="1" si="146"/>
        <v>-4.4828741132045206E-2</v>
      </c>
    </row>
    <row r="8861" spans="7:8">
      <c r="G8861">
        <v>8851</v>
      </c>
      <c r="H8861">
        <f t="shared" ca="1" si="146"/>
        <v>4.1265453334374681E-2</v>
      </c>
    </row>
    <row r="8862" spans="7:8">
      <c r="G8862">
        <v>8852</v>
      </c>
      <c r="H8862">
        <f t="shared" ca="1" si="146"/>
        <v>1.1725514364070105E-2</v>
      </c>
    </row>
    <row r="8863" spans="7:8">
      <c r="G8863">
        <v>8853</v>
      </c>
      <c r="H8863">
        <f t="shared" ca="1" si="146"/>
        <v>-1.0126723520418986E-2</v>
      </c>
    </row>
    <row r="8864" spans="7:8">
      <c r="G8864">
        <v>8854</v>
      </c>
      <c r="H8864">
        <f t="shared" ca="1" si="146"/>
        <v>-4.7015281746457735E-3</v>
      </c>
    </row>
    <row r="8865" spans="7:8">
      <c r="G8865">
        <v>8855</v>
      </c>
      <c r="H8865">
        <f t="shared" ca="1" si="146"/>
        <v>-5.4175264980224201E-2</v>
      </c>
    </row>
    <row r="8866" spans="7:8">
      <c r="G8866">
        <v>8856</v>
      </c>
      <c r="H8866">
        <f t="shared" ca="1" si="146"/>
        <v>-1.4064672506383127E-2</v>
      </c>
    </row>
    <row r="8867" spans="7:8">
      <c r="G8867">
        <v>8857</v>
      </c>
      <c r="H8867">
        <f t="shared" ca="1" si="146"/>
        <v>1.9761942748897508E-2</v>
      </c>
    </row>
    <row r="8868" spans="7:8">
      <c r="G8868">
        <v>8858</v>
      </c>
      <c r="H8868">
        <f t="shared" ca="1" si="146"/>
        <v>-1.4569803915228864E-2</v>
      </c>
    </row>
    <row r="8869" spans="7:8">
      <c r="G8869">
        <v>8859</v>
      </c>
      <c r="H8869">
        <f t="shared" ca="1" si="146"/>
        <v>-1.9746087605657655E-2</v>
      </c>
    </row>
    <row r="8870" spans="7:8">
      <c r="G8870">
        <v>8860</v>
      </c>
      <c r="H8870">
        <f t="shared" ca="1" si="146"/>
        <v>-1.4742536163659215E-2</v>
      </c>
    </row>
    <row r="8871" spans="7:8">
      <c r="G8871">
        <v>8861</v>
      </c>
      <c r="H8871">
        <f t="shared" ca="1" si="146"/>
        <v>-4.2907562689158886E-2</v>
      </c>
    </row>
    <row r="8872" spans="7:8">
      <c r="G8872">
        <v>8862</v>
      </c>
      <c r="H8872">
        <f t="shared" ca="1" si="146"/>
        <v>8.1060446258990663E-4</v>
      </c>
    </row>
    <row r="8873" spans="7:8">
      <c r="G8873">
        <v>8863</v>
      </c>
      <c r="H8873">
        <f t="shared" ca="1" si="146"/>
        <v>1.3206974117717884E-2</v>
      </c>
    </row>
    <row r="8874" spans="7:8">
      <c r="G8874">
        <v>8864</v>
      </c>
      <c r="H8874">
        <f t="shared" ca="1" si="146"/>
        <v>1.5086795886190494E-2</v>
      </c>
    </row>
    <row r="8875" spans="7:8">
      <c r="G8875">
        <v>8865</v>
      </c>
      <c r="H8875">
        <f t="shared" ca="1" si="146"/>
        <v>-2.8790006052518306E-2</v>
      </c>
    </row>
    <row r="8876" spans="7:8">
      <c r="G8876">
        <v>8866</v>
      </c>
      <c r="H8876">
        <f t="shared" ca="1" si="146"/>
        <v>3.8005342813956726E-2</v>
      </c>
    </row>
    <row r="8877" spans="7:8">
      <c r="G8877">
        <v>8867</v>
      </c>
      <c r="H8877">
        <f t="shared" ca="1" si="146"/>
        <v>-2.2109846410158316E-3</v>
      </c>
    </row>
    <row r="8878" spans="7:8">
      <c r="G8878">
        <v>8868</v>
      </c>
      <c r="H8878">
        <f t="shared" ca="1" si="146"/>
        <v>4.6314874730395986E-2</v>
      </c>
    </row>
    <row r="8879" spans="7:8">
      <c r="G8879">
        <v>8869</v>
      </c>
      <c r="H8879">
        <f t="shared" ca="1" si="146"/>
        <v>-2.3949239192629725E-2</v>
      </c>
    </row>
    <row r="8880" spans="7:8">
      <c r="G8880">
        <v>8870</v>
      </c>
      <c r="H8880">
        <f t="shared" ca="1" si="146"/>
        <v>4.6467845318978124E-3</v>
      </c>
    </row>
    <row r="8881" spans="7:8">
      <c r="G8881">
        <v>8871</v>
      </c>
      <c r="H8881">
        <f t="shared" ca="1" si="146"/>
        <v>5.7632865138244907E-2</v>
      </c>
    </row>
    <row r="8882" spans="7:8">
      <c r="G8882">
        <v>8872</v>
      </c>
      <c r="H8882">
        <f t="shared" ca="1" si="146"/>
        <v>1.6933082921590865E-2</v>
      </c>
    </row>
    <row r="8883" spans="7:8">
      <c r="G8883">
        <v>8873</v>
      </c>
      <c r="H8883">
        <f t="shared" ca="1" si="146"/>
        <v>-3.4991299395611436E-2</v>
      </c>
    </row>
    <row r="8884" spans="7:8">
      <c r="G8884">
        <v>8874</v>
      </c>
      <c r="H8884">
        <f t="shared" ca="1" si="146"/>
        <v>-2.0266399485414047E-2</v>
      </c>
    </row>
    <row r="8885" spans="7:8">
      <c r="G8885">
        <v>8875</v>
      </c>
      <c r="H8885">
        <f t="shared" ca="1" si="146"/>
        <v>-4.2357403861159756E-2</v>
      </c>
    </row>
    <row r="8886" spans="7:8">
      <c r="G8886">
        <v>8876</v>
      </c>
      <c r="H8886">
        <f t="shared" ca="1" si="146"/>
        <v>1.540243703325191E-2</v>
      </c>
    </row>
    <row r="8887" spans="7:8">
      <c r="G8887">
        <v>8877</v>
      </c>
      <c r="H8887">
        <f t="shared" ca="1" si="146"/>
        <v>1.6469671134109555E-2</v>
      </c>
    </row>
    <row r="8888" spans="7:8">
      <c r="G8888">
        <v>8878</v>
      </c>
      <c r="H8888">
        <f t="shared" ca="1" si="146"/>
        <v>-2.2556419055379601E-2</v>
      </c>
    </row>
    <row r="8889" spans="7:8">
      <c r="G8889">
        <v>8879</v>
      </c>
      <c r="H8889">
        <f t="shared" ca="1" si="146"/>
        <v>8.0931417451297963E-3</v>
      </c>
    </row>
    <row r="8890" spans="7:8">
      <c r="G8890">
        <v>8880</v>
      </c>
      <c r="H8890">
        <f t="shared" ca="1" si="146"/>
        <v>-3.8810156075759863E-3</v>
      </c>
    </row>
    <row r="8891" spans="7:8">
      <c r="G8891">
        <v>8881</v>
      </c>
      <c r="H8891">
        <f t="shared" ca="1" si="146"/>
        <v>-1.3428532316736384E-2</v>
      </c>
    </row>
    <row r="8892" spans="7:8">
      <c r="G8892">
        <v>8882</v>
      </c>
      <c r="H8892">
        <f t="shared" ca="1" si="146"/>
        <v>1.4959200293283022E-2</v>
      </c>
    </row>
    <row r="8893" spans="7:8">
      <c r="G8893">
        <v>8883</v>
      </c>
      <c r="H8893">
        <f t="shared" ca="1" si="146"/>
        <v>-1.5988742904693976E-2</v>
      </c>
    </row>
    <row r="8894" spans="7:8">
      <c r="G8894">
        <v>8884</v>
      </c>
      <c r="H8894">
        <f t="shared" ca="1" si="146"/>
        <v>-2.2478571046208807E-2</v>
      </c>
    </row>
    <row r="8895" spans="7:8">
      <c r="G8895">
        <v>8885</v>
      </c>
      <c r="H8895">
        <f t="shared" ca="1" si="146"/>
        <v>-2.7810873538986397E-2</v>
      </c>
    </row>
    <row r="8896" spans="7:8">
      <c r="G8896">
        <v>8886</v>
      </c>
      <c r="H8896">
        <f t="shared" ca="1" si="146"/>
        <v>-9.5789512661482931E-3</v>
      </c>
    </row>
    <row r="8897" spans="7:8">
      <c r="G8897">
        <v>8887</v>
      </c>
      <c r="H8897">
        <f t="shared" ca="1" si="146"/>
        <v>6.1026184832762891E-2</v>
      </c>
    </row>
    <row r="8898" spans="7:8">
      <c r="G8898">
        <v>8888</v>
      </c>
      <c r="H8898">
        <f t="shared" ca="1" si="146"/>
        <v>2.2314122635830407E-3</v>
      </c>
    </row>
    <row r="8899" spans="7:8">
      <c r="G8899">
        <v>8889</v>
      </c>
      <c r="H8899">
        <f t="shared" ca="1" si="146"/>
        <v>2.7503360488457109E-2</v>
      </c>
    </row>
    <row r="8900" spans="7:8">
      <c r="G8900">
        <v>8890</v>
      </c>
      <c r="H8900">
        <f t="shared" ca="1" si="146"/>
        <v>-3.6830940011304257E-3</v>
      </c>
    </row>
    <row r="8901" spans="7:8">
      <c r="G8901">
        <v>8891</v>
      </c>
      <c r="H8901">
        <f t="shared" ca="1" si="146"/>
        <v>8.8382499437952454E-4</v>
      </c>
    </row>
    <row r="8902" spans="7:8">
      <c r="G8902">
        <v>8892</v>
      </c>
      <c r="H8902">
        <f t="shared" ca="1" si="146"/>
        <v>2.1711938657865946E-2</v>
      </c>
    </row>
    <row r="8903" spans="7:8">
      <c r="G8903">
        <v>8893</v>
      </c>
      <c r="H8903">
        <f t="shared" ca="1" si="146"/>
        <v>1.4296975593748754E-3</v>
      </c>
    </row>
    <row r="8904" spans="7:8">
      <c r="G8904">
        <v>8894</v>
      </c>
      <c r="H8904">
        <f t="shared" ca="1" si="146"/>
        <v>-3.6595436056945508E-3</v>
      </c>
    </row>
    <row r="8905" spans="7:8">
      <c r="G8905">
        <v>8895</v>
      </c>
      <c r="H8905">
        <f t="shared" ca="1" si="146"/>
        <v>-2.7521376075186975E-2</v>
      </c>
    </row>
    <row r="8906" spans="7:8">
      <c r="G8906">
        <v>8896</v>
      </c>
      <c r="H8906">
        <f t="shared" ca="1" si="146"/>
        <v>-1.0596411046132294E-3</v>
      </c>
    </row>
    <row r="8907" spans="7:8">
      <c r="G8907">
        <v>8897</v>
      </c>
      <c r="H8907">
        <f t="shared" ca="1" si="146"/>
        <v>-1.0815390703372231E-2</v>
      </c>
    </row>
    <row r="8908" spans="7:8">
      <c r="G8908">
        <v>8898</v>
      </c>
      <c r="H8908">
        <f t="shared" ref="H8908:H8971" ca="1" si="147">_xlfn.NORM.INV(RAND(),N$13,N$14)</f>
        <v>3.8709204383083071E-3</v>
      </c>
    </row>
    <row r="8909" spans="7:8">
      <c r="G8909">
        <v>8899</v>
      </c>
      <c r="H8909">
        <f t="shared" ca="1" si="147"/>
        <v>-1.2448723620266E-2</v>
      </c>
    </row>
    <row r="8910" spans="7:8">
      <c r="G8910">
        <v>8900</v>
      </c>
      <c r="H8910">
        <f t="shared" ca="1" si="147"/>
        <v>1.6685427812291348E-2</v>
      </c>
    </row>
    <row r="8911" spans="7:8">
      <c r="G8911">
        <v>8901</v>
      </c>
      <c r="H8911">
        <f t="shared" ca="1" si="147"/>
        <v>-2.6592612172846843E-2</v>
      </c>
    </row>
    <row r="8912" spans="7:8">
      <c r="G8912">
        <v>8902</v>
      </c>
      <c r="H8912">
        <f t="shared" ca="1" si="147"/>
        <v>-6.7539744958788991E-2</v>
      </c>
    </row>
    <row r="8913" spans="7:8">
      <c r="G8913">
        <v>8903</v>
      </c>
      <c r="H8913">
        <f t="shared" ca="1" si="147"/>
        <v>8.6921758520308347E-3</v>
      </c>
    </row>
    <row r="8914" spans="7:8">
      <c r="G8914">
        <v>8904</v>
      </c>
      <c r="H8914">
        <f t="shared" ca="1" si="147"/>
        <v>1.8524020293604528E-2</v>
      </c>
    </row>
    <row r="8915" spans="7:8">
      <c r="G8915">
        <v>8905</v>
      </c>
      <c r="H8915">
        <f t="shared" ca="1" si="147"/>
        <v>-1.3327319194954883E-2</v>
      </c>
    </row>
    <row r="8916" spans="7:8">
      <c r="G8916">
        <v>8906</v>
      </c>
      <c r="H8916">
        <f t="shared" ca="1" si="147"/>
        <v>7.0791704273584048E-3</v>
      </c>
    </row>
    <row r="8917" spans="7:8">
      <c r="G8917">
        <v>8907</v>
      </c>
      <c r="H8917">
        <f t="shared" ca="1" si="147"/>
        <v>3.2696819445785598E-2</v>
      </c>
    </row>
    <row r="8918" spans="7:8">
      <c r="G8918">
        <v>8908</v>
      </c>
      <c r="H8918">
        <f t="shared" ca="1" si="147"/>
        <v>-1.2391560644559245E-3</v>
      </c>
    </row>
    <row r="8919" spans="7:8">
      <c r="G8919">
        <v>8909</v>
      </c>
      <c r="H8919">
        <f t="shared" ca="1" si="147"/>
        <v>-1.5341747517576994E-2</v>
      </c>
    </row>
    <row r="8920" spans="7:8">
      <c r="G8920">
        <v>8910</v>
      </c>
      <c r="H8920">
        <f t="shared" ca="1" si="147"/>
        <v>6.1150825299570152E-2</v>
      </c>
    </row>
    <row r="8921" spans="7:8">
      <c r="G8921">
        <v>8911</v>
      </c>
      <c r="H8921">
        <f t="shared" ca="1" si="147"/>
        <v>2.2518247913917089E-2</v>
      </c>
    </row>
    <row r="8922" spans="7:8">
      <c r="G8922">
        <v>8912</v>
      </c>
      <c r="H8922">
        <f t="shared" ca="1" si="147"/>
        <v>-5.8352295178433315E-4</v>
      </c>
    </row>
    <row r="8923" spans="7:8">
      <c r="G8923">
        <v>8913</v>
      </c>
      <c r="H8923">
        <f t="shared" ca="1" si="147"/>
        <v>-2.2945824575188688E-2</v>
      </c>
    </row>
    <row r="8924" spans="7:8">
      <c r="G8924">
        <v>8914</v>
      </c>
      <c r="H8924">
        <f t="shared" ca="1" si="147"/>
        <v>1.4099925275707934E-4</v>
      </c>
    </row>
    <row r="8925" spans="7:8">
      <c r="G8925">
        <v>8915</v>
      </c>
      <c r="H8925">
        <f t="shared" ca="1" si="147"/>
        <v>7.5035697869999226E-3</v>
      </c>
    </row>
    <row r="8926" spans="7:8">
      <c r="G8926">
        <v>8916</v>
      </c>
      <c r="H8926">
        <f t="shared" ca="1" si="147"/>
        <v>1.2796217626024387E-2</v>
      </c>
    </row>
    <row r="8927" spans="7:8">
      <c r="G8927">
        <v>8917</v>
      </c>
      <c r="H8927">
        <f t="shared" ca="1" si="147"/>
        <v>1.9549035809867513E-2</v>
      </c>
    </row>
    <row r="8928" spans="7:8">
      <c r="G8928">
        <v>8918</v>
      </c>
      <c r="H8928">
        <f t="shared" ca="1" si="147"/>
        <v>-4.3658075210133498E-2</v>
      </c>
    </row>
    <row r="8929" spans="7:8">
      <c r="G8929">
        <v>8919</v>
      </c>
      <c r="H8929">
        <f t="shared" ca="1" si="147"/>
        <v>1.3283576656454594E-2</v>
      </c>
    </row>
    <row r="8930" spans="7:8">
      <c r="G8930">
        <v>8920</v>
      </c>
      <c r="H8930">
        <f t="shared" ca="1" si="147"/>
        <v>-1.4621198338808343E-2</v>
      </c>
    </row>
    <row r="8931" spans="7:8">
      <c r="G8931">
        <v>8921</v>
      </c>
      <c r="H8931">
        <f t="shared" ca="1" si="147"/>
        <v>-4.6840537270260212E-2</v>
      </c>
    </row>
    <row r="8932" spans="7:8">
      <c r="G8932">
        <v>8922</v>
      </c>
      <c r="H8932">
        <f t="shared" ca="1" si="147"/>
        <v>-3.1841823291247177E-2</v>
      </c>
    </row>
    <row r="8933" spans="7:8">
      <c r="G8933">
        <v>8923</v>
      </c>
      <c r="H8933">
        <f t="shared" ca="1" si="147"/>
        <v>6.1434152041626427E-3</v>
      </c>
    </row>
    <row r="8934" spans="7:8">
      <c r="G8934">
        <v>8924</v>
      </c>
      <c r="H8934">
        <f t="shared" ca="1" si="147"/>
        <v>2.4666114563804055E-2</v>
      </c>
    </row>
    <row r="8935" spans="7:8">
      <c r="G8935">
        <v>8925</v>
      </c>
      <c r="H8935">
        <f t="shared" ca="1" si="147"/>
        <v>-4.2679473215453623E-2</v>
      </c>
    </row>
    <row r="8936" spans="7:8">
      <c r="G8936">
        <v>8926</v>
      </c>
      <c r="H8936">
        <f t="shared" ca="1" si="147"/>
        <v>1.2533801879544528E-2</v>
      </c>
    </row>
    <row r="8937" spans="7:8">
      <c r="G8937">
        <v>8927</v>
      </c>
      <c r="H8937">
        <f t="shared" ca="1" si="147"/>
        <v>5.3083550398201687E-2</v>
      </c>
    </row>
    <row r="8938" spans="7:8">
      <c r="G8938">
        <v>8928</v>
      </c>
      <c r="H8938">
        <f t="shared" ca="1" si="147"/>
        <v>1.9284688128615401E-2</v>
      </c>
    </row>
    <row r="8939" spans="7:8">
      <c r="G8939">
        <v>8929</v>
      </c>
      <c r="H8939">
        <f t="shared" ca="1" si="147"/>
        <v>-5.1396519505512411E-2</v>
      </c>
    </row>
    <row r="8940" spans="7:8">
      <c r="G8940">
        <v>8930</v>
      </c>
      <c r="H8940">
        <f t="shared" ca="1" si="147"/>
        <v>2.9996040893189146E-3</v>
      </c>
    </row>
    <row r="8941" spans="7:8">
      <c r="G8941">
        <v>8931</v>
      </c>
      <c r="H8941">
        <f t="shared" ca="1" si="147"/>
        <v>-2.2431911771832644E-3</v>
      </c>
    </row>
    <row r="8942" spans="7:8">
      <c r="G8942">
        <v>8932</v>
      </c>
      <c r="H8942">
        <f t="shared" ca="1" si="147"/>
        <v>3.0066893648194027E-2</v>
      </c>
    </row>
    <row r="8943" spans="7:8">
      <c r="G8943">
        <v>8933</v>
      </c>
      <c r="H8943">
        <f t="shared" ca="1" si="147"/>
        <v>6.397086043047397E-3</v>
      </c>
    </row>
    <row r="8944" spans="7:8">
      <c r="G8944">
        <v>8934</v>
      </c>
      <c r="H8944">
        <f t="shared" ca="1" si="147"/>
        <v>2.3371034450622035E-2</v>
      </c>
    </row>
    <row r="8945" spans="7:8">
      <c r="G8945">
        <v>8935</v>
      </c>
      <c r="H8945">
        <f t="shared" ca="1" si="147"/>
        <v>3.5463053398170574E-2</v>
      </c>
    </row>
    <row r="8946" spans="7:8">
      <c r="G8946">
        <v>8936</v>
      </c>
      <c r="H8946">
        <f t="shared" ca="1" si="147"/>
        <v>7.8202948761275908E-3</v>
      </c>
    </row>
    <row r="8947" spans="7:8">
      <c r="G8947">
        <v>8937</v>
      </c>
      <c r="H8947">
        <f t="shared" ca="1" si="147"/>
        <v>-1.2318405207182481E-2</v>
      </c>
    </row>
    <row r="8948" spans="7:8">
      <c r="G8948">
        <v>8938</v>
      </c>
      <c r="H8948">
        <f t="shared" ca="1" si="147"/>
        <v>8.1413063025402056E-3</v>
      </c>
    </row>
    <row r="8949" spans="7:8">
      <c r="G8949">
        <v>8939</v>
      </c>
      <c r="H8949">
        <f t="shared" ca="1" si="147"/>
        <v>-3.0221046765927595E-3</v>
      </c>
    </row>
    <row r="8950" spans="7:8">
      <c r="G8950">
        <v>8940</v>
      </c>
      <c r="H8950">
        <f t="shared" ca="1" si="147"/>
        <v>1.4935755661711366E-2</v>
      </c>
    </row>
    <row r="8951" spans="7:8">
      <c r="G8951">
        <v>8941</v>
      </c>
      <c r="H8951">
        <f t="shared" ca="1" si="147"/>
        <v>9.4609470441766597E-3</v>
      </c>
    </row>
    <row r="8952" spans="7:8">
      <c r="G8952">
        <v>8942</v>
      </c>
      <c r="H8952">
        <f t="shared" ca="1" si="147"/>
        <v>2.3421489142980166E-2</v>
      </c>
    </row>
    <row r="8953" spans="7:8">
      <c r="G8953">
        <v>8943</v>
      </c>
      <c r="H8953">
        <f t="shared" ca="1" si="147"/>
        <v>-3.1213773640789897E-2</v>
      </c>
    </row>
    <row r="8954" spans="7:8">
      <c r="G8954">
        <v>8944</v>
      </c>
      <c r="H8954">
        <f t="shared" ca="1" si="147"/>
        <v>-6.1694085098218448E-3</v>
      </c>
    </row>
    <row r="8955" spans="7:8">
      <c r="G8955">
        <v>8945</v>
      </c>
      <c r="H8955">
        <f t="shared" ca="1" si="147"/>
        <v>-1.0595073422207611E-2</v>
      </c>
    </row>
    <row r="8956" spans="7:8">
      <c r="G8956">
        <v>8946</v>
      </c>
      <c r="H8956">
        <f t="shared" ca="1" si="147"/>
        <v>1.678666441857254E-3</v>
      </c>
    </row>
    <row r="8957" spans="7:8">
      <c r="G8957">
        <v>8947</v>
      </c>
      <c r="H8957">
        <f t="shared" ca="1" si="147"/>
        <v>-3.5758946874398403E-3</v>
      </c>
    </row>
    <row r="8958" spans="7:8">
      <c r="G8958">
        <v>8948</v>
      </c>
      <c r="H8958">
        <f t="shared" ca="1" si="147"/>
        <v>-7.8409355442303E-3</v>
      </c>
    </row>
    <row r="8959" spans="7:8">
      <c r="G8959">
        <v>8949</v>
      </c>
      <c r="H8959">
        <f t="shared" ca="1" si="147"/>
        <v>-2.2223059573124285E-3</v>
      </c>
    </row>
    <row r="8960" spans="7:8">
      <c r="G8960">
        <v>8950</v>
      </c>
      <c r="H8960">
        <f t="shared" ca="1" si="147"/>
        <v>1.3291158713843829E-2</v>
      </c>
    </row>
    <row r="8961" spans="7:8">
      <c r="G8961">
        <v>8951</v>
      </c>
      <c r="H8961">
        <f t="shared" ca="1" si="147"/>
        <v>-6.0858419310152413E-3</v>
      </c>
    </row>
    <row r="8962" spans="7:8">
      <c r="G8962">
        <v>8952</v>
      </c>
      <c r="H8962">
        <f t="shared" ca="1" si="147"/>
        <v>4.1997806644160562E-3</v>
      </c>
    </row>
    <row r="8963" spans="7:8">
      <c r="G8963">
        <v>8953</v>
      </c>
      <c r="H8963">
        <f t="shared" ca="1" si="147"/>
        <v>-4.0390331960083889E-2</v>
      </c>
    </row>
    <row r="8964" spans="7:8">
      <c r="G8964">
        <v>8954</v>
      </c>
      <c r="H8964">
        <f t="shared" ca="1" si="147"/>
        <v>2.0971042953678836E-2</v>
      </c>
    </row>
    <row r="8965" spans="7:8">
      <c r="G8965">
        <v>8955</v>
      </c>
      <c r="H8965">
        <f t="shared" ca="1" si="147"/>
        <v>1.9986630933136719E-2</v>
      </c>
    </row>
    <row r="8966" spans="7:8">
      <c r="G8966">
        <v>8956</v>
      </c>
      <c r="H8966">
        <f t="shared" ca="1" si="147"/>
        <v>-1.0808789823115754E-2</v>
      </c>
    </row>
    <row r="8967" spans="7:8">
      <c r="G8967">
        <v>8957</v>
      </c>
      <c r="H8967">
        <f t="shared" ca="1" si="147"/>
        <v>-3.9989092051850861E-3</v>
      </c>
    </row>
    <row r="8968" spans="7:8">
      <c r="G8968">
        <v>8958</v>
      </c>
      <c r="H8968">
        <f t="shared" ca="1" si="147"/>
        <v>3.3825506465493434E-2</v>
      </c>
    </row>
    <row r="8969" spans="7:8">
      <c r="G8969">
        <v>8959</v>
      </c>
      <c r="H8969">
        <f t="shared" ca="1" si="147"/>
        <v>-3.0514705968678359E-2</v>
      </c>
    </row>
    <row r="8970" spans="7:8">
      <c r="G8970">
        <v>8960</v>
      </c>
      <c r="H8970">
        <f t="shared" ca="1" si="147"/>
        <v>-5.5800535303976283E-3</v>
      </c>
    </row>
    <row r="8971" spans="7:8">
      <c r="G8971">
        <v>8961</v>
      </c>
      <c r="H8971">
        <f t="shared" ca="1" si="147"/>
        <v>3.1939453764406406E-2</v>
      </c>
    </row>
    <row r="8972" spans="7:8">
      <c r="G8972">
        <v>8962</v>
      </c>
      <c r="H8972">
        <f t="shared" ref="H8972:H9035" ca="1" si="148">_xlfn.NORM.INV(RAND(),N$13,N$14)</f>
        <v>1.7004295402547435E-2</v>
      </c>
    </row>
    <row r="8973" spans="7:8">
      <c r="G8973">
        <v>8963</v>
      </c>
      <c r="H8973">
        <f t="shared" ca="1" si="148"/>
        <v>8.4983475821579987E-3</v>
      </c>
    </row>
    <row r="8974" spans="7:8">
      <c r="G8974">
        <v>8964</v>
      </c>
      <c r="H8974">
        <f t="shared" ca="1" si="148"/>
        <v>2.3020943222733979E-2</v>
      </c>
    </row>
    <row r="8975" spans="7:8">
      <c r="G8975">
        <v>8965</v>
      </c>
      <c r="H8975">
        <f t="shared" ca="1" si="148"/>
        <v>-3.939736257876505E-3</v>
      </c>
    </row>
    <row r="8976" spans="7:8">
      <c r="G8976">
        <v>8966</v>
      </c>
      <c r="H8976">
        <f t="shared" ca="1" si="148"/>
        <v>1.8067158660715822E-2</v>
      </c>
    </row>
    <row r="8977" spans="7:8">
      <c r="G8977">
        <v>8967</v>
      </c>
      <c r="H8977">
        <f t="shared" ca="1" si="148"/>
        <v>-1.5844869070653543E-2</v>
      </c>
    </row>
    <row r="8978" spans="7:8">
      <c r="G8978">
        <v>8968</v>
      </c>
      <c r="H8978">
        <f t="shared" ca="1" si="148"/>
        <v>-1.3504258148786911E-2</v>
      </c>
    </row>
    <row r="8979" spans="7:8">
      <c r="G8979">
        <v>8969</v>
      </c>
      <c r="H8979">
        <f t="shared" ca="1" si="148"/>
        <v>-3.71840716026723E-2</v>
      </c>
    </row>
    <row r="8980" spans="7:8">
      <c r="G8980">
        <v>8970</v>
      </c>
      <c r="H8980">
        <f t="shared" ca="1" si="148"/>
        <v>-2.8646808921242658E-2</v>
      </c>
    </row>
    <row r="8981" spans="7:8">
      <c r="G8981">
        <v>8971</v>
      </c>
      <c r="H8981">
        <f t="shared" ca="1" si="148"/>
        <v>-2.1072160777525779E-2</v>
      </c>
    </row>
    <row r="8982" spans="7:8">
      <c r="G8982">
        <v>8972</v>
      </c>
      <c r="H8982">
        <f t="shared" ca="1" si="148"/>
        <v>1.292084699622802E-2</v>
      </c>
    </row>
    <row r="8983" spans="7:8">
      <c r="G8983">
        <v>8973</v>
      </c>
      <c r="H8983">
        <f t="shared" ca="1" si="148"/>
        <v>1.4053511971274076E-2</v>
      </c>
    </row>
    <row r="8984" spans="7:8">
      <c r="G8984">
        <v>8974</v>
      </c>
      <c r="H8984">
        <f t="shared" ca="1" si="148"/>
        <v>-6.8960105533870733E-3</v>
      </c>
    </row>
    <row r="8985" spans="7:8">
      <c r="G8985">
        <v>8975</v>
      </c>
      <c r="H8985">
        <f t="shared" ca="1" si="148"/>
        <v>-1.5033206436371871E-2</v>
      </c>
    </row>
    <row r="8986" spans="7:8">
      <c r="G8986">
        <v>8976</v>
      </c>
      <c r="H8986">
        <f t="shared" ca="1" si="148"/>
        <v>-1.3429754403934555E-2</v>
      </c>
    </row>
    <row r="8987" spans="7:8">
      <c r="G8987">
        <v>8977</v>
      </c>
      <c r="H8987">
        <f t="shared" ca="1" si="148"/>
        <v>1.9899394131403004E-2</v>
      </c>
    </row>
    <row r="8988" spans="7:8">
      <c r="G8988">
        <v>8978</v>
      </c>
      <c r="H8988">
        <f t="shared" ca="1" si="148"/>
        <v>-8.105957390312132E-3</v>
      </c>
    </row>
    <row r="8989" spans="7:8">
      <c r="G8989">
        <v>8979</v>
      </c>
      <c r="H8989">
        <f t="shared" ca="1" si="148"/>
        <v>-2.298684579755585E-2</v>
      </c>
    </row>
    <row r="8990" spans="7:8">
      <c r="G8990">
        <v>8980</v>
      </c>
      <c r="H8990">
        <f t="shared" ca="1" si="148"/>
        <v>-4.0319180661314145E-2</v>
      </c>
    </row>
    <row r="8991" spans="7:8">
      <c r="G8991">
        <v>8981</v>
      </c>
      <c r="H8991">
        <f t="shared" ca="1" si="148"/>
        <v>3.9323434885390654E-2</v>
      </c>
    </row>
    <row r="8992" spans="7:8">
      <c r="G8992">
        <v>8982</v>
      </c>
      <c r="H8992">
        <f t="shared" ca="1" si="148"/>
        <v>-1.5704837592041866E-2</v>
      </c>
    </row>
    <row r="8993" spans="7:8">
      <c r="G8993">
        <v>8983</v>
      </c>
      <c r="H8993">
        <f t="shared" ca="1" si="148"/>
        <v>3.9543698773306192E-2</v>
      </c>
    </row>
    <row r="8994" spans="7:8">
      <c r="G8994">
        <v>8984</v>
      </c>
      <c r="H8994">
        <f t="shared" ca="1" si="148"/>
        <v>3.2401551647178325E-3</v>
      </c>
    </row>
    <row r="8995" spans="7:8">
      <c r="G8995">
        <v>8985</v>
      </c>
      <c r="H8995">
        <f t="shared" ca="1" si="148"/>
        <v>-2.8192396695485483E-2</v>
      </c>
    </row>
    <row r="8996" spans="7:8">
      <c r="G8996">
        <v>8986</v>
      </c>
      <c r="H8996">
        <f t="shared" ca="1" si="148"/>
        <v>-1.2154380940673589E-2</v>
      </c>
    </row>
    <row r="8997" spans="7:8">
      <c r="G8997">
        <v>8987</v>
      </c>
      <c r="H8997">
        <f t="shared" ca="1" si="148"/>
        <v>3.1263070189179948E-3</v>
      </c>
    </row>
    <row r="8998" spans="7:8">
      <c r="G8998">
        <v>8988</v>
      </c>
      <c r="H8998">
        <f t="shared" ca="1" si="148"/>
        <v>-8.7971956386249939E-3</v>
      </c>
    </row>
    <row r="8999" spans="7:8">
      <c r="G8999">
        <v>8989</v>
      </c>
      <c r="H8999">
        <f t="shared" ca="1" si="148"/>
        <v>1.3140217389406171E-2</v>
      </c>
    </row>
    <row r="9000" spans="7:8">
      <c r="G9000">
        <v>8990</v>
      </c>
      <c r="H9000">
        <f t="shared" ca="1" si="148"/>
        <v>2.8191476034954983E-2</v>
      </c>
    </row>
    <row r="9001" spans="7:8">
      <c r="G9001">
        <v>8991</v>
      </c>
      <c r="H9001">
        <f t="shared" ca="1" si="148"/>
        <v>7.4286004727180579E-3</v>
      </c>
    </row>
    <row r="9002" spans="7:8">
      <c r="G9002">
        <v>8992</v>
      </c>
      <c r="H9002">
        <f t="shared" ca="1" si="148"/>
        <v>5.3124765233970507E-2</v>
      </c>
    </row>
    <row r="9003" spans="7:8">
      <c r="G9003">
        <v>8993</v>
      </c>
      <c r="H9003">
        <f t="shared" ca="1" si="148"/>
        <v>-7.043405647823972E-2</v>
      </c>
    </row>
    <row r="9004" spans="7:8">
      <c r="G9004">
        <v>8994</v>
      </c>
      <c r="H9004">
        <f t="shared" ca="1" si="148"/>
        <v>-1.7417887841910018E-3</v>
      </c>
    </row>
    <row r="9005" spans="7:8">
      <c r="G9005">
        <v>8995</v>
      </c>
      <c r="H9005">
        <f t="shared" ca="1" si="148"/>
        <v>1.2955102792586095E-2</v>
      </c>
    </row>
    <row r="9006" spans="7:8">
      <c r="G9006">
        <v>8996</v>
      </c>
      <c r="H9006">
        <f t="shared" ca="1" si="148"/>
        <v>2.3155910154145282E-2</v>
      </c>
    </row>
    <row r="9007" spans="7:8">
      <c r="G9007">
        <v>8997</v>
      </c>
      <c r="H9007">
        <f t="shared" ca="1" si="148"/>
        <v>-2.5578913180188683E-3</v>
      </c>
    </row>
    <row r="9008" spans="7:8">
      <c r="G9008">
        <v>8998</v>
      </c>
      <c r="H9008">
        <f t="shared" ca="1" si="148"/>
        <v>-2.0656759113034873E-2</v>
      </c>
    </row>
    <row r="9009" spans="7:8">
      <c r="G9009">
        <v>8999</v>
      </c>
      <c r="H9009">
        <f t="shared" ca="1" si="148"/>
        <v>3.502355623783944E-2</v>
      </c>
    </row>
    <row r="9010" spans="7:8">
      <c r="G9010">
        <v>9000</v>
      </c>
      <c r="H9010">
        <f t="shared" ca="1" si="148"/>
        <v>-2.0764917590187774E-2</v>
      </c>
    </row>
    <row r="9011" spans="7:8">
      <c r="G9011">
        <v>9001</v>
      </c>
      <c r="H9011">
        <f t="shared" ca="1" si="148"/>
        <v>-3.2949727471177484E-2</v>
      </c>
    </row>
    <row r="9012" spans="7:8">
      <c r="G9012">
        <v>9002</v>
      </c>
      <c r="H9012">
        <f t="shared" ca="1" si="148"/>
        <v>-6.2319283040869851E-3</v>
      </c>
    </row>
    <row r="9013" spans="7:8">
      <c r="G9013">
        <v>9003</v>
      </c>
      <c r="H9013">
        <f t="shared" ca="1" si="148"/>
        <v>1.35389249910399E-2</v>
      </c>
    </row>
    <row r="9014" spans="7:8">
      <c r="G9014">
        <v>9004</v>
      </c>
      <c r="H9014">
        <f t="shared" ca="1" si="148"/>
        <v>-1.1444766775335919E-2</v>
      </c>
    </row>
    <row r="9015" spans="7:8">
      <c r="G9015">
        <v>9005</v>
      </c>
      <c r="H9015">
        <f t="shared" ca="1" si="148"/>
        <v>-2.5952551967390783E-2</v>
      </c>
    </row>
    <row r="9016" spans="7:8">
      <c r="G9016">
        <v>9006</v>
      </c>
      <c r="H9016">
        <f t="shared" ca="1" si="148"/>
        <v>1.2854178680708065E-2</v>
      </c>
    </row>
    <row r="9017" spans="7:8">
      <c r="G9017">
        <v>9007</v>
      </c>
      <c r="H9017">
        <f t="shared" ca="1" si="148"/>
        <v>1.854468100953363E-4</v>
      </c>
    </row>
    <row r="9018" spans="7:8">
      <c r="G9018">
        <v>9008</v>
      </c>
      <c r="H9018">
        <f t="shared" ca="1" si="148"/>
        <v>-2.1883681057272491E-2</v>
      </c>
    </row>
    <row r="9019" spans="7:8">
      <c r="G9019">
        <v>9009</v>
      </c>
      <c r="H9019">
        <f t="shared" ca="1" si="148"/>
        <v>-2.1374824386980636E-2</v>
      </c>
    </row>
    <row r="9020" spans="7:8">
      <c r="G9020">
        <v>9010</v>
      </c>
      <c r="H9020">
        <f t="shared" ca="1" si="148"/>
        <v>-3.7569641660589377E-3</v>
      </c>
    </row>
    <row r="9021" spans="7:8">
      <c r="G9021">
        <v>9011</v>
      </c>
      <c r="H9021">
        <f t="shared" ca="1" si="148"/>
        <v>2.3695734430745335E-2</v>
      </c>
    </row>
    <row r="9022" spans="7:8">
      <c r="G9022">
        <v>9012</v>
      </c>
      <c r="H9022">
        <f t="shared" ca="1" si="148"/>
        <v>7.5303849120508381E-4</v>
      </c>
    </row>
    <row r="9023" spans="7:8">
      <c r="G9023">
        <v>9013</v>
      </c>
      <c r="H9023">
        <f t="shared" ca="1" si="148"/>
        <v>1.6574119813672617E-2</v>
      </c>
    </row>
    <row r="9024" spans="7:8">
      <c r="G9024">
        <v>9014</v>
      </c>
      <c r="H9024">
        <f t="shared" ca="1" si="148"/>
        <v>-1.4049344574634422E-2</v>
      </c>
    </row>
    <row r="9025" spans="7:8">
      <c r="G9025">
        <v>9015</v>
      </c>
      <c r="H9025">
        <f t="shared" ca="1" si="148"/>
        <v>-4.5649302248205077E-3</v>
      </c>
    </row>
    <row r="9026" spans="7:8">
      <c r="G9026">
        <v>9016</v>
      </c>
      <c r="H9026">
        <f t="shared" ca="1" si="148"/>
        <v>4.7729572832562774E-2</v>
      </c>
    </row>
    <row r="9027" spans="7:8">
      <c r="G9027">
        <v>9017</v>
      </c>
      <c r="H9027">
        <f t="shared" ca="1" si="148"/>
        <v>-4.626178708370531E-5</v>
      </c>
    </row>
    <row r="9028" spans="7:8">
      <c r="G9028">
        <v>9018</v>
      </c>
      <c r="H9028">
        <f t="shared" ca="1" si="148"/>
        <v>2.8022056580707944E-2</v>
      </c>
    </row>
    <row r="9029" spans="7:8">
      <c r="G9029">
        <v>9019</v>
      </c>
      <c r="H9029">
        <f t="shared" ca="1" si="148"/>
        <v>3.921294470789035E-3</v>
      </c>
    </row>
    <row r="9030" spans="7:8">
      <c r="G9030">
        <v>9020</v>
      </c>
      <c r="H9030">
        <f t="shared" ca="1" si="148"/>
        <v>-1.3075436030526931E-5</v>
      </c>
    </row>
    <row r="9031" spans="7:8">
      <c r="G9031">
        <v>9021</v>
      </c>
      <c r="H9031">
        <f t="shared" ca="1" si="148"/>
        <v>1.585596384756072E-2</v>
      </c>
    </row>
    <row r="9032" spans="7:8">
      <c r="G9032">
        <v>9022</v>
      </c>
      <c r="H9032">
        <f t="shared" ca="1" si="148"/>
        <v>-5.9292785590705534E-3</v>
      </c>
    </row>
    <row r="9033" spans="7:8">
      <c r="G9033">
        <v>9023</v>
      </c>
      <c r="H9033">
        <f t="shared" ca="1" si="148"/>
        <v>6.0427305252628884E-3</v>
      </c>
    </row>
    <row r="9034" spans="7:8">
      <c r="G9034">
        <v>9024</v>
      </c>
      <c r="H9034">
        <f t="shared" ca="1" si="148"/>
        <v>1.3821642064830032E-2</v>
      </c>
    </row>
    <row r="9035" spans="7:8">
      <c r="G9035">
        <v>9025</v>
      </c>
      <c r="H9035">
        <f t="shared" ca="1" si="148"/>
        <v>6.7998116055973598E-3</v>
      </c>
    </row>
    <row r="9036" spans="7:8">
      <c r="G9036">
        <v>9026</v>
      </c>
      <c r="H9036">
        <f t="shared" ref="H9036:H9099" ca="1" si="149">_xlfn.NORM.INV(RAND(),N$13,N$14)</f>
        <v>2.5941446675446796E-2</v>
      </c>
    </row>
    <row r="9037" spans="7:8">
      <c r="G9037">
        <v>9027</v>
      </c>
      <c r="H9037">
        <f t="shared" ca="1" si="149"/>
        <v>6.6033284085159428E-3</v>
      </c>
    </row>
    <row r="9038" spans="7:8">
      <c r="G9038">
        <v>9028</v>
      </c>
      <c r="H9038">
        <f t="shared" ca="1" si="149"/>
        <v>1.3481654084153291E-2</v>
      </c>
    </row>
    <row r="9039" spans="7:8">
      <c r="G9039">
        <v>9029</v>
      </c>
      <c r="H9039">
        <f t="shared" ca="1" si="149"/>
        <v>4.2859405380193056E-3</v>
      </c>
    </row>
    <row r="9040" spans="7:8">
      <c r="G9040">
        <v>9030</v>
      </c>
      <c r="H9040">
        <f t="shared" ca="1" si="149"/>
        <v>-3.6688986442629787E-2</v>
      </c>
    </row>
    <row r="9041" spans="7:8">
      <c r="G9041">
        <v>9031</v>
      </c>
      <c r="H9041">
        <f t="shared" ca="1" si="149"/>
        <v>-1.6288976793377912E-2</v>
      </c>
    </row>
    <row r="9042" spans="7:8">
      <c r="G9042">
        <v>9032</v>
      </c>
      <c r="H9042">
        <f t="shared" ca="1" si="149"/>
        <v>5.9721344142670447E-2</v>
      </c>
    </row>
    <row r="9043" spans="7:8">
      <c r="G9043">
        <v>9033</v>
      </c>
      <c r="H9043">
        <f t="shared" ca="1" si="149"/>
        <v>2.2813410217406987E-2</v>
      </c>
    </row>
    <row r="9044" spans="7:8">
      <c r="G9044">
        <v>9034</v>
      </c>
      <c r="H9044">
        <f t="shared" ca="1" si="149"/>
        <v>-5.4255483948895773E-3</v>
      </c>
    </row>
    <row r="9045" spans="7:8">
      <c r="G9045">
        <v>9035</v>
      </c>
      <c r="H9045">
        <f t="shared" ca="1" si="149"/>
        <v>-2.8940615529353182E-2</v>
      </c>
    </row>
    <row r="9046" spans="7:8">
      <c r="G9046">
        <v>9036</v>
      </c>
      <c r="H9046">
        <f t="shared" ca="1" si="149"/>
        <v>-1.4662657490188424E-2</v>
      </c>
    </row>
    <row r="9047" spans="7:8">
      <c r="G9047">
        <v>9037</v>
      </c>
      <c r="H9047">
        <f t="shared" ca="1" si="149"/>
        <v>-3.3519997892013757E-2</v>
      </c>
    </row>
    <row r="9048" spans="7:8">
      <c r="G9048">
        <v>9038</v>
      </c>
      <c r="H9048">
        <f t="shared" ca="1" si="149"/>
        <v>-2.9884197971051457E-3</v>
      </c>
    </row>
    <row r="9049" spans="7:8">
      <c r="G9049">
        <v>9039</v>
      </c>
      <c r="H9049">
        <f t="shared" ca="1" si="149"/>
        <v>-5.3013856535083434E-2</v>
      </c>
    </row>
    <row r="9050" spans="7:8">
      <c r="G9050">
        <v>9040</v>
      </c>
      <c r="H9050">
        <f t="shared" ca="1" si="149"/>
        <v>-1.719206338645312E-2</v>
      </c>
    </row>
    <row r="9051" spans="7:8">
      <c r="G9051">
        <v>9041</v>
      </c>
      <c r="H9051">
        <f t="shared" ca="1" si="149"/>
        <v>4.6042077978002999E-2</v>
      </c>
    </row>
    <row r="9052" spans="7:8">
      <c r="G9052">
        <v>9042</v>
      </c>
      <c r="H9052">
        <f t="shared" ca="1" si="149"/>
        <v>-2.0134989830741811E-2</v>
      </c>
    </row>
    <row r="9053" spans="7:8">
      <c r="G9053">
        <v>9043</v>
      </c>
      <c r="H9053">
        <f t="shared" ca="1" si="149"/>
        <v>1.9700669669145954E-2</v>
      </c>
    </row>
    <row r="9054" spans="7:8">
      <c r="G9054">
        <v>9044</v>
      </c>
      <c r="H9054">
        <f t="shared" ca="1" si="149"/>
        <v>-3.2812289040388951E-2</v>
      </c>
    </row>
    <row r="9055" spans="7:8">
      <c r="G9055">
        <v>9045</v>
      </c>
      <c r="H9055">
        <f t="shared" ca="1" si="149"/>
        <v>2.3538210137670487E-2</v>
      </c>
    </row>
    <row r="9056" spans="7:8">
      <c r="G9056">
        <v>9046</v>
      </c>
      <c r="H9056">
        <f t="shared" ca="1" si="149"/>
        <v>-1.5138374063794421E-2</v>
      </c>
    </row>
    <row r="9057" spans="7:8">
      <c r="G9057">
        <v>9047</v>
      </c>
      <c r="H9057">
        <f t="shared" ca="1" si="149"/>
        <v>-1.006526797822592E-2</v>
      </c>
    </row>
    <row r="9058" spans="7:8">
      <c r="G9058">
        <v>9048</v>
      </c>
      <c r="H9058">
        <f t="shared" ca="1" si="149"/>
        <v>-6.2117608046575257E-3</v>
      </c>
    </row>
    <row r="9059" spans="7:8">
      <c r="G9059">
        <v>9049</v>
      </c>
      <c r="H9059">
        <f t="shared" ca="1" si="149"/>
        <v>6.3922079292024793E-3</v>
      </c>
    </row>
    <row r="9060" spans="7:8">
      <c r="G9060">
        <v>9050</v>
      </c>
      <c r="H9060">
        <f t="shared" ca="1" si="149"/>
        <v>-5.2154096694524109E-2</v>
      </c>
    </row>
    <row r="9061" spans="7:8">
      <c r="G9061">
        <v>9051</v>
      </c>
      <c r="H9061">
        <f t="shared" ca="1" si="149"/>
        <v>-1.5304879630792585E-2</v>
      </c>
    </row>
    <row r="9062" spans="7:8">
      <c r="G9062">
        <v>9052</v>
      </c>
      <c r="H9062">
        <f t="shared" ca="1" si="149"/>
        <v>8.951506722124275E-3</v>
      </c>
    </row>
    <row r="9063" spans="7:8">
      <c r="G9063">
        <v>9053</v>
      </c>
      <c r="H9063">
        <f t="shared" ca="1" si="149"/>
        <v>-2.4539350384953991E-3</v>
      </c>
    </row>
    <row r="9064" spans="7:8">
      <c r="G9064">
        <v>9054</v>
      </c>
      <c r="H9064">
        <f t="shared" ca="1" si="149"/>
        <v>-9.1151645327340828E-3</v>
      </c>
    </row>
    <row r="9065" spans="7:8">
      <c r="G9065">
        <v>9055</v>
      </c>
      <c r="H9065">
        <f t="shared" ca="1" si="149"/>
        <v>8.3485097093201322E-4</v>
      </c>
    </row>
    <row r="9066" spans="7:8">
      <c r="G9066">
        <v>9056</v>
      </c>
      <c r="H9066">
        <f t="shared" ca="1" si="149"/>
        <v>3.4645095102616395E-2</v>
      </c>
    </row>
    <row r="9067" spans="7:8">
      <c r="G9067">
        <v>9057</v>
      </c>
      <c r="H9067">
        <f t="shared" ca="1" si="149"/>
        <v>-7.7399916518488413E-3</v>
      </c>
    </row>
    <row r="9068" spans="7:8">
      <c r="G9068">
        <v>9058</v>
      </c>
      <c r="H9068">
        <f t="shared" ca="1" si="149"/>
        <v>-2.8788486928309562E-4</v>
      </c>
    </row>
    <row r="9069" spans="7:8">
      <c r="G9069">
        <v>9059</v>
      </c>
      <c r="H9069">
        <f t="shared" ca="1" si="149"/>
        <v>-1.4096555927512664E-2</v>
      </c>
    </row>
    <row r="9070" spans="7:8">
      <c r="G9070">
        <v>9060</v>
      </c>
      <c r="H9070">
        <f t="shared" ca="1" si="149"/>
        <v>6.9840801783713422E-3</v>
      </c>
    </row>
    <row r="9071" spans="7:8">
      <c r="G9071">
        <v>9061</v>
      </c>
      <c r="H9071">
        <f t="shared" ca="1" si="149"/>
        <v>1.2503891808115038E-2</v>
      </c>
    </row>
    <row r="9072" spans="7:8">
      <c r="G9072">
        <v>9062</v>
      </c>
      <c r="H9072">
        <f t="shared" ca="1" si="149"/>
        <v>-3.7906943739155007E-2</v>
      </c>
    </row>
    <row r="9073" spans="7:8">
      <c r="G9073">
        <v>9063</v>
      </c>
      <c r="H9073">
        <f t="shared" ca="1" si="149"/>
        <v>-6.7975672081995583E-3</v>
      </c>
    </row>
    <row r="9074" spans="7:8">
      <c r="G9074">
        <v>9064</v>
      </c>
      <c r="H9074">
        <f t="shared" ca="1" si="149"/>
        <v>-3.7292479063992863E-2</v>
      </c>
    </row>
    <row r="9075" spans="7:8">
      <c r="G9075">
        <v>9065</v>
      </c>
      <c r="H9075">
        <f t="shared" ca="1" si="149"/>
        <v>8.9709029622965803E-3</v>
      </c>
    </row>
    <row r="9076" spans="7:8">
      <c r="G9076">
        <v>9066</v>
      </c>
      <c r="H9076">
        <f t="shared" ca="1" si="149"/>
        <v>-1.0811375586411825E-2</v>
      </c>
    </row>
    <row r="9077" spans="7:8">
      <c r="G9077">
        <v>9067</v>
      </c>
      <c r="H9077">
        <f t="shared" ca="1" si="149"/>
        <v>-2.6220041404321787E-2</v>
      </c>
    </row>
    <row r="9078" spans="7:8">
      <c r="G9078">
        <v>9068</v>
      </c>
      <c r="H9078">
        <f t="shared" ca="1" si="149"/>
        <v>2.4051280397479606E-2</v>
      </c>
    </row>
    <row r="9079" spans="7:8">
      <c r="G9079">
        <v>9069</v>
      </c>
      <c r="H9079">
        <f t="shared" ca="1" si="149"/>
        <v>1.524363818506828E-2</v>
      </c>
    </row>
    <row r="9080" spans="7:8">
      <c r="G9080">
        <v>9070</v>
      </c>
      <c r="H9080">
        <f t="shared" ca="1" si="149"/>
        <v>3.3755459896629814E-2</v>
      </c>
    </row>
    <row r="9081" spans="7:8">
      <c r="G9081">
        <v>9071</v>
      </c>
      <c r="H9081">
        <f t="shared" ca="1" si="149"/>
        <v>-1.8705011457123559E-3</v>
      </c>
    </row>
    <row r="9082" spans="7:8">
      <c r="G9082">
        <v>9072</v>
      </c>
      <c r="H9082">
        <f t="shared" ca="1" si="149"/>
        <v>2.0743981159909768E-2</v>
      </c>
    </row>
    <row r="9083" spans="7:8">
      <c r="G9083">
        <v>9073</v>
      </c>
      <c r="H9083">
        <f t="shared" ca="1" si="149"/>
        <v>-6.0344024250493893E-3</v>
      </c>
    </row>
    <row r="9084" spans="7:8">
      <c r="G9084">
        <v>9074</v>
      </c>
      <c r="H9084">
        <f t="shared" ca="1" si="149"/>
        <v>-2.8408010356839345E-3</v>
      </c>
    </row>
    <row r="9085" spans="7:8">
      <c r="G9085">
        <v>9075</v>
      </c>
      <c r="H9085">
        <f t="shared" ca="1" si="149"/>
        <v>4.1811600890750034E-2</v>
      </c>
    </row>
    <row r="9086" spans="7:8">
      <c r="G9086">
        <v>9076</v>
      </c>
      <c r="H9086">
        <f t="shared" ca="1" si="149"/>
        <v>-1.0490376973829112E-2</v>
      </c>
    </row>
    <row r="9087" spans="7:8">
      <c r="G9087">
        <v>9077</v>
      </c>
      <c r="H9087">
        <f t="shared" ca="1" si="149"/>
        <v>-3.6255086528731946E-2</v>
      </c>
    </row>
    <row r="9088" spans="7:8">
      <c r="G9088">
        <v>9078</v>
      </c>
      <c r="H9088">
        <f t="shared" ca="1" si="149"/>
        <v>-1.2069265303742291E-2</v>
      </c>
    </row>
    <row r="9089" spans="7:8">
      <c r="G9089">
        <v>9079</v>
      </c>
      <c r="H9089">
        <f t="shared" ca="1" si="149"/>
        <v>1.2516459076012397E-2</v>
      </c>
    </row>
    <row r="9090" spans="7:8">
      <c r="G9090">
        <v>9080</v>
      </c>
      <c r="H9090">
        <f t="shared" ca="1" si="149"/>
        <v>-1.1556560919129554E-2</v>
      </c>
    </row>
    <row r="9091" spans="7:8">
      <c r="G9091">
        <v>9081</v>
      </c>
      <c r="H9091">
        <f t="shared" ca="1" si="149"/>
        <v>2.2467669294713621E-2</v>
      </c>
    </row>
    <row r="9092" spans="7:8">
      <c r="G9092">
        <v>9082</v>
      </c>
      <c r="H9092">
        <f t="shared" ca="1" si="149"/>
        <v>-4.20031277519745E-3</v>
      </c>
    </row>
    <row r="9093" spans="7:8">
      <c r="G9093">
        <v>9083</v>
      </c>
      <c r="H9093">
        <f t="shared" ca="1" si="149"/>
        <v>5.3937593048894988E-3</v>
      </c>
    </row>
    <row r="9094" spans="7:8">
      <c r="G9094">
        <v>9084</v>
      </c>
      <c r="H9094">
        <f t="shared" ca="1" si="149"/>
        <v>-1.2969020485106387E-2</v>
      </c>
    </row>
    <row r="9095" spans="7:8">
      <c r="G9095">
        <v>9085</v>
      </c>
      <c r="H9095">
        <f t="shared" ca="1" si="149"/>
        <v>-2.602491606790421E-3</v>
      </c>
    </row>
    <row r="9096" spans="7:8">
      <c r="G9096">
        <v>9086</v>
      </c>
      <c r="H9096">
        <f t="shared" ca="1" si="149"/>
        <v>-9.5342677293735198E-5</v>
      </c>
    </row>
    <row r="9097" spans="7:8">
      <c r="G9097">
        <v>9087</v>
      </c>
      <c r="H9097">
        <f t="shared" ca="1" si="149"/>
        <v>-1.3735190434493927E-2</v>
      </c>
    </row>
    <row r="9098" spans="7:8">
      <c r="G9098">
        <v>9088</v>
      </c>
      <c r="H9098">
        <f t="shared" ca="1" si="149"/>
        <v>1.1816299153960073E-2</v>
      </c>
    </row>
    <row r="9099" spans="7:8">
      <c r="G9099">
        <v>9089</v>
      </c>
      <c r="H9099">
        <f t="shared" ca="1" si="149"/>
        <v>-1.9083118110579479E-2</v>
      </c>
    </row>
    <row r="9100" spans="7:8">
      <c r="G9100">
        <v>9090</v>
      </c>
      <c r="H9100">
        <f t="shared" ref="H9100:H9163" ca="1" si="150">_xlfn.NORM.INV(RAND(),N$13,N$14)</f>
        <v>2.0743059498169104E-2</v>
      </c>
    </row>
    <row r="9101" spans="7:8">
      <c r="G9101">
        <v>9091</v>
      </c>
      <c r="H9101">
        <f t="shared" ca="1" si="150"/>
        <v>2.9671608390269777E-2</v>
      </c>
    </row>
    <row r="9102" spans="7:8">
      <c r="G9102">
        <v>9092</v>
      </c>
      <c r="H9102">
        <f t="shared" ca="1" si="150"/>
        <v>-3.7313554147133531E-3</v>
      </c>
    </row>
    <row r="9103" spans="7:8">
      <c r="G9103">
        <v>9093</v>
      </c>
      <c r="H9103">
        <f t="shared" ca="1" si="150"/>
        <v>-1.0563897247308137E-2</v>
      </c>
    </row>
    <row r="9104" spans="7:8">
      <c r="G9104">
        <v>9094</v>
      </c>
      <c r="H9104">
        <f t="shared" ca="1" si="150"/>
        <v>2.5002929634821779E-2</v>
      </c>
    </row>
    <row r="9105" spans="7:8">
      <c r="G9105">
        <v>9095</v>
      </c>
      <c r="H9105">
        <f t="shared" ca="1" si="150"/>
        <v>-2.4378219352445048E-2</v>
      </c>
    </row>
    <row r="9106" spans="7:8">
      <c r="G9106">
        <v>9096</v>
      </c>
      <c r="H9106">
        <f t="shared" ca="1" si="150"/>
        <v>-1.0931122326405187E-2</v>
      </c>
    </row>
    <row r="9107" spans="7:8">
      <c r="G9107">
        <v>9097</v>
      </c>
      <c r="H9107">
        <f t="shared" ca="1" si="150"/>
        <v>-2.8082359533610705E-2</v>
      </c>
    </row>
    <row r="9108" spans="7:8">
      <c r="G9108">
        <v>9098</v>
      </c>
      <c r="H9108">
        <f t="shared" ca="1" si="150"/>
        <v>2.4889841375776593E-2</v>
      </c>
    </row>
    <row r="9109" spans="7:8">
      <c r="G9109">
        <v>9099</v>
      </c>
      <c r="H9109">
        <f t="shared" ca="1" si="150"/>
        <v>2.5444254338619879E-3</v>
      </c>
    </row>
    <row r="9110" spans="7:8">
      <c r="G9110">
        <v>9100</v>
      </c>
      <c r="H9110">
        <f t="shared" ca="1" si="150"/>
        <v>-9.8516779080508859E-3</v>
      </c>
    </row>
    <row r="9111" spans="7:8">
      <c r="G9111">
        <v>9101</v>
      </c>
      <c r="H9111">
        <f t="shared" ca="1" si="150"/>
        <v>-4.2433244279734113E-2</v>
      </c>
    </row>
    <row r="9112" spans="7:8">
      <c r="G9112">
        <v>9102</v>
      </c>
      <c r="H9112">
        <f t="shared" ca="1" si="150"/>
        <v>-1.427323404497567E-2</v>
      </c>
    </row>
    <row r="9113" spans="7:8">
      <c r="G9113">
        <v>9103</v>
      </c>
      <c r="H9113">
        <f t="shared" ca="1" si="150"/>
        <v>-1.1305866609412423E-2</v>
      </c>
    </row>
    <row r="9114" spans="7:8">
      <c r="G9114">
        <v>9104</v>
      </c>
      <c r="H9114">
        <f t="shared" ca="1" si="150"/>
        <v>-2.455764496625603E-2</v>
      </c>
    </row>
    <row r="9115" spans="7:8">
      <c r="G9115">
        <v>9105</v>
      </c>
      <c r="H9115">
        <f t="shared" ca="1" si="150"/>
        <v>4.7575988014141877E-3</v>
      </c>
    </row>
    <row r="9116" spans="7:8">
      <c r="G9116">
        <v>9106</v>
      </c>
      <c r="H9116">
        <f t="shared" ca="1" si="150"/>
        <v>2.9964123654184383E-2</v>
      </c>
    </row>
    <row r="9117" spans="7:8">
      <c r="G9117">
        <v>9107</v>
      </c>
      <c r="H9117">
        <f t="shared" ca="1" si="150"/>
        <v>-3.0897697999968932E-2</v>
      </c>
    </row>
    <row r="9118" spans="7:8">
      <c r="G9118">
        <v>9108</v>
      </c>
      <c r="H9118">
        <f t="shared" ca="1" si="150"/>
        <v>8.4785004909378008E-3</v>
      </c>
    </row>
    <row r="9119" spans="7:8">
      <c r="G9119">
        <v>9109</v>
      </c>
      <c r="H9119">
        <f t="shared" ca="1" si="150"/>
        <v>4.5254480186838815E-2</v>
      </c>
    </row>
    <row r="9120" spans="7:8">
      <c r="G9120">
        <v>9110</v>
      </c>
      <c r="H9120">
        <f t="shared" ca="1" si="150"/>
        <v>8.9267916595767386E-3</v>
      </c>
    </row>
    <row r="9121" spans="7:8">
      <c r="G9121">
        <v>9111</v>
      </c>
      <c r="H9121">
        <f t="shared" ca="1" si="150"/>
        <v>8.6699378965377338E-3</v>
      </c>
    </row>
    <row r="9122" spans="7:8">
      <c r="G9122">
        <v>9112</v>
      </c>
      <c r="H9122">
        <f t="shared" ca="1" si="150"/>
        <v>7.6995848115759564E-3</v>
      </c>
    </row>
    <row r="9123" spans="7:8">
      <c r="G9123">
        <v>9113</v>
      </c>
      <c r="H9123">
        <f t="shared" ca="1" si="150"/>
        <v>-1.0558844344836149E-2</v>
      </c>
    </row>
    <row r="9124" spans="7:8">
      <c r="G9124">
        <v>9114</v>
      </c>
      <c r="H9124">
        <f t="shared" ca="1" si="150"/>
        <v>3.137674043119644E-2</v>
      </c>
    </row>
    <row r="9125" spans="7:8">
      <c r="G9125">
        <v>9115</v>
      </c>
      <c r="H9125">
        <f t="shared" ca="1" si="150"/>
        <v>6.4854704642065553E-3</v>
      </c>
    </row>
    <row r="9126" spans="7:8">
      <c r="G9126">
        <v>9116</v>
      </c>
      <c r="H9126">
        <f t="shared" ca="1" si="150"/>
        <v>-1.1215353498295874E-2</v>
      </c>
    </row>
    <row r="9127" spans="7:8">
      <c r="G9127">
        <v>9117</v>
      </c>
      <c r="H9127">
        <f t="shared" ca="1" si="150"/>
        <v>2.0412510268675639E-2</v>
      </c>
    </row>
    <row r="9128" spans="7:8">
      <c r="G9128">
        <v>9118</v>
      </c>
      <c r="H9128">
        <f t="shared" ca="1" si="150"/>
        <v>-1.5504154955762524E-2</v>
      </c>
    </row>
    <row r="9129" spans="7:8">
      <c r="G9129">
        <v>9119</v>
      </c>
      <c r="H9129">
        <f t="shared" ca="1" si="150"/>
        <v>-4.7561001922631116E-2</v>
      </c>
    </row>
    <row r="9130" spans="7:8">
      <c r="G9130">
        <v>9120</v>
      </c>
      <c r="H9130">
        <f t="shared" ca="1" si="150"/>
        <v>2.6109945197382164E-4</v>
      </c>
    </row>
    <row r="9131" spans="7:8">
      <c r="G9131">
        <v>9121</v>
      </c>
      <c r="H9131">
        <f t="shared" ca="1" si="150"/>
        <v>1.544966726583418E-2</v>
      </c>
    </row>
    <row r="9132" spans="7:8">
      <c r="G9132">
        <v>9122</v>
      </c>
      <c r="H9132">
        <f t="shared" ca="1" si="150"/>
        <v>-6.5899788127490116E-2</v>
      </c>
    </row>
    <row r="9133" spans="7:8">
      <c r="G9133">
        <v>9123</v>
      </c>
      <c r="H9133">
        <f t="shared" ca="1" si="150"/>
        <v>1.6936947297235373E-2</v>
      </c>
    </row>
    <row r="9134" spans="7:8">
      <c r="G9134">
        <v>9124</v>
      </c>
      <c r="H9134">
        <f t="shared" ca="1" si="150"/>
        <v>5.2384124596571947E-3</v>
      </c>
    </row>
    <row r="9135" spans="7:8">
      <c r="G9135">
        <v>9125</v>
      </c>
      <c r="H9135">
        <f t="shared" ca="1" si="150"/>
        <v>8.4423823993972475E-5</v>
      </c>
    </row>
    <row r="9136" spans="7:8">
      <c r="G9136">
        <v>9126</v>
      </c>
      <c r="H9136">
        <f t="shared" ca="1" si="150"/>
        <v>4.8097243895843224E-2</v>
      </c>
    </row>
    <row r="9137" spans="7:8">
      <c r="G9137">
        <v>9127</v>
      </c>
      <c r="H9137">
        <f t="shared" ca="1" si="150"/>
        <v>-1.6807946869616366E-2</v>
      </c>
    </row>
    <row r="9138" spans="7:8">
      <c r="G9138">
        <v>9128</v>
      </c>
      <c r="H9138">
        <f t="shared" ca="1" si="150"/>
        <v>4.618700439040125E-2</v>
      </c>
    </row>
    <row r="9139" spans="7:8">
      <c r="G9139">
        <v>9129</v>
      </c>
      <c r="H9139">
        <f t="shared" ca="1" si="150"/>
        <v>2.6406191700802762E-2</v>
      </c>
    </row>
    <row r="9140" spans="7:8">
      <c r="G9140">
        <v>9130</v>
      </c>
      <c r="H9140">
        <f t="shared" ca="1" si="150"/>
        <v>-6.8516494101569202E-3</v>
      </c>
    </row>
    <row r="9141" spans="7:8">
      <c r="G9141">
        <v>9131</v>
      </c>
      <c r="H9141">
        <f t="shared" ca="1" si="150"/>
        <v>4.5477029757782339E-2</v>
      </c>
    </row>
    <row r="9142" spans="7:8">
      <c r="G9142">
        <v>9132</v>
      </c>
      <c r="H9142">
        <f t="shared" ca="1" si="150"/>
        <v>2.034089848483954E-2</v>
      </c>
    </row>
    <row r="9143" spans="7:8">
      <c r="G9143">
        <v>9133</v>
      </c>
      <c r="H9143">
        <f t="shared" ca="1" si="150"/>
        <v>-1.287972305957831E-2</v>
      </c>
    </row>
    <row r="9144" spans="7:8">
      <c r="G9144">
        <v>9134</v>
      </c>
      <c r="H9144">
        <f t="shared" ca="1" si="150"/>
        <v>4.0866044572492499E-4</v>
      </c>
    </row>
    <row r="9145" spans="7:8">
      <c r="G9145">
        <v>9135</v>
      </c>
      <c r="H9145">
        <f t="shared" ca="1" si="150"/>
        <v>-9.1317709299626858E-3</v>
      </c>
    </row>
    <row r="9146" spans="7:8">
      <c r="G9146">
        <v>9136</v>
      </c>
      <c r="H9146">
        <f t="shared" ca="1" si="150"/>
        <v>2.4578275907981888E-2</v>
      </c>
    </row>
    <row r="9147" spans="7:8">
      <c r="G9147">
        <v>9137</v>
      </c>
      <c r="H9147">
        <f t="shared" ca="1" si="150"/>
        <v>-1.6560969768131917E-2</v>
      </c>
    </row>
    <row r="9148" spans="7:8">
      <c r="G9148">
        <v>9138</v>
      </c>
      <c r="H9148">
        <f t="shared" ca="1" si="150"/>
        <v>2.0753884714074935E-2</v>
      </c>
    </row>
    <row r="9149" spans="7:8">
      <c r="G9149">
        <v>9139</v>
      </c>
      <c r="H9149">
        <f t="shared" ca="1" si="150"/>
        <v>-1.445343872225395E-2</v>
      </c>
    </row>
    <row r="9150" spans="7:8">
      <c r="G9150">
        <v>9140</v>
      </c>
      <c r="H9150">
        <f t="shared" ca="1" si="150"/>
        <v>4.1797899393815535E-2</v>
      </c>
    </row>
    <row r="9151" spans="7:8">
      <c r="G9151">
        <v>9141</v>
      </c>
      <c r="H9151">
        <f t="shared" ca="1" si="150"/>
        <v>-2.6498755560129317E-2</v>
      </c>
    </row>
    <row r="9152" spans="7:8">
      <c r="G9152">
        <v>9142</v>
      </c>
      <c r="H9152">
        <f t="shared" ca="1" si="150"/>
        <v>2.16337674334303E-2</v>
      </c>
    </row>
    <row r="9153" spans="7:8">
      <c r="G9153">
        <v>9143</v>
      </c>
      <c r="H9153">
        <f t="shared" ca="1" si="150"/>
        <v>-1.2100314020306365E-2</v>
      </c>
    </row>
    <row r="9154" spans="7:8">
      <c r="G9154">
        <v>9144</v>
      </c>
      <c r="H9154">
        <f t="shared" ca="1" si="150"/>
        <v>2.8689605070967805E-2</v>
      </c>
    </row>
    <row r="9155" spans="7:8">
      <c r="G9155">
        <v>9145</v>
      </c>
      <c r="H9155">
        <f t="shared" ca="1" si="150"/>
        <v>3.393062329141406E-2</v>
      </c>
    </row>
    <row r="9156" spans="7:8">
      <c r="G9156">
        <v>9146</v>
      </c>
      <c r="H9156">
        <f t="shared" ca="1" si="150"/>
        <v>-3.0259567167805969E-3</v>
      </c>
    </row>
    <row r="9157" spans="7:8">
      <c r="G9157">
        <v>9147</v>
      </c>
      <c r="H9157">
        <f t="shared" ca="1" si="150"/>
        <v>1.4311581240413984E-2</v>
      </c>
    </row>
    <row r="9158" spans="7:8">
      <c r="G9158">
        <v>9148</v>
      </c>
      <c r="H9158">
        <f t="shared" ca="1" si="150"/>
        <v>-1.0587796631578245E-2</v>
      </c>
    </row>
    <row r="9159" spans="7:8">
      <c r="G9159">
        <v>9149</v>
      </c>
      <c r="H9159">
        <f t="shared" ca="1" si="150"/>
        <v>-1.8652931958462737E-2</v>
      </c>
    </row>
    <row r="9160" spans="7:8">
      <c r="G9160">
        <v>9150</v>
      </c>
      <c r="H9160">
        <f t="shared" ca="1" si="150"/>
        <v>-2.4934991382266859E-3</v>
      </c>
    </row>
    <row r="9161" spans="7:8">
      <c r="G9161">
        <v>9151</v>
      </c>
      <c r="H9161">
        <f t="shared" ca="1" si="150"/>
        <v>5.8917471095297665E-3</v>
      </c>
    </row>
    <row r="9162" spans="7:8">
      <c r="G9162">
        <v>9152</v>
      </c>
      <c r="H9162">
        <f t="shared" ca="1" si="150"/>
        <v>-2.7618625255716629E-2</v>
      </c>
    </row>
    <row r="9163" spans="7:8">
      <c r="G9163">
        <v>9153</v>
      </c>
      <c r="H9163">
        <f t="shared" ca="1" si="150"/>
        <v>9.511926698231114E-3</v>
      </c>
    </row>
    <row r="9164" spans="7:8">
      <c r="G9164">
        <v>9154</v>
      </c>
      <c r="H9164">
        <f t="shared" ref="H9164:H9227" ca="1" si="151">_xlfn.NORM.INV(RAND(),N$13,N$14)</f>
        <v>-1.1744124902892207E-2</v>
      </c>
    </row>
    <row r="9165" spans="7:8">
      <c r="G9165">
        <v>9155</v>
      </c>
      <c r="H9165">
        <f t="shared" ca="1" si="151"/>
        <v>-5.0574358598023178E-3</v>
      </c>
    </row>
    <row r="9166" spans="7:8">
      <c r="G9166">
        <v>9156</v>
      </c>
      <c r="H9166">
        <f t="shared" ca="1" si="151"/>
        <v>-1.3800213939215517E-2</v>
      </c>
    </row>
    <row r="9167" spans="7:8">
      <c r="G9167">
        <v>9157</v>
      </c>
      <c r="H9167">
        <f t="shared" ca="1" si="151"/>
        <v>-2.4844458384136056E-2</v>
      </c>
    </row>
    <row r="9168" spans="7:8">
      <c r="G9168">
        <v>9158</v>
      </c>
      <c r="H9168">
        <f t="shared" ca="1" si="151"/>
        <v>-8.6804124239966383E-3</v>
      </c>
    </row>
    <row r="9169" spans="7:8">
      <c r="G9169">
        <v>9159</v>
      </c>
      <c r="H9169">
        <f t="shared" ca="1" si="151"/>
        <v>2.1806483960316453E-2</v>
      </c>
    </row>
    <row r="9170" spans="7:8">
      <c r="G9170">
        <v>9160</v>
      </c>
      <c r="H9170">
        <f t="shared" ca="1" si="151"/>
        <v>-2.0556699155792689E-2</v>
      </c>
    </row>
    <row r="9171" spans="7:8">
      <c r="G9171">
        <v>9161</v>
      </c>
      <c r="H9171">
        <f t="shared" ca="1" si="151"/>
        <v>1.169019011827482E-2</v>
      </c>
    </row>
    <row r="9172" spans="7:8">
      <c r="G9172">
        <v>9162</v>
      </c>
      <c r="H9172">
        <f t="shared" ca="1" si="151"/>
        <v>-1.8220043901997933E-2</v>
      </c>
    </row>
    <row r="9173" spans="7:8">
      <c r="G9173">
        <v>9163</v>
      </c>
      <c r="H9173">
        <f t="shared" ca="1" si="151"/>
        <v>1.9244876148523007E-2</v>
      </c>
    </row>
    <row r="9174" spans="7:8">
      <c r="G9174">
        <v>9164</v>
      </c>
      <c r="H9174">
        <f t="shared" ca="1" si="151"/>
        <v>-3.2780754743885355E-3</v>
      </c>
    </row>
    <row r="9175" spans="7:8">
      <c r="G9175">
        <v>9165</v>
      </c>
      <c r="H9175">
        <f t="shared" ca="1" si="151"/>
        <v>3.2532887910553393E-2</v>
      </c>
    </row>
    <row r="9176" spans="7:8">
      <c r="G9176">
        <v>9166</v>
      </c>
      <c r="H9176">
        <f t="shared" ca="1" si="151"/>
        <v>-2.0805279736598192E-2</v>
      </c>
    </row>
    <row r="9177" spans="7:8">
      <c r="G9177">
        <v>9167</v>
      </c>
      <c r="H9177">
        <f t="shared" ca="1" si="151"/>
        <v>-4.0603622032013648E-2</v>
      </c>
    </row>
    <row r="9178" spans="7:8">
      <c r="G9178">
        <v>9168</v>
      </c>
      <c r="H9178">
        <f t="shared" ca="1" si="151"/>
        <v>1.6980106115962523E-2</v>
      </c>
    </row>
    <row r="9179" spans="7:8">
      <c r="G9179">
        <v>9169</v>
      </c>
      <c r="H9179">
        <f t="shared" ca="1" si="151"/>
        <v>2.7376274672234774E-2</v>
      </c>
    </row>
    <row r="9180" spans="7:8">
      <c r="G9180">
        <v>9170</v>
      </c>
      <c r="H9180">
        <f t="shared" ca="1" si="151"/>
        <v>-3.8464895069055083E-3</v>
      </c>
    </row>
    <row r="9181" spans="7:8">
      <c r="G9181">
        <v>9171</v>
      </c>
      <c r="H9181">
        <f t="shared" ca="1" si="151"/>
        <v>-1.1547463212348147E-2</v>
      </c>
    </row>
    <row r="9182" spans="7:8">
      <c r="G9182">
        <v>9172</v>
      </c>
      <c r="H9182">
        <f t="shared" ca="1" si="151"/>
        <v>8.6454721753002652E-3</v>
      </c>
    </row>
    <row r="9183" spans="7:8">
      <c r="G9183">
        <v>9173</v>
      </c>
      <c r="H9183">
        <f t="shared" ca="1" si="151"/>
        <v>3.0437068997313455E-2</v>
      </c>
    </row>
    <row r="9184" spans="7:8">
      <c r="G9184">
        <v>9174</v>
      </c>
      <c r="H9184">
        <f t="shared" ca="1" si="151"/>
        <v>2.9945368811018124E-2</v>
      </c>
    </row>
    <row r="9185" spans="7:8">
      <c r="G9185">
        <v>9175</v>
      </c>
      <c r="H9185">
        <f t="shared" ca="1" si="151"/>
        <v>-2.3882048579654532E-2</v>
      </c>
    </row>
    <row r="9186" spans="7:8">
      <c r="G9186">
        <v>9176</v>
      </c>
      <c r="H9186">
        <f t="shared" ca="1" si="151"/>
        <v>1.3993833283237804E-2</v>
      </c>
    </row>
    <row r="9187" spans="7:8">
      <c r="G9187">
        <v>9177</v>
      </c>
      <c r="H9187">
        <f t="shared" ca="1" si="151"/>
        <v>-1.6707186560922488E-2</v>
      </c>
    </row>
    <row r="9188" spans="7:8">
      <c r="G9188">
        <v>9178</v>
      </c>
      <c r="H9188">
        <f t="shared" ca="1" si="151"/>
        <v>-2.2230633035873757E-3</v>
      </c>
    </row>
    <row r="9189" spans="7:8">
      <c r="G9189">
        <v>9179</v>
      </c>
      <c r="H9189">
        <f t="shared" ca="1" si="151"/>
        <v>-1.1497397362413437E-2</v>
      </c>
    </row>
    <row r="9190" spans="7:8">
      <c r="G9190">
        <v>9180</v>
      </c>
      <c r="H9190">
        <f t="shared" ca="1" si="151"/>
        <v>-5.2677959615286367E-2</v>
      </c>
    </row>
    <row r="9191" spans="7:8">
      <c r="G9191">
        <v>9181</v>
      </c>
      <c r="H9191">
        <f t="shared" ca="1" si="151"/>
        <v>-2.051716723262403E-3</v>
      </c>
    </row>
    <row r="9192" spans="7:8">
      <c r="G9192">
        <v>9182</v>
      </c>
      <c r="H9192">
        <f t="shared" ca="1" si="151"/>
        <v>1.5671143945320308E-3</v>
      </c>
    </row>
    <row r="9193" spans="7:8">
      <c r="G9193">
        <v>9183</v>
      </c>
      <c r="H9193">
        <f t="shared" ca="1" si="151"/>
        <v>-1.1691326442842214E-2</v>
      </c>
    </row>
    <row r="9194" spans="7:8">
      <c r="G9194">
        <v>9184</v>
      </c>
      <c r="H9194">
        <f t="shared" ca="1" si="151"/>
        <v>-4.4214694978283599E-2</v>
      </c>
    </row>
    <row r="9195" spans="7:8">
      <c r="G9195">
        <v>9185</v>
      </c>
      <c r="H9195">
        <f t="shared" ca="1" si="151"/>
        <v>-3.1593220071094136E-2</v>
      </c>
    </row>
    <row r="9196" spans="7:8">
      <c r="G9196">
        <v>9186</v>
      </c>
      <c r="H9196">
        <f t="shared" ca="1" si="151"/>
        <v>-1.7351578321595399E-2</v>
      </c>
    </row>
    <row r="9197" spans="7:8">
      <c r="G9197">
        <v>9187</v>
      </c>
      <c r="H9197">
        <f t="shared" ca="1" si="151"/>
        <v>3.3981225582542157E-2</v>
      </c>
    </row>
    <row r="9198" spans="7:8">
      <c r="G9198">
        <v>9188</v>
      </c>
      <c r="H9198">
        <f t="shared" ca="1" si="151"/>
        <v>9.1234748932881148E-3</v>
      </c>
    </row>
    <row r="9199" spans="7:8">
      <c r="G9199">
        <v>9189</v>
      </c>
      <c r="H9199">
        <f t="shared" ca="1" si="151"/>
        <v>-4.3823258692172733E-2</v>
      </c>
    </row>
    <row r="9200" spans="7:8">
      <c r="G9200">
        <v>9190</v>
      </c>
      <c r="H9200">
        <f t="shared" ca="1" si="151"/>
        <v>4.0341246025120739E-4</v>
      </c>
    </row>
    <row r="9201" spans="7:8">
      <c r="G9201">
        <v>9191</v>
      </c>
      <c r="H9201">
        <f t="shared" ca="1" si="151"/>
        <v>-4.3961563495118913E-2</v>
      </c>
    </row>
    <row r="9202" spans="7:8">
      <c r="G9202">
        <v>9192</v>
      </c>
      <c r="H9202">
        <f t="shared" ca="1" si="151"/>
        <v>-1.6752898693052527E-2</v>
      </c>
    </row>
    <row r="9203" spans="7:8">
      <c r="G9203">
        <v>9193</v>
      </c>
      <c r="H9203">
        <f t="shared" ca="1" si="151"/>
        <v>-8.225867904740428E-3</v>
      </c>
    </row>
    <row r="9204" spans="7:8">
      <c r="G9204">
        <v>9194</v>
      </c>
      <c r="H9204">
        <f t="shared" ca="1" si="151"/>
        <v>6.6487029597400004E-3</v>
      </c>
    </row>
    <row r="9205" spans="7:8">
      <c r="G9205">
        <v>9195</v>
      </c>
      <c r="H9205">
        <f t="shared" ca="1" si="151"/>
        <v>-2.7671875831276765E-2</v>
      </c>
    </row>
    <row r="9206" spans="7:8">
      <c r="G9206">
        <v>9196</v>
      </c>
      <c r="H9206">
        <f t="shared" ca="1" si="151"/>
        <v>5.7845737284594975E-4</v>
      </c>
    </row>
    <row r="9207" spans="7:8">
      <c r="G9207">
        <v>9197</v>
      </c>
      <c r="H9207">
        <f t="shared" ca="1" si="151"/>
        <v>2.5877138444133523E-2</v>
      </c>
    </row>
    <row r="9208" spans="7:8">
      <c r="G9208">
        <v>9198</v>
      </c>
      <c r="H9208">
        <f t="shared" ca="1" si="151"/>
        <v>1.5683519518258468E-3</v>
      </c>
    </row>
    <row r="9209" spans="7:8">
      <c r="G9209">
        <v>9199</v>
      </c>
      <c r="H9209">
        <f t="shared" ca="1" si="151"/>
        <v>-1.6057731308692515E-2</v>
      </c>
    </row>
    <row r="9210" spans="7:8">
      <c r="G9210">
        <v>9200</v>
      </c>
      <c r="H9210">
        <f t="shared" ca="1" si="151"/>
        <v>-7.8683643643928311E-3</v>
      </c>
    </row>
    <row r="9211" spans="7:8">
      <c r="G9211">
        <v>9201</v>
      </c>
      <c r="H9211">
        <f t="shared" ca="1" si="151"/>
        <v>1.964629382947598E-2</v>
      </c>
    </row>
    <row r="9212" spans="7:8">
      <c r="G9212">
        <v>9202</v>
      </c>
      <c r="H9212">
        <f t="shared" ca="1" si="151"/>
        <v>2.0716682722084958E-2</v>
      </c>
    </row>
    <row r="9213" spans="7:8">
      <c r="G9213">
        <v>9203</v>
      </c>
      <c r="H9213">
        <f t="shared" ca="1" si="151"/>
        <v>1.1679735749373418E-2</v>
      </c>
    </row>
    <row r="9214" spans="7:8">
      <c r="G9214">
        <v>9204</v>
      </c>
      <c r="H9214">
        <f t="shared" ca="1" si="151"/>
        <v>1.4901348005009628E-2</v>
      </c>
    </row>
    <row r="9215" spans="7:8">
      <c r="G9215">
        <v>9205</v>
      </c>
      <c r="H9215">
        <f t="shared" ca="1" si="151"/>
        <v>-5.7353841601251683E-2</v>
      </c>
    </row>
    <row r="9216" spans="7:8">
      <c r="G9216">
        <v>9206</v>
      </c>
      <c r="H9216">
        <f t="shared" ca="1" si="151"/>
        <v>6.5240413367608583E-3</v>
      </c>
    </row>
    <row r="9217" spans="7:8">
      <c r="G9217">
        <v>9207</v>
      </c>
      <c r="H9217">
        <f t="shared" ca="1" si="151"/>
        <v>9.0303647249526699E-3</v>
      </c>
    </row>
    <row r="9218" spans="7:8">
      <c r="G9218">
        <v>9208</v>
      </c>
      <c r="H9218">
        <f t="shared" ca="1" si="151"/>
        <v>-2.5231898906165296E-3</v>
      </c>
    </row>
    <row r="9219" spans="7:8">
      <c r="G9219">
        <v>9209</v>
      </c>
      <c r="H9219">
        <f t="shared" ca="1" si="151"/>
        <v>-4.9352657725564658E-2</v>
      </c>
    </row>
    <row r="9220" spans="7:8">
      <c r="G9220">
        <v>9210</v>
      </c>
      <c r="H9220">
        <f t="shared" ca="1" si="151"/>
        <v>-8.3018337845240705E-3</v>
      </c>
    </row>
    <row r="9221" spans="7:8">
      <c r="G9221">
        <v>9211</v>
      </c>
      <c r="H9221">
        <f t="shared" ca="1" si="151"/>
        <v>-1.6025125622122115E-2</v>
      </c>
    </row>
    <row r="9222" spans="7:8">
      <c r="G9222">
        <v>9212</v>
      </c>
      <c r="H9222">
        <f t="shared" ca="1" si="151"/>
        <v>7.8052271596696591E-4</v>
      </c>
    </row>
    <row r="9223" spans="7:8">
      <c r="G9223">
        <v>9213</v>
      </c>
      <c r="H9223">
        <f t="shared" ca="1" si="151"/>
        <v>-4.893688859264099E-2</v>
      </c>
    </row>
    <row r="9224" spans="7:8">
      <c r="G9224">
        <v>9214</v>
      </c>
      <c r="H9224">
        <f t="shared" ca="1" si="151"/>
        <v>-2.9273534860671441E-2</v>
      </c>
    </row>
    <row r="9225" spans="7:8">
      <c r="G9225">
        <v>9215</v>
      </c>
      <c r="H9225">
        <f t="shared" ca="1" si="151"/>
        <v>2.730565496231465E-2</v>
      </c>
    </row>
    <row r="9226" spans="7:8">
      <c r="G9226">
        <v>9216</v>
      </c>
      <c r="H9226">
        <f t="shared" ca="1" si="151"/>
        <v>-1.4501052975461805E-2</v>
      </c>
    </row>
    <row r="9227" spans="7:8">
      <c r="G9227">
        <v>9217</v>
      </c>
      <c r="H9227">
        <f t="shared" ca="1" si="151"/>
        <v>5.5746709399888822E-3</v>
      </c>
    </row>
    <row r="9228" spans="7:8">
      <c r="G9228">
        <v>9218</v>
      </c>
      <c r="H9228">
        <f t="shared" ref="H9228:H9291" ca="1" si="152">_xlfn.NORM.INV(RAND(),N$13,N$14)</f>
        <v>-1.372524904678013E-2</v>
      </c>
    </row>
    <row r="9229" spans="7:8">
      <c r="G9229">
        <v>9219</v>
      </c>
      <c r="H9229">
        <f t="shared" ca="1" si="152"/>
        <v>-2.4159543710549597E-2</v>
      </c>
    </row>
    <row r="9230" spans="7:8">
      <c r="G9230">
        <v>9220</v>
      </c>
      <c r="H9230">
        <f t="shared" ca="1" si="152"/>
        <v>1.2655598857010127E-2</v>
      </c>
    </row>
    <row r="9231" spans="7:8">
      <c r="G9231">
        <v>9221</v>
      </c>
      <c r="H9231">
        <f t="shared" ca="1" si="152"/>
        <v>3.8308139074615395E-2</v>
      </c>
    </row>
    <row r="9232" spans="7:8">
      <c r="G9232">
        <v>9222</v>
      </c>
      <c r="H9232">
        <f t="shared" ca="1" si="152"/>
        <v>-2.6457149274078558E-2</v>
      </c>
    </row>
    <row r="9233" spans="7:8">
      <c r="G9233">
        <v>9223</v>
      </c>
      <c r="H9233">
        <f t="shared" ca="1" si="152"/>
        <v>4.6258822343108368E-3</v>
      </c>
    </row>
    <row r="9234" spans="7:8">
      <c r="G9234">
        <v>9224</v>
      </c>
      <c r="H9234">
        <f t="shared" ca="1" si="152"/>
        <v>-1.6177076215937031E-2</v>
      </c>
    </row>
    <row r="9235" spans="7:8">
      <c r="G9235">
        <v>9225</v>
      </c>
      <c r="H9235">
        <f t="shared" ca="1" si="152"/>
        <v>3.8360180441344698E-2</v>
      </c>
    </row>
    <row r="9236" spans="7:8">
      <c r="G9236">
        <v>9226</v>
      </c>
      <c r="H9236">
        <f t="shared" ca="1" si="152"/>
        <v>-3.2167215953409741E-3</v>
      </c>
    </row>
    <row r="9237" spans="7:8">
      <c r="G9237">
        <v>9227</v>
      </c>
      <c r="H9237">
        <f t="shared" ca="1" si="152"/>
        <v>2.2950033024372023E-2</v>
      </c>
    </row>
    <row r="9238" spans="7:8">
      <c r="G9238">
        <v>9228</v>
      </c>
      <c r="H9238">
        <f t="shared" ca="1" si="152"/>
        <v>5.4649735032184552E-2</v>
      </c>
    </row>
    <row r="9239" spans="7:8">
      <c r="G9239">
        <v>9229</v>
      </c>
      <c r="H9239">
        <f t="shared" ca="1" si="152"/>
        <v>3.5118993051315654E-2</v>
      </c>
    </row>
    <row r="9240" spans="7:8">
      <c r="G9240">
        <v>9230</v>
      </c>
      <c r="H9240">
        <f t="shared" ca="1" si="152"/>
        <v>7.7083808143688466E-3</v>
      </c>
    </row>
    <row r="9241" spans="7:8">
      <c r="G9241">
        <v>9231</v>
      </c>
      <c r="H9241">
        <f t="shared" ca="1" si="152"/>
        <v>2.9690554734956309E-2</v>
      </c>
    </row>
    <row r="9242" spans="7:8">
      <c r="G9242">
        <v>9232</v>
      </c>
      <c r="H9242">
        <f t="shared" ca="1" si="152"/>
        <v>-1.9505680403017905E-2</v>
      </c>
    </row>
    <row r="9243" spans="7:8">
      <c r="G9243">
        <v>9233</v>
      </c>
      <c r="H9243">
        <f t="shared" ca="1" si="152"/>
        <v>-5.6360538447890643E-2</v>
      </c>
    </row>
    <row r="9244" spans="7:8">
      <c r="G9244">
        <v>9234</v>
      </c>
      <c r="H9244">
        <f t="shared" ca="1" si="152"/>
        <v>-7.349198413367306E-3</v>
      </c>
    </row>
    <row r="9245" spans="7:8">
      <c r="G9245">
        <v>9235</v>
      </c>
      <c r="H9245">
        <f t="shared" ca="1" si="152"/>
        <v>4.9009875897919732E-4</v>
      </c>
    </row>
    <row r="9246" spans="7:8">
      <c r="G9246">
        <v>9236</v>
      </c>
      <c r="H9246">
        <f t="shared" ca="1" si="152"/>
        <v>-4.9934113768981998E-4</v>
      </c>
    </row>
    <row r="9247" spans="7:8">
      <c r="G9247">
        <v>9237</v>
      </c>
      <c r="H9247">
        <f t="shared" ca="1" si="152"/>
        <v>4.8038766009261902E-3</v>
      </c>
    </row>
    <row r="9248" spans="7:8">
      <c r="G9248">
        <v>9238</v>
      </c>
      <c r="H9248">
        <f t="shared" ca="1" si="152"/>
        <v>2.1732565012910859E-2</v>
      </c>
    </row>
    <row r="9249" spans="7:8">
      <c r="G9249">
        <v>9239</v>
      </c>
      <c r="H9249">
        <f t="shared" ca="1" si="152"/>
        <v>-5.9662094984451609E-2</v>
      </c>
    </row>
    <row r="9250" spans="7:8">
      <c r="G9250">
        <v>9240</v>
      </c>
      <c r="H9250">
        <f t="shared" ca="1" si="152"/>
        <v>-1.2194085607500679E-2</v>
      </c>
    </row>
    <row r="9251" spans="7:8">
      <c r="G9251">
        <v>9241</v>
      </c>
      <c r="H9251">
        <f t="shared" ca="1" si="152"/>
        <v>-4.1805200468919721E-3</v>
      </c>
    </row>
    <row r="9252" spans="7:8">
      <c r="G9252">
        <v>9242</v>
      </c>
      <c r="H9252">
        <f t="shared" ca="1" si="152"/>
        <v>-1.5943601779735132E-4</v>
      </c>
    </row>
    <row r="9253" spans="7:8">
      <c r="G9253">
        <v>9243</v>
      </c>
      <c r="H9253">
        <f t="shared" ca="1" si="152"/>
        <v>-1.976928798348403E-2</v>
      </c>
    </row>
    <row r="9254" spans="7:8">
      <c r="G9254">
        <v>9244</v>
      </c>
      <c r="H9254">
        <f t="shared" ca="1" si="152"/>
        <v>1.6640023712310211E-2</v>
      </c>
    </row>
    <row r="9255" spans="7:8">
      <c r="G9255">
        <v>9245</v>
      </c>
      <c r="H9255">
        <f t="shared" ca="1" si="152"/>
        <v>-4.3932086195428419E-2</v>
      </c>
    </row>
    <row r="9256" spans="7:8">
      <c r="G9256">
        <v>9246</v>
      </c>
      <c r="H9256">
        <f t="shared" ca="1" si="152"/>
        <v>-1.3063293019912979E-2</v>
      </c>
    </row>
    <row r="9257" spans="7:8">
      <c r="G9257">
        <v>9247</v>
      </c>
      <c r="H9257">
        <f t="shared" ca="1" si="152"/>
        <v>5.0440167753929835E-4</v>
      </c>
    </row>
    <row r="9258" spans="7:8">
      <c r="G9258">
        <v>9248</v>
      </c>
      <c r="H9258">
        <f t="shared" ca="1" si="152"/>
        <v>-1.6903656548559385E-2</v>
      </c>
    </row>
    <row r="9259" spans="7:8">
      <c r="G9259">
        <v>9249</v>
      </c>
      <c r="H9259">
        <f t="shared" ca="1" si="152"/>
        <v>-7.4963183383627329E-3</v>
      </c>
    </row>
    <row r="9260" spans="7:8">
      <c r="G9260">
        <v>9250</v>
      </c>
      <c r="H9260">
        <f t="shared" ca="1" si="152"/>
        <v>-1.2500024286112811E-2</v>
      </c>
    </row>
    <row r="9261" spans="7:8">
      <c r="G9261">
        <v>9251</v>
      </c>
      <c r="H9261">
        <f t="shared" ca="1" si="152"/>
        <v>4.4291565910420497E-4</v>
      </c>
    </row>
    <row r="9262" spans="7:8">
      <c r="G9262">
        <v>9252</v>
      </c>
      <c r="H9262">
        <f t="shared" ca="1" si="152"/>
        <v>-3.658862961285432E-2</v>
      </c>
    </row>
    <row r="9263" spans="7:8">
      <c r="G9263">
        <v>9253</v>
      </c>
      <c r="H9263">
        <f t="shared" ca="1" si="152"/>
        <v>1.8799015649784027E-2</v>
      </c>
    </row>
    <row r="9264" spans="7:8">
      <c r="G9264">
        <v>9254</v>
      </c>
      <c r="H9264">
        <f t="shared" ca="1" si="152"/>
        <v>5.1349263623897182E-4</v>
      </c>
    </row>
    <row r="9265" spans="7:8">
      <c r="G9265">
        <v>9255</v>
      </c>
      <c r="H9265">
        <f t="shared" ca="1" si="152"/>
        <v>-1.7285873725567482E-3</v>
      </c>
    </row>
    <row r="9266" spans="7:8">
      <c r="G9266">
        <v>9256</v>
      </c>
      <c r="H9266">
        <f t="shared" ca="1" si="152"/>
        <v>-1.2004858894261181E-3</v>
      </c>
    </row>
    <row r="9267" spans="7:8">
      <c r="G9267">
        <v>9257</v>
      </c>
      <c r="H9267">
        <f t="shared" ca="1" si="152"/>
        <v>4.9600447763788962E-2</v>
      </c>
    </row>
    <row r="9268" spans="7:8">
      <c r="G9268">
        <v>9258</v>
      </c>
      <c r="H9268">
        <f t="shared" ca="1" si="152"/>
        <v>-4.5821548744373738E-3</v>
      </c>
    </row>
    <row r="9269" spans="7:8">
      <c r="G9269">
        <v>9259</v>
      </c>
      <c r="H9269">
        <f t="shared" ca="1" si="152"/>
        <v>-2.6125626106782256E-2</v>
      </c>
    </row>
    <row r="9270" spans="7:8">
      <c r="G9270">
        <v>9260</v>
      </c>
      <c r="H9270">
        <f t="shared" ca="1" si="152"/>
        <v>7.6676133278603606E-3</v>
      </c>
    </row>
    <row r="9271" spans="7:8">
      <c r="G9271">
        <v>9261</v>
      </c>
      <c r="H9271">
        <f t="shared" ca="1" si="152"/>
        <v>5.24659202715126E-3</v>
      </c>
    </row>
    <row r="9272" spans="7:8">
      <c r="G9272">
        <v>9262</v>
      </c>
      <c r="H9272">
        <f t="shared" ca="1" si="152"/>
        <v>3.98397313151614E-2</v>
      </c>
    </row>
    <row r="9273" spans="7:8">
      <c r="G9273">
        <v>9263</v>
      </c>
      <c r="H9273">
        <f t="shared" ca="1" si="152"/>
        <v>2.2455021837626973E-2</v>
      </c>
    </row>
    <row r="9274" spans="7:8">
      <c r="G9274">
        <v>9264</v>
      </c>
      <c r="H9274">
        <f t="shared" ca="1" si="152"/>
        <v>-3.7430898644034448E-2</v>
      </c>
    </row>
    <row r="9275" spans="7:8">
      <c r="G9275">
        <v>9265</v>
      </c>
      <c r="H9275">
        <f t="shared" ca="1" si="152"/>
        <v>2.314374961892845E-3</v>
      </c>
    </row>
    <row r="9276" spans="7:8">
      <c r="G9276">
        <v>9266</v>
      </c>
      <c r="H9276">
        <f t="shared" ca="1" si="152"/>
        <v>3.829044166852244E-2</v>
      </c>
    </row>
    <row r="9277" spans="7:8">
      <c r="G9277">
        <v>9267</v>
      </c>
      <c r="H9277">
        <f t="shared" ca="1" si="152"/>
        <v>-7.9905632341776382E-3</v>
      </c>
    </row>
    <row r="9278" spans="7:8">
      <c r="G9278">
        <v>9268</v>
      </c>
      <c r="H9278">
        <f t="shared" ca="1" si="152"/>
        <v>3.8406142312720575E-3</v>
      </c>
    </row>
    <row r="9279" spans="7:8">
      <c r="G9279">
        <v>9269</v>
      </c>
      <c r="H9279">
        <f t="shared" ca="1" si="152"/>
        <v>-7.8685225837718809E-3</v>
      </c>
    </row>
    <row r="9280" spans="7:8">
      <c r="G9280">
        <v>9270</v>
      </c>
      <c r="H9280">
        <f t="shared" ca="1" si="152"/>
        <v>-2.2788176919459842E-2</v>
      </c>
    </row>
    <row r="9281" spans="7:8">
      <c r="G9281">
        <v>9271</v>
      </c>
      <c r="H9281">
        <f t="shared" ca="1" si="152"/>
        <v>9.1732498499602112E-3</v>
      </c>
    </row>
    <row r="9282" spans="7:8">
      <c r="G9282">
        <v>9272</v>
      </c>
      <c r="H9282">
        <f t="shared" ca="1" si="152"/>
        <v>-1.5504102660807657E-2</v>
      </c>
    </row>
    <row r="9283" spans="7:8">
      <c r="G9283">
        <v>9273</v>
      </c>
      <c r="H9283">
        <f t="shared" ca="1" si="152"/>
        <v>2.0588627862327968E-2</v>
      </c>
    </row>
    <row r="9284" spans="7:8">
      <c r="G9284">
        <v>9274</v>
      </c>
      <c r="H9284">
        <f t="shared" ca="1" si="152"/>
        <v>1.0547499556099347E-2</v>
      </c>
    </row>
    <row r="9285" spans="7:8">
      <c r="G9285">
        <v>9275</v>
      </c>
      <c r="H9285">
        <f t="shared" ca="1" si="152"/>
        <v>-1.0089002270778E-2</v>
      </c>
    </row>
    <row r="9286" spans="7:8">
      <c r="G9286">
        <v>9276</v>
      </c>
      <c r="H9286">
        <f t="shared" ca="1" si="152"/>
        <v>-1.6614958810047202E-2</v>
      </c>
    </row>
    <row r="9287" spans="7:8">
      <c r="G9287">
        <v>9277</v>
      </c>
      <c r="H9287">
        <f t="shared" ca="1" si="152"/>
        <v>-4.4490688609472029E-3</v>
      </c>
    </row>
    <row r="9288" spans="7:8">
      <c r="G9288">
        <v>9278</v>
      </c>
      <c r="H9288">
        <f t="shared" ca="1" si="152"/>
        <v>3.3495044183461192E-2</v>
      </c>
    </row>
    <row r="9289" spans="7:8">
      <c r="G9289">
        <v>9279</v>
      </c>
      <c r="H9289">
        <f t="shared" ca="1" si="152"/>
        <v>-3.9657600285811619E-2</v>
      </c>
    </row>
    <row r="9290" spans="7:8">
      <c r="G9290">
        <v>9280</v>
      </c>
      <c r="H9290">
        <f t="shared" ca="1" si="152"/>
        <v>2.6898706739336514E-2</v>
      </c>
    </row>
    <row r="9291" spans="7:8">
      <c r="G9291">
        <v>9281</v>
      </c>
      <c r="H9291">
        <f t="shared" ca="1" si="152"/>
        <v>3.1412893619228513E-2</v>
      </c>
    </row>
    <row r="9292" spans="7:8">
      <c r="G9292">
        <v>9282</v>
      </c>
      <c r="H9292">
        <f t="shared" ref="H9292:H9355" ca="1" si="153">_xlfn.NORM.INV(RAND(),N$13,N$14)</f>
        <v>1.9737305957358862E-2</v>
      </c>
    </row>
    <row r="9293" spans="7:8">
      <c r="G9293">
        <v>9283</v>
      </c>
      <c r="H9293">
        <f t="shared" ca="1" si="153"/>
        <v>-2.5470943871871161E-2</v>
      </c>
    </row>
    <row r="9294" spans="7:8">
      <c r="G9294">
        <v>9284</v>
      </c>
      <c r="H9294">
        <f t="shared" ca="1" si="153"/>
        <v>-1.216379016229191E-2</v>
      </c>
    </row>
    <row r="9295" spans="7:8">
      <c r="G9295">
        <v>9285</v>
      </c>
      <c r="H9295">
        <f t="shared" ca="1" si="153"/>
        <v>1.7611718305251846E-3</v>
      </c>
    </row>
    <row r="9296" spans="7:8">
      <c r="G9296">
        <v>9286</v>
      </c>
      <c r="H9296">
        <f t="shared" ca="1" si="153"/>
        <v>-3.2611926498383337E-3</v>
      </c>
    </row>
    <row r="9297" spans="7:8">
      <c r="G9297">
        <v>9287</v>
      </c>
      <c r="H9297">
        <f t="shared" ca="1" si="153"/>
        <v>2.4179948341416475E-2</v>
      </c>
    </row>
    <row r="9298" spans="7:8">
      <c r="G9298">
        <v>9288</v>
      </c>
      <c r="H9298">
        <f t="shared" ca="1" si="153"/>
        <v>2.9951132544083554E-2</v>
      </c>
    </row>
    <row r="9299" spans="7:8">
      <c r="G9299">
        <v>9289</v>
      </c>
      <c r="H9299">
        <f t="shared" ca="1" si="153"/>
        <v>-5.9761400499038506E-3</v>
      </c>
    </row>
    <row r="9300" spans="7:8">
      <c r="G9300">
        <v>9290</v>
      </c>
      <c r="H9300">
        <f t="shared" ca="1" si="153"/>
        <v>1.4009723667341482E-2</v>
      </c>
    </row>
    <row r="9301" spans="7:8">
      <c r="G9301">
        <v>9291</v>
      </c>
      <c r="H9301">
        <f t="shared" ca="1" si="153"/>
        <v>-1.1500862846630872E-2</v>
      </c>
    </row>
    <row r="9302" spans="7:8">
      <c r="G9302">
        <v>9292</v>
      </c>
      <c r="H9302">
        <f t="shared" ca="1" si="153"/>
        <v>-1.169370239311633E-2</v>
      </c>
    </row>
    <row r="9303" spans="7:8">
      <c r="G9303">
        <v>9293</v>
      </c>
      <c r="H9303">
        <f t="shared" ca="1" si="153"/>
        <v>2.8193441603307792E-2</v>
      </c>
    </row>
    <row r="9304" spans="7:8">
      <c r="G9304">
        <v>9294</v>
      </c>
      <c r="H9304">
        <f t="shared" ca="1" si="153"/>
        <v>2.4312803699914461E-2</v>
      </c>
    </row>
    <row r="9305" spans="7:8">
      <c r="G9305">
        <v>9295</v>
      </c>
      <c r="H9305">
        <f t="shared" ca="1" si="153"/>
        <v>-4.5957303228368052E-3</v>
      </c>
    </row>
    <row r="9306" spans="7:8">
      <c r="G9306">
        <v>9296</v>
      </c>
      <c r="H9306">
        <f t="shared" ca="1" si="153"/>
        <v>1.7134758351613662E-2</v>
      </c>
    </row>
    <row r="9307" spans="7:8">
      <c r="G9307">
        <v>9297</v>
      </c>
      <c r="H9307">
        <f t="shared" ca="1" si="153"/>
        <v>7.5580760843468519E-3</v>
      </c>
    </row>
    <row r="9308" spans="7:8">
      <c r="G9308">
        <v>9298</v>
      </c>
      <c r="H9308">
        <f t="shared" ca="1" si="153"/>
        <v>3.2554956339769102E-3</v>
      </c>
    </row>
    <row r="9309" spans="7:8">
      <c r="G9309">
        <v>9299</v>
      </c>
      <c r="H9309">
        <f t="shared" ca="1" si="153"/>
        <v>-3.8856059216779561E-3</v>
      </c>
    </row>
    <row r="9310" spans="7:8">
      <c r="G9310">
        <v>9300</v>
      </c>
      <c r="H9310">
        <f t="shared" ca="1" si="153"/>
        <v>1.3816605433008311E-2</v>
      </c>
    </row>
    <row r="9311" spans="7:8">
      <c r="G9311">
        <v>9301</v>
      </c>
      <c r="H9311">
        <f t="shared" ca="1" si="153"/>
        <v>2.928605626394327E-3</v>
      </c>
    </row>
    <row r="9312" spans="7:8">
      <c r="G9312">
        <v>9302</v>
      </c>
      <c r="H9312">
        <f t="shared" ca="1" si="153"/>
        <v>6.349497590332077E-4</v>
      </c>
    </row>
    <row r="9313" spans="7:8">
      <c r="G9313">
        <v>9303</v>
      </c>
      <c r="H9313">
        <f t="shared" ca="1" si="153"/>
        <v>4.1863982491484146E-4</v>
      </c>
    </row>
    <row r="9314" spans="7:8">
      <c r="G9314">
        <v>9304</v>
      </c>
      <c r="H9314">
        <f t="shared" ca="1" si="153"/>
        <v>2.8041497473202987E-3</v>
      </c>
    </row>
    <row r="9315" spans="7:8">
      <c r="G9315">
        <v>9305</v>
      </c>
      <c r="H9315">
        <f t="shared" ca="1" si="153"/>
        <v>2.2528873843369215E-3</v>
      </c>
    </row>
    <row r="9316" spans="7:8">
      <c r="G9316">
        <v>9306</v>
      </c>
      <c r="H9316">
        <f t="shared" ca="1" si="153"/>
        <v>4.7634871272504396E-2</v>
      </c>
    </row>
    <row r="9317" spans="7:8">
      <c r="G9317">
        <v>9307</v>
      </c>
      <c r="H9317">
        <f t="shared" ca="1" si="153"/>
        <v>8.954634777827904E-3</v>
      </c>
    </row>
    <row r="9318" spans="7:8">
      <c r="G9318">
        <v>9308</v>
      </c>
      <c r="H9318">
        <f t="shared" ca="1" si="153"/>
        <v>9.7544507208715565E-3</v>
      </c>
    </row>
    <row r="9319" spans="7:8">
      <c r="G9319">
        <v>9309</v>
      </c>
      <c r="H9319">
        <f t="shared" ca="1" si="153"/>
        <v>-3.7068717784889391E-2</v>
      </c>
    </row>
    <row r="9320" spans="7:8">
      <c r="G9320">
        <v>9310</v>
      </c>
      <c r="H9320">
        <f t="shared" ca="1" si="153"/>
        <v>1.2111631388461955E-2</v>
      </c>
    </row>
    <row r="9321" spans="7:8">
      <c r="G9321">
        <v>9311</v>
      </c>
      <c r="H9321">
        <f t="shared" ca="1" si="153"/>
        <v>-3.100067317518258E-2</v>
      </c>
    </row>
    <row r="9322" spans="7:8">
      <c r="G9322">
        <v>9312</v>
      </c>
      <c r="H9322">
        <f t="shared" ca="1" si="153"/>
        <v>1.5544227301911982E-2</v>
      </c>
    </row>
    <row r="9323" spans="7:8">
      <c r="G9323">
        <v>9313</v>
      </c>
      <c r="H9323">
        <f t="shared" ca="1" si="153"/>
        <v>-3.5921401467182215E-2</v>
      </c>
    </row>
    <row r="9324" spans="7:8">
      <c r="G9324">
        <v>9314</v>
      </c>
      <c r="H9324">
        <f t="shared" ca="1" si="153"/>
        <v>2.9555649992606972E-2</v>
      </c>
    </row>
    <row r="9325" spans="7:8">
      <c r="G9325">
        <v>9315</v>
      </c>
      <c r="H9325">
        <f t="shared" ca="1" si="153"/>
        <v>1.6050060800735753E-2</v>
      </c>
    </row>
    <row r="9326" spans="7:8">
      <c r="G9326">
        <v>9316</v>
      </c>
      <c r="H9326">
        <f t="shared" ca="1" si="153"/>
        <v>-1.5682905862671127E-3</v>
      </c>
    </row>
    <row r="9327" spans="7:8">
      <c r="G9327">
        <v>9317</v>
      </c>
      <c r="H9327">
        <f t="shared" ca="1" si="153"/>
        <v>3.9271993947566031E-2</v>
      </c>
    </row>
    <row r="9328" spans="7:8">
      <c r="G9328">
        <v>9318</v>
      </c>
      <c r="H9328">
        <f t="shared" ca="1" si="153"/>
        <v>2.6548845215349257E-2</v>
      </c>
    </row>
    <row r="9329" spans="7:8">
      <c r="G9329">
        <v>9319</v>
      </c>
      <c r="H9329">
        <f t="shared" ca="1" si="153"/>
        <v>-7.2101500020305739E-3</v>
      </c>
    </row>
    <row r="9330" spans="7:8">
      <c r="G9330">
        <v>9320</v>
      </c>
      <c r="H9330">
        <f t="shared" ca="1" si="153"/>
        <v>-2.3266771726893901E-2</v>
      </c>
    </row>
    <row r="9331" spans="7:8">
      <c r="G9331">
        <v>9321</v>
      </c>
      <c r="H9331">
        <f t="shared" ca="1" si="153"/>
        <v>-3.9256950230361536E-3</v>
      </c>
    </row>
    <row r="9332" spans="7:8">
      <c r="G9332">
        <v>9322</v>
      </c>
      <c r="H9332">
        <f t="shared" ca="1" si="153"/>
        <v>1.7128937623226387E-2</v>
      </c>
    </row>
    <row r="9333" spans="7:8">
      <c r="G9333">
        <v>9323</v>
      </c>
      <c r="H9333">
        <f t="shared" ca="1" si="153"/>
        <v>-2.6087997953266075E-2</v>
      </c>
    </row>
    <row r="9334" spans="7:8">
      <c r="G9334">
        <v>9324</v>
      </c>
      <c r="H9334">
        <f t="shared" ca="1" si="153"/>
        <v>9.519787726563176E-3</v>
      </c>
    </row>
    <row r="9335" spans="7:8">
      <c r="G9335">
        <v>9325</v>
      </c>
      <c r="H9335">
        <f t="shared" ca="1" si="153"/>
        <v>-1.2112252431857585E-2</v>
      </c>
    </row>
    <row r="9336" spans="7:8">
      <c r="G9336">
        <v>9326</v>
      </c>
      <c r="H9336">
        <f t="shared" ca="1" si="153"/>
        <v>3.2211187525440103E-2</v>
      </c>
    </row>
    <row r="9337" spans="7:8">
      <c r="G9337">
        <v>9327</v>
      </c>
      <c r="H9337">
        <f t="shared" ca="1" si="153"/>
        <v>2.8115510295756312E-2</v>
      </c>
    </row>
    <row r="9338" spans="7:8">
      <c r="G9338">
        <v>9328</v>
      </c>
      <c r="H9338">
        <f t="shared" ca="1" si="153"/>
        <v>-3.3892772699865931E-2</v>
      </c>
    </row>
    <row r="9339" spans="7:8">
      <c r="G9339">
        <v>9329</v>
      </c>
      <c r="H9339">
        <f t="shared" ca="1" si="153"/>
        <v>1.7854861381776922E-2</v>
      </c>
    </row>
    <row r="9340" spans="7:8">
      <c r="G9340">
        <v>9330</v>
      </c>
      <c r="H9340">
        <f t="shared" ca="1" si="153"/>
        <v>-3.2483520305221399E-2</v>
      </c>
    </row>
    <row r="9341" spans="7:8">
      <c r="G9341">
        <v>9331</v>
      </c>
      <c r="H9341">
        <f t="shared" ca="1" si="153"/>
        <v>-9.7034349410851581E-3</v>
      </c>
    </row>
    <row r="9342" spans="7:8">
      <c r="G9342">
        <v>9332</v>
      </c>
      <c r="H9342">
        <f t="shared" ca="1" si="153"/>
        <v>-3.1345906929852625E-3</v>
      </c>
    </row>
    <row r="9343" spans="7:8">
      <c r="G9343">
        <v>9333</v>
      </c>
      <c r="H9343">
        <f t="shared" ca="1" si="153"/>
        <v>2.1837779629675626E-2</v>
      </c>
    </row>
    <row r="9344" spans="7:8">
      <c r="G9344">
        <v>9334</v>
      </c>
      <c r="H9344">
        <f t="shared" ca="1" si="153"/>
        <v>-2.2944441019817036E-2</v>
      </c>
    </row>
    <row r="9345" spans="7:8">
      <c r="G9345">
        <v>9335</v>
      </c>
      <c r="H9345">
        <f t="shared" ca="1" si="153"/>
        <v>3.594569749173919E-2</v>
      </c>
    </row>
    <row r="9346" spans="7:8">
      <c r="G9346">
        <v>9336</v>
      </c>
      <c r="H9346">
        <f t="shared" ca="1" si="153"/>
        <v>1.4567459442279029E-2</v>
      </c>
    </row>
    <row r="9347" spans="7:8">
      <c r="G9347">
        <v>9337</v>
      </c>
      <c r="H9347">
        <f t="shared" ca="1" si="153"/>
        <v>-2.7112049036765642E-2</v>
      </c>
    </row>
    <row r="9348" spans="7:8">
      <c r="G9348">
        <v>9338</v>
      </c>
      <c r="H9348">
        <f t="shared" ca="1" si="153"/>
        <v>1.6010057257196893E-2</v>
      </c>
    </row>
    <row r="9349" spans="7:8">
      <c r="G9349">
        <v>9339</v>
      </c>
      <c r="H9349">
        <f t="shared" ca="1" si="153"/>
        <v>-1.9297153852715857E-2</v>
      </c>
    </row>
    <row r="9350" spans="7:8">
      <c r="G9350">
        <v>9340</v>
      </c>
      <c r="H9350">
        <f t="shared" ca="1" si="153"/>
        <v>-3.7111467798870444E-2</v>
      </c>
    </row>
    <row r="9351" spans="7:8">
      <c r="G9351">
        <v>9341</v>
      </c>
      <c r="H9351">
        <f t="shared" ca="1" si="153"/>
        <v>-4.3329309925475758E-3</v>
      </c>
    </row>
    <row r="9352" spans="7:8">
      <c r="G9352">
        <v>9342</v>
      </c>
      <c r="H9352">
        <f t="shared" ca="1" si="153"/>
        <v>-5.0541320080852895E-2</v>
      </c>
    </row>
    <row r="9353" spans="7:8">
      <c r="G9353">
        <v>9343</v>
      </c>
      <c r="H9353">
        <f t="shared" ca="1" si="153"/>
        <v>-3.2446510779994955E-2</v>
      </c>
    </row>
    <row r="9354" spans="7:8">
      <c r="G9354">
        <v>9344</v>
      </c>
      <c r="H9354">
        <f t="shared" ca="1" si="153"/>
        <v>-8.7611356766989692E-3</v>
      </c>
    </row>
    <row r="9355" spans="7:8">
      <c r="G9355">
        <v>9345</v>
      </c>
      <c r="H9355">
        <f t="shared" ca="1" si="153"/>
        <v>2.1208427558998568E-2</v>
      </c>
    </row>
    <row r="9356" spans="7:8">
      <c r="G9356">
        <v>9346</v>
      </c>
      <c r="H9356">
        <f t="shared" ref="H9356:H9419" ca="1" si="154">_xlfn.NORM.INV(RAND(),N$13,N$14)</f>
        <v>-8.1584287139957936E-3</v>
      </c>
    </row>
    <row r="9357" spans="7:8">
      <c r="G9357">
        <v>9347</v>
      </c>
      <c r="H9357">
        <f t="shared" ca="1" si="154"/>
        <v>3.9459642076169242E-3</v>
      </c>
    </row>
    <row r="9358" spans="7:8">
      <c r="G9358">
        <v>9348</v>
      </c>
      <c r="H9358">
        <f t="shared" ca="1" si="154"/>
        <v>-9.0201940820656239E-3</v>
      </c>
    </row>
    <row r="9359" spans="7:8">
      <c r="G9359">
        <v>9349</v>
      </c>
      <c r="H9359">
        <f t="shared" ca="1" si="154"/>
        <v>2.4510636434893786E-2</v>
      </c>
    </row>
    <row r="9360" spans="7:8">
      <c r="G9360">
        <v>9350</v>
      </c>
      <c r="H9360">
        <f t="shared" ca="1" si="154"/>
        <v>7.4904694048644107E-3</v>
      </c>
    </row>
    <row r="9361" spans="7:8">
      <c r="G9361">
        <v>9351</v>
      </c>
      <c r="H9361">
        <f t="shared" ca="1" si="154"/>
        <v>1.723774297445289E-2</v>
      </c>
    </row>
    <row r="9362" spans="7:8">
      <c r="G9362">
        <v>9352</v>
      </c>
      <c r="H9362">
        <f t="shared" ca="1" si="154"/>
        <v>3.620926528326715E-2</v>
      </c>
    </row>
    <row r="9363" spans="7:8">
      <c r="G9363">
        <v>9353</v>
      </c>
      <c r="H9363">
        <f t="shared" ca="1" si="154"/>
        <v>-7.6757297054776642E-3</v>
      </c>
    </row>
    <row r="9364" spans="7:8">
      <c r="G9364">
        <v>9354</v>
      </c>
      <c r="H9364">
        <f t="shared" ca="1" si="154"/>
        <v>-3.2902020230672461E-5</v>
      </c>
    </row>
    <row r="9365" spans="7:8">
      <c r="G9365">
        <v>9355</v>
      </c>
      <c r="H9365">
        <f t="shared" ca="1" si="154"/>
        <v>4.7671950323960738E-2</v>
      </c>
    </row>
    <row r="9366" spans="7:8">
      <c r="G9366">
        <v>9356</v>
      </c>
      <c r="H9366">
        <f t="shared" ca="1" si="154"/>
        <v>-2.0301376799229841E-2</v>
      </c>
    </row>
    <row r="9367" spans="7:8">
      <c r="G9367">
        <v>9357</v>
      </c>
      <c r="H9367">
        <f t="shared" ca="1" si="154"/>
        <v>-2.5849677150383298E-3</v>
      </c>
    </row>
    <row r="9368" spans="7:8">
      <c r="G9368">
        <v>9358</v>
      </c>
      <c r="H9368">
        <f t="shared" ca="1" si="154"/>
        <v>-1.8027749113620974E-3</v>
      </c>
    </row>
    <row r="9369" spans="7:8">
      <c r="G9369">
        <v>9359</v>
      </c>
      <c r="H9369">
        <f t="shared" ca="1" si="154"/>
        <v>-6.3374527326957213E-4</v>
      </c>
    </row>
    <row r="9370" spans="7:8">
      <c r="G9370">
        <v>9360</v>
      </c>
      <c r="H9370">
        <f t="shared" ca="1" si="154"/>
        <v>-3.5285019110428296E-3</v>
      </c>
    </row>
    <row r="9371" spans="7:8">
      <c r="G9371">
        <v>9361</v>
      </c>
      <c r="H9371">
        <f t="shared" ca="1" si="154"/>
        <v>8.0108812371988032E-3</v>
      </c>
    </row>
    <row r="9372" spans="7:8">
      <c r="G9372">
        <v>9362</v>
      </c>
      <c r="H9372">
        <f t="shared" ca="1" si="154"/>
        <v>-1.586160927890214E-2</v>
      </c>
    </row>
    <row r="9373" spans="7:8">
      <c r="G9373">
        <v>9363</v>
      </c>
      <c r="H9373">
        <f t="shared" ca="1" si="154"/>
        <v>-7.9843751828147531E-3</v>
      </c>
    </row>
    <row r="9374" spans="7:8">
      <c r="G9374">
        <v>9364</v>
      </c>
      <c r="H9374">
        <f t="shared" ca="1" si="154"/>
        <v>-2.2610356096837005E-2</v>
      </c>
    </row>
    <row r="9375" spans="7:8">
      <c r="G9375">
        <v>9365</v>
      </c>
      <c r="H9375">
        <f t="shared" ca="1" si="154"/>
        <v>-3.5941234492991403E-3</v>
      </c>
    </row>
    <row r="9376" spans="7:8">
      <c r="G9376">
        <v>9366</v>
      </c>
      <c r="H9376">
        <f t="shared" ca="1" si="154"/>
        <v>3.6357749494675448E-2</v>
      </c>
    </row>
    <row r="9377" spans="7:8">
      <c r="G9377">
        <v>9367</v>
      </c>
      <c r="H9377">
        <f t="shared" ca="1" si="154"/>
        <v>-1.7673051384838292E-2</v>
      </c>
    </row>
    <row r="9378" spans="7:8">
      <c r="G9378">
        <v>9368</v>
      </c>
      <c r="H9378">
        <f t="shared" ca="1" si="154"/>
        <v>-1.0578495867934423E-2</v>
      </c>
    </row>
    <row r="9379" spans="7:8">
      <c r="G9379">
        <v>9369</v>
      </c>
      <c r="H9379">
        <f t="shared" ca="1" si="154"/>
        <v>-7.2503930984490362E-3</v>
      </c>
    </row>
    <row r="9380" spans="7:8">
      <c r="G9380">
        <v>9370</v>
      </c>
      <c r="H9380">
        <f t="shared" ca="1" si="154"/>
        <v>3.3894276544192629E-2</v>
      </c>
    </row>
    <row r="9381" spans="7:8">
      <c r="G9381">
        <v>9371</v>
      </c>
      <c r="H9381">
        <f t="shared" ca="1" si="154"/>
        <v>-5.3786970845496447E-2</v>
      </c>
    </row>
    <row r="9382" spans="7:8">
      <c r="G9382">
        <v>9372</v>
      </c>
      <c r="H9382">
        <f t="shared" ca="1" si="154"/>
        <v>1.5993458887596533E-2</v>
      </c>
    </row>
    <row r="9383" spans="7:8">
      <c r="G9383">
        <v>9373</v>
      </c>
      <c r="H9383">
        <f t="shared" ca="1" si="154"/>
        <v>3.4606408656547627E-2</v>
      </c>
    </row>
    <row r="9384" spans="7:8">
      <c r="G9384">
        <v>9374</v>
      </c>
      <c r="H9384">
        <f t="shared" ca="1" si="154"/>
        <v>-2.7017097686060285E-2</v>
      </c>
    </row>
    <row r="9385" spans="7:8">
      <c r="G9385">
        <v>9375</v>
      </c>
      <c r="H9385">
        <f t="shared" ca="1" si="154"/>
        <v>-6.5284565478361482E-3</v>
      </c>
    </row>
    <row r="9386" spans="7:8">
      <c r="G9386">
        <v>9376</v>
      </c>
      <c r="H9386">
        <f t="shared" ca="1" si="154"/>
        <v>-5.2991630667927666E-3</v>
      </c>
    </row>
    <row r="9387" spans="7:8">
      <c r="G9387">
        <v>9377</v>
      </c>
      <c r="H9387">
        <f t="shared" ca="1" si="154"/>
        <v>-5.4363389278661745E-2</v>
      </c>
    </row>
    <row r="9388" spans="7:8">
      <c r="G9388">
        <v>9378</v>
      </c>
      <c r="H9388">
        <f t="shared" ca="1" si="154"/>
        <v>2.0830915220456669E-2</v>
      </c>
    </row>
    <row r="9389" spans="7:8">
      <c r="G9389">
        <v>9379</v>
      </c>
      <c r="H9389">
        <f t="shared" ca="1" si="154"/>
        <v>-3.837220686791367E-3</v>
      </c>
    </row>
    <row r="9390" spans="7:8">
      <c r="G9390">
        <v>9380</v>
      </c>
      <c r="H9390">
        <f t="shared" ca="1" si="154"/>
        <v>-2.0284321365643943E-2</v>
      </c>
    </row>
    <row r="9391" spans="7:8">
      <c r="G9391">
        <v>9381</v>
      </c>
      <c r="H9391">
        <f t="shared" ca="1" si="154"/>
        <v>-8.3683074992055261E-3</v>
      </c>
    </row>
    <row r="9392" spans="7:8">
      <c r="G9392">
        <v>9382</v>
      </c>
      <c r="H9392">
        <f t="shared" ca="1" si="154"/>
        <v>-1.9850143539050014E-3</v>
      </c>
    </row>
    <row r="9393" spans="7:8">
      <c r="G9393">
        <v>9383</v>
      </c>
      <c r="H9393">
        <f t="shared" ca="1" si="154"/>
        <v>3.6860712057695706E-2</v>
      </c>
    </row>
    <row r="9394" spans="7:8">
      <c r="G9394">
        <v>9384</v>
      </c>
      <c r="H9394">
        <f t="shared" ca="1" si="154"/>
        <v>3.1350581038634542E-2</v>
      </c>
    </row>
    <row r="9395" spans="7:8">
      <c r="G9395">
        <v>9385</v>
      </c>
      <c r="H9395">
        <f t="shared" ca="1" si="154"/>
        <v>-1.2062854012985402E-2</v>
      </c>
    </row>
    <row r="9396" spans="7:8">
      <c r="G9396">
        <v>9386</v>
      </c>
      <c r="H9396">
        <f t="shared" ca="1" si="154"/>
        <v>2.6382321700955128E-2</v>
      </c>
    </row>
    <row r="9397" spans="7:8">
      <c r="G9397">
        <v>9387</v>
      </c>
      <c r="H9397">
        <f t="shared" ca="1" si="154"/>
        <v>-2.9622528372377804E-2</v>
      </c>
    </row>
    <row r="9398" spans="7:8">
      <c r="G9398">
        <v>9388</v>
      </c>
      <c r="H9398">
        <f t="shared" ca="1" si="154"/>
        <v>1.3551364067610443E-2</v>
      </c>
    </row>
    <row r="9399" spans="7:8">
      <c r="G9399">
        <v>9389</v>
      </c>
      <c r="H9399">
        <f t="shared" ca="1" si="154"/>
        <v>2.3309560012529533E-2</v>
      </c>
    </row>
    <row r="9400" spans="7:8">
      <c r="G9400">
        <v>9390</v>
      </c>
      <c r="H9400">
        <f t="shared" ca="1" si="154"/>
        <v>1.8842246086537E-2</v>
      </c>
    </row>
    <row r="9401" spans="7:8">
      <c r="G9401">
        <v>9391</v>
      </c>
      <c r="H9401">
        <f t="shared" ca="1" si="154"/>
        <v>5.9409914279043392E-3</v>
      </c>
    </row>
    <row r="9402" spans="7:8">
      <c r="G9402">
        <v>9392</v>
      </c>
      <c r="H9402">
        <f t="shared" ca="1" si="154"/>
        <v>-3.7964912624420116E-2</v>
      </c>
    </row>
    <row r="9403" spans="7:8">
      <c r="G9403">
        <v>9393</v>
      </c>
      <c r="H9403">
        <f t="shared" ca="1" si="154"/>
        <v>4.6248050249911915E-3</v>
      </c>
    </row>
    <row r="9404" spans="7:8">
      <c r="G9404">
        <v>9394</v>
      </c>
      <c r="H9404">
        <f t="shared" ca="1" si="154"/>
        <v>-5.3324201738379907E-2</v>
      </c>
    </row>
    <row r="9405" spans="7:8">
      <c r="G9405">
        <v>9395</v>
      </c>
      <c r="H9405">
        <f t="shared" ca="1" si="154"/>
        <v>9.9096441684215757E-3</v>
      </c>
    </row>
    <row r="9406" spans="7:8">
      <c r="G9406">
        <v>9396</v>
      </c>
      <c r="H9406">
        <f t="shared" ca="1" si="154"/>
        <v>1.1798563849754104E-2</v>
      </c>
    </row>
    <row r="9407" spans="7:8">
      <c r="G9407">
        <v>9397</v>
      </c>
      <c r="H9407">
        <f t="shared" ca="1" si="154"/>
        <v>-1.9025208753282809E-2</v>
      </c>
    </row>
    <row r="9408" spans="7:8">
      <c r="G9408">
        <v>9398</v>
      </c>
      <c r="H9408">
        <f t="shared" ca="1" si="154"/>
        <v>3.5362671376439649E-2</v>
      </c>
    </row>
    <row r="9409" spans="7:8">
      <c r="G9409">
        <v>9399</v>
      </c>
      <c r="H9409">
        <f t="shared" ca="1" si="154"/>
        <v>-2.9125667880501609E-4</v>
      </c>
    </row>
    <row r="9410" spans="7:8">
      <c r="G9410">
        <v>9400</v>
      </c>
      <c r="H9410">
        <f t="shared" ca="1" si="154"/>
        <v>-3.3698842379375226E-3</v>
      </c>
    </row>
    <row r="9411" spans="7:8">
      <c r="G9411">
        <v>9401</v>
      </c>
      <c r="H9411">
        <f t="shared" ca="1" si="154"/>
        <v>-3.0614962257147282E-2</v>
      </c>
    </row>
    <row r="9412" spans="7:8">
      <c r="G9412">
        <v>9402</v>
      </c>
      <c r="H9412">
        <f t="shared" ca="1" si="154"/>
        <v>2.2900175298639695E-2</v>
      </c>
    </row>
    <row r="9413" spans="7:8">
      <c r="G9413">
        <v>9403</v>
      </c>
      <c r="H9413">
        <f t="shared" ca="1" si="154"/>
        <v>-1.3249010322573999E-2</v>
      </c>
    </row>
    <row r="9414" spans="7:8">
      <c r="G9414">
        <v>9404</v>
      </c>
      <c r="H9414">
        <f t="shared" ca="1" si="154"/>
        <v>3.5822141400311355E-2</v>
      </c>
    </row>
    <row r="9415" spans="7:8">
      <c r="G9415">
        <v>9405</v>
      </c>
      <c r="H9415">
        <f t="shared" ca="1" si="154"/>
        <v>3.074673994992025E-3</v>
      </c>
    </row>
    <row r="9416" spans="7:8">
      <c r="G9416">
        <v>9406</v>
      </c>
      <c r="H9416">
        <f t="shared" ca="1" si="154"/>
        <v>3.3915918855002725E-2</v>
      </c>
    </row>
    <row r="9417" spans="7:8">
      <c r="G9417">
        <v>9407</v>
      </c>
      <c r="H9417">
        <f t="shared" ca="1" si="154"/>
        <v>1.4616345321441919E-2</v>
      </c>
    </row>
    <row r="9418" spans="7:8">
      <c r="G9418">
        <v>9408</v>
      </c>
      <c r="H9418">
        <f t="shared" ca="1" si="154"/>
        <v>-4.7178072112543289E-2</v>
      </c>
    </row>
    <row r="9419" spans="7:8">
      <c r="G9419">
        <v>9409</v>
      </c>
      <c r="H9419">
        <f t="shared" ca="1" si="154"/>
        <v>3.9793050765628092E-2</v>
      </c>
    </row>
    <row r="9420" spans="7:8">
      <c r="G9420">
        <v>9410</v>
      </c>
      <c r="H9420">
        <f t="shared" ref="H9420:H9483" ca="1" si="155">_xlfn.NORM.INV(RAND(),N$13,N$14)</f>
        <v>3.0288169131299229E-2</v>
      </c>
    </row>
    <row r="9421" spans="7:8">
      <c r="G9421">
        <v>9411</v>
      </c>
      <c r="H9421">
        <f t="shared" ca="1" si="155"/>
        <v>-2.2982835133901545E-3</v>
      </c>
    </row>
    <row r="9422" spans="7:8">
      <c r="G9422">
        <v>9412</v>
      </c>
      <c r="H9422">
        <f t="shared" ca="1" si="155"/>
        <v>-2.1661726493285863E-2</v>
      </c>
    </row>
    <row r="9423" spans="7:8">
      <c r="G9423">
        <v>9413</v>
      </c>
      <c r="H9423">
        <f t="shared" ca="1" si="155"/>
        <v>-1.6593910052796038E-2</v>
      </c>
    </row>
    <row r="9424" spans="7:8">
      <c r="G9424">
        <v>9414</v>
      </c>
      <c r="H9424">
        <f t="shared" ca="1" si="155"/>
        <v>-1.516328450166105E-2</v>
      </c>
    </row>
    <row r="9425" spans="7:8">
      <c r="G9425">
        <v>9415</v>
      </c>
      <c r="H9425">
        <f t="shared" ca="1" si="155"/>
        <v>6.8688883073151751E-3</v>
      </c>
    </row>
    <row r="9426" spans="7:8">
      <c r="G9426">
        <v>9416</v>
      </c>
      <c r="H9426">
        <f t="shared" ca="1" si="155"/>
        <v>1.4415463243004627E-2</v>
      </c>
    </row>
    <row r="9427" spans="7:8">
      <c r="G9427">
        <v>9417</v>
      </c>
      <c r="H9427">
        <f t="shared" ca="1" si="155"/>
        <v>4.9835152024039807E-3</v>
      </c>
    </row>
    <row r="9428" spans="7:8">
      <c r="G9428">
        <v>9418</v>
      </c>
      <c r="H9428">
        <f t="shared" ca="1" si="155"/>
        <v>3.4956684463272308E-3</v>
      </c>
    </row>
    <row r="9429" spans="7:8">
      <c r="G9429">
        <v>9419</v>
      </c>
      <c r="H9429">
        <f t="shared" ca="1" si="155"/>
        <v>5.0067369690525486E-3</v>
      </c>
    </row>
    <row r="9430" spans="7:8">
      <c r="G9430">
        <v>9420</v>
      </c>
      <c r="H9430">
        <f t="shared" ca="1" si="155"/>
        <v>-2.6369000750867042E-2</v>
      </c>
    </row>
    <row r="9431" spans="7:8">
      <c r="G9431">
        <v>9421</v>
      </c>
      <c r="H9431">
        <f t="shared" ca="1" si="155"/>
        <v>-1.5236746534311915E-2</v>
      </c>
    </row>
    <row r="9432" spans="7:8">
      <c r="G9432">
        <v>9422</v>
      </c>
      <c r="H9432">
        <f t="shared" ca="1" si="155"/>
        <v>1.9031543561981442E-2</v>
      </c>
    </row>
    <row r="9433" spans="7:8">
      <c r="G9433">
        <v>9423</v>
      </c>
      <c r="H9433">
        <f t="shared" ca="1" si="155"/>
        <v>-2.8172663775574168E-2</v>
      </c>
    </row>
    <row r="9434" spans="7:8">
      <c r="G9434">
        <v>9424</v>
      </c>
      <c r="H9434">
        <f t="shared" ca="1" si="155"/>
        <v>-3.1408557820309026E-2</v>
      </c>
    </row>
    <row r="9435" spans="7:8">
      <c r="G9435">
        <v>9425</v>
      </c>
      <c r="H9435">
        <f t="shared" ca="1" si="155"/>
        <v>1.7310751276848439E-2</v>
      </c>
    </row>
    <row r="9436" spans="7:8">
      <c r="G9436">
        <v>9426</v>
      </c>
      <c r="H9436">
        <f t="shared" ca="1" si="155"/>
        <v>-1.4403270596577469E-2</v>
      </c>
    </row>
    <row r="9437" spans="7:8">
      <c r="G9437">
        <v>9427</v>
      </c>
      <c r="H9437">
        <f t="shared" ca="1" si="155"/>
        <v>1.2016508181216527E-2</v>
      </c>
    </row>
    <row r="9438" spans="7:8">
      <c r="G9438">
        <v>9428</v>
      </c>
      <c r="H9438">
        <f t="shared" ca="1" si="155"/>
        <v>-1.7857873955440858E-2</v>
      </c>
    </row>
    <row r="9439" spans="7:8">
      <c r="G9439">
        <v>9429</v>
      </c>
      <c r="H9439">
        <f t="shared" ca="1" si="155"/>
        <v>3.4949271758459029E-2</v>
      </c>
    </row>
    <row r="9440" spans="7:8">
      <c r="G9440">
        <v>9430</v>
      </c>
      <c r="H9440">
        <f t="shared" ca="1" si="155"/>
        <v>2.2825069887085471E-2</v>
      </c>
    </row>
    <row r="9441" spans="7:8">
      <c r="G9441">
        <v>9431</v>
      </c>
      <c r="H9441">
        <f t="shared" ca="1" si="155"/>
        <v>-3.1634530975648292E-2</v>
      </c>
    </row>
    <row r="9442" spans="7:8">
      <c r="G9442">
        <v>9432</v>
      </c>
      <c r="H9442">
        <f t="shared" ca="1" si="155"/>
        <v>1.8548879731864639E-2</v>
      </c>
    </row>
    <row r="9443" spans="7:8">
      <c r="G9443">
        <v>9433</v>
      </c>
      <c r="H9443">
        <f t="shared" ca="1" si="155"/>
        <v>-2.3741662600534081E-2</v>
      </c>
    </row>
    <row r="9444" spans="7:8">
      <c r="G9444">
        <v>9434</v>
      </c>
      <c r="H9444">
        <f t="shared" ca="1" si="155"/>
        <v>5.0638359881350119E-2</v>
      </c>
    </row>
    <row r="9445" spans="7:8">
      <c r="G9445">
        <v>9435</v>
      </c>
      <c r="H9445">
        <f t="shared" ca="1" si="155"/>
        <v>4.6204367576769136E-2</v>
      </c>
    </row>
    <row r="9446" spans="7:8">
      <c r="G9446">
        <v>9436</v>
      </c>
      <c r="H9446">
        <f t="shared" ca="1" si="155"/>
        <v>-5.4759274518378226E-3</v>
      </c>
    </row>
    <row r="9447" spans="7:8">
      <c r="G9447">
        <v>9437</v>
      </c>
      <c r="H9447">
        <f t="shared" ca="1" si="155"/>
        <v>2.5086520392785987E-3</v>
      </c>
    </row>
    <row r="9448" spans="7:8">
      <c r="G9448">
        <v>9438</v>
      </c>
      <c r="H9448">
        <f t="shared" ca="1" si="155"/>
        <v>-7.7351877210600087E-3</v>
      </c>
    </row>
    <row r="9449" spans="7:8">
      <c r="G9449">
        <v>9439</v>
      </c>
      <c r="H9449">
        <f t="shared" ca="1" si="155"/>
        <v>-1.1146802524693817E-2</v>
      </c>
    </row>
    <row r="9450" spans="7:8">
      <c r="G9450">
        <v>9440</v>
      </c>
      <c r="H9450">
        <f t="shared" ca="1" si="155"/>
        <v>-9.191231652167826E-3</v>
      </c>
    </row>
    <row r="9451" spans="7:8">
      <c r="G9451">
        <v>9441</v>
      </c>
      <c r="H9451">
        <f t="shared" ca="1" si="155"/>
        <v>-1.6722244038267622E-2</v>
      </c>
    </row>
    <row r="9452" spans="7:8">
      <c r="G9452">
        <v>9442</v>
      </c>
      <c r="H9452">
        <f t="shared" ca="1" si="155"/>
        <v>1.7556096122385473E-2</v>
      </c>
    </row>
    <row r="9453" spans="7:8">
      <c r="G9453">
        <v>9443</v>
      </c>
      <c r="H9453">
        <f t="shared" ca="1" si="155"/>
        <v>1.9379505788138005E-4</v>
      </c>
    </row>
    <row r="9454" spans="7:8">
      <c r="G9454">
        <v>9444</v>
      </c>
      <c r="H9454">
        <f t="shared" ca="1" si="155"/>
        <v>1.9822774145592949E-2</v>
      </c>
    </row>
    <row r="9455" spans="7:8">
      <c r="G9455">
        <v>9445</v>
      </c>
      <c r="H9455">
        <f t="shared" ca="1" si="155"/>
        <v>-1.3717176044571086E-2</v>
      </c>
    </row>
    <row r="9456" spans="7:8">
      <c r="G9456">
        <v>9446</v>
      </c>
      <c r="H9456">
        <f t="shared" ca="1" si="155"/>
        <v>1.4775171991141247E-2</v>
      </c>
    </row>
    <row r="9457" spans="7:8">
      <c r="G9457">
        <v>9447</v>
      </c>
      <c r="H9457">
        <f t="shared" ca="1" si="155"/>
        <v>1.1013837200271043E-2</v>
      </c>
    </row>
    <row r="9458" spans="7:8">
      <c r="G9458">
        <v>9448</v>
      </c>
      <c r="H9458">
        <f t="shared" ca="1" si="155"/>
        <v>2.5129813592658964E-2</v>
      </c>
    </row>
    <row r="9459" spans="7:8">
      <c r="G9459">
        <v>9449</v>
      </c>
      <c r="H9459">
        <f t="shared" ca="1" si="155"/>
        <v>8.492276548223196E-3</v>
      </c>
    </row>
    <row r="9460" spans="7:8">
      <c r="G9460">
        <v>9450</v>
      </c>
      <c r="H9460">
        <f t="shared" ca="1" si="155"/>
        <v>-2.3888999596814581E-2</v>
      </c>
    </row>
    <row r="9461" spans="7:8">
      <c r="G9461">
        <v>9451</v>
      </c>
      <c r="H9461">
        <f t="shared" ca="1" si="155"/>
        <v>-3.3917158127407906E-2</v>
      </c>
    </row>
    <row r="9462" spans="7:8">
      <c r="G9462">
        <v>9452</v>
      </c>
      <c r="H9462">
        <f t="shared" ca="1" si="155"/>
        <v>-8.4748322199588149E-3</v>
      </c>
    </row>
    <row r="9463" spans="7:8">
      <c r="G9463">
        <v>9453</v>
      </c>
      <c r="H9463">
        <f t="shared" ca="1" si="155"/>
        <v>1.2546515079426817E-2</v>
      </c>
    </row>
    <row r="9464" spans="7:8">
      <c r="G9464">
        <v>9454</v>
      </c>
      <c r="H9464">
        <f t="shared" ca="1" si="155"/>
        <v>3.5971192156250662E-3</v>
      </c>
    </row>
    <row r="9465" spans="7:8">
      <c r="G9465">
        <v>9455</v>
      </c>
      <c r="H9465">
        <f t="shared" ca="1" si="155"/>
        <v>1.3454687345041337E-2</v>
      </c>
    </row>
    <row r="9466" spans="7:8">
      <c r="G9466">
        <v>9456</v>
      </c>
      <c r="H9466">
        <f t="shared" ca="1" si="155"/>
        <v>-9.2821869563146225E-3</v>
      </c>
    </row>
    <row r="9467" spans="7:8">
      <c r="G9467">
        <v>9457</v>
      </c>
      <c r="H9467">
        <f t="shared" ca="1" si="155"/>
        <v>1.1840526196377831E-2</v>
      </c>
    </row>
    <row r="9468" spans="7:8">
      <c r="G9468">
        <v>9458</v>
      </c>
      <c r="H9468">
        <f t="shared" ca="1" si="155"/>
        <v>2.8665995888640427E-3</v>
      </c>
    </row>
    <row r="9469" spans="7:8">
      <c r="G9469">
        <v>9459</v>
      </c>
      <c r="H9469">
        <f t="shared" ca="1" si="155"/>
        <v>1.0641233224755204E-2</v>
      </c>
    </row>
    <row r="9470" spans="7:8">
      <c r="G9470">
        <v>9460</v>
      </c>
      <c r="H9470">
        <f t="shared" ca="1" si="155"/>
        <v>-9.4343231379586025E-3</v>
      </c>
    </row>
    <row r="9471" spans="7:8">
      <c r="G9471">
        <v>9461</v>
      </c>
      <c r="H9471">
        <f t="shared" ca="1" si="155"/>
        <v>2.0267317932340545E-2</v>
      </c>
    </row>
    <row r="9472" spans="7:8">
      <c r="G9472">
        <v>9462</v>
      </c>
      <c r="H9472">
        <f t="shared" ca="1" si="155"/>
        <v>-2.6646910902834931E-2</v>
      </c>
    </row>
    <row r="9473" spans="7:8">
      <c r="G9473">
        <v>9463</v>
      </c>
      <c r="H9473">
        <f t="shared" ca="1" si="155"/>
        <v>-1.5356174942256016E-2</v>
      </c>
    </row>
    <row r="9474" spans="7:8">
      <c r="G9474">
        <v>9464</v>
      </c>
      <c r="H9474">
        <f t="shared" ca="1" si="155"/>
        <v>-1.4446828449810406E-2</v>
      </c>
    </row>
    <row r="9475" spans="7:8">
      <c r="G9475">
        <v>9465</v>
      </c>
      <c r="H9475">
        <f t="shared" ca="1" si="155"/>
        <v>2.1554110895821054E-2</v>
      </c>
    </row>
    <row r="9476" spans="7:8">
      <c r="G9476">
        <v>9466</v>
      </c>
      <c r="H9476">
        <f t="shared" ca="1" si="155"/>
        <v>8.7413912086947414E-3</v>
      </c>
    </row>
    <row r="9477" spans="7:8">
      <c r="G9477">
        <v>9467</v>
      </c>
      <c r="H9477">
        <f t="shared" ca="1" si="155"/>
        <v>2.8873285625246525E-3</v>
      </c>
    </row>
    <row r="9478" spans="7:8">
      <c r="G9478">
        <v>9468</v>
      </c>
      <c r="H9478">
        <f t="shared" ca="1" si="155"/>
        <v>5.6560874695465416E-4</v>
      </c>
    </row>
    <row r="9479" spans="7:8">
      <c r="G9479">
        <v>9469</v>
      </c>
      <c r="H9479">
        <f t="shared" ca="1" si="155"/>
        <v>2.2795411386803792E-2</v>
      </c>
    </row>
    <row r="9480" spans="7:8">
      <c r="G9480">
        <v>9470</v>
      </c>
      <c r="H9480">
        <f t="shared" ca="1" si="155"/>
        <v>1.6905259603883963E-2</v>
      </c>
    </row>
    <row r="9481" spans="7:8">
      <c r="G9481">
        <v>9471</v>
      </c>
      <c r="H9481">
        <f t="shared" ca="1" si="155"/>
        <v>-7.5758328528267018E-3</v>
      </c>
    </row>
    <row r="9482" spans="7:8">
      <c r="G9482">
        <v>9472</v>
      </c>
      <c r="H9482">
        <f t="shared" ca="1" si="155"/>
        <v>-1.2692652554996124E-2</v>
      </c>
    </row>
    <row r="9483" spans="7:8">
      <c r="G9483">
        <v>9473</v>
      </c>
      <c r="H9483">
        <f t="shared" ca="1" si="155"/>
        <v>-1.4234305493805298E-2</v>
      </c>
    </row>
    <row r="9484" spans="7:8">
      <c r="G9484">
        <v>9474</v>
      </c>
      <c r="H9484">
        <f t="shared" ref="H9484:H9547" ca="1" si="156">_xlfn.NORM.INV(RAND(),N$13,N$14)</f>
        <v>-1.6784115321589223E-2</v>
      </c>
    </row>
    <row r="9485" spans="7:8">
      <c r="G9485">
        <v>9475</v>
      </c>
      <c r="H9485">
        <f t="shared" ca="1" si="156"/>
        <v>1.9339294708092779E-2</v>
      </c>
    </row>
    <row r="9486" spans="7:8">
      <c r="G9486">
        <v>9476</v>
      </c>
      <c r="H9486">
        <f t="shared" ca="1" si="156"/>
        <v>1.3588882991387259E-2</v>
      </c>
    </row>
    <row r="9487" spans="7:8">
      <c r="G9487">
        <v>9477</v>
      </c>
      <c r="H9487">
        <f t="shared" ca="1" si="156"/>
        <v>1.5239801981648543E-2</v>
      </c>
    </row>
    <row r="9488" spans="7:8">
      <c r="G9488">
        <v>9478</v>
      </c>
      <c r="H9488">
        <f t="shared" ca="1" si="156"/>
        <v>3.038455281251275E-2</v>
      </c>
    </row>
    <row r="9489" spans="7:8">
      <c r="G9489">
        <v>9479</v>
      </c>
      <c r="H9489">
        <f t="shared" ca="1" si="156"/>
        <v>-1.9199655567492327E-2</v>
      </c>
    </row>
    <row r="9490" spans="7:8">
      <c r="G9490">
        <v>9480</v>
      </c>
      <c r="H9490">
        <f t="shared" ca="1" si="156"/>
        <v>-2.8294653882376983E-2</v>
      </c>
    </row>
    <row r="9491" spans="7:8">
      <c r="G9491">
        <v>9481</v>
      </c>
      <c r="H9491">
        <f t="shared" ca="1" si="156"/>
        <v>1.9856822735657295E-2</v>
      </c>
    </row>
    <row r="9492" spans="7:8">
      <c r="G9492">
        <v>9482</v>
      </c>
      <c r="H9492">
        <f t="shared" ca="1" si="156"/>
        <v>5.748238666519731E-2</v>
      </c>
    </row>
    <row r="9493" spans="7:8">
      <c r="G9493">
        <v>9483</v>
      </c>
      <c r="H9493">
        <f t="shared" ca="1" si="156"/>
        <v>4.3199854699339157E-3</v>
      </c>
    </row>
    <row r="9494" spans="7:8">
      <c r="G9494">
        <v>9484</v>
      </c>
      <c r="H9494">
        <f t="shared" ca="1" si="156"/>
        <v>1.9335052203883842E-2</v>
      </c>
    </row>
    <row r="9495" spans="7:8">
      <c r="G9495">
        <v>9485</v>
      </c>
      <c r="H9495">
        <f t="shared" ca="1" si="156"/>
        <v>1.918256544752709E-2</v>
      </c>
    </row>
    <row r="9496" spans="7:8">
      <c r="G9496">
        <v>9486</v>
      </c>
      <c r="H9496">
        <f t="shared" ca="1" si="156"/>
        <v>-1.244582161506085E-2</v>
      </c>
    </row>
    <row r="9497" spans="7:8">
      <c r="G9497">
        <v>9487</v>
      </c>
      <c r="H9497">
        <f t="shared" ca="1" si="156"/>
        <v>-1.4935041279500336E-2</v>
      </c>
    </row>
    <row r="9498" spans="7:8">
      <c r="G9498">
        <v>9488</v>
      </c>
      <c r="H9498">
        <f t="shared" ca="1" si="156"/>
        <v>-1.4225206383042446E-2</v>
      </c>
    </row>
    <row r="9499" spans="7:8">
      <c r="G9499">
        <v>9489</v>
      </c>
      <c r="H9499">
        <f t="shared" ca="1" si="156"/>
        <v>-9.4665544624769563E-3</v>
      </c>
    </row>
    <row r="9500" spans="7:8">
      <c r="G9500">
        <v>9490</v>
      </c>
      <c r="H9500">
        <f t="shared" ca="1" si="156"/>
        <v>-9.7477162715020778E-3</v>
      </c>
    </row>
    <row r="9501" spans="7:8">
      <c r="G9501">
        <v>9491</v>
      </c>
      <c r="H9501">
        <f t="shared" ca="1" si="156"/>
        <v>1.7162349372991468E-2</v>
      </c>
    </row>
    <row r="9502" spans="7:8">
      <c r="G9502">
        <v>9492</v>
      </c>
      <c r="H9502">
        <f t="shared" ca="1" si="156"/>
        <v>-5.5206127023499198E-3</v>
      </c>
    </row>
    <row r="9503" spans="7:8">
      <c r="G9503">
        <v>9493</v>
      </c>
      <c r="H9503">
        <f t="shared" ca="1" si="156"/>
        <v>1.7201466749687883E-2</v>
      </c>
    </row>
    <row r="9504" spans="7:8">
      <c r="G9504">
        <v>9494</v>
      </c>
      <c r="H9504">
        <f t="shared" ca="1" si="156"/>
        <v>6.1494027468035417E-3</v>
      </c>
    </row>
    <row r="9505" spans="7:8">
      <c r="G9505">
        <v>9495</v>
      </c>
      <c r="H9505">
        <f t="shared" ca="1" si="156"/>
        <v>-3.7334019320083504E-2</v>
      </c>
    </row>
    <row r="9506" spans="7:8">
      <c r="G9506">
        <v>9496</v>
      </c>
      <c r="H9506">
        <f t="shared" ca="1" si="156"/>
        <v>2.4248491229401883E-2</v>
      </c>
    </row>
    <row r="9507" spans="7:8">
      <c r="G9507">
        <v>9497</v>
      </c>
      <c r="H9507">
        <f t="shared" ca="1" si="156"/>
        <v>-6.3419645155235694E-3</v>
      </c>
    </row>
    <row r="9508" spans="7:8">
      <c r="G9508">
        <v>9498</v>
      </c>
      <c r="H9508">
        <f t="shared" ca="1" si="156"/>
        <v>-3.3793052054919979E-4</v>
      </c>
    </row>
    <row r="9509" spans="7:8">
      <c r="G9509">
        <v>9499</v>
      </c>
      <c r="H9509">
        <f t="shared" ca="1" si="156"/>
        <v>-4.5045841479244815E-3</v>
      </c>
    </row>
    <row r="9510" spans="7:8">
      <c r="G9510">
        <v>9500</v>
      </c>
      <c r="H9510">
        <f t="shared" ca="1" si="156"/>
        <v>-2.4765203718225343E-2</v>
      </c>
    </row>
    <row r="9511" spans="7:8">
      <c r="G9511">
        <v>9501</v>
      </c>
      <c r="H9511">
        <f t="shared" ca="1" si="156"/>
        <v>-3.7597118082225843E-2</v>
      </c>
    </row>
    <row r="9512" spans="7:8">
      <c r="G9512">
        <v>9502</v>
      </c>
      <c r="H9512">
        <f t="shared" ca="1" si="156"/>
        <v>-7.8749788689715435E-3</v>
      </c>
    </row>
    <row r="9513" spans="7:8">
      <c r="G9513">
        <v>9503</v>
      </c>
      <c r="H9513">
        <f t="shared" ca="1" si="156"/>
        <v>5.3348533142799732E-3</v>
      </c>
    </row>
    <row r="9514" spans="7:8">
      <c r="G9514">
        <v>9504</v>
      </c>
      <c r="H9514">
        <f t="shared" ca="1" si="156"/>
        <v>2.843686758982766E-2</v>
      </c>
    </row>
    <row r="9515" spans="7:8">
      <c r="G9515">
        <v>9505</v>
      </c>
      <c r="H9515">
        <f t="shared" ca="1" si="156"/>
        <v>-1.7841988048489521E-2</v>
      </c>
    </row>
    <row r="9516" spans="7:8">
      <c r="G9516">
        <v>9506</v>
      </c>
      <c r="H9516">
        <f t="shared" ca="1" si="156"/>
        <v>3.7468968048575278E-3</v>
      </c>
    </row>
    <row r="9517" spans="7:8">
      <c r="G9517">
        <v>9507</v>
      </c>
      <c r="H9517">
        <f t="shared" ca="1" si="156"/>
        <v>1.3146997190014735E-3</v>
      </c>
    </row>
    <row r="9518" spans="7:8">
      <c r="G9518">
        <v>9508</v>
      </c>
      <c r="H9518">
        <f t="shared" ca="1" si="156"/>
        <v>-3.1928066259449842E-2</v>
      </c>
    </row>
    <row r="9519" spans="7:8">
      <c r="G9519">
        <v>9509</v>
      </c>
      <c r="H9519">
        <f t="shared" ca="1" si="156"/>
        <v>3.0338862108749765E-5</v>
      </c>
    </row>
    <row r="9520" spans="7:8">
      <c r="G9520">
        <v>9510</v>
      </c>
      <c r="H9520">
        <f t="shared" ca="1" si="156"/>
        <v>7.3915637424357477E-3</v>
      </c>
    </row>
    <row r="9521" spans="7:8">
      <c r="G9521">
        <v>9511</v>
      </c>
      <c r="H9521">
        <f t="shared" ca="1" si="156"/>
        <v>-5.3491132920526303E-3</v>
      </c>
    </row>
    <row r="9522" spans="7:8">
      <c r="G9522">
        <v>9512</v>
      </c>
      <c r="H9522">
        <f t="shared" ca="1" si="156"/>
        <v>-5.2440263218849889E-3</v>
      </c>
    </row>
    <row r="9523" spans="7:8">
      <c r="G9523">
        <v>9513</v>
      </c>
      <c r="H9523">
        <f t="shared" ca="1" si="156"/>
        <v>4.4648832862401573E-2</v>
      </c>
    </row>
    <row r="9524" spans="7:8">
      <c r="G9524">
        <v>9514</v>
      </c>
      <c r="H9524">
        <f t="shared" ca="1" si="156"/>
        <v>-3.0330655903633755E-3</v>
      </c>
    </row>
    <row r="9525" spans="7:8">
      <c r="G9525">
        <v>9515</v>
      </c>
      <c r="H9525">
        <f t="shared" ca="1" si="156"/>
        <v>-2.8802941940729503E-2</v>
      </c>
    </row>
    <row r="9526" spans="7:8">
      <c r="G9526">
        <v>9516</v>
      </c>
      <c r="H9526">
        <f t="shared" ca="1" si="156"/>
        <v>1.9034252089877135E-2</v>
      </c>
    </row>
    <row r="9527" spans="7:8">
      <c r="G9527">
        <v>9517</v>
      </c>
      <c r="H9527">
        <f t="shared" ca="1" si="156"/>
        <v>1.4593979721743899E-2</v>
      </c>
    </row>
    <row r="9528" spans="7:8">
      <c r="G9528">
        <v>9518</v>
      </c>
      <c r="H9528">
        <f t="shared" ca="1" si="156"/>
        <v>6.7015453187608282E-3</v>
      </c>
    </row>
    <row r="9529" spans="7:8">
      <c r="G9529">
        <v>9519</v>
      </c>
      <c r="H9529">
        <f t="shared" ca="1" si="156"/>
        <v>1.1451351616886185E-2</v>
      </c>
    </row>
    <row r="9530" spans="7:8">
      <c r="G9530">
        <v>9520</v>
      </c>
      <c r="H9530">
        <f t="shared" ca="1" si="156"/>
        <v>1.277105304710203E-2</v>
      </c>
    </row>
    <row r="9531" spans="7:8">
      <c r="G9531">
        <v>9521</v>
      </c>
      <c r="H9531">
        <f t="shared" ca="1" si="156"/>
        <v>-8.2985992765021084E-4</v>
      </c>
    </row>
    <row r="9532" spans="7:8">
      <c r="G9532">
        <v>9522</v>
      </c>
      <c r="H9532">
        <f t="shared" ca="1" si="156"/>
        <v>1.0104078801015853E-2</v>
      </c>
    </row>
    <row r="9533" spans="7:8">
      <c r="G9533">
        <v>9523</v>
      </c>
      <c r="H9533">
        <f t="shared" ca="1" si="156"/>
        <v>3.4392073622812463E-2</v>
      </c>
    </row>
    <row r="9534" spans="7:8">
      <c r="G9534">
        <v>9524</v>
      </c>
      <c r="H9534">
        <f t="shared" ca="1" si="156"/>
        <v>3.762318148780619E-2</v>
      </c>
    </row>
    <row r="9535" spans="7:8">
      <c r="G9535">
        <v>9525</v>
      </c>
      <c r="H9535">
        <f t="shared" ca="1" si="156"/>
        <v>-3.6744282446181928E-2</v>
      </c>
    </row>
    <row r="9536" spans="7:8">
      <c r="G9536">
        <v>9526</v>
      </c>
      <c r="H9536">
        <f t="shared" ca="1" si="156"/>
        <v>-4.9699885877632161E-2</v>
      </c>
    </row>
    <row r="9537" spans="7:8">
      <c r="G9537">
        <v>9527</v>
      </c>
      <c r="H9537">
        <f t="shared" ca="1" si="156"/>
        <v>-2.8810610913352269E-2</v>
      </c>
    </row>
    <row r="9538" spans="7:8">
      <c r="G9538">
        <v>9528</v>
      </c>
      <c r="H9538">
        <f t="shared" ca="1" si="156"/>
        <v>1.6154847404353707E-2</v>
      </c>
    </row>
    <row r="9539" spans="7:8">
      <c r="G9539">
        <v>9529</v>
      </c>
      <c r="H9539">
        <f t="shared" ca="1" si="156"/>
        <v>9.2347015471104694E-3</v>
      </c>
    </row>
    <row r="9540" spans="7:8">
      <c r="G9540">
        <v>9530</v>
      </c>
      <c r="H9540">
        <f t="shared" ca="1" si="156"/>
        <v>1.0819314870331121E-2</v>
      </c>
    </row>
    <row r="9541" spans="7:8">
      <c r="G9541">
        <v>9531</v>
      </c>
      <c r="H9541">
        <f t="shared" ca="1" si="156"/>
        <v>2.1227135004422193E-2</v>
      </c>
    </row>
    <row r="9542" spans="7:8">
      <c r="G9542">
        <v>9532</v>
      </c>
      <c r="H9542">
        <f t="shared" ca="1" si="156"/>
        <v>-2.1511001114499061E-2</v>
      </c>
    </row>
    <row r="9543" spans="7:8">
      <c r="G9543">
        <v>9533</v>
      </c>
      <c r="H9543">
        <f t="shared" ca="1" si="156"/>
        <v>1.8354161894348409E-2</v>
      </c>
    </row>
    <row r="9544" spans="7:8">
      <c r="G9544">
        <v>9534</v>
      </c>
      <c r="H9544">
        <f t="shared" ca="1" si="156"/>
        <v>9.6277359469734008E-3</v>
      </c>
    </row>
    <row r="9545" spans="7:8">
      <c r="G9545">
        <v>9535</v>
      </c>
      <c r="H9545">
        <f t="shared" ca="1" si="156"/>
        <v>-2.5985112470421613E-2</v>
      </c>
    </row>
    <row r="9546" spans="7:8">
      <c r="G9546">
        <v>9536</v>
      </c>
      <c r="H9546">
        <f t="shared" ca="1" si="156"/>
        <v>1.8025636330945095E-2</v>
      </c>
    </row>
    <row r="9547" spans="7:8">
      <c r="G9547">
        <v>9537</v>
      </c>
      <c r="H9547">
        <f t="shared" ca="1" si="156"/>
        <v>-1.2777650312528222E-2</v>
      </c>
    </row>
    <row r="9548" spans="7:8">
      <c r="G9548">
        <v>9538</v>
      </c>
      <c r="H9548">
        <f t="shared" ref="H9548:H9611" ca="1" si="157">_xlfn.NORM.INV(RAND(),N$13,N$14)</f>
        <v>9.6691455611625779E-4</v>
      </c>
    </row>
    <row r="9549" spans="7:8">
      <c r="G9549">
        <v>9539</v>
      </c>
      <c r="H9549">
        <f t="shared" ca="1" si="157"/>
        <v>1.7356475822959957E-2</v>
      </c>
    </row>
    <row r="9550" spans="7:8">
      <c r="G9550">
        <v>9540</v>
      </c>
      <c r="H9550">
        <f t="shared" ca="1" si="157"/>
        <v>-1.4720699301979331E-2</v>
      </c>
    </row>
    <row r="9551" spans="7:8">
      <c r="G9551">
        <v>9541</v>
      </c>
      <c r="H9551">
        <f t="shared" ca="1" si="157"/>
        <v>-1.4284004516431584E-2</v>
      </c>
    </row>
    <row r="9552" spans="7:8">
      <c r="G9552">
        <v>9542</v>
      </c>
      <c r="H9552">
        <f t="shared" ca="1" si="157"/>
        <v>1.8777151873594349E-2</v>
      </c>
    </row>
    <row r="9553" spans="7:8">
      <c r="G9553">
        <v>9543</v>
      </c>
      <c r="H9553">
        <f t="shared" ca="1" si="157"/>
        <v>3.1875244775007937E-2</v>
      </c>
    </row>
    <row r="9554" spans="7:8">
      <c r="G9554">
        <v>9544</v>
      </c>
      <c r="H9554">
        <f t="shared" ca="1" si="157"/>
        <v>-9.7399975316394358E-3</v>
      </c>
    </row>
    <row r="9555" spans="7:8">
      <c r="G9555">
        <v>9545</v>
      </c>
      <c r="H9555">
        <f t="shared" ca="1" si="157"/>
        <v>-8.365331554766103E-3</v>
      </c>
    </row>
    <row r="9556" spans="7:8">
      <c r="G9556">
        <v>9546</v>
      </c>
      <c r="H9556">
        <f t="shared" ca="1" si="157"/>
        <v>-8.2126923044916356E-3</v>
      </c>
    </row>
    <row r="9557" spans="7:8">
      <c r="G9557">
        <v>9547</v>
      </c>
      <c r="H9557">
        <f t="shared" ca="1" si="157"/>
        <v>-2.7143600266596624E-2</v>
      </c>
    </row>
    <row r="9558" spans="7:8">
      <c r="G9558">
        <v>9548</v>
      </c>
      <c r="H9558">
        <f t="shared" ca="1" si="157"/>
        <v>-7.7431804028716992E-3</v>
      </c>
    </row>
    <row r="9559" spans="7:8">
      <c r="G9559">
        <v>9549</v>
      </c>
      <c r="H9559">
        <f t="shared" ca="1" si="157"/>
        <v>8.2032930629655255E-3</v>
      </c>
    </row>
    <row r="9560" spans="7:8">
      <c r="G9560">
        <v>9550</v>
      </c>
      <c r="H9560">
        <f t="shared" ca="1" si="157"/>
        <v>-1.2223382198164627E-2</v>
      </c>
    </row>
    <row r="9561" spans="7:8">
      <c r="G9561">
        <v>9551</v>
      </c>
      <c r="H9561">
        <f t="shared" ca="1" si="157"/>
        <v>-1.4525903351707193E-2</v>
      </c>
    </row>
    <row r="9562" spans="7:8">
      <c r="G9562">
        <v>9552</v>
      </c>
      <c r="H9562">
        <f t="shared" ca="1" si="157"/>
        <v>-3.5544607459351993E-2</v>
      </c>
    </row>
    <row r="9563" spans="7:8">
      <c r="G9563">
        <v>9553</v>
      </c>
      <c r="H9563">
        <f t="shared" ca="1" si="157"/>
        <v>-1.0896727911937779E-2</v>
      </c>
    </row>
    <row r="9564" spans="7:8">
      <c r="G9564">
        <v>9554</v>
      </c>
      <c r="H9564">
        <f t="shared" ca="1" si="157"/>
        <v>-2.2597919646524342E-2</v>
      </c>
    </row>
    <row r="9565" spans="7:8">
      <c r="G9565">
        <v>9555</v>
      </c>
      <c r="H9565">
        <f t="shared" ca="1" si="157"/>
        <v>2.4678798945117739E-2</v>
      </c>
    </row>
    <row r="9566" spans="7:8">
      <c r="G9566">
        <v>9556</v>
      </c>
      <c r="H9566">
        <f t="shared" ca="1" si="157"/>
        <v>1.4209676526665114E-2</v>
      </c>
    </row>
    <row r="9567" spans="7:8">
      <c r="G9567">
        <v>9557</v>
      </c>
      <c r="H9567">
        <f t="shared" ca="1" si="157"/>
        <v>4.9626124082798474E-3</v>
      </c>
    </row>
    <row r="9568" spans="7:8">
      <c r="G9568">
        <v>9558</v>
      </c>
      <c r="H9568">
        <f t="shared" ca="1" si="157"/>
        <v>-1.5396662155115683E-2</v>
      </c>
    </row>
    <row r="9569" spans="7:8">
      <c r="G9569">
        <v>9559</v>
      </c>
      <c r="H9569">
        <f t="shared" ca="1" si="157"/>
        <v>4.1361597540240441E-3</v>
      </c>
    </row>
    <row r="9570" spans="7:8">
      <c r="G9570">
        <v>9560</v>
      </c>
      <c r="H9570">
        <f t="shared" ca="1" si="157"/>
        <v>7.2704532276142882E-3</v>
      </c>
    </row>
    <row r="9571" spans="7:8">
      <c r="G9571">
        <v>9561</v>
      </c>
      <c r="H9571">
        <f t="shared" ca="1" si="157"/>
        <v>-3.3658798264769906E-3</v>
      </c>
    </row>
    <row r="9572" spans="7:8">
      <c r="G9572">
        <v>9562</v>
      </c>
      <c r="H9572">
        <f t="shared" ca="1" si="157"/>
        <v>7.4753963181457602E-3</v>
      </c>
    </row>
    <row r="9573" spans="7:8">
      <c r="G9573">
        <v>9563</v>
      </c>
      <c r="H9573">
        <f t="shared" ca="1" si="157"/>
        <v>-6.0298109370994042E-3</v>
      </c>
    </row>
    <row r="9574" spans="7:8">
      <c r="G9574">
        <v>9564</v>
      </c>
      <c r="H9574">
        <f t="shared" ca="1" si="157"/>
        <v>1.9247159042868219E-2</v>
      </c>
    </row>
    <row r="9575" spans="7:8">
      <c r="G9575">
        <v>9565</v>
      </c>
      <c r="H9575">
        <f t="shared" ca="1" si="157"/>
        <v>3.9352625895807064E-3</v>
      </c>
    </row>
    <row r="9576" spans="7:8">
      <c r="G9576">
        <v>9566</v>
      </c>
      <c r="H9576">
        <f t="shared" ca="1" si="157"/>
        <v>-1.7855941385521445E-2</v>
      </c>
    </row>
    <row r="9577" spans="7:8">
      <c r="G9577">
        <v>9567</v>
      </c>
      <c r="H9577">
        <f t="shared" ca="1" si="157"/>
        <v>3.3556069954866425E-3</v>
      </c>
    </row>
    <row r="9578" spans="7:8">
      <c r="G9578">
        <v>9568</v>
      </c>
      <c r="H9578">
        <f t="shared" ca="1" si="157"/>
        <v>2.5395478248894564E-2</v>
      </c>
    </row>
    <row r="9579" spans="7:8">
      <c r="G9579">
        <v>9569</v>
      </c>
      <c r="H9579">
        <f t="shared" ca="1" si="157"/>
        <v>2.2422537020045295E-2</v>
      </c>
    </row>
    <row r="9580" spans="7:8">
      <c r="G9580">
        <v>9570</v>
      </c>
      <c r="H9580">
        <f t="shared" ca="1" si="157"/>
        <v>-1.7558726380615029E-2</v>
      </c>
    </row>
    <row r="9581" spans="7:8">
      <c r="G9581">
        <v>9571</v>
      </c>
      <c r="H9581">
        <f t="shared" ca="1" si="157"/>
        <v>-9.2168180962155302E-3</v>
      </c>
    </row>
    <row r="9582" spans="7:8">
      <c r="G9582">
        <v>9572</v>
      </c>
      <c r="H9582">
        <f t="shared" ca="1" si="157"/>
        <v>1.1738392795643876E-2</v>
      </c>
    </row>
    <row r="9583" spans="7:8">
      <c r="G9583">
        <v>9573</v>
      </c>
      <c r="H9583">
        <f t="shared" ca="1" si="157"/>
        <v>-5.7037729612662846E-2</v>
      </c>
    </row>
    <row r="9584" spans="7:8">
      <c r="G9584">
        <v>9574</v>
      </c>
      <c r="H9584">
        <f t="shared" ca="1" si="157"/>
        <v>5.4784087063430763E-2</v>
      </c>
    </row>
    <row r="9585" spans="7:8">
      <c r="G9585">
        <v>9575</v>
      </c>
      <c r="H9585">
        <f t="shared" ca="1" si="157"/>
        <v>1.5351397693799586E-2</v>
      </c>
    </row>
    <row r="9586" spans="7:8">
      <c r="G9586">
        <v>9576</v>
      </c>
      <c r="H9586">
        <f t="shared" ca="1" si="157"/>
        <v>-3.0224421976587043E-3</v>
      </c>
    </row>
    <row r="9587" spans="7:8">
      <c r="G9587">
        <v>9577</v>
      </c>
      <c r="H9587">
        <f t="shared" ca="1" si="157"/>
        <v>-6.4623445337397417E-2</v>
      </c>
    </row>
    <row r="9588" spans="7:8">
      <c r="G9588">
        <v>9578</v>
      </c>
      <c r="H9588">
        <f t="shared" ca="1" si="157"/>
        <v>-4.291644933417306E-3</v>
      </c>
    </row>
    <row r="9589" spans="7:8">
      <c r="G9589">
        <v>9579</v>
      </c>
      <c r="H9589">
        <f t="shared" ca="1" si="157"/>
        <v>1.087951967367377E-2</v>
      </c>
    </row>
    <row r="9590" spans="7:8">
      <c r="G9590">
        <v>9580</v>
      </c>
      <c r="H9590">
        <f t="shared" ca="1" si="157"/>
        <v>-1.8057168140246858E-2</v>
      </c>
    </row>
    <row r="9591" spans="7:8">
      <c r="G9591">
        <v>9581</v>
      </c>
      <c r="H9591">
        <f t="shared" ca="1" si="157"/>
        <v>-2.6913300505026728E-3</v>
      </c>
    </row>
    <row r="9592" spans="7:8">
      <c r="G9592">
        <v>9582</v>
      </c>
      <c r="H9592">
        <f t="shared" ca="1" si="157"/>
        <v>-1.4363485265313808E-2</v>
      </c>
    </row>
    <row r="9593" spans="7:8">
      <c r="G9593">
        <v>9583</v>
      </c>
      <c r="H9593">
        <f t="shared" ca="1" si="157"/>
        <v>-7.3536092215199392E-3</v>
      </c>
    </row>
    <row r="9594" spans="7:8">
      <c r="G9594">
        <v>9584</v>
      </c>
      <c r="H9594">
        <f t="shared" ca="1" si="157"/>
        <v>-1.5346984545469251E-2</v>
      </c>
    </row>
    <row r="9595" spans="7:8">
      <c r="G9595">
        <v>9585</v>
      </c>
      <c r="H9595">
        <f t="shared" ca="1" si="157"/>
        <v>-8.409825012177536E-3</v>
      </c>
    </row>
    <row r="9596" spans="7:8">
      <c r="G9596">
        <v>9586</v>
      </c>
      <c r="H9596">
        <f t="shared" ca="1" si="157"/>
        <v>-3.1972382594660918E-2</v>
      </c>
    </row>
    <row r="9597" spans="7:8">
      <c r="G9597">
        <v>9587</v>
      </c>
      <c r="H9597">
        <f t="shared" ca="1" si="157"/>
        <v>-2.0095352245572868E-2</v>
      </c>
    </row>
    <row r="9598" spans="7:8">
      <c r="G9598">
        <v>9588</v>
      </c>
      <c r="H9598">
        <f t="shared" ca="1" si="157"/>
        <v>1.599708519559782E-2</v>
      </c>
    </row>
    <row r="9599" spans="7:8">
      <c r="G9599">
        <v>9589</v>
      </c>
      <c r="H9599">
        <f t="shared" ca="1" si="157"/>
        <v>-2.7461055714020476E-2</v>
      </c>
    </row>
    <row r="9600" spans="7:8">
      <c r="G9600">
        <v>9590</v>
      </c>
      <c r="H9600">
        <f t="shared" ca="1" si="157"/>
        <v>3.0460157334926876E-2</v>
      </c>
    </row>
    <row r="9601" spans="7:8">
      <c r="G9601">
        <v>9591</v>
      </c>
      <c r="H9601">
        <f t="shared" ca="1" si="157"/>
        <v>2.5158754656432237E-2</v>
      </c>
    </row>
    <row r="9602" spans="7:8">
      <c r="G9602">
        <v>9592</v>
      </c>
      <c r="H9602">
        <f t="shared" ca="1" si="157"/>
        <v>1.4046450846013402E-3</v>
      </c>
    </row>
    <row r="9603" spans="7:8">
      <c r="G9603">
        <v>9593</v>
      </c>
      <c r="H9603">
        <f t="shared" ca="1" si="157"/>
        <v>2.1004514334320039E-2</v>
      </c>
    </row>
    <row r="9604" spans="7:8">
      <c r="G9604">
        <v>9594</v>
      </c>
      <c r="H9604">
        <f t="shared" ca="1" si="157"/>
        <v>-2.5061471947088663E-2</v>
      </c>
    </row>
    <row r="9605" spans="7:8">
      <c r="G9605">
        <v>9595</v>
      </c>
      <c r="H9605">
        <f t="shared" ca="1" si="157"/>
        <v>-3.8247322488865108E-2</v>
      </c>
    </row>
    <row r="9606" spans="7:8">
      <c r="G9606">
        <v>9596</v>
      </c>
      <c r="H9606">
        <f t="shared" ca="1" si="157"/>
        <v>2.5969848878984575E-3</v>
      </c>
    </row>
    <row r="9607" spans="7:8">
      <c r="G9607">
        <v>9597</v>
      </c>
      <c r="H9607">
        <f t="shared" ca="1" si="157"/>
        <v>-1.4859404182376639E-2</v>
      </c>
    </row>
    <row r="9608" spans="7:8">
      <c r="G9608">
        <v>9598</v>
      </c>
      <c r="H9608">
        <f t="shared" ca="1" si="157"/>
        <v>-2.0189254560151339E-2</v>
      </c>
    </row>
    <row r="9609" spans="7:8">
      <c r="G9609">
        <v>9599</v>
      </c>
      <c r="H9609">
        <f t="shared" ca="1" si="157"/>
        <v>-1.2431168616998566E-2</v>
      </c>
    </row>
    <row r="9610" spans="7:8">
      <c r="G9610">
        <v>9600</v>
      </c>
      <c r="H9610">
        <f t="shared" ca="1" si="157"/>
        <v>5.441255975780554E-2</v>
      </c>
    </row>
    <row r="9611" spans="7:8">
      <c r="G9611">
        <v>9601</v>
      </c>
      <c r="H9611">
        <f t="shared" ca="1" si="157"/>
        <v>-6.2389535931356233E-3</v>
      </c>
    </row>
    <row r="9612" spans="7:8">
      <c r="G9612">
        <v>9602</v>
      </c>
      <c r="H9612">
        <f t="shared" ref="H9612:H9675" ca="1" si="158">_xlfn.NORM.INV(RAND(),N$13,N$14)</f>
        <v>-2.8941581430973334E-2</v>
      </c>
    </row>
    <row r="9613" spans="7:8">
      <c r="G9613">
        <v>9603</v>
      </c>
      <c r="H9613">
        <f t="shared" ca="1" si="158"/>
        <v>-9.4676976676588524E-3</v>
      </c>
    </row>
    <row r="9614" spans="7:8">
      <c r="G9614">
        <v>9604</v>
      </c>
      <c r="H9614">
        <f t="shared" ca="1" si="158"/>
        <v>-3.5661129646159133E-2</v>
      </c>
    </row>
    <row r="9615" spans="7:8">
      <c r="G9615">
        <v>9605</v>
      </c>
      <c r="H9615">
        <f t="shared" ca="1" si="158"/>
        <v>1.0845969311415814E-2</v>
      </c>
    </row>
    <row r="9616" spans="7:8">
      <c r="G9616">
        <v>9606</v>
      </c>
      <c r="H9616">
        <f t="shared" ca="1" si="158"/>
        <v>-2.221814275175607E-2</v>
      </c>
    </row>
    <row r="9617" spans="7:8">
      <c r="G9617">
        <v>9607</v>
      </c>
      <c r="H9617">
        <f t="shared" ca="1" si="158"/>
        <v>-4.0717387221991641E-2</v>
      </c>
    </row>
    <row r="9618" spans="7:8">
      <c r="G9618">
        <v>9608</v>
      </c>
      <c r="H9618">
        <f t="shared" ca="1" si="158"/>
        <v>-2.3559830391453478E-3</v>
      </c>
    </row>
    <row r="9619" spans="7:8">
      <c r="G9619">
        <v>9609</v>
      </c>
      <c r="H9619">
        <f t="shared" ca="1" si="158"/>
        <v>2.6084842112516191E-2</v>
      </c>
    </row>
    <row r="9620" spans="7:8">
      <c r="G9620">
        <v>9610</v>
      </c>
      <c r="H9620">
        <f t="shared" ca="1" si="158"/>
        <v>2.7908621309207102E-2</v>
      </c>
    </row>
    <row r="9621" spans="7:8">
      <c r="G9621">
        <v>9611</v>
      </c>
      <c r="H9621">
        <f t="shared" ca="1" si="158"/>
        <v>-2.922811070063995E-2</v>
      </c>
    </row>
    <row r="9622" spans="7:8">
      <c r="G9622">
        <v>9612</v>
      </c>
      <c r="H9622">
        <f t="shared" ca="1" si="158"/>
        <v>1.1480842901512325E-2</v>
      </c>
    </row>
    <row r="9623" spans="7:8">
      <c r="G9623">
        <v>9613</v>
      </c>
      <c r="H9623">
        <f t="shared" ca="1" si="158"/>
        <v>5.7856067534325633E-3</v>
      </c>
    </row>
    <row r="9624" spans="7:8">
      <c r="G9624">
        <v>9614</v>
      </c>
      <c r="H9624">
        <f t="shared" ca="1" si="158"/>
        <v>-6.4749897695309108E-3</v>
      </c>
    </row>
    <row r="9625" spans="7:8">
      <c r="G9625">
        <v>9615</v>
      </c>
      <c r="H9625">
        <f t="shared" ca="1" si="158"/>
        <v>1.2644950712573103E-2</v>
      </c>
    </row>
    <row r="9626" spans="7:8">
      <c r="G9626">
        <v>9616</v>
      </c>
      <c r="H9626">
        <f t="shared" ca="1" si="158"/>
        <v>2.7972800632264275E-2</v>
      </c>
    </row>
    <row r="9627" spans="7:8">
      <c r="G9627">
        <v>9617</v>
      </c>
      <c r="H9627">
        <f t="shared" ca="1" si="158"/>
        <v>1.0798881637672503E-2</v>
      </c>
    </row>
    <row r="9628" spans="7:8">
      <c r="G9628">
        <v>9618</v>
      </c>
      <c r="H9628">
        <f t="shared" ca="1" si="158"/>
        <v>2.621936563195592E-2</v>
      </c>
    </row>
    <row r="9629" spans="7:8">
      <c r="G9629">
        <v>9619</v>
      </c>
      <c r="H9629">
        <f t="shared" ca="1" si="158"/>
        <v>-6.9935829823475912E-5</v>
      </c>
    </row>
    <row r="9630" spans="7:8">
      <c r="G9630">
        <v>9620</v>
      </c>
      <c r="H9630">
        <f t="shared" ca="1" si="158"/>
        <v>1.4032362744679132E-2</v>
      </c>
    </row>
    <row r="9631" spans="7:8">
      <c r="G9631">
        <v>9621</v>
      </c>
      <c r="H9631">
        <f t="shared" ca="1" si="158"/>
        <v>-1.0413226684523665E-2</v>
      </c>
    </row>
    <row r="9632" spans="7:8">
      <c r="G9632">
        <v>9622</v>
      </c>
      <c r="H9632">
        <f t="shared" ca="1" si="158"/>
        <v>3.2556497483496442E-3</v>
      </c>
    </row>
    <row r="9633" spans="7:8">
      <c r="G9633">
        <v>9623</v>
      </c>
      <c r="H9633">
        <f t="shared" ca="1" si="158"/>
        <v>-2.1451713596547899E-2</v>
      </c>
    </row>
    <row r="9634" spans="7:8">
      <c r="G9634">
        <v>9624</v>
      </c>
      <c r="H9634">
        <f t="shared" ca="1" si="158"/>
        <v>3.0085530235084295E-2</v>
      </c>
    </row>
    <row r="9635" spans="7:8">
      <c r="G9635">
        <v>9625</v>
      </c>
      <c r="H9635">
        <f t="shared" ca="1" si="158"/>
        <v>-1.83625920239649E-2</v>
      </c>
    </row>
    <row r="9636" spans="7:8">
      <c r="G9636">
        <v>9626</v>
      </c>
      <c r="H9636">
        <f t="shared" ca="1" si="158"/>
        <v>-1.7088650725469237E-2</v>
      </c>
    </row>
    <row r="9637" spans="7:8">
      <c r="G9637">
        <v>9627</v>
      </c>
      <c r="H9637">
        <f t="shared" ca="1" si="158"/>
        <v>2.9964999684339719E-2</v>
      </c>
    </row>
    <row r="9638" spans="7:8">
      <c r="G9638">
        <v>9628</v>
      </c>
      <c r="H9638">
        <f t="shared" ca="1" si="158"/>
        <v>-2.3086170833549854E-2</v>
      </c>
    </row>
    <row r="9639" spans="7:8">
      <c r="G9639">
        <v>9629</v>
      </c>
      <c r="H9639">
        <f t="shared" ca="1" si="158"/>
        <v>4.0867372966309379E-2</v>
      </c>
    </row>
    <row r="9640" spans="7:8">
      <c r="G9640">
        <v>9630</v>
      </c>
      <c r="H9640">
        <f t="shared" ca="1" si="158"/>
        <v>1.3602837761236957E-2</v>
      </c>
    </row>
    <row r="9641" spans="7:8">
      <c r="G9641">
        <v>9631</v>
      </c>
      <c r="H9641">
        <f t="shared" ca="1" si="158"/>
        <v>2.4764764199196508E-2</v>
      </c>
    </row>
    <row r="9642" spans="7:8">
      <c r="G9642">
        <v>9632</v>
      </c>
      <c r="H9642">
        <f t="shared" ca="1" si="158"/>
        <v>1.5589436429956114E-2</v>
      </c>
    </row>
    <row r="9643" spans="7:8">
      <c r="G9643">
        <v>9633</v>
      </c>
      <c r="H9643">
        <f t="shared" ca="1" si="158"/>
        <v>-3.8727032381415949E-2</v>
      </c>
    </row>
    <row r="9644" spans="7:8">
      <c r="G9644">
        <v>9634</v>
      </c>
      <c r="H9644">
        <f t="shared" ca="1" si="158"/>
        <v>-2.2268998494748445E-2</v>
      </c>
    </row>
    <row r="9645" spans="7:8">
      <c r="G9645">
        <v>9635</v>
      </c>
      <c r="H9645">
        <f t="shared" ca="1" si="158"/>
        <v>2.8660226687951786E-2</v>
      </c>
    </row>
    <row r="9646" spans="7:8">
      <c r="G9646">
        <v>9636</v>
      </c>
      <c r="H9646">
        <f t="shared" ca="1" si="158"/>
        <v>-2.8915964585538207E-2</v>
      </c>
    </row>
    <row r="9647" spans="7:8">
      <c r="G9647">
        <v>9637</v>
      </c>
      <c r="H9647">
        <f t="shared" ca="1" si="158"/>
        <v>1.7503100366739376E-2</v>
      </c>
    </row>
    <row r="9648" spans="7:8">
      <c r="G9648">
        <v>9638</v>
      </c>
      <c r="H9648">
        <f t="shared" ca="1" si="158"/>
        <v>1.7378092060478564E-2</v>
      </c>
    </row>
    <row r="9649" spans="7:8">
      <c r="G9649">
        <v>9639</v>
      </c>
      <c r="H9649">
        <f t="shared" ca="1" si="158"/>
        <v>2.310711293579455E-3</v>
      </c>
    </row>
    <row r="9650" spans="7:8">
      <c r="G9650">
        <v>9640</v>
      </c>
      <c r="H9650">
        <f t="shared" ca="1" si="158"/>
        <v>2.4887247112387909E-2</v>
      </c>
    </row>
    <row r="9651" spans="7:8">
      <c r="G9651">
        <v>9641</v>
      </c>
      <c r="H9651">
        <f t="shared" ca="1" si="158"/>
        <v>-8.5503001149102118E-3</v>
      </c>
    </row>
    <row r="9652" spans="7:8">
      <c r="G9652">
        <v>9642</v>
      </c>
      <c r="H9652">
        <f t="shared" ca="1" si="158"/>
        <v>2.3176761999274403E-2</v>
      </c>
    </row>
    <row r="9653" spans="7:8">
      <c r="G9653">
        <v>9643</v>
      </c>
      <c r="H9653">
        <f t="shared" ca="1" si="158"/>
        <v>-3.9821114314285234E-2</v>
      </c>
    </row>
    <row r="9654" spans="7:8">
      <c r="G9654">
        <v>9644</v>
      </c>
      <c r="H9654">
        <f t="shared" ca="1" si="158"/>
        <v>2.1943333221988472E-2</v>
      </c>
    </row>
    <row r="9655" spans="7:8">
      <c r="G9655">
        <v>9645</v>
      </c>
      <c r="H9655">
        <f t="shared" ca="1" si="158"/>
        <v>7.0543091810053244E-3</v>
      </c>
    </row>
    <row r="9656" spans="7:8">
      <c r="G9656">
        <v>9646</v>
      </c>
      <c r="H9656">
        <f t="shared" ca="1" si="158"/>
        <v>-2.2213457933124892E-2</v>
      </c>
    </row>
    <row r="9657" spans="7:8">
      <c r="G9657">
        <v>9647</v>
      </c>
      <c r="H9657">
        <f t="shared" ca="1" si="158"/>
        <v>-8.6888491922749739E-3</v>
      </c>
    </row>
    <row r="9658" spans="7:8">
      <c r="G9658">
        <v>9648</v>
      </c>
      <c r="H9658">
        <f t="shared" ca="1" si="158"/>
        <v>-1.8096843114232802E-2</v>
      </c>
    </row>
    <row r="9659" spans="7:8">
      <c r="G9659">
        <v>9649</v>
      </c>
      <c r="H9659">
        <f t="shared" ca="1" si="158"/>
        <v>-2.0248950236351194E-2</v>
      </c>
    </row>
    <row r="9660" spans="7:8">
      <c r="G9660">
        <v>9650</v>
      </c>
      <c r="H9660">
        <f t="shared" ca="1" si="158"/>
        <v>-1.5509507778713745E-3</v>
      </c>
    </row>
    <row r="9661" spans="7:8">
      <c r="G9661">
        <v>9651</v>
      </c>
      <c r="H9661">
        <f t="shared" ca="1" si="158"/>
        <v>2.1067303174784283E-2</v>
      </c>
    </row>
    <row r="9662" spans="7:8">
      <c r="G9662">
        <v>9652</v>
      </c>
      <c r="H9662">
        <f t="shared" ca="1" si="158"/>
        <v>-1.1045884501354887E-2</v>
      </c>
    </row>
    <row r="9663" spans="7:8">
      <c r="G9663">
        <v>9653</v>
      </c>
      <c r="H9663">
        <f t="shared" ca="1" si="158"/>
        <v>2.691904571367806E-2</v>
      </c>
    </row>
    <row r="9664" spans="7:8">
      <c r="G9664">
        <v>9654</v>
      </c>
      <c r="H9664">
        <f t="shared" ca="1" si="158"/>
        <v>4.1390601374433199E-2</v>
      </c>
    </row>
    <row r="9665" spans="7:8">
      <c r="G9665">
        <v>9655</v>
      </c>
      <c r="H9665">
        <f t="shared" ca="1" si="158"/>
        <v>1.1313604932765887E-2</v>
      </c>
    </row>
    <row r="9666" spans="7:8">
      <c r="G9666">
        <v>9656</v>
      </c>
      <c r="H9666">
        <f t="shared" ca="1" si="158"/>
        <v>1.0543169906655114E-2</v>
      </c>
    </row>
    <row r="9667" spans="7:8">
      <c r="G9667">
        <v>9657</v>
      </c>
      <c r="H9667">
        <f t="shared" ca="1" si="158"/>
        <v>-2.633059058631082E-2</v>
      </c>
    </row>
    <row r="9668" spans="7:8">
      <c r="G9668">
        <v>9658</v>
      </c>
      <c r="H9668">
        <f t="shared" ca="1" si="158"/>
        <v>-3.0565480656193727E-2</v>
      </c>
    </row>
    <row r="9669" spans="7:8">
      <c r="G9669">
        <v>9659</v>
      </c>
      <c r="H9669">
        <f t="shared" ca="1" si="158"/>
        <v>-5.6218367383202857E-2</v>
      </c>
    </row>
    <row r="9670" spans="7:8">
      <c r="G9670">
        <v>9660</v>
      </c>
      <c r="H9670">
        <f t="shared" ca="1" si="158"/>
        <v>4.152850682926925E-2</v>
      </c>
    </row>
    <row r="9671" spans="7:8">
      <c r="G9671">
        <v>9661</v>
      </c>
      <c r="H9671">
        <f t="shared" ca="1" si="158"/>
        <v>8.5692003805923674E-3</v>
      </c>
    </row>
    <row r="9672" spans="7:8">
      <c r="G9672">
        <v>9662</v>
      </c>
      <c r="H9672">
        <f t="shared" ca="1" si="158"/>
        <v>-1.1621870102848908E-2</v>
      </c>
    </row>
    <row r="9673" spans="7:8">
      <c r="G9673">
        <v>9663</v>
      </c>
      <c r="H9673">
        <f t="shared" ca="1" si="158"/>
        <v>-3.395987255152551E-3</v>
      </c>
    </row>
    <row r="9674" spans="7:8">
      <c r="G9674">
        <v>9664</v>
      </c>
      <c r="H9674">
        <f t="shared" ca="1" si="158"/>
        <v>-2.8909591038149898E-3</v>
      </c>
    </row>
    <row r="9675" spans="7:8">
      <c r="G9675">
        <v>9665</v>
      </c>
      <c r="H9675">
        <f t="shared" ca="1" si="158"/>
        <v>-2.9275281941801776E-2</v>
      </c>
    </row>
    <row r="9676" spans="7:8">
      <c r="G9676">
        <v>9666</v>
      </c>
      <c r="H9676">
        <f t="shared" ref="H9676:H9739" ca="1" si="159">_xlfn.NORM.INV(RAND(),N$13,N$14)</f>
        <v>-3.158728317579626E-2</v>
      </c>
    </row>
    <row r="9677" spans="7:8">
      <c r="G9677">
        <v>9667</v>
      </c>
      <c r="H9677">
        <f t="shared" ca="1" si="159"/>
        <v>3.7287258697474839E-2</v>
      </c>
    </row>
    <row r="9678" spans="7:8">
      <c r="G9678">
        <v>9668</v>
      </c>
      <c r="H9678">
        <f t="shared" ca="1" si="159"/>
        <v>4.220647071696941E-2</v>
      </c>
    </row>
    <row r="9679" spans="7:8">
      <c r="G9679">
        <v>9669</v>
      </c>
      <c r="H9679">
        <f t="shared" ca="1" si="159"/>
        <v>2.687358290534745E-2</v>
      </c>
    </row>
    <row r="9680" spans="7:8">
      <c r="G9680">
        <v>9670</v>
      </c>
      <c r="H9680">
        <f t="shared" ca="1" si="159"/>
        <v>2.4744844781947523E-3</v>
      </c>
    </row>
    <row r="9681" spans="7:8">
      <c r="G9681">
        <v>9671</v>
      </c>
      <c r="H9681">
        <f t="shared" ca="1" si="159"/>
        <v>-3.7593781239469777E-2</v>
      </c>
    </row>
    <row r="9682" spans="7:8">
      <c r="G9682">
        <v>9672</v>
      </c>
      <c r="H9682">
        <f t="shared" ca="1" si="159"/>
        <v>2.3788571524918669E-2</v>
      </c>
    </row>
    <row r="9683" spans="7:8">
      <c r="G9683">
        <v>9673</v>
      </c>
      <c r="H9683">
        <f t="shared" ca="1" si="159"/>
        <v>6.8489691204179142E-3</v>
      </c>
    </row>
    <row r="9684" spans="7:8">
      <c r="G9684">
        <v>9674</v>
      </c>
      <c r="H9684">
        <f t="shared" ca="1" si="159"/>
        <v>3.0865761908264143E-3</v>
      </c>
    </row>
    <row r="9685" spans="7:8">
      <c r="G9685">
        <v>9675</v>
      </c>
      <c r="H9685">
        <f t="shared" ca="1" si="159"/>
        <v>1.5670691641645706E-2</v>
      </c>
    </row>
    <row r="9686" spans="7:8">
      <c r="G9686">
        <v>9676</v>
      </c>
      <c r="H9686">
        <f t="shared" ca="1" si="159"/>
        <v>1.1493185922367114E-2</v>
      </c>
    </row>
    <row r="9687" spans="7:8">
      <c r="G9687">
        <v>9677</v>
      </c>
      <c r="H9687">
        <f t="shared" ca="1" si="159"/>
        <v>2.1807543044476328E-2</v>
      </c>
    </row>
    <row r="9688" spans="7:8">
      <c r="G9688">
        <v>9678</v>
      </c>
      <c r="H9688">
        <f t="shared" ca="1" si="159"/>
        <v>-3.5054763554644335E-3</v>
      </c>
    </row>
    <row r="9689" spans="7:8">
      <c r="G9689">
        <v>9679</v>
      </c>
      <c r="H9689">
        <f t="shared" ca="1" si="159"/>
        <v>-2.8256371057797987E-2</v>
      </c>
    </row>
    <row r="9690" spans="7:8">
      <c r="G9690">
        <v>9680</v>
      </c>
      <c r="H9690">
        <f t="shared" ca="1" si="159"/>
        <v>8.6772545504063252E-3</v>
      </c>
    </row>
    <row r="9691" spans="7:8">
      <c r="G9691">
        <v>9681</v>
      </c>
      <c r="H9691">
        <f t="shared" ca="1" si="159"/>
        <v>1.9573865270651438E-2</v>
      </c>
    </row>
    <row r="9692" spans="7:8">
      <c r="G9692">
        <v>9682</v>
      </c>
      <c r="H9692">
        <f t="shared" ca="1" si="159"/>
        <v>1.8133527521342275E-2</v>
      </c>
    </row>
    <row r="9693" spans="7:8">
      <c r="G9693">
        <v>9683</v>
      </c>
      <c r="H9693">
        <f t="shared" ca="1" si="159"/>
        <v>-1.3638601670843483E-2</v>
      </c>
    </row>
    <row r="9694" spans="7:8">
      <c r="G9694">
        <v>9684</v>
      </c>
      <c r="H9694">
        <f t="shared" ca="1" si="159"/>
        <v>-4.3669255868598097E-5</v>
      </c>
    </row>
    <row r="9695" spans="7:8">
      <c r="G9695">
        <v>9685</v>
      </c>
      <c r="H9695">
        <f t="shared" ca="1" si="159"/>
        <v>3.3936021478317104E-4</v>
      </c>
    </row>
    <row r="9696" spans="7:8">
      <c r="G9696">
        <v>9686</v>
      </c>
      <c r="H9696">
        <f t="shared" ca="1" si="159"/>
        <v>-1.1398005404754E-2</v>
      </c>
    </row>
    <row r="9697" spans="7:8">
      <c r="G9697">
        <v>9687</v>
      </c>
      <c r="H9697">
        <f t="shared" ca="1" si="159"/>
        <v>-6.1172337310072969E-3</v>
      </c>
    </row>
    <row r="9698" spans="7:8">
      <c r="G9698">
        <v>9688</v>
      </c>
      <c r="H9698">
        <f t="shared" ca="1" si="159"/>
        <v>1.5453139827243704E-2</v>
      </c>
    </row>
    <row r="9699" spans="7:8">
      <c r="G9699">
        <v>9689</v>
      </c>
      <c r="H9699">
        <f t="shared" ca="1" si="159"/>
        <v>-3.8189138555422331E-2</v>
      </c>
    </row>
    <row r="9700" spans="7:8">
      <c r="G9700">
        <v>9690</v>
      </c>
      <c r="H9700">
        <f t="shared" ca="1" si="159"/>
        <v>-1.4424599814909737E-2</v>
      </c>
    </row>
    <row r="9701" spans="7:8">
      <c r="G9701">
        <v>9691</v>
      </c>
      <c r="H9701">
        <f t="shared" ca="1" si="159"/>
        <v>-4.074889301302826E-2</v>
      </c>
    </row>
    <row r="9702" spans="7:8">
      <c r="G9702">
        <v>9692</v>
      </c>
      <c r="H9702">
        <f t="shared" ca="1" si="159"/>
        <v>-7.518070850903869E-3</v>
      </c>
    </row>
    <row r="9703" spans="7:8">
      <c r="G9703">
        <v>9693</v>
      </c>
      <c r="H9703">
        <f t="shared" ca="1" si="159"/>
        <v>1.7879175797331129E-2</v>
      </c>
    </row>
    <row r="9704" spans="7:8">
      <c r="G9704">
        <v>9694</v>
      </c>
      <c r="H9704">
        <f t="shared" ca="1" si="159"/>
        <v>-2.8787685904281417E-2</v>
      </c>
    </row>
    <row r="9705" spans="7:8">
      <c r="G9705">
        <v>9695</v>
      </c>
      <c r="H9705">
        <f t="shared" ca="1" si="159"/>
        <v>-3.9938587089783607E-3</v>
      </c>
    </row>
    <row r="9706" spans="7:8">
      <c r="G9706">
        <v>9696</v>
      </c>
      <c r="H9706">
        <f t="shared" ca="1" si="159"/>
        <v>8.1690618999127069E-3</v>
      </c>
    </row>
    <row r="9707" spans="7:8">
      <c r="G9707">
        <v>9697</v>
      </c>
      <c r="H9707">
        <f t="shared" ca="1" si="159"/>
        <v>-2.4032788085208731E-3</v>
      </c>
    </row>
    <row r="9708" spans="7:8">
      <c r="G9708">
        <v>9698</v>
      </c>
      <c r="H9708">
        <f t="shared" ca="1" si="159"/>
        <v>-1.4348853468882943E-2</v>
      </c>
    </row>
    <row r="9709" spans="7:8">
      <c r="G9709">
        <v>9699</v>
      </c>
      <c r="H9709">
        <f t="shared" ca="1" si="159"/>
        <v>-1.190544035184911E-2</v>
      </c>
    </row>
    <row r="9710" spans="7:8">
      <c r="G9710">
        <v>9700</v>
      </c>
      <c r="H9710">
        <f t="shared" ca="1" si="159"/>
        <v>4.5702765115574091E-4</v>
      </c>
    </row>
    <row r="9711" spans="7:8">
      <c r="G9711">
        <v>9701</v>
      </c>
      <c r="H9711">
        <f t="shared" ca="1" si="159"/>
        <v>1.1883135041053969E-2</v>
      </c>
    </row>
    <row r="9712" spans="7:8">
      <c r="G9712">
        <v>9702</v>
      </c>
      <c r="H9712">
        <f t="shared" ca="1" si="159"/>
        <v>1.5265984560868182E-3</v>
      </c>
    </row>
    <row r="9713" spans="7:8">
      <c r="G9713">
        <v>9703</v>
      </c>
      <c r="H9713">
        <f t="shared" ca="1" si="159"/>
        <v>-1.7197138187708644E-2</v>
      </c>
    </row>
    <row r="9714" spans="7:8">
      <c r="G9714">
        <v>9704</v>
      </c>
      <c r="H9714">
        <f t="shared" ca="1" si="159"/>
        <v>3.5941401373228335E-2</v>
      </c>
    </row>
    <row r="9715" spans="7:8">
      <c r="G9715">
        <v>9705</v>
      </c>
      <c r="H9715">
        <f t="shared" ca="1" si="159"/>
        <v>2.0648524103265582E-2</v>
      </c>
    </row>
    <row r="9716" spans="7:8">
      <c r="G9716">
        <v>9706</v>
      </c>
      <c r="H9716">
        <f t="shared" ca="1" si="159"/>
        <v>-9.2758666888431724E-3</v>
      </c>
    </row>
    <row r="9717" spans="7:8">
      <c r="G9717">
        <v>9707</v>
      </c>
      <c r="H9717">
        <f t="shared" ca="1" si="159"/>
        <v>1.0677778363104564E-2</v>
      </c>
    </row>
    <row r="9718" spans="7:8">
      <c r="G9718">
        <v>9708</v>
      </c>
      <c r="H9718">
        <f t="shared" ca="1" si="159"/>
        <v>3.6502198372956396E-3</v>
      </c>
    </row>
    <row r="9719" spans="7:8">
      <c r="G9719">
        <v>9709</v>
      </c>
      <c r="H9719">
        <f t="shared" ca="1" si="159"/>
        <v>-9.7873369025984949E-3</v>
      </c>
    </row>
    <row r="9720" spans="7:8">
      <c r="G9720">
        <v>9710</v>
      </c>
      <c r="H9720">
        <f t="shared" ca="1" si="159"/>
        <v>4.2971816231038233E-2</v>
      </c>
    </row>
    <row r="9721" spans="7:8">
      <c r="G9721">
        <v>9711</v>
      </c>
      <c r="H9721">
        <f t="shared" ca="1" si="159"/>
        <v>1.3865821928758328E-2</v>
      </c>
    </row>
    <row r="9722" spans="7:8">
      <c r="G9722">
        <v>9712</v>
      </c>
      <c r="H9722">
        <f t="shared" ca="1" si="159"/>
        <v>4.8251705160943917E-2</v>
      </c>
    </row>
    <row r="9723" spans="7:8">
      <c r="G9723">
        <v>9713</v>
      </c>
      <c r="H9723">
        <f t="shared" ca="1" si="159"/>
        <v>-3.0490518478187145E-4</v>
      </c>
    </row>
    <row r="9724" spans="7:8">
      <c r="G9724">
        <v>9714</v>
      </c>
      <c r="H9724">
        <f t="shared" ca="1" si="159"/>
        <v>6.5937664020928469E-3</v>
      </c>
    </row>
    <row r="9725" spans="7:8">
      <c r="G9725">
        <v>9715</v>
      </c>
      <c r="H9725">
        <f t="shared" ca="1" si="159"/>
        <v>-6.0946261047294028E-3</v>
      </c>
    </row>
    <row r="9726" spans="7:8">
      <c r="G9726">
        <v>9716</v>
      </c>
      <c r="H9726">
        <f t="shared" ca="1" si="159"/>
        <v>-9.7498542842193048E-3</v>
      </c>
    </row>
    <row r="9727" spans="7:8">
      <c r="G9727">
        <v>9717</v>
      </c>
      <c r="H9727">
        <f t="shared" ca="1" si="159"/>
        <v>2.8324871829443068E-2</v>
      </c>
    </row>
    <row r="9728" spans="7:8">
      <c r="G9728">
        <v>9718</v>
      </c>
      <c r="H9728">
        <f t="shared" ca="1" si="159"/>
        <v>1.4751720526197319E-4</v>
      </c>
    </row>
    <row r="9729" spans="7:8">
      <c r="G9729">
        <v>9719</v>
      </c>
      <c r="H9729">
        <f t="shared" ca="1" si="159"/>
        <v>1.3560967535638999E-2</v>
      </c>
    </row>
    <row r="9730" spans="7:8">
      <c r="G9730">
        <v>9720</v>
      </c>
      <c r="H9730">
        <f t="shared" ca="1" si="159"/>
        <v>2.1168773629091303E-3</v>
      </c>
    </row>
    <row r="9731" spans="7:8">
      <c r="G9731">
        <v>9721</v>
      </c>
      <c r="H9731">
        <f t="shared" ca="1" si="159"/>
        <v>-2.4259888243217263E-3</v>
      </c>
    </row>
    <row r="9732" spans="7:8">
      <c r="G9732">
        <v>9722</v>
      </c>
      <c r="H9732">
        <f t="shared" ca="1" si="159"/>
        <v>3.9051610414886931E-2</v>
      </c>
    </row>
    <row r="9733" spans="7:8">
      <c r="G9733">
        <v>9723</v>
      </c>
      <c r="H9733">
        <f t="shared" ca="1" si="159"/>
        <v>3.3122224077498694E-2</v>
      </c>
    </row>
    <row r="9734" spans="7:8">
      <c r="G9734">
        <v>9724</v>
      </c>
      <c r="H9734">
        <f t="shared" ca="1" si="159"/>
        <v>6.1932317274692927E-3</v>
      </c>
    </row>
    <row r="9735" spans="7:8">
      <c r="G9735">
        <v>9725</v>
      </c>
      <c r="H9735">
        <f t="shared" ca="1" si="159"/>
        <v>-5.1454273206711816E-3</v>
      </c>
    </row>
    <row r="9736" spans="7:8">
      <c r="G9736">
        <v>9726</v>
      </c>
      <c r="H9736">
        <f t="shared" ca="1" si="159"/>
        <v>-3.5120621735583363E-2</v>
      </c>
    </row>
    <row r="9737" spans="7:8">
      <c r="G9737">
        <v>9727</v>
      </c>
      <c r="H9737">
        <f t="shared" ca="1" si="159"/>
        <v>2.9176911802812011E-2</v>
      </c>
    </row>
    <row r="9738" spans="7:8">
      <c r="G9738">
        <v>9728</v>
      </c>
      <c r="H9738">
        <f t="shared" ca="1" si="159"/>
        <v>-4.3810268146589046E-2</v>
      </c>
    </row>
    <row r="9739" spans="7:8">
      <c r="G9739">
        <v>9729</v>
      </c>
      <c r="H9739">
        <f t="shared" ca="1" si="159"/>
        <v>-4.2210162737326312E-4</v>
      </c>
    </row>
    <row r="9740" spans="7:8">
      <c r="G9740">
        <v>9730</v>
      </c>
      <c r="H9740">
        <f t="shared" ref="H9740:H9803" ca="1" si="160">_xlfn.NORM.INV(RAND(),N$13,N$14)</f>
        <v>-1.306439556201964E-2</v>
      </c>
    </row>
    <row r="9741" spans="7:8">
      <c r="G9741">
        <v>9731</v>
      </c>
      <c r="H9741">
        <f t="shared" ca="1" si="160"/>
        <v>3.2807402623691487E-2</v>
      </c>
    </row>
    <row r="9742" spans="7:8">
      <c r="G9742">
        <v>9732</v>
      </c>
      <c r="H9742">
        <f t="shared" ca="1" si="160"/>
        <v>1.6642881164407937E-2</v>
      </c>
    </row>
    <row r="9743" spans="7:8">
      <c r="G9743">
        <v>9733</v>
      </c>
      <c r="H9743">
        <f t="shared" ca="1" si="160"/>
        <v>7.2395925099457614E-3</v>
      </c>
    </row>
    <row r="9744" spans="7:8">
      <c r="G9744">
        <v>9734</v>
      </c>
      <c r="H9744">
        <f t="shared" ca="1" si="160"/>
        <v>-8.3357472121609807E-3</v>
      </c>
    </row>
    <row r="9745" spans="7:8">
      <c r="G9745">
        <v>9735</v>
      </c>
      <c r="H9745">
        <f t="shared" ca="1" si="160"/>
        <v>-4.8164094611557969E-2</v>
      </c>
    </row>
    <row r="9746" spans="7:8">
      <c r="G9746">
        <v>9736</v>
      </c>
      <c r="H9746">
        <f t="shared" ca="1" si="160"/>
        <v>1.4942897657630856E-2</v>
      </c>
    </row>
    <row r="9747" spans="7:8">
      <c r="G9747">
        <v>9737</v>
      </c>
      <c r="H9747">
        <f t="shared" ca="1" si="160"/>
        <v>6.5819517977946038E-2</v>
      </c>
    </row>
    <row r="9748" spans="7:8">
      <c r="G9748">
        <v>9738</v>
      </c>
      <c r="H9748">
        <f t="shared" ca="1" si="160"/>
        <v>-1.3775100746234756E-3</v>
      </c>
    </row>
    <row r="9749" spans="7:8">
      <c r="G9749">
        <v>9739</v>
      </c>
      <c r="H9749">
        <f t="shared" ca="1" si="160"/>
        <v>2.3147876060657817E-2</v>
      </c>
    </row>
    <row r="9750" spans="7:8">
      <c r="G9750">
        <v>9740</v>
      </c>
      <c r="H9750">
        <f t="shared" ca="1" si="160"/>
        <v>-1.8901135265492423E-2</v>
      </c>
    </row>
    <row r="9751" spans="7:8">
      <c r="G9751">
        <v>9741</v>
      </c>
      <c r="H9751">
        <f t="shared" ca="1" si="160"/>
        <v>2.6271494094236712E-3</v>
      </c>
    </row>
    <row r="9752" spans="7:8">
      <c r="G9752">
        <v>9742</v>
      </c>
      <c r="H9752">
        <f t="shared" ca="1" si="160"/>
        <v>4.18068292862325E-2</v>
      </c>
    </row>
    <row r="9753" spans="7:8">
      <c r="G9753">
        <v>9743</v>
      </c>
      <c r="H9753">
        <f t="shared" ca="1" si="160"/>
        <v>-7.5482299184338976E-3</v>
      </c>
    </row>
    <row r="9754" spans="7:8">
      <c r="G9754">
        <v>9744</v>
      </c>
      <c r="H9754">
        <f t="shared" ca="1" si="160"/>
        <v>-2.5919377322900202E-3</v>
      </c>
    </row>
    <row r="9755" spans="7:8">
      <c r="G9755">
        <v>9745</v>
      </c>
      <c r="H9755">
        <f t="shared" ca="1" si="160"/>
        <v>3.1090179588694856E-2</v>
      </c>
    </row>
    <row r="9756" spans="7:8">
      <c r="G9756">
        <v>9746</v>
      </c>
      <c r="H9756">
        <f t="shared" ca="1" si="160"/>
        <v>-1.4413523295272885E-2</v>
      </c>
    </row>
    <row r="9757" spans="7:8">
      <c r="G9757">
        <v>9747</v>
      </c>
      <c r="H9757">
        <f t="shared" ca="1" si="160"/>
        <v>5.719205162625308E-3</v>
      </c>
    </row>
    <row r="9758" spans="7:8">
      <c r="G9758">
        <v>9748</v>
      </c>
      <c r="H9758">
        <f t="shared" ca="1" si="160"/>
        <v>-4.5856444655516748E-2</v>
      </c>
    </row>
    <row r="9759" spans="7:8">
      <c r="G9759">
        <v>9749</v>
      </c>
      <c r="H9759">
        <f t="shared" ca="1" si="160"/>
        <v>-2.1651428310637461E-3</v>
      </c>
    </row>
    <row r="9760" spans="7:8">
      <c r="G9760">
        <v>9750</v>
      </c>
      <c r="H9760">
        <f t="shared" ca="1" si="160"/>
        <v>-3.3005874451393455E-2</v>
      </c>
    </row>
    <row r="9761" spans="7:8">
      <c r="G9761">
        <v>9751</v>
      </c>
      <c r="H9761">
        <f t="shared" ca="1" si="160"/>
        <v>1.1290383719820723E-2</v>
      </c>
    </row>
    <row r="9762" spans="7:8">
      <c r="G9762">
        <v>9752</v>
      </c>
      <c r="H9762">
        <f t="shared" ca="1" si="160"/>
        <v>1.2657105788427551E-2</v>
      </c>
    </row>
    <row r="9763" spans="7:8">
      <c r="G9763">
        <v>9753</v>
      </c>
      <c r="H9763">
        <f t="shared" ca="1" si="160"/>
        <v>4.1556293976219322E-2</v>
      </c>
    </row>
    <row r="9764" spans="7:8">
      <c r="G9764">
        <v>9754</v>
      </c>
      <c r="H9764">
        <f t="shared" ca="1" si="160"/>
        <v>-2.1223267207249576E-2</v>
      </c>
    </row>
    <row r="9765" spans="7:8">
      <c r="G9765">
        <v>9755</v>
      </c>
      <c r="H9765">
        <f t="shared" ca="1" si="160"/>
        <v>9.7544953932171812E-3</v>
      </c>
    </row>
    <row r="9766" spans="7:8">
      <c r="G9766">
        <v>9756</v>
      </c>
      <c r="H9766">
        <f t="shared" ca="1" si="160"/>
        <v>2.5164549607056715E-2</v>
      </c>
    </row>
    <row r="9767" spans="7:8">
      <c r="G9767">
        <v>9757</v>
      </c>
      <c r="H9767">
        <f t="shared" ca="1" si="160"/>
        <v>1.9659170089389075E-3</v>
      </c>
    </row>
    <row r="9768" spans="7:8">
      <c r="G9768">
        <v>9758</v>
      </c>
      <c r="H9768">
        <f t="shared" ca="1" si="160"/>
        <v>-1.8324351471164329E-2</v>
      </c>
    </row>
    <row r="9769" spans="7:8">
      <c r="G9769">
        <v>9759</v>
      </c>
      <c r="H9769">
        <f t="shared" ca="1" si="160"/>
        <v>5.10201845399408E-3</v>
      </c>
    </row>
    <row r="9770" spans="7:8">
      <c r="G9770">
        <v>9760</v>
      </c>
      <c r="H9770">
        <f t="shared" ca="1" si="160"/>
        <v>-1.1672703613598208E-2</v>
      </c>
    </row>
    <row r="9771" spans="7:8">
      <c r="G9771">
        <v>9761</v>
      </c>
      <c r="H9771">
        <f t="shared" ca="1" si="160"/>
        <v>2.3720566523695169E-2</v>
      </c>
    </row>
    <row r="9772" spans="7:8">
      <c r="G9772">
        <v>9762</v>
      </c>
      <c r="H9772">
        <f t="shared" ca="1" si="160"/>
        <v>2.1317763091143544E-2</v>
      </c>
    </row>
    <row r="9773" spans="7:8">
      <c r="G9773">
        <v>9763</v>
      </c>
      <c r="H9773">
        <f t="shared" ca="1" si="160"/>
        <v>3.5614571884336117E-3</v>
      </c>
    </row>
    <row r="9774" spans="7:8">
      <c r="G9774">
        <v>9764</v>
      </c>
      <c r="H9774">
        <f t="shared" ca="1" si="160"/>
        <v>1.2263197364723383E-2</v>
      </c>
    </row>
    <row r="9775" spans="7:8">
      <c r="G9775">
        <v>9765</v>
      </c>
      <c r="H9775">
        <f t="shared" ca="1" si="160"/>
        <v>-1.5795872225317611E-2</v>
      </c>
    </row>
    <row r="9776" spans="7:8">
      <c r="G9776">
        <v>9766</v>
      </c>
      <c r="H9776">
        <f t="shared" ca="1" si="160"/>
        <v>-1.0993072429831673E-2</v>
      </c>
    </row>
    <row r="9777" spans="7:8">
      <c r="G9777">
        <v>9767</v>
      </c>
      <c r="H9777">
        <f t="shared" ca="1" si="160"/>
        <v>-1.0039679167005383E-2</v>
      </c>
    </row>
    <row r="9778" spans="7:8">
      <c r="G9778">
        <v>9768</v>
      </c>
      <c r="H9778">
        <f t="shared" ca="1" si="160"/>
        <v>-6.9326665567364587E-3</v>
      </c>
    </row>
    <row r="9779" spans="7:8">
      <c r="G9779">
        <v>9769</v>
      </c>
      <c r="H9779">
        <f t="shared" ca="1" si="160"/>
        <v>5.4951265506264996E-3</v>
      </c>
    </row>
    <row r="9780" spans="7:8">
      <c r="G9780">
        <v>9770</v>
      </c>
      <c r="H9780">
        <f t="shared" ca="1" si="160"/>
        <v>-2.0927203708755983E-2</v>
      </c>
    </row>
    <row r="9781" spans="7:8">
      <c r="G9781">
        <v>9771</v>
      </c>
      <c r="H9781">
        <f t="shared" ca="1" si="160"/>
        <v>-4.7884167945779176E-2</v>
      </c>
    </row>
    <row r="9782" spans="7:8">
      <c r="G9782">
        <v>9772</v>
      </c>
      <c r="H9782">
        <f t="shared" ca="1" si="160"/>
        <v>-2.0594406818670398E-2</v>
      </c>
    </row>
    <row r="9783" spans="7:8">
      <c r="G9783">
        <v>9773</v>
      </c>
      <c r="H9783">
        <f t="shared" ca="1" si="160"/>
        <v>-1.8019570163583841E-3</v>
      </c>
    </row>
    <row r="9784" spans="7:8">
      <c r="G9784">
        <v>9774</v>
      </c>
      <c r="H9784">
        <f t="shared" ca="1" si="160"/>
        <v>-8.4568550350249869E-4</v>
      </c>
    </row>
    <row r="9785" spans="7:8">
      <c r="G9785">
        <v>9775</v>
      </c>
      <c r="H9785">
        <f t="shared" ca="1" si="160"/>
        <v>-8.7808257133928404E-3</v>
      </c>
    </row>
    <row r="9786" spans="7:8">
      <c r="G9786">
        <v>9776</v>
      </c>
      <c r="H9786">
        <f t="shared" ca="1" si="160"/>
        <v>3.0072628312085145E-3</v>
      </c>
    </row>
    <row r="9787" spans="7:8">
      <c r="G9787">
        <v>9777</v>
      </c>
      <c r="H9787">
        <f t="shared" ca="1" si="160"/>
        <v>-1.6995987694559365E-2</v>
      </c>
    </row>
    <row r="9788" spans="7:8">
      <c r="G9788">
        <v>9778</v>
      </c>
      <c r="H9788">
        <f t="shared" ca="1" si="160"/>
        <v>-3.3223575661257443E-2</v>
      </c>
    </row>
    <row r="9789" spans="7:8">
      <c r="G9789">
        <v>9779</v>
      </c>
      <c r="H9789">
        <f t="shared" ca="1" si="160"/>
        <v>-1.3943617131900858E-2</v>
      </c>
    </row>
    <row r="9790" spans="7:8">
      <c r="G9790">
        <v>9780</v>
      </c>
      <c r="H9790">
        <f t="shared" ca="1" si="160"/>
        <v>-5.7584348352805494E-3</v>
      </c>
    </row>
    <row r="9791" spans="7:8">
      <c r="G9791">
        <v>9781</v>
      </c>
      <c r="H9791">
        <f t="shared" ca="1" si="160"/>
        <v>2.8014282697145586E-2</v>
      </c>
    </row>
    <row r="9792" spans="7:8">
      <c r="G9792">
        <v>9782</v>
      </c>
      <c r="H9792">
        <f t="shared" ca="1" si="160"/>
        <v>-1.2422641952925249E-2</v>
      </c>
    </row>
    <row r="9793" spans="7:8">
      <c r="G9793">
        <v>9783</v>
      </c>
      <c r="H9793">
        <f t="shared" ca="1" si="160"/>
        <v>1.644973756858216E-2</v>
      </c>
    </row>
    <row r="9794" spans="7:8">
      <c r="G9794">
        <v>9784</v>
      </c>
      <c r="H9794">
        <f t="shared" ca="1" si="160"/>
        <v>-6.1352616658157913E-4</v>
      </c>
    </row>
    <row r="9795" spans="7:8">
      <c r="G9795">
        <v>9785</v>
      </c>
      <c r="H9795">
        <f t="shared" ca="1" si="160"/>
        <v>-6.8587176014003265E-3</v>
      </c>
    </row>
    <row r="9796" spans="7:8">
      <c r="G9796">
        <v>9786</v>
      </c>
      <c r="H9796">
        <f t="shared" ca="1" si="160"/>
        <v>-2.3107906218547278E-2</v>
      </c>
    </row>
    <row r="9797" spans="7:8">
      <c r="G9797">
        <v>9787</v>
      </c>
      <c r="H9797">
        <f t="shared" ca="1" si="160"/>
        <v>-1.9280847695544098E-2</v>
      </c>
    </row>
    <row r="9798" spans="7:8">
      <c r="G9798">
        <v>9788</v>
      </c>
      <c r="H9798">
        <f t="shared" ca="1" si="160"/>
        <v>1.9095190128877022E-2</v>
      </c>
    </row>
    <row r="9799" spans="7:8">
      <c r="G9799">
        <v>9789</v>
      </c>
      <c r="H9799">
        <f t="shared" ca="1" si="160"/>
        <v>-2.500590345191683E-2</v>
      </c>
    </row>
    <row r="9800" spans="7:8">
      <c r="G9800">
        <v>9790</v>
      </c>
      <c r="H9800">
        <f t="shared" ca="1" si="160"/>
        <v>-3.5930085325715989E-2</v>
      </c>
    </row>
    <row r="9801" spans="7:8">
      <c r="G9801">
        <v>9791</v>
      </c>
      <c r="H9801">
        <f t="shared" ca="1" si="160"/>
        <v>1.6360322974370328E-2</v>
      </c>
    </row>
    <row r="9802" spans="7:8">
      <c r="G9802">
        <v>9792</v>
      </c>
      <c r="H9802">
        <f t="shared" ca="1" si="160"/>
        <v>-4.5614006748298961E-3</v>
      </c>
    </row>
    <row r="9803" spans="7:8">
      <c r="G9803">
        <v>9793</v>
      </c>
      <c r="H9803">
        <f t="shared" ca="1" si="160"/>
        <v>-3.5081997203701698E-2</v>
      </c>
    </row>
    <row r="9804" spans="7:8">
      <c r="G9804">
        <v>9794</v>
      </c>
      <c r="H9804">
        <f t="shared" ref="H9804:H9867" ca="1" si="161">_xlfn.NORM.INV(RAND(),N$13,N$14)</f>
        <v>-5.0382391048623847E-2</v>
      </c>
    </row>
    <row r="9805" spans="7:8">
      <c r="G9805">
        <v>9795</v>
      </c>
      <c r="H9805">
        <f t="shared" ca="1" si="161"/>
        <v>-4.8965938507238727E-3</v>
      </c>
    </row>
    <row r="9806" spans="7:8">
      <c r="G9806">
        <v>9796</v>
      </c>
      <c r="H9806">
        <f t="shared" ca="1" si="161"/>
        <v>8.2323388158679744E-3</v>
      </c>
    </row>
    <row r="9807" spans="7:8">
      <c r="G9807">
        <v>9797</v>
      </c>
      <c r="H9807">
        <f t="shared" ca="1" si="161"/>
        <v>-8.5314208299492236E-3</v>
      </c>
    </row>
    <row r="9808" spans="7:8">
      <c r="G9808">
        <v>9798</v>
      </c>
      <c r="H9808">
        <f t="shared" ca="1" si="161"/>
        <v>-2.1796234052281052E-2</v>
      </c>
    </row>
    <row r="9809" spans="7:8">
      <c r="G9809">
        <v>9799</v>
      </c>
      <c r="H9809">
        <f t="shared" ca="1" si="161"/>
        <v>-1.1446354331191459E-2</v>
      </c>
    </row>
    <row r="9810" spans="7:8">
      <c r="G9810">
        <v>9800</v>
      </c>
      <c r="H9810">
        <f t="shared" ca="1" si="161"/>
        <v>-5.1713027452764413E-3</v>
      </c>
    </row>
    <row r="9811" spans="7:8">
      <c r="G9811">
        <v>9801</v>
      </c>
      <c r="H9811">
        <f t="shared" ca="1" si="161"/>
        <v>-8.8919962693479546E-3</v>
      </c>
    </row>
    <row r="9812" spans="7:8">
      <c r="G9812">
        <v>9802</v>
      </c>
      <c r="H9812">
        <f t="shared" ca="1" si="161"/>
        <v>-3.1760779075079813E-2</v>
      </c>
    </row>
    <row r="9813" spans="7:8">
      <c r="G9813">
        <v>9803</v>
      </c>
      <c r="H9813">
        <f t="shared" ca="1" si="161"/>
        <v>-7.1675384723116475E-3</v>
      </c>
    </row>
    <row r="9814" spans="7:8">
      <c r="G9814">
        <v>9804</v>
      </c>
      <c r="H9814">
        <f t="shared" ca="1" si="161"/>
        <v>1.2093085703865998E-3</v>
      </c>
    </row>
    <row r="9815" spans="7:8">
      <c r="G9815">
        <v>9805</v>
      </c>
      <c r="H9815">
        <f t="shared" ca="1" si="161"/>
        <v>-3.6505384596464817E-2</v>
      </c>
    </row>
    <row r="9816" spans="7:8">
      <c r="G9816">
        <v>9806</v>
      </c>
      <c r="H9816">
        <f t="shared" ca="1" si="161"/>
        <v>4.2223256071104741E-2</v>
      </c>
    </row>
    <row r="9817" spans="7:8">
      <c r="G9817">
        <v>9807</v>
      </c>
      <c r="H9817">
        <f t="shared" ca="1" si="161"/>
        <v>1.0291805929085341E-2</v>
      </c>
    </row>
    <row r="9818" spans="7:8">
      <c r="G9818">
        <v>9808</v>
      </c>
      <c r="H9818">
        <f t="shared" ca="1" si="161"/>
        <v>-1.2427550926925183E-2</v>
      </c>
    </row>
    <row r="9819" spans="7:8">
      <c r="G9819">
        <v>9809</v>
      </c>
      <c r="H9819">
        <f t="shared" ca="1" si="161"/>
        <v>-3.1076184500675948E-2</v>
      </c>
    </row>
    <row r="9820" spans="7:8">
      <c r="G9820">
        <v>9810</v>
      </c>
      <c r="H9820">
        <f t="shared" ca="1" si="161"/>
        <v>-1.6603822585802945E-3</v>
      </c>
    </row>
    <row r="9821" spans="7:8">
      <c r="G9821">
        <v>9811</v>
      </c>
      <c r="H9821">
        <f t="shared" ca="1" si="161"/>
        <v>5.6575604656401548E-3</v>
      </c>
    </row>
    <row r="9822" spans="7:8">
      <c r="G9822">
        <v>9812</v>
      </c>
      <c r="H9822">
        <f t="shared" ca="1" si="161"/>
        <v>1.7962859714593611E-2</v>
      </c>
    </row>
    <row r="9823" spans="7:8">
      <c r="G9823">
        <v>9813</v>
      </c>
      <c r="H9823">
        <f t="shared" ca="1" si="161"/>
        <v>-5.8497271600998577E-3</v>
      </c>
    </row>
    <row r="9824" spans="7:8">
      <c r="G9824">
        <v>9814</v>
      </c>
      <c r="H9824">
        <f t="shared" ca="1" si="161"/>
        <v>3.2671032917373943E-2</v>
      </c>
    </row>
    <row r="9825" spans="7:8">
      <c r="G9825">
        <v>9815</v>
      </c>
      <c r="H9825">
        <f t="shared" ca="1" si="161"/>
        <v>-4.5271143572255923E-2</v>
      </c>
    </row>
    <row r="9826" spans="7:8">
      <c r="G9826">
        <v>9816</v>
      </c>
      <c r="H9826">
        <f t="shared" ca="1" si="161"/>
        <v>-1.6647289104315473E-3</v>
      </c>
    </row>
    <row r="9827" spans="7:8">
      <c r="G9827">
        <v>9817</v>
      </c>
      <c r="H9827">
        <f t="shared" ca="1" si="161"/>
        <v>-1.1721331498016713E-2</v>
      </c>
    </row>
    <row r="9828" spans="7:8">
      <c r="G9828">
        <v>9818</v>
      </c>
      <c r="H9828">
        <f t="shared" ca="1" si="161"/>
        <v>2.3888967438056033E-2</v>
      </c>
    </row>
    <row r="9829" spans="7:8">
      <c r="G9829">
        <v>9819</v>
      </c>
      <c r="H9829">
        <f t="shared" ca="1" si="161"/>
        <v>9.1232306728238309E-3</v>
      </c>
    </row>
    <row r="9830" spans="7:8">
      <c r="G9830">
        <v>9820</v>
      </c>
      <c r="H9830">
        <f t="shared" ca="1" si="161"/>
        <v>1.167197074360201E-2</v>
      </c>
    </row>
    <row r="9831" spans="7:8">
      <c r="G9831">
        <v>9821</v>
      </c>
      <c r="H9831">
        <f t="shared" ca="1" si="161"/>
        <v>6.456119443014744E-4</v>
      </c>
    </row>
    <row r="9832" spans="7:8">
      <c r="G9832">
        <v>9822</v>
      </c>
      <c r="H9832">
        <f t="shared" ca="1" si="161"/>
        <v>1.575380681159207E-2</v>
      </c>
    </row>
    <row r="9833" spans="7:8">
      <c r="G9833">
        <v>9823</v>
      </c>
      <c r="H9833">
        <f t="shared" ca="1" si="161"/>
        <v>7.5992512752854884E-3</v>
      </c>
    </row>
    <row r="9834" spans="7:8">
      <c r="G9834">
        <v>9824</v>
      </c>
      <c r="H9834">
        <f t="shared" ca="1" si="161"/>
        <v>1.9618395563617795E-2</v>
      </c>
    </row>
    <row r="9835" spans="7:8">
      <c r="G9835">
        <v>9825</v>
      </c>
      <c r="H9835">
        <f t="shared" ca="1" si="161"/>
        <v>8.4038990423669271E-3</v>
      </c>
    </row>
    <row r="9836" spans="7:8">
      <c r="G9836">
        <v>9826</v>
      </c>
      <c r="H9836">
        <f t="shared" ca="1" si="161"/>
        <v>2.852397249001068E-3</v>
      </c>
    </row>
    <row r="9837" spans="7:8">
      <c r="G9837">
        <v>9827</v>
      </c>
      <c r="H9837">
        <f t="shared" ca="1" si="161"/>
        <v>4.8380233536972081E-3</v>
      </c>
    </row>
    <row r="9838" spans="7:8">
      <c r="G9838">
        <v>9828</v>
      </c>
      <c r="H9838">
        <f t="shared" ca="1" si="161"/>
        <v>1.0723709841106452E-2</v>
      </c>
    </row>
    <row r="9839" spans="7:8">
      <c r="G9839">
        <v>9829</v>
      </c>
      <c r="H9839">
        <f t="shared" ca="1" si="161"/>
        <v>1.2169349115955366E-2</v>
      </c>
    </row>
    <row r="9840" spans="7:8">
      <c r="G9840">
        <v>9830</v>
      </c>
      <c r="H9840">
        <f t="shared" ca="1" si="161"/>
        <v>8.2202854528745199E-3</v>
      </c>
    </row>
    <row r="9841" spans="7:8">
      <c r="G9841">
        <v>9831</v>
      </c>
      <c r="H9841">
        <f t="shared" ca="1" si="161"/>
        <v>6.8739965767491609E-3</v>
      </c>
    </row>
    <row r="9842" spans="7:8">
      <c r="G9842">
        <v>9832</v>
      </c>
      <c r="H9842">
        <f t="shared" ca="1" si="161"/>
        <v>-1.1336041980836506E-4</v>
      </c>
    </row>
    <row r="9843" spans="7:8">
      <c r="G9843">
        <v>9833</v>
      </c>
      <c r="H9843">
        <f t="shared" ca="1" si="161"/>
        <v>4.0975136827455617E-4</v>
      </c>
    </row>
    <row r="9844" spans="7:8">
      <c r="G9844">
        <v>9834</v>
      </c>
      <c r="H9844">
        <f t="shared" ca="1" si="161"/>
        <v>-1.5874217526778249E-3</v>
      </c>
    </row>
    <row r="9845" spans="7:8">
      <c r="G9845">
        <v>9835</v>
      </c>
      <c r="H9845">
        <f t="shared" ca="1" si="161"/>
        <v>9.7004307257774185E-3</v>
      </c>
    </row>
    <row r="9846" spans="7:8">
      <c r="G9846">
        <v>9836</v>
      </c>
      <c r="H9846">
        <f t="shared" ca="1" si="161"/>
        <v>-3.6830676483280256E-2</v>
      </c>
    </row>
    <row r="9847" spans="7:8">
      <c r="G9847">
        <v>9837</v>
      </c>
      <c r="H9847">
        <f t="shared" ca="1" si="161"/>
        <v>-4.0631969061371929E-3</v>
      </c>
    </row>
    <row r="9848" spans="7:8">
      <c r="G9848">
        <v>9838</v>
      </c>
      <c r="H9848">
        <f t="shared" ca="1" si="161"/>
        <v>-2.831062488464671E-2</v>
      </c>
    </row>
    <row r="9849" spans="7:8">
      <c r="G9849">
        <v>9839</v>
      </c>
      <c r="H9849">
        <f t="shared" ca="1" si="161"/>
        <v>-4.5122034483955312E-2</v>
      </c>
    </row>
    <row r="9850" spans="7:8">
      <c r="G9850">
        <v>9840</v>
      </c>
      <c r="H9850">
        <f t="shared" ca="1" si="161"/>
        <v>2.7656907657452878E-3</v>
      </c>
    </row>
    <row r="9851" spans="7:8">
      <c r="G9851">
        <v>9841</v>
      </c>
      <c r="H9851">
        <f t="shared" ca="1" si="161"/>
        <v>1.2269180646841162E-2</v>
      </c>
    </row>
    <row r="9852" spans="7:8">
      <c r="G9852">
        <v>9842</v>
      </c>
      <c r="H9852">
        <f t="shared" ca="1" si="161"/>
        <v>2.442461438972628E-2</v>
      </c>
    </row>
    <row r="9853" spans="7:8">
      <c r="G9853">
        <v>9843</v>
      </c>
      <c r="H9853">
        <f t="shared" ca="1" si="161"/>
        <v>-3.3637953622442734E-2</v>
      </c>
    </row>
    <row r="9854" spans="7:8">
      <c r="G9854">
        <v>9844</v>
      </c>
      <c r="H9854">
        <f t="shared" ca="1" si="161"/>
        <v>-4.0154694294076525E-3</v>
      </c>
    </row>
    <row r="9855" spans="7:8">
      <c r="G9855">
        <v>9845</v>
      </c>
      <c r="H9855">
        <f t="shared" ca="1" si="161"/>
        <v>6.3895319563341676E-3</v>
      </c>
    </row>
    <row r="9856" spans="7:8">
      <c r="G9856">
        <v>9846</v>
      </c>
      <c r="H9856">
        <f t="shared" ca="1" si="161"/>
        <v>1.897091556305688E-2</v>
      </c>
    </row>
    <row r="9857" spans="7:8">
      <c r="G9857">
        <v>9847</v>
      </c>
      <c r="H9857">
        <f t="shared" ca="1" si="161"/>
        <v>-3.4832551833811835E-2</v>
      </c>
    </row>
    <row r="9858" spans="7:8">
      <c r="G9858">
        <v>9848</v>
      </c>
      <c r="H9858">
        <f t="shared" ca="1" si="161"/>
        <v>-3.3113923240185063E-2</v>
      </c>
    </row>
    <row r="9859" spans="7:8">
      <c r="G9859">
        <v>9849</v>
      </c>
      <c r="H9859">
        <f t="shared" ca="1" si="161"/>
        <v>-3.874771873825069E-2</v>
      </c>
    </row>
    <row r="9860" spans="7:8">
      <c r="G9860">
        <v>9850</v>
      </c>
      <c r="H9860">
        <f t="shared" ca="1" si="161"/>
        <v>-1.5073656764220086E-2</v>
      </c>
    </row>
    <row r="9861" spans="7:8">
      <c r="G9861">
        <v>9851</v>
      </c>
      <c r="H9861">
        <f t="shared" ca="1" si="161"/>
        <v>-1.1928614871848304E-2</v>
      </c>
    </row>
    <row r="9862" spans="7:8">
      <c r="G9862">
        <v>9852</v>
      </c>
      <c r="H9862">
        <f t="shared" ca="1" si="161"/>
        <v>9.352163685352086E-3</v>
      </c>
    </row>
    <row r="9863" spans="7:8">
      <c r="G9863">
        <v>9853</v>
      </c>
      <c r="H9863">
        <f t="shared" ca="1" si="161"/>
        <v>3.1461454552300538E-2</v>
      </c>
    </row>
    <row r="9864" spans="7:8">
      <c r="G9864">
        <v>9854</v>
      </c>
      <c r="H9864">
        <f t="shared" ca="1" si="161"/>
        <v>-3.8440939341677485E-2</v>
      </c>
    </row>
    <row r="9865" spans="7:8">
      <c r="G9865">
        <v>9855</v>
      </c>
      <c r="H9865">
        <f t="shared" ca="1" si="161"/>
        <v>3.1087275012852116E-2</v>
      </c>
    </row>
    <row r="9866" spans="7:8">
      <c r="G9866">
        <v>9856</v>
      </c>
      <c r="H9866">
        <f t="shared" ca="1" si="161"/>
        <v>-2.2377196878257764E-2</v>
      </c>
    </row>
    <row r="9867" spans="7:8">
      <c r="G9867">
        <v>9857</v>
      </c>
      <c r="H9867">
        <f t="shared" ca="1" si="161"/>
        <v>-4.9602441877320227E-2</v>
      </c>
    </row>
    <row r="9868" spans="7:8">
      <c r="G9868">
        <v>9858</v>
      </c>
      <c r="H9868">
        <f t="shared" ref="H9868:H9931" ca="1" si="162">_xlfn.NORM.INV(RAND(),N$13,N$14)</f>
        <v>6.0038723017175055E-4</v>
      </c>
    </row>
    <row r="9869" spans="7:8">
      <c r="G9869">
        <v>9859</v>
      </c>
      <c r="H9869">
        <f t="shared" ca="1" si="162"/>
        <v>9.8607256082645705E-4</v>
      </c>
    </row>
    <row r="9870" spans="7:8">
      <c r="G9870">
        <v>9860</v>
      </c>
      <c r="H9870">
        <f t="shared" ca="1" si="162"/>
        <v>5.0755934198103744E-2</v>
      </c>
    </row>
    <row r="9871" spans="7:8">
      <c r="G9871">
        <v>9861</v>
      </c>
      <c r="H9871">
        <f t="shared" ca="1" si="162"/>
        <v>4.2540057228388675E-2</v>
      </c>
    </row>
    <row r="9872" spans="7:8">
      <c r="G9872">
        <v>9862</v>
      </c>
      <c r="H9872">
        <f t="shared" ca="1" si="162"/>
        <v>2.0275817723678053E-2</v>
      </c>
    </row>
    <row r="9873" spans="7:8">
      <c r="G9873">
        <v>9863</v>
      </c>
      <c r="H9873">
        <f t="shared" ca="1" si="162"/>
        <v>1.6378529021987488E-2</v>
      </c>
    </row>
    <row r="9874" spans="7:8">
      <c r="G9874">
        <v>9864</v>
      </c>
      <c r="H9874">
        <f t="shared" ca="1" si="162"/>
        <v>-1.5498595151241149E-2</v>
      </c>
    </row>
    <row r="9875" spans="7:8">
      <c r="G9875">
        <v>9865</v>
      </c>
      <c r="H9875">
        <f t="shared" ca="1" si="162"/>
        <v>-7.0142070940542769E-2</v>
      </c>
    </row>
    <row r="9876" spans="7:8">
      <c r="G9876">
        <v>9866</v>
      </c>
      <c r="H9876">
        <f t="shared" ca="1" si="162"/>
        <v>1.1951782546537662E-2</v>
      </c>
    </row>
    <row r="9877" spans="7:8">
      <c r="G9877">
        <v>9867</v>
      </c>
      <c r="H9877">
        <f t="shared" ca="1" si="162"/>
        <v>-2.0266768719029855E-4</v>
      </c>
    </row>
    <row r="9878" spans="7:8">
      <c r="G9878">
        <v>9868</v>
      </c>
      <c r="H9878">
        <f t="shared" ca="1" si="162"/>
        <v>2.4354188689068765E-3</v>
      </c>
    </row>
    <row r="9879" spans="7:8">
      <c r="G9879">
        <v>9869</v>
      </c>
      <c r="H9879">
        <f t="shared" ca="1" si="162"/>
        <v>1.2170029600770568E-2</v>
      </c>
    </row>
    <row r="9880" spans="7:8">
      <c r="G9880">
        <v>9870</v>
      </c>
      <c r="H9880">
        <f t="shared" ca="1" si="162"/>
        <v>-3.050445795068903E-2</v>
      </c>
    </row>
    <row r="9881" spans="7:8">
      <c r="G9881">
        <v>9871</v>
      </c>
      <c r="H9881">
        <f t="shared" ca="1" si="162"/>
        <v>3.4480401462696417E-2</v>
      </c>
    </row>
    <row r="9882" spans="7:8">
      <c r="G9882">
        <v>9872</v>
      </c>
      <c r="H9882">
        <f t="shared" ca="1" si="162"/>
        <v>5.0857152792486343E-2</v>
      </c>
    </row>
    <row r="9883" spans="7:8">
      <c r="G9883">
        <v>9873</v>
      </c>
      <c r="H9883">
        <f t="shared" ca="1" si="162"/>
        <v>2.5870592067264189E-2</v>
      </c>
    </row>
    <row r="9884" spans="7:8">
      <c r="G9884">
        <v>9874</v>
      </c>
      <c r="H9884">
        <f t="shared" ca="1" si="162"/>
        <v>2.0864669012599507E-2</v>
      </c>
    </row>
    <row r="9885" spans="7:8">
      <c r="G9885">
        <v>9875</v>
      </c>
      <c r="H9885">
        <f t="shared" ca="1" si="162"/>
        <v>-3.2070147867266423E-4</v>
      </c>
    </row>
    <row r="9886" spans="7:8">
      <c r="G9886">
        <v>9876</v>
      </c>
      <c r="H9886">
        <f t="shared" ca="1" si="162"/>
        <v>1.7796707479594949E-2</v>
      </c>
    </row>
    <row r="9887" spans="7:8">
      <c r="G9887">
        <v>9877</v>
      </c>
      <c r="H9887">
        <f t="shared" ca="1" si="162"/>
        <v>-9.1044696211212452E-3</v>
      </c>
    </row>
    <row r="9888" spans="7:8">
      <c r="G9888">
        <v>9878</v>
      </c>
      <c r="H9888">
        <f t="shared" ca="1" si="162"/>
        <v>-2.0826675243676714E-2</v>
      </c>
    </row>
    <row r="9889" spans="7:8">
      <c r="G9889">
        <v>9879</v>
      </c>
      <c r="H9889">
        <f t="shared" ca="1" si="162"/>
        <v>4.2625971409137139E-2</v>
      </c>
    </row>
    <row r="9890" spans="7:8">
      <c r="G9890">
        <v>9880</v>
      </c>
      <c r="H9890">
        <f t="shared" ca="1" si="162"/>
        <v>3.1610427452234233E-2</v>
      </c>
    </row>
    <row r="9891" spans="7:8">
      <c r="G9891">
        <v>9881</v>
      </c>
      <c r="H9891">
        <f t="shared" ca="1" si="162"/>
        <v>-9.7534346073481905E-4</v>
      </c>
    </row>
    <row r="9892" spans="7:8">
      <c r="G9892">
        <v>9882</v>
      </c>
      <c r="H9892">
        <f t="shared" ca="1" si="162"/>
        <v>2.8302785910364048E-2</v>
      </c>
    </row>
    <row r="9893" spans="7:8">
      <c r="G9893">
        <v>9883</v>
      </c>
      <c r="H9893">
        <f t="shared" ca="1" si="162"/>
        <v>-1.1190377892612895E-2</v>
      </c>
    </row>
    <row r="9894" spans="7:8">
      <c r="G9894">
        <v>9884</v>
      </c>
      <c r="H9894">
        <f t="shared" ca="1" si="162"/>
        <v>-2.7340967455307907E-2</v>
      </c>
    </row>
    <row r="9895" spans="7:8">
      <c r="G9895">
        <v>9885</v>
      </c>
      <c r="H9895">
        <f t="shared" ca="1" si="162"/>
        <v>2.8893494676763234E-2</v>
      </c>
    </row>
    <row r="9896" spans="7:8">
      <c r="G9896">
        <v>9886</v>
      </c>
      <c r="H9896">
        <f t="shared" ca="1" si="162"/>
        <v>1.5630306120982519E-2</v>
      </c>
    </row>
    <row r="9897" spans="7:8">
      <c r="G9897">
        <v>9887</v>
      </c>
      <c r="H9897">
        <f t="shared" ca="1" si="162"/>
        <v>-9.8857644654875478E-3</v>
      </c>
    </row>
    <row r="9898" spans="7:8">
      <c r="G9898">
        <v>9888</v>
      </c>
      <c r="H9898">
        <f t="shared" ca="1" si="162"/>
        <v>-1.439187060990871E-2</v>
      </c>
    </row>
    <row r="9899" spans="7:8">
      <c r="G9899">
        <v>9889</v>
      </c>
      <c r="H9899">
        <f t="shared" ca="1" si="162"/>
        <v>-1.3195821081049223E-2</v>
      </c>
    </row>
    <row r="9900" spans="7:8">
      <c r="G9900">
        <v>9890</v>
      </c>
      <c r="H9900">
        <f t="shared" ca="1" si="162"/>
        <v>-2.4208326188849667E-2</v>
      </c>
    </row>
    <row r="9901" spans="7:8">
      <c r="G9901">
        <v>9891</v>
      </c>
      <c r="H9901">
        <f t="shared" ca="1" si="162"/>
        <v>5.7364567596572486E-3</v>
      </c>
    </row>
    <row r="9902" spans="7:8">
      <c r="G9902">
        <v>9892</v>
      </c>
      <c r="H9902">
        <f t="shared" ca="1" si="162"/>
        <v>-2.9390113280969823E-2</v>
      </c>
    </row>
    <row r="9903" spans="7:8">
      <c r="G9903">
        <v>9893</v>
      </c>
      <c r="H9903">
        <f t="shared" ca="1" si="162"/>
        <v>-1.6113079227087188E-2</v>
      </c>
    </row>
    <row r="9904" spans="7:8">
      <c r="G9904">
        <v>9894</v>
      </c>
      <c r="H9904">
        <f t="shared" ca="1" si="162"/>
        <v>-1.0022664867512134E-2</v>
      </c>
    </row>
    <row r="9905" spans="7:8">
      <c r="G9905">
        <v>9895</v>
      </c>
      <c r="H9905">
        <f t="shared" ca="1" si="162"/>
        <v>2.2891301707200468E-2</v>
      </c>
    </row>
    <row r="9906" spans="7:8">
      <c r="G9906">
        <v>9896</v>
      </c>
      <c r="H9906">
        <f t="shared" ca="1" si="162"/>
        <v>-2.9050585338205179E-2</v>
      </c>
    </row>
    <row r="9907" spans="7:8">
      <c r="G9907">
        <v>9897</v>
      </c>
      <c r="H9907">
        <f t="shared" ca="1" si="162"/>
        <v>-3.0488500006779402E-2</v>
      </c>
    </row>
    <row r="9908" spans="7:8">
      <c r="G9908">
        <v>9898</v>
      </c>
      <c r="H9908">
        <f t="shared" ca="1" si="162"/>
        <v>2.5680930198028466E-2</v>
      </c>
    </row>
    <row r="9909" spans="7:8">
      <c r="G9909">
        <v>9899</v>
      </c>
      <c r="H9909">
        <f t="shared" ca="1" si="162"/>
        <v>-1.9409996745694182E-2</v>
      </c>
    </row>
    <row r="9910" spans="7:8">
      <c r="G9910">
        <v>9900</v>
      </c>
      <c r="H9910">
        <f t="shared" ca="1" si="162"/>
        <v>2.7743030686796441E-2</v>
      </c>
    </row>
    <row r="9911" spans="7:8">
      <c r="G9911">
        <v>9901</v>
      </c>
      <c r="H9911">
        <f t="shared" ca="1" si="162"/>
        <v>-1.4172675277790875E-2</v>
      </c>
    </row>
    <row r="9912" spans="7:8">
      <c r="G9912">
        <v>9902</v>
      </c>
      <c r="H9912">
        <f t="shared" ca="1" si="162"/>
        <v>1.5083742348986634E-2</v>
      </c>
    </row>
    <row r="9913" spans="7:8">
      <c r="G9913">
        <v>9903</v>
      </c>
      <c r="H9913">
        <f t="shared" ca="1" si="162"/>
        <v>1.2109445081207059E-3</v>
      </c>
    </row>
    <row r="9914" spans="7:8">
      <c r="G9914">
        <v>9904</v>
      </c>
      <c r="H9914">
        <f t="shared" ca="1" si="162"/>
        <v>2.9766231178059405E-2</v>
      </c>
    </row>
    <row r="9915" spans="7:8">
      <c r="G9915">
        <v>9905</v>
      </c>
      <c r="H9915">
        <f t="shared" ca="1" si="162"/>
        <v>3.1721501588930105E-2</v>
      </c>
    </row>
    <row r="9916" spans="7:8">
      <c r="G9916">
        <v>9906</v>
      </c>
      <c r="H9916">
        <f t="shared" ca="1" si="162"/>
        <v>-3.0601954841088741E-2</v>
      </c>
    </row>
    <row r="9917" spans="7:8">
      <c r="G9917">
        <v>9907</v>
      </c>
      <c r="H9917">
        <f t="shared" ca="1" si="162"/>
        <v>-1.5988139595211549E-3</v>
      </c>
    </row>
    <row r="9918" spans="7:8">
      <c r="G9918">
        <v>9908</v>
      </c>
      <c r="H9918">
        <f t="shared" ca="1" si="162"/>
        <v>-1.3653419494064878E-2</v>
      </c>
    </row>
    <row r="9919" spans="7:8">
      <c r="G9919">
        <v>9909</v>
      </c>
      <c r="H9919">
        <f t="shared" ca="1" si="162"/>
        <v>7.8109790873336681E-3</v>
      </c>
    </row>
    <row r="9920" spans="7:8">
      <c r="G9920">
        <v>9910</v>
      </c>
      <c r="H9920">
        <f t="shared" ca="1" si="162"/>
        <v>4.7891167301402958E-3</v>
      </c>
    </row>
    <row r="9921" spans="7:8">
      <c r="G9921">
        <v>9911</v>
      </c>
      <c r="H9921">
        <f t="shared" ca="1" si="162"/>
        <v>3.6021192575699593E-2</v>
      </c>
    </row>
    <row r="9922" spans="7:8">
      <c r="G9922">
        <v>9912</v>
      </c>
      <c r="H9922">
        <f t="shared" ca="1" si="162"/>
        <v>6.6909875692289664E-2</v>
      </c>
    </row>
    <row r="9923" spans="7:8">
      <c r="G9923">
        <v>9913</v>
      </c>
      <c r="H9923">
        <f t="shared" ca="1" si="162"/>
        <v>5.16067574757147E-2</v>
      </c>
    </row>
    <row r="9924" spans="7:8">
      <c r="G9924">
        <v>9914</v>
      </c>
      <c r="H9924">
        <f t="shared" ca="1" si="162"/>
        <v>-3.6842528510759434E-2</v>
      </c>
    </row>
    <row r="9925" spans="7:8">
      <c r="G9925">
        <v>9915</v>
      </c>
      <c r="H9925">
        <f t="shared" ca="1" si="162"/>
        <v>-2.2394721399806396E-2</v>
      </c>
    </row>
    <row r="9926" spans="7:8">
      <c r="G9926">
        <v>9916</v>
      </c>
      <c r="H9926">
        <f t="shared" ca="1" si="162"/>
        <v>5.6454270970133424E-3</v>
      </c>
    </row>
    <row r="9927" spans="7:8">
      <c r="G9927">
        <v>9917</v>
      </c>
      <c r="H9927">
        <f t="shared" ca="1" si="162"/>
        <v>4.8759882813760973E-3</v>
      </c>
    </row>
    <row r="9928" spans="7:8">
      <c r="G9928">
        <v>9918</v>
      </c>
      <c r="H9928">
        <f t="shared" ca="1" si="162"/>
        <v>-1.7755677507335201E-3</v>
      </c>
    </row>
    <row r="9929" spans="7:8">
      <c r="G9929">
        <v>9919</v>
      </c>
      <c r="H9929">
        <f t="shared" ca="1" si="162"/>
        <v>2.8948562869011419E-2</v>
      </c>
    </row>
    <row r="9930" spans="7:8">
      <c r="G9930">
        <v>9920</v>
      </c>
      <c r="H9930">
        <f t="shared" ca="1" si="162"/>
        <v>1.4572681600675461E-2</v>
      </c>
    </row>
    <row r="9931" spans="7:8">
      <c r="G9931">
        <v>9921</v>
      </c>
      <c r="H9931">
        <f t="shared" ca="1" si="162"/>
        <v>-4.0519446703272066E-2</v>
      </c>
    </row>
    <row r="9932" spans="7:8">
      <c r="G9932">
        <v>9922</v>
      </c>
      <c r="H9932">
        <f t="shared" ref="H9932:H9995" ca="1" si="163">_xlfn.NORM.INV(RAND(),N$13,N$14)</f>
        <v>1.5004301915548466E-2</v>
      </c>
    </row>
    <row r="9933" spans="7:8">
      <c r="G9933">
        <v>9923</v>
      </c>
      <c r="H9933">
        <f t="shared" ca="1" si="163"/>
        <v>3.2459228374989331E-3</v>
      </c>
    </row>
    <row r="9934" spans="7:8">
      <c r="G9934">
        <v>9924</v>
      </c>
      <c r="H9934">
        <f t="shared" ca="1" si="163"/>
        <v>4.1309484887005782E-2</v>
      </c>
    </row>
    <row r="9935" spans="7:8">
      <c r="G9935">
        <v>9925</v>
      </c>
      <c r="H9935">
        <f t="shared" ca="1" si="163"/>
        <v>7.7346922785678012E-3</v>
      </c>
    </row>
    <row r="9936" spans="7:8">
      <c r="G9936">
        <v>9926</v>
      </c>
      <c r="H9936">
        <f t="shared" ca="1" si="163"/>
        <v>-2.8322088130397948E-2</v>
      </c>
    </row>
    <row r="9937" spans="7:8">
      <c r="G9937">
        <v>9927</v>
      </c>
      <c r="H9937">
        <f t="shared" ca="1" si="163"/>
        <v>-1.3769129665948661E-2</v>
      </c>
    </row>
    <row r="9938" spans="7:8">
      <c r="G9938">
        <v>9928</v>
      </c>
      <c r="H9938">
        <f t="shared" ca="1" si="163"/>
        <v>-5.9345002508838897E-4</v>
      </c>
    </row>
    <row r="9939" spans="7:8">
      <c r="G9939">
        <v>9929</v>
      </c>
      <c r="H9939">
        <f t="shared" ca="1" si="163"/>
        <v>-2.3899786995147973E-3</v>
      </c>
    </row>
    <row r="9940" spans="7:8">
      <c r="G9940">
        <v>9930</v>
      </c>
      <c r="H9940">
        <f t="shared" ca="1" si="163"/>
        <v>-4.6408910070289792E-2</v>
      </c>
    </row>
    <row r="9941" spans="7:8">
      <c r="G9941">
        <v>9931</v>
      </c>
      <c r="H9941">
        <f t="shared" ca="1" si="163"/>
        <v>3.9768138678344285E-2</v>
      </c>
    </row>
    <row r="9942" spans="7:8">
      <c r="G9942">
        <v>9932</v>
      </c>
      <c r="H9942">
        <f t="shared" ca="1" si="163"/>
        <v>-8.7764820164759703E-3</v>
      </c>
    </row>
    <row r="9943" spans="7:8">
      <c r="G9943">
        <v>9933</v>
      </c>
      <c r="H9943">
        <f t="shared" ca="1" si="163"/>
        <v>2.9743510636213572E-2</v>
      </c>
    </row>
    <row r="9944" spans="7:8">
      <c r="G9944">
        <v>9934</v>
      </c>
      <c r="H9944">
        <f t="shared" ca="1" si="163"/>
        <v>-1.7585646526807767E-2</v>
      </c>
    </row>
    <row r="9945" spans="7:8">
      <c r="G9945">
        <v>9935</v>
      </c>
      <c r="H9945">
        <f t="shared" ca="1" si="163"/>
        <v>3.69881753806479E-2</v>
      </c>
    </row>
    <row r="9946" spans="7:8">
      <c r="G9946">
        <v>9936</v>
      </c>
      <c r="H9946">
        <f t="shared" ca="1" si="163"/>
        <v>-2.4783949321829137E-4</v>
      </c>
    </row>
    <row r="9947" spans="7:8">
      <c r="G9947">
        <v>9937</v>
      </c>
      <c r="H9947">
        <f t="shared" ca="1" si="163"/>
        <v>6.2805552150843769E-2</v>
      </c>
    </row>
    <row r="9948" spans="7:8">
      <c r="G9948">
        <v>9938</v>
      </c>
      <c r="H9948">
        <f t="shared" ca="1" si="163"/>
        <v>1.7873294137189272E-2</v>
      </c>
    </row>
    <row r="9949" spans="7:8">
      <c r="G9949">
        <v>9939</v>
      </c>
      <c r="H9949">
        <f t="shared" ca="1" si="163"/>
        <v>1.6371946206110112E-3</v>
      </c>
    </row>
    <row r="9950" spans="7:8">
      <c r="G9950">
        <v>9940</v>
      </c>
      <c r="H9950">
        <f t="shared" ca="1" si="163"/>
        <v>-6.8794736777395213E-3</v>
      </c>
    </row>
    <row r="9951" spans="7:8">
      <c r="G9951">
        <v>9941</v>
      </c>
      <c r="H9951">
        <f t="shared" ca="1" si="163"/>
        <v>-3.8171788671957654E-2</v>
      </c>
    </row>
    <row r="9952" spans="7:8">
      <c r="G9952">
        <v>9942</v>
      </c>
      <c r="H9952">
        <f t="shared" ca="1" si="163"/>
        <v>-2.9218318116659429E-2</v>
      </c>
    </row>
    <row r="9953" spans="7:8">
      <c r="G9953">
        <v>9943</v>
      </c>
      <c r="H9953">
        <f t="shared" ca="1" si="163"/>
        <v>1.9644271801907556E-2</v>
      </c>
    </row>
    <row r="9954" spans="7:8">
      <c r="G9954">
        <v>9944</v>
      </c>
      <c r="H9954">
        <f t="shared" ca="1" si="163"/>
        <v>-3.0383829289774889E-2</v>
      </c>
    </row>
    <row r="9955" spans="7:8">
      <c r="G9955">
        <v>9945</v>
      </c>
      <c r="H9955">
        <f t="shared" ca="1" si="163"/>
        <v>-3.5913317740310685E-3</v>
      </c>
    </row>
    <row r="9956" spans="7:8">
      <c r="G9956">
        <v>9946</v>
      </c>
      <c r="H9956">
        <f t="shared" ca="1" si="163"/>
        <v>-1.9843871557175433E-2</v>
      </c>
    </row>
    <row r="9957" spans="7:8">
      <c r="G9957">
        <v>9947</v>
      </c>
      <c r="H9957">
        <f t="shared" ca="1" si="163"/>
        <v>-4.0230033231517449E-2</v>
      </c>
    </row>
    <row r="9958" spans="7:8">
      <c r="G9958">
        <v>9948</v>
      </c>
      <c r="H9958">
        <f t="shared" ca="1" si="163"/>
        <v>4.869710990636146E-2</v>
      </c>
    </row>
    <row r="9959" spans="7:8">
      <c r="G9959">
        <v>9949</v>
      </c>
      <c r="H9959">
        <f t="shared" ca="1" si="163"/>
        <v>2.0709958809380102E-2</v>
      </c>
    </row>
    <row r="9960" spans="7:8">
      <c r="G9960">
        <v>9950</v>
      </c>
      <c r="H9960">
        <f t="shared" ca="1" si="163"/>
        <v>-2.8994772769311554E-2</v>
      </c>
    </row>
    <row r="9961" spans="7:8">
      <c r="G9961">
        <v>9951</v>
      </c>
      <c r="H9961">
        <f t="shared" ca="1" si="163"/>
        <v>-1.2682460438023589E-2</v>
      </c>
    </row>
    <row r="9962" spans="7:8">
      <c r="G9962">
        <v>9952</v>
      </c>
      <c r="H9962">
        <f t="shared" ca="1" si="163"/>
        <v>-7.1172470408441069E-3</v>
      </c>
    </row>
    <row r="9963" spans="7:8">
      <c r="G9963">
        <v>9953</v>
      </c>
      <c r="H9963">
        <f t="shared" ca="1" si="163"/>
        <v>-2.794064138607763E-2</v>
      </c>
    </row>
    <row r="9964" spans="7:8">
      <c r="G9964">
        <v>9954</v>
      </c>
      <c r="H9964">
        <f t="shared" ca="1" si="163"/>
        <v>2.7651275794984994E-2</v>
      </c>
    </row>
    <row r="9965" spans="7:8">
      <c r="G9965">
        <v>9955</v>
      </c>
      <c r="H9965">
        <f t="shared" ca="1" si="163"/>
        <v>-1.0534599070873349E-2</v>
      </c>
    </row>
    <row r="9966" spans="7:8">
      <c r="G9966">
        <v>9956</v>
      </c>
      <c r="H9966">
        <f t="shared" ca="1" si="163"/>
        <v>-3.7659476024188225E-2</v>
      </c>
    </row>
    <row r="9967" spans="7:8">
      <c r="G9967">
        <v>9957</v>
      </c>
      <c r="H9967">
        <f t="shared" ca="1" si="163"/>
        <v>-6.6509967719161171E-3</v>
      </c>
    </row>
    <row r="9968" spans="7:8">
      <c r="G9968">
        <v>9958</v>
      </c>
      <c r="H9968">
        <f t="shared" ca="1" si="163"/>
        <v>6.2357902700230769E-2</v>
      </c>
    </row>
    <row r="9969" spans="7:8">
      <c r="G9969">
        <v>9959</v>
      </c>
      <c r="H9969">
        <f t="shared" ca="1" si="163"/>
        <v>1.8202492292141995E-2</v>
      </c>
    </row>
    <row r="9970" spans="7:8">
      <c r="G9970">
        <v>9960</v>
      </c>
      <c r="H9970">
        <f t="shared" ca="1" si="163"/>
        <v>1.8783080829975467E-2</v>
      </c>
    </row>
    <row r="9971" spans="7:8">
      <c r="G9971">
        <v>9961</v>
      </c>
      <c r="H9971">
        <f t="shared" ca="1" si="163"/>
        <v>3.4957455394869871E-2</v>
      </c>
    </row>
    <row r="9972" spans="7:8">
      <c r="G9972">
        <v>9962</v>
      </c>
      <c r="H9972">
        <f t="shared" ca="1" si="163"/>
        <v>2.3772518253653733E-2</v>
      </c>
    </row>
    <row r="9973" spans="7:8">
      <c r="G9973">
        <v>9963</v>
      </c>
      <c r="H9973">
        <f t="shared" ca="1" si="163"/>
        <v>1.691633392738319E-2</v>
      </c>
    </row>
    <row r="9974" spans="7:8">
      <c r="G9974">
        <v>9964</v>
      </c>
      <c r="H9974">
        <f t="shared" ca="1" si="163"/>
        <v>-1.5457745275316168E-2</v>
      </c>
    </row>
    <row r="9975" spans="7:8">
      <c r="G9975">
        <v>9965</v>
      </c>
      <c r="H9975">
        <f t="shared" ca="1" si="163"/>
        <v>-3.5032232586696896E-2</v>
      </c>
    </row>
    <row r="9976" spans="7:8">
      <c r="G9976">
        <v>9966</v>
      </c>
      <c r="H9976">
        <f t="shared" ca="1" si="163"/>
        <v>-2.0775130392932311E-2</v>
      </c>
    </row>
    <row r="9977" spans="7:8">
      <c r="G9977">
        <v>9967</v>
      </c>
      <c r="H9977">
        <f t="shared" ca="1" si="163"/>
        <v>-5.2932239896792696E-3</v>
      </c>
    </row>
    <row r="9978" spans="7:8">
      <c r="G9978">
        <v>9968</v>
      </c>
      <c r="H9978">
        <f t="shared" ca="1" si="163"/>
        <v>-3.3255845097282848E-2</v>
      </c>
    </row>
    <row r="9979" spans="7:8">
      <c r="G9979">
        <v>9969</v>
      </c>
      <c r="H9979">
        <f t="shared" ca="1" si="163"/>
        <v>4.995626304311726E-4</v>
      </c>
    </row>
    <row r="9980" spans="7:8">
      <c r="G9980">
        <v>9970</v>
      </c>
      <c r="H9980">
        <f t="shared" ca="1" si="163"/>
        <v>1.4488188813659384E-2</v>
      </c>
    </row>
    <row r="9981" spans="7:8">
      <c r="G9981">
        <v>9971</v>
      </c>
      <c r="H9981">
        <f t="shared" ca="1" si="163"/>
        <v>-9.420864232704558E-3</v>
      </c>
    </row>
    <row r="9982" spans="7:8">
      <c r="G9982">
        <v>9972</v>
      </c>
      <c r="H9982">
        <f t="shared" ca="1" si="163"/>
        <v>4.7661333368193275E-2</v>
      </c>
    </row>
    <row r="9983" spans="7:8">
      <c r="G9983">
        <v>9973</v>
      </c>
      <c r="H9983">
        <f t="shared" ca="1" si="163"/>
        <v>4.298600382628171E-3</v>
      </c>
    </row>
    <row r="9984" spans="7:8">
      <c r="G9984">
        <v>9974</v>
      </c>
      <c r="H9984">
        <f t="shared" ca="1" si="163"/>
        <v>3.6607852397279636E-2</v>
      </c>
    </row>
    <row r="9985" spans="7:8">
      <c r="G9985">
        <v>9975</v>
      </c>
      <c r="H9985">
        <f t="shared" ca="1" si="163"/>
        <v>4.2941795235649817E-3</v>
      </c>
    </row>
    <row r="9986" spans="7:8">
      <c r="G9986">
        <v>9976</v>
      </c>
      <c r="H9986">
        <f t="shared" ca="1" si="163"/>
        <v>-3.3111709492905358E-2</v>
      </c>
    </row>
    <row r="9987" spans="7:8">
      <c r="G9987">
        <v>9977</v>
      </c>
      <c r="H9987">
        <f t="shared" ca="1" si="163"/>
        <v>2.7225239876614099E-2</v>
      </c>
    </row>
    <row r="9988" spans="7:8">
      <c r="G9988">
        <v>9978</v>
      </c>
      <c r="H9988">
        <f t="shared" ca="1" si="163"/>
        <v>-6.6738976826146807E-3</v>
      </c>
    </row>
    <row r="9989" spans="7:8">
      <c r="G9989">
        <v>9979</v>
      </c>
      <c r="H9989">
        <f t="shared" ca="1" si="163"/>
        <v>4.2903037108022353E-3</v>
      </c>
    </row>
    <row r="9990" spans="7:8">
      <c r="G9990">
        <v>9980</v>
      </c>
      <c r="H9990">
        <f t="shared" ca="1" si="163"/>
        <v>-1.6406208708856097E-2</v>
      </c>
    </row>
    <row r="9991" spans="7:8">
      <c r="G9991">
        <v>9981</v>
      </c>
      <c r="H9991">
        <f t="shared" ca="1" si="163"/>
        <v>-8.7422748239482945E-3</v>
      </c>
    </row>
    <row r="9992" spans="7:8">
      <c r="G9992">
        <v>9982</v>
      </c>
      <c r="H9992">
        <f t="shared" ca="1" si="163"/>
        <v>3.0716045398133066E-2</v>
      </c>
    </row>
    <row r="9993" spans="7:8">
      <c r="G9993">
        <v>9983</v>
      </c>
      <c r="H9993">
        <f t="shared" ca="1" si="163"/>
        <v>4.1647086407776528E-2</v>
      </c>
    </row>
    <row r="9994" spans="7:8">
      <c r="G9994">
        <v>9984</v>
      </c>
      <c r="H9994">
        <f t="shared" ca="1" si="163"/>
        <v>-1.2955027874257447E-2</v>
      </c>
    </row>
    <row r="9995" spans="7:8">
      <c r="G9995">
        <v>9985</v>
      </c>
      <c r="H9995">
        <f t="shared" ca="1" si="163"/>
        <v>4.9930114796881767E-2</v>
      </c>
    </row>
    <row r="9996" spans="7:8">
      <c r="G9996">
        <v>9986</v>
      </c>
      <c r="H9996">
        <f t="shared" ref="H9996:H10010" ca="1" si="164">_xlfn.NORM.INV(RAND(),N$13,N$14)</f>
        <v>-4.3665237698532651E-3</v>
      </c>
    </row>
    <row r="9997" spans="7:8">
      <c r="G9997">
        <v>9987</v>
      </c>
      <c r="H9997">
        <f t="shared" ca="1" si="164"/>
        <v>-1.4729313157119905E-2</v>
      </c>
    </row>
    <row r="9998" spans="7:8">
      <c r="G9998">
        <v>9988</v>
      </c>
      <c r="H9998">
        <f t="shared" ca="1" si="164"/>
        <v>-4.4853563322730947E-3</v>
      </c>
    </row>
    <row r="9999" spans="7:8">
      <c r="G9999">
        <v>9989</v>
      </c>
      <c r="H9999">
        <f t="shared" ca="1" si="164"/>
        <v>-8.2683381918589663E-3</v>
      </c>
    </row>
    <row r="10000" spans="7:8">
      <c r="G10000">
        <v>9990</v>
      </c>
      <c r="H10000">
        <f t="shared" ca="1" si="164"/>
        <v>-1.2600059834541738E-2</v>
      </c>
    </row>
    <row r="10001" spans="7:8">
      <c r="G10001">
        <v>9991</v>
      </c>
      <c r="H10001">
        <f t="shared" ca="1" si="164"/>
        <v>-3.8550310656119774E-2</v>
      </c>
    </row>
    <row r="10002" spans="7:8">
      <c r="G10002">
        <v>9992</v>
      </c>
      <c r="H10002">
        <f t="shared" ca="1" si="164"/>
        <v>2.2249434900325073E-4</v>
      </c>
    </row>
    <row r="10003" spans="7:8">
      <c r="G10003">
        <v>9993</v>
      </c>
      <c r="H10003">
        <f t="shared" ca="1" si="164"/>
        <v>-2.047408629047703E-2</v>
      </c>
    </row>
    <row r="10004" spans="7:8">
      <c r="G10004">
        <v>9994</v>
      </c>
      <c r="H10004">
        <f t="shared" ca="1" si="164"/>
        <v>8.7931942752811571E-4</v>
      </c>
    </row>
    <row r="10005" spans="7:8">
      <c r="G10005">
        <v>9995</v>
      </c>
      <c r="H10005">
        <f t="shared" ca="1" si="164"/>
        <v>1.6583346497072857E-2</v>
      </c>
    </row>
    <row r="10006" spans="7:8">
      <c r="G10006">
        <v>9996</v>
      </c>
      <c r="H10006">
        <f t="shared" ca="1" si="164"/>
        <v>-1.1478710586111534E-3</v>
      </c>
    </row>
    <row r="10007" spans="7:8">
      <c r="G10007">
        <v>9997</v>
      </c>
      <c r="H10007">
        <f t="shared" ca="1" si="164"/>
        <v>-5.6033080073145261E-3</v>
      </c>
    </row>
    <row r="10008" spans="7:8">
      <c r="G10008">
        <v>9998</v>
      </c>
      <c r="H10008">
        <f t="shared" ca="1" si="164"/>
        <v>-2.6482412564793244E-2</v>
      </c>
    </row>
    <row r="10009" spans="7:8">
      <c r="G10009">
        <v>9999</v>
      </c>
      <c r="H10009">
        <f t="shared" ca="1" si="164"/>
        <v>-3.0186218621193646E-3</v>
      </c>
    </row>
    <row r="10010" spans="7:8">
      <c r="G10010">
        <v>10000</v>
      </c>
      <c r="H10010">
        <f t="shared" ca="1" si="164"/>
        <v>-6.3395355869570458E-3</v>
      </c>
    </row>
  </sheetData>
  <mergeCells count="2">
    <mergeCell ref="J19:N19"/>
    <mergeCell ref="J12:N12"/>
  </mergeCells>
  <pageMargins left="0.7" right="0.7" top="0.75" bottom="0.75" header="0.3" footer="0.3"/>
  <pageSetup paperSize="9" scale="47" orientation="portrait" horizontalDpi="360" verticalDpi="360" r:id="rId1"/>
  <colBreaks count="1" manualBreakCount="1">
    <brk id="14" max="1048575" man="1"/>
  </colBreaks>
  <ignoredErrors>
    <ignoredError sqref="N13:N16" formulaRange="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100"/>
  <sheetViews>
    <sheetView zoomScale="115" zoomScaleNormal="115" zoomScalePageLayoutView="120" workbookViewId="0">
      <pane xSplit="1" ySplit="1" topLeftCell="F83" activePane="bottomRight" state="frozen"/>
      <selection activeCell="C4" sqref="C4"/>
      <selection pane="topRight" activeCell="C4" sqref="C4"/>
      <selection pane="bottomLeft" activeCell="C4" sqref="C4"/>
      <selection pane="bottomRight" activeCell="P100" sqref="P100"/>
    </sheetView>
  </sheetViews>
  <sheetFormatPr defaultColWidth="8.85546875" defaultRowHeight="15"/>
  <cols>
    <col min="1" max="1" width="27.7109375" style="2" bestFit="1" customWidth="1"/>
    <col min="2" max="2" width="25.85546875" style="2" bestFit="1" customWidth="1"/>
    <col min="3" max="11" width="13.42578125" style="2" bestFit="1" customWidth="1"/>
    <col min="12" max="12" width="8.85546875" style="2"/>
    <col min="13" max="13" width="9.85546875" style="2" bestFit="1" customWidth="1"/>
    <col min="14" max="14" width="12.140625" style="2" customWidth="1"/>
    <col min="15" max="16" width="9.85546875" style="2" bestFit="1" customWidth="1"/>
    <col min="17" max="16384" width="8.85546875" style="2"/>
  </cols>
  <sheetData>
    <row r="1" spans="1:11" s="1" customFormat="1">
      <c r="A1" s="1" t="s">
        <v>0</v>
      </c>
      <c r="B1" s="3" t="s">
        <v>33</v>
      </c>
      <c r="E1" s="843"/>
      <c r="F1" s="844"/>
      <c r="G1" s="844"/>
      <c r="H1" s="844"/>
      <c r="I1" s="844"/>
      <c r="J1" s="844"/>
      <c r="K1" s="844"/>
    </row>
    <row r="2" spans="1:11">
      <c r="A2" s="1" t="s">
        <v>31</v>
      </c>
      <c r="B2" s="2">
        <v>2.1</v>
      </c>
      <c r="E2" s="845" t="s">
        <v>22</v>
      </c>
      <c r="F2" s="845"/>
      <c r="G2" s="845"/>
      <c r="H2" s="845"/>
      <c r="I2" s="845"/>
      <c r="J2" s="845"/>
      <c r="K2" s="845"/>
    </row>
    <row r="3" spans="1:11">
      <c r="A3" s="1" t="s">
        <v>32</v>
      </c>
      <c r="B3" s="2">
        <v>2.1</v>
      </c>
    </row>
    <row r="4" spans="1:11">
      <c r="A4" s="1"/>
    </row>
    <row r="5" spans="1:11">
      <c r="A5" s="1" t="s">
        <v>34</v>
      </c>
    </row>
    <row r="6" spans="1:11">
      <c r="A6" s="2" t="s">
        <v>28</v>
      </c>
      <c r="B6" s="2">
        <f>IF(B9&gt;0, B9/B8, 0)</f>
        <v>35.534426918051146</v>
      </c>
    </row>
    <row r="7" spans="1:11">
      <c r="A7" s="2" t="s">
        <v>17</v>
      </c>
      <c r="B7">
        <v>1</v>
      </c>
    </row>
    <row r="8" spans="1:11">
      <c r="A8" s="2" t="s">
        <v>29</v>
      </c>
      <c r="B8">
        <v>4285.6000000000004</v>
      </c>
    </row>
    <row r="9" spans="1:11">
      <c r="A9" s="2" t="s">
        <v>44</v>
      </c>
      <c r="B9">
        <v>152286.34</v>
      </c>
    </row>
    <row r="15" spans="1:11">
      <c r="A15" s="1" t="s">
        <v>23</v>
      </c>
    </row>
    <row r="16" spans="1:11" s="6" customFormat="1">
      <c r="A16" s="5" t="s">
        <v>24</v>
      </c>
      <c r="B16" s="4">
        <v>42460</v>
      </c>
      <c r="C16" s="4">
        <v>42825</v>
      </c>
      <c r="D16" s="4">
        <v>43190</v>
      </c>
      <c r="E16" s="4">
        <v>43555</v>
      </c>
      <c r="F16" s="4">
        <v>43921</v>
      </c>
      <c r="G16" s="4">
        <v>44286</v>
      </c>
      <c r="H16" s="4">
        <v>44651</v>
      </c>
      <c r="I16" s="4">
        <v>45016</v>
      </c>
      <c r="J16" s="4">
        <v>45382</v>
      </c>
      <c r="K16" s="4">
        <v>45747</v>
      </c>
    </row>
    <row r="17" spans="1:14" s="3" customFormat="1">
      <c r="A17" s="3" t="s">
        <v>1</v>
      </c>
      <c r="B17">
        <v>1686.17</v>
      </c>
      <c r="C17">
        <v>1812.44</v>
      </c>
      <c r="D17">
        <v>2157.46</v>
      </c>
      <c r="E17">
        <v>2630.24</v>
      </c>
      <c r="F17">
        <v>3485.98</v>
      </c>
      <c r="G17">
        <v>2592.96</v>
      </c>
      <c r="H17">
        <v>4498.0200000000004</v>
      </c>
      <c r="I17">
        <v>8242.02</v>
      </c>
      <c r="J17">
        <v>12375.11</v>
      </c>
      <c r="K17">
        <v>17134.61</v>
      </c>
    </row>
    <row r="18" spans="1:14" s="3" customFormat="1">
      <c r="A18" s="2" t="s">
        <v>45</v>
      </c>
      <c r="B18">
        <v>810.2</v>
      </c>
      <c r="C18">
        <v>911.22</v>
      </c>
      <c r="D18">
        <v>1070.02</v>
      </c>
      <c r="E18">
        <v>1459.67</v>
      </c>
      <c r="F18">
        <v>1951.64</v>
      </c>
      <c r="G18">
        <v>1371.64</v>
      </c>
      <c r="H18">
        <v>2920.38</v>
      </c>
      <c r="I18">
        <v>5211.05</v>
      </c>
      <c r="J18">
        <v>7123.6</v>
      </c>
      <c r="K18">
        <v>10143.39</v>
      </c>
    </row>
    <row r="19" spans="1:14" s="3" customFormat="1">
      <c r="A19" s="2" t="s">
        <v>46</v>
      </c>
      <c r="B19">
        <v>14.59</v>
      </c>
      <c r="C19">
        <v>29.86</v>
      </c>
      <c r="D19">
        <v>38.51</v>
      </c>
      <c r="E19">
        <v>148.22999999999999</v>
      </c>
      <c r="F19">
        <v>69.89</v>
      </c>
      <c r="G19">
        <v>-162.36000000000001</v>
      </c>
      <c r="H19">
        <v>438.84</v>
      </c>
      <c r="I19">
        <v>491.31</v>
      </c>
      <c r="J19">
        <v>164.71</v>
      </c>
      <c r="K19">
        <v>454.25</v>
      </c>
    </row>
    <row r="20" spans="1:14" s="3" customFormat="1">
      <c r="A20" s="2" t="s">
        <v>47</v>
      </c>
      <c r="B20">
        <v>48.92</v>
      </c>
      <c r="C20">
        <v>51.28</v>
      </c>
      <c r="D20">
        <v>52.75</v>
      </c>
      <c r="E20">
        <v>59.18</v>
      </c>
      <c r="F20">
        <v>66.64</v>
      </c>
      <c r="G20">
        <v>49.41</v>
      </c>
      <c r="H20">
        <v>71.89</v>
      </c>
      <c r="I20">
        <v>144.28</v>
      </c>
      <c r="J20">
        <v>229.16</v>
      </c>
      <c r="K20">
        <v>349.87</v>
      </c>
    </row>
    <row r="21" spans="1:14" s="3" customFormat="1">
      <c r="A21" s="2" t="s">
        <v>48</v>
      </c>
      <c r="B21">
        <v>76.42</v>
      </c>
      <c r="C21">
        <v>81.91</v>
      </c>
      <c r="D21">
        <v>90.78</v>
      </c>
      <c r="E21">
        <v>122.09</v>
      </c>
      <c r="F21">
        <v>97.51</v>
      </c>
      <c r="G21">
        <v>92</v>
      </c>
      <c r="H21">
        <v>127.14</v>
      </c>
      <c r="I21">
        <v>211.99</v>
      </c>
      <c r="J21">
        <v>264.58999999999997</v>
      </c>
      <c r="K21">
        <v>369.79</v>
      </c>
    </row>
    <row r="22" spans="1:14" s="3" customFormat="1">
      <c r="A22" s="2" t="s">
        <v>49</v>
      </c>
      <c r="B22">
        <v>165.69</v>
      </c>
      <c r="C22">
        <v>194.72</v>
      </c>
      <c r="D22">
        <v>233.02</v>
      </c>
      <c r="E22">
        <v>288.89</v>
      </c>
      <c r="F22">
        <v>361.01</v>
      </c>
      <c r="G22">
        <v>303.39999999999998</v>
      </c>
      <c r="H22">
        <v>402.92</v>
      </c>
      <c r="I22">
        <v>659.07</v>
      </c>
      <c r="J22">
        <v>1041.74</v>
      </c>
      <c r="K22">
        <v>1315.54</v>
      </c>
    </row>
    <row r="23" spans="1:14" s="3" customFormat="1">
      <c r="A23" s="2" t="s">
        <v>50</v>
      </c>
      <c r="B23">
        <v>444.06</v>
      </c>
      <c r="C23">
        <v>407.07</v>
      </c>
      <c r="D23">
        <v>450.61</v>
      </c>
      <c r="E23">
        <v>514.41</v>
      </c>
      <c r="F23">
        <v>436.82</v>
      </c>
      <c r="G23">
        <v>364.62</v>
      </c>
      <c r="H23">
        <v>705.03</v>
      </c>
      <c r="I23">
        <v>1252.53</v>
      </c>
      <c r="J23">
        <v>1709.55</v>
      </c>
      <c r="K23">
        <v>2322.83</v>
      </c>
    </row>
    <row r="24" spans="1:14" s="3" customFormat="1">
      <c r="A24" s="2" t="s">
        <v>51</v>
      </c>
      <c r="B24">
        <v>65.709999999999994</v>
      </c>
      <c r="C24">
        <v>62.57</v>
      </c>
      <c r="D24">
        <v>90.29</v>
      </c>
      <c r="E24">
        <v>93.59</v>
      </c>
      <c r="F24">
        <v>113.28</v>
      </c>
      <c r="G24">
        <v>135.66</v>
      </c>
      <c r="H24">
        <v>114.78</v>
      </c>
      <c r="I24">
        <v>140.26</v>
      </c>
      <c r="J24">
        <v>200.49</v>
      </c>
      <c r="K24">
        <v>267.48</v>
      </c>
    </row>
    <row r="25" spans="1:14" s="3" customFormat="1">
      <c r="A25" s="3" t="s">
        <v>4</v>
      </c>
      <c r="B25">
        <v>86.44</v>
      </c>
      <c r="C25">
        <v>81.31</v>
      </c>
      <c r="D25">
        <v>27.47</v>
      </c>
      <c r="E25">
        <v>30.14</v>
      </c>
      <c r="F25">
        <v>146.63</v>
      </c>
      <c r="G25">
        <v>199.4</v>
      </c>
      <c r="H25">
        <v>152.16</v>
      </c>
      <c r="I25">
        <v>340.6</v>
      </c>
      <c r="J25">
        <v>988.91</v>
      </c>
      <c r="K25">
        <v>305.06</v>
      </c>
    </row>
    <row r="26" spans="1:14" s="3" customFormat="1">
      <c r="A26" s="3" t="s">
        <v>5</v>
      </c>
      <c r="B26">
        <v>38.590000000000003</v>
      </c>
      <c r="C26">
        <v>41.29</v>
      </c>
      <c r="D26">
        <v>45.53</v>
      </c>
      <c r="E26">
        <v>51.67</v>
      </c>
      <c r="F26">
        <v>247.24</v>
      </c>
      <c r="G26">
        <v>257.3</v>
      </c>
      <c r="H26">
        <v>310.82</v>
      </c>
      <c r="I26">
        <v>493.69</v>
      </c>
      <c r="J26">
        <v>671.11</v>
      </c>
      <c r="K26">
        <v>895.18</v>
      </c>
    </row>
    <row r="27" spans="1:14" s="3" customFormat="1">
      <c r="A27" s="3" t="s">
        <v>6</v>
      </c>
      <c r="B27">
        <v>47.73</v>
      </c>
      <c r="C27">
        <v>45.55</v>
      </c>
      <c r="D27">
        <v>43.78</v>
      </c>
      <c r="E27">
        <v>50.64</v>
      </c>
      <c r="F27">
        <v>263.37</v>
      </c>
      <c r="G27">
        <v>260.79000000000002</v>
      </c>
      <c r="H27">
        <v>324.83999999999997</v>
      </c>
      <c r="I27">
        <v>408.99</v>
      </c>
      <c r="J27">
        <v>367.66</v>
      </c>
      <c r="K27">
        <v>200.1</v>
      </c>
    </row>
    <row r="28" spans="1:14" s="3" customFormat="1">
      <c r="A28" s="3" t="s">
        <v>7</v>
      </c>
      <c r="B28">
        <v>89.88</v>
      </c>
      <c r="C28">
        <v>128</v>
      </c>
      <c r="D28">
        <v>146.66</v>
      </c>
      <c r="E28">
        <v>168.47</v>
      </c>
      <c r="F28">
        <v>164.99</v>
      </c>
      <c r="G28">
        <v>-204.82</v>
      </c>
      <c r="H28">
        <v>111.22</v>
      </c>
      <c r="I28">
        <v>552.07000000000005</v>
      </c>
      <c r="J28">
        <v>1920.83</v>
      </c>
      <c r="K28">
        <v>2029.74</v>
      </c>
    </row>
    <row r="29" spans="1:14" s="3" customFormat="1">
      <c r="A29" s="3" t="s">
        <v>8</v>
      </c>
      <c r="B29">
        <v>34.71</v>
      </c>
      <c r="C29">
        <v>43.05</v>
      </c>
      <c r="D29">
        <v>59.62</v>
      </c>
      <c r="E29">
        <v>73.61</v>
      </c>
      <c r="F29">
        <v>59.01</v>
      </c>
      <c r="G29">
        <v>-23.69</v>
      </c>
      <c r="H29">
        <v>76.62</v>
      </c>
      <c r="I29">
        <v>158.44</v>
      </c>
      <c r="J29">
        <v>443.37</v>
      </c>
      <c r="K29">
        <v>495.33</v>
      </c>
    </row>
    <row r="30" spans="1:14" s="3" customFormat="1">
      <c r="A30" s="3" t="s">
        <v>9</v>
      </c>
      <c r="B30">
        <v>55.1</v>
      </c>
      <c r="C30">
        <v>84.86</v>
      </c>
      <c r="D30">
        <v>86.97</v>
      </c>
      <c r="E30">
        <v>96.96</v>
      </c>
      <c r="F30">
        <v>122.85</v>
      </c>
      <c r="G30">
        <v>-146.16999999999999</v>
      </c>
      <c r="H30">
        <v>105.83</v>
      </c>
      <c r="I30">
        <v>444.63</v>
      </c>
      <c r="J30">
        <v>1486.8</v>
      </c>
      <c r="K30">
        <v>1546.72</v>
      </c>
      <c r="N30" s="2" t="s">
        <v>65</v>
      </c>
    </row>
    <row r="31" spans="1:14" s="3" customFormat="1">
      <c r="A31" s="3" t="s">
        <v>35</v>
      </c>
      <c r="B31">
        <v>29.91</v>
      </c>
      <c r="C31" s="11">
        <v>33.229999999999997</v>
      </c>
      <c r="D31" s="11">
        <v>38.21</v>
      </c>
      <c r="E31" s="11">
        <v>43.2</v>
      </c>
      <c r="F31" s="11">
        <v>35.549999999999997</v>
      </c>
      <c r="G31" s="11">
        <v>21.33</v>
      </c>
      <c r="H31" s="11">
        <v>60.44</v>
      </c>
      <c r="I31" s="11" t="s">
        <v>58</v>
      </c>
      <c r="J31" s="11" t="s">
        <v>58</v>
      </c>
      <c r="K31" s="11" t="s">
        <v>58</v>
      </c>
      <c r="N31" s="2" t="s">
        <v>246</v>
      </c>
    </row>
    <row r="32" spans="1:14" s="3" customFormat="1"/>
    <row r="33" spans="1:11">
      <c r="A33" s="2" t="s">
        <v>65</v>
      </c>
      <c r="B33" s="2">
        <f>B30+B29+B27+B26</f>
        <v>176.13</v>
      </c>
      <c r="C33" s="2">
        <f t="shared" ref="C33:K33" si="0">C30+C29+C27+C26</f>
        <v>214.74999999999997</v>
      </c>
      <c r="D33" s="2">
        <f t="shared" si="0"/>
        <v>235.9</v>
      </c>
      <c r="E33" s="2">
        <f t="shared" si="0"/>
        <v>272.88</v>
      </c>
      <c r="F33" s="2">
        <f t="shared" si="0"/>
        <v>692.47</v>
      </c>
      <c r="G33" s="2">
        <f t="shared" si="0"/>
        <v>348.23</v>
      </c>
      <c r="H33" s="2">
        <f t="shared" si="0"/>
        <v>818.1099999999999</v>
      </c>
      <c r="I33" s="2">
        <f t="shared" si="0"/>
        <v>1505.75</v>
      </c>
      <c r="J33" s="2">
        <f t="shared" si="0"/>
        <v>2968.94</v>
      </c>
      <c r="K33" s="2">
        <f t="shared" si="0"/>
        <v>3137.33</v>
      </c>
    </row>
    <row r="35" spans="1:11">
      <c r="A35" s="3"/>
    </row>
    <row r="36" spans="1:11">
      <c r="A36" s="3"/>
    </row>
    <row r="37" spans="1:11">
      <c r="A37" s="3"/>
    </row>
    <row r="38" spans="1:11">
      <c r="A38" s="3"/>
    </row>
    <row r="39" spans="1:11">
      <c r="A39" s="3"/>
    </row>
    <row r="40" spans="1:11">
      <c r="A40" s="1" t="s">
        <v>25</v>
      </c>
    </row>
    <row r="41" spans="1:11" s="6" customFormat="1">
      <c r="A41" s="5" t="s">
        <v>24</v>
      </c>
      <c r="B41" s="4">
        <v>45199</v>
      </c>
      <c r="C41" s="4">
        <v>45291</v>
      </c>
      <c r="D41" s="4">
        <v>45382</v>
      </c>
      <c r="E41" s="4">
        <v>45473</v>
      </c>
      <c r="F41" s="4">
        <v>45565</v>
      </c>
      <c r="G41" s="4">
        <v>45657</v>
      </c>
      <c r="H41" s="4">
        <v>45747</v>
      </c>
      <c r="I41" s="4">
        <v>45838</v>
      </c>
      <c r="J41" s="4">
        <v>45930</v>
      </c>
      <c r="K41" s="4">
        <v>46022</v>
      </c>
    </row>
    <row r="42" spans="1:11" s="3" customFormat="1">
      <c r="A42" s="3" t="s">
        <v>1</v>
      </c>
      <c r="B42">
        <v>2982.42</v>
      </c>
      <c r="C42">
        <v>3466.62</v>
      </c>
      <c r="D42">
        <v>3297.7</v>
      </c>
      <c r="E42">
        <v>4104.4399999999996</v>
      </c>
      <c r="F42">
        <v>4156.67</v>
      </c>
      <c r="G42">
        <v>4656.5600000000004</v>
      </c>
      <c r="H42">
        <v>4216.9399999999996</v>
      </c>
      <c r="I42">
        <v>4883.4799999999996</v>
      </c>
      <c r="J42">
        <v>4817.68</v>
      </c>
      <c r="K42">
        <v>5345.06</v>
      </c>
    </row>
    <row r="43" spans="1:11" s="3" customFormat="1">
      <c r="A43" s="3" t="s">
        <v>2</v>
      </c>
      <c r="B43">
        <v>2525.85</v>
      </c>
      <c r="C43">
        <v>2838.1</v>
      </c>
      <c r="D43">
        <v>2828.06</v>
      </c>
      <c r="E43">
        <v>3491.09</v>
      </c>
      <c r="F43">
        <v>3510.95</v>
      </c>
      <c r="G43">
        <v>3809.19</v>
      </c>
      <c r="H43">
        <v>3566.03</v>
      </c>
      <c r="I43">
        <v>4035.62</v>
      </c>
      <c r="J43">
        <v>4001.7</v>
      </c>
      <c r="K43">
        <v>4263.99</v>
      </c>
    </row>
    <row r="44" spans="1:11" s="3" customFormat="1">
      <c r="A44" s="3" t="s">
        <v>4</v>
      </c>
      <c r="B44">
        <v>105.42</v>
      </c>
      <c r="C44">
        <v>110.01</v>
      </c>
      <c r="D44">
        <v>694.87</v>
      </c>
      <c r="E44">
        <v>100.91</v>
      </c>
      <c r="F44">
        <v>51.04</v>
      </c>
      <c r="G44">
        <v>79.87</v>
      </c>
      <c r="H44">
        <v>74.34</v>
      </c>
      <c r="I44">
        <v>49.8</v>
      </c>
      <c r="J44">
        <v>27.55</v>
      </c>
      <c r="K44">
        <v>4.55</v>
      </c>
    </row>
    <row r="45" spans="1:11" s="3" customFormat="1">
      <c r="A45" s="3" t="s">
        <v>5</v>
      </c>
      <c r="B45">
        <v>152.22</v>
      </c>
      <c r="C45">
        <v>164.53</v>
      </c>
      <c r="D45">
        <v>212.94</v>
      </c>
      <c r="E45">
        <v>181.32</v>
      </c>
      <c r="F45">
        <v>196.95</v>
      </c>
      <c r="G45">
        <v>244.93</v>
      </c>
      <c r="H45">
        <v>271.98</v>
      </c>
      <c r="I45">
        <v>292.93</v>
      </c>
      <c r="J45">
        <v>324.93</v>
      </c>
      <c r="K45">
        <v>366.74</v>
      </c>
    </row>
    <row r="46" spans="1:11" s="3" customFormat="1">
      <c r="A46" s="3" t="s">
        <v>6</v>
      </c>
      <c r="B46">
        <v>95.45</v>
      </c>
      <c r="C46">
        <v>98.81</v>
      </c>
      <c r="D46">
        <v>32.54</v>
      </c>
      <c r="E46">
        <v>31.55</v>
      </c>
      <c r="F46">
        <v>33</v>
      </c>
      <c r="G46">
        <v>36.520000000000003</v>
      </c>
      <c r="H46">
        <v>37.520000000000003</v>
      </c>
      <c r="I46">
        <v>40.04</v>
      </c>
      <c r="J46">
        <v>41.62</v>
      </c>
      <c r="K46">
        <v>42.94</v>
      </c>
    </row>
    <row r="47" spans="1:11" s="3" customFormat="1">
      <c r="A47" s="3" t="s">
        <v>7</v>
      </c>
      <c r="B47">
        <v>314.32</v>
      </c>
      <c r="C47">
        <v>475.19</v>
      </c>
      <c r="D47">
        <v>919.03</v>
      </c>
      <c r="E47">
        <v>501.39</v>
      </c>
      <c r="F47">
        <v>466.81</v>
      </c>
      <c r="G47">
        <v>645.79</v>
      </c>
      <c r="H47">
        <v>415.75</v>
      </c>
      <c r="I47">
        <v>564.69000000000005</v>
      </c>
      <c r="J47">
        <v>476.98</v>
      </c>
      <c r="K47">
        <v>675.94</v>
      </c>
    </row>
    <row r="48" spans="1:11" s="3" customFormat="1">
      <c r="A48" s="3" t="s">
        <v>8</v>
      </c>
      <c r="B48">
        <v>86.26</v>
      </c>
      <c r="C48">
        <v>104.55</v>
      </c>
      <c r="D48">
        <v>206.94</v>
      </c>
      <c r="E48">
        <v>110.18</v>
      </c>
      <c r="F48">
        <v>131.75</v>
      </c>
      <c r="G48">
        <v>149.25</v>
      </c>
      <c r="H48">
        <v>104.15</v>
      </c>
      <c r="I48">
        <v>139.99</v>
      </c>
      <c r="J48">
        <v>103.56</v>
      </c>
      <c r="K48">
        <v>165.83</v>
      </c>
    </row>
    <row r="49" spans="1:11" s="3" customFormat="1">
      <c r="A49" s="3" t="s">
        <v>9</v>
      </c>
      <c r="B49">
        <v>234.73</v>
      </c>
      <c r="C49">
        <v>374.36</v>
      </c>
      <c r="D49">
        <v>704.23</v>
      </c>
      <c r="E49">
        <v>392.57</v>
      </c>
      <c r="F49">
        <v>338.75</v>
      </c>
      <c r="G49">
        <v>497.25</v>
      </c>
      <c r="H49">
        <v>318.14999999999998</v>
      </c>
      <c r="I49">
        <v>429.69</v>
      </c>
      <c r="J49">
        <v>376.86</v>
      </c>
      <c r="K49">
        <v>512.77</v>
      </c>
    </row>
    <row r="50" spans="1:11">
      <c r="A50" s="3" t="s">
        <v>3</v>
      </c>
      <c r="B50">
        <v>456.57</v>
      </c>
      <c r="C50">
        <v>628.52</v>
      </c>
      <c r="D50">
        <v>469.64</v>
      </c>
      <c r="E50">
        <v>613.35</v>
      </c>
      <c r="F50">
        <v>645.72</v>
      </c>
      <c r="G50">
        <v>847.37</v>
      </c>
      <c r="H50">
        <v>650.91</v>
      </c>
      <c r="I50">
        <v>847.86</v>
      </c>
      <c r="J50">
        <v>815.98</v>
      </c>
      <c r="K50">
        <v>1081.07</v>
      </c>
    </row>
    <row r="51" spans="1:11">
      <c r="A51" s="3"/>
    </row>
    <row r="52" spans="1:11">
      <c r="A52" s="3"/>
    </row>
    <row r="53" spans="1:11">
      <c r="A53" s="3"/>
    </row>
    <row r="54" spans="1:11">
      <c r="A54" s="3"/>
    </row>
    <row r="55" spans="1:11">
      <c r="A55" s="1" t="s">
        <v>26</v>
      </c>
    </row>
    <row r="56" spans="1:11" s="6" customFormat="1">
      <c r="A56" s="5" t="s">
        <v>24</v>
      </c>
      <c r="B56" s="4">
        <v>42460</v>
      </c>
      <c r="C56" s="4">
        <v>42825</v>
      </c>
      <c r="D56" s="4">
        <v>43190</v>
      </c>
      <c r="E56" s="4">
        <v>43555</v>
      </c>
      <c r="F56" s="4">
        <v>43921</v>
      </c>
      <c r="G56" s="4">
        <v>44286</v>
      </c>
      <c r="H56" s="4">
        <v>44651</v>
      </c>
      <c r="I56" s="4">
        <v>45016</v>
      </c>
      <c r="J56" s="4">
        <v>45382</v>
      </c>
      <c r="K56" s="4">
        <v>45747</v>
      </c>
    </row>
    <row r="57" spans="1:11">
      <c r="A57" s="3" t="s">
        <v>11</v>
      </c>
      <c r="B57">
        <v>33.229999999999997</v>
      </c>
      <c r="C57">
        <v>33.229999999999997</v>
      </c>
      <c r="D57">
        <v>33.229999999999997</v>
      </c>
      <c r="E57">
        <v>33.229999999999997</v>
      </c>
      <c r="F57">
        <v>35.549999999999997</v>
      </c>
      <c r="G57">
        <v>35.549999999999997</v>
      </c>
      <c r="H57">
        <v>35.549999999999997</v>
      </c>
      <c r="I57">
        <v>35.549999999999997</v>
      </c>
      <c r="J57">
        <v>35.549999999999997</v>
      </c>
      <c r="K57">
        <v>35.549999999999997</v>
      </c>
    </row>
    <row r="58" spans="1:11">
      <c r="A58" s="3" t="s">
        <v>12</v>
      </c>
      <c r="B58">
        <v>1431.16</v>
      </c>
      <c r="C58">
        <v>1514.46</v>
      </c>
      <c r="D58">
        <v>1562.14</v>
      </c>
      <c r="E58">
        <v>1613.28</v>
      </c>
      <c r="F58">
        <v>2352.2199999999998</v>
      </c>
      <c r="G58">
        <v>2277.48</v>
      </c>
      <c r="H58">
        <v>2328.4499999999998</v>
      </c>
      <c r="I58">
        <v>2559.94</v>
      </c>
      <c r="J58">
        <v>4032.19</v>
      </c>
      <c r="K58">
        <v>5426.19</v>
      </c>
    </row>
    <row r="59" spans="1:11">
      <c r="A59" s="3" t="s">
        <v>36</v>
      </c>
      <c r="B59">
        <v>399.8</v>
      </c>
      <c r="C59">
        <v>391.74</v>
      </c>
      <c r="D59">
        <v>391.43</v>
      </c>
      <c r="E59">
        <v>494.14</v>
      </c>
      <c r="F59">
        <v>299.74</v>
      </c>
      <c r="G59">
        <v>299.93</v>
      </c>
      <c r="H59">
        <v>4725.3599999999997</v>
      </c>
      <c r="I59">
        <v>4464.1400000000003</v>
      </c>
      <c r="J59">
        <v>1752.99</v>
      </c>
      <c r="K59">
        <v>2237.19</v>
      </c>
    </row>
    <row r="60" spans="1:11">
      <c r="A60" s="3" t="s">
        <v>37</v>
      </c>
      <c r="B60">
        <v>292.39999999999998</v>
      </c>
      <c r="C60">
        <v>282.82</v>
      </c>
      <c r="D60">
        <v>349.06</v>
      </c>
      <c r="E60">
        <v>418.11</v>
      </c>
      <c r="F60">
        <v>2819.17</v>
      </c>
      <c r="G60">
        <v>3110.77</v>
      </c>
      <c r="H60">
        <v>636.66</v>
      </c>
      <c r="I60">
        <v>1021.9</v>
      </c>
      <c r="J60">
        <v>1341.02</v>
      </c>
      <c r="K60">
        <v>1720.71</v>
      </c>
    </row>
    <row r="61" spans="1:11" s="1" customFormat="1">
      <c r="A61" s="1" t="s">
        <v>13</v>
      </c>
      <c r="B61">
        <v>2156.59</v>
      </c>
      <c r="C61">
        <v>2222.25</v>
      </c>
      <c r="D61">
        <v>2335.86</v>
      </c>
      <c r="E61">
        <v>2558.7600000000002</v>
      </c>
      <c r="F61">
        <v>5506.68</v>
      </c>
      <c r="G61">
        <v>5723.73</v>
      </c>
      <c r="H61">
        <v>7726.02</v>
      </c>
      <c r="I61">
        <v>8081.53</v>
      </c>
      <c r="J61">
        <v>7161.75</v>
      </c>
      <c r="K61">
        <v>9419.64</v>
      </c>
    </row>
    <row r="62" spans="1:11">
      <c r="A62" s="3" t="s">
        <v>14</v>
      </c>
      <c r="B62">
        <v>476.79</v>
      </c>
      <c r="C62">
        <v>548.71</v>
      </c>
      <c r="D62">
        <v>612.53</v>
      </c>
      <c r="E62">
        <v>662.18</v>
      </c>
      <c r="F62">
        <v>2738.43</v>
      </c>
      <c r="G62">
        <v>3053.82</v>
      </c>
      <c r="H62">
        <v>4686.71</v>
      </c>
      <c r="I62">
        <v>4526.95</v>
      </c>
      <c r="J62">
        <v>2449.92</v>
      </c>
      <c r="K62">
        <v>3895.13</v>
      </c>
    </row>
    <row r="63" spans="1:11">
      <c r="A63" s="3" t="s">
        <v>15</v>
      </c>
      <c r="B63">
        <v>54.86</v>
      </c>
      <c r="C63">
        <v>5.48</v>
      </c>
      <c r="D63">
        <v>9.59</v>
      </c>
      <c r="E63">
        <v>87.18</v>
      </c>
      <c r="F63">
        <v>23.32</v>
      </c>
      <c r="G63">
        <v>107.98</v>
      </c>
      <c r="H63">
        <v>104.72</v>
      </c>
      <c r="I63">
        <v>101.72</v>
      </c>
      <c r="J63">
        <v>223.78</v>
      </c>
      <c r="K63">
        <v>179.5</v>
      </c>
    </row>
    <row r="64" spans="1:11">
      <c r="A64" s="3" t="s">
        <v>16</v>
      </c>
      <c r="B64">
        <v>1066.97</v>
      </c>
      <c r="C64">
        <v>1079.96</v>
      </c>
      <c r="D64">
        <v>1022.88</v>
      </c>
      <c r="E64">
        <v>882.83</v>
      </c>
      <c r="F64">
        <v>1514.78</v>
      </c>
      <c r="G64">
        <v>1487.29</v>
      </c>
      <c r="H64">
        <v>1283.72</v>
      </c>
      <c r="I64">
        <v>1109.8699999999999</v>
      </c>
      <c r="J64">
        <v>1416.03</v>
      </c>
      <c r="K64">
        <v>1480.25</v>
      </c>
    </row>
    <row r="65" spans="1:14">
      <c r="A65" s="3" t="s">
        <v>38</v>
      </c>
      <c r="B65">
        <v>557.97</v>
      </c>
      <c r="C65">
        <v>588.1</v>
      </c>
      <c r="D65">
        <v>690.86</v>
      </c>
      <c r="E65">
        <v>926.57</v>
      </c>
      <c r="F65">
        <v>1230.1500000000001</v>
      </c>
      <c r="G65">
        <v>1074.6400000000001</v>
      </c>
      <c r="H65">
        <v>1650.87</v>
      </c>
      <c r="I65">
        <v>2342.9899999999998</v>
      </c>
      <c r="J65">
        <v>3072.02</v>
      </c>
      <c r="K65">
        <v>3864.76</v>
      </c>
    </row>
    <row r="66" spans="1:14" s="1" customFormat="1">
      <c r="A66" s="1" t="s">
        <v>13</v>
      </c>
      <c r="B66">
        <v>2156.59</v>
      </c>
      <c r="C66">
        <v>2222.25</v>
      </c>
      <c r="D66">
        <v>2335.86</v>
      </c>
      <c r="E66">
        <v>2558.7600000000002</v>
      </c>
      <c r="F66">
        <v>5506.68</v>
      </c>
      <c r="G66">
        <v>5723.73</v>
      </c>
      <c r="H66">
        <v>7726.02</v>
      </c>
      <c r="I66">
        <v>8081.53</v>
      </c>
      <c r="J66">
        <v>7161.75</v>
      </c>
      <c r="K66">
        <v>9419.64</v>
      </c>
    </row>
    <row r="67" spans="1:14" s="3" customFormat="1">
      <c r="A67" s="2" t="s">
        <v>43</v>
      </c>
      <c r="B67">
        <v>12.99</v>
      </c>
      <c r="C67">
        <v>5.92</v>
      </c>
      <c r="D67">
        <v>15.1</v>
      </c>
      <c r="E67">
        <v>16.54</v>
      </c>
      <c r="F67">
        <v>17.12</v>
      </c>
      <c r="G67">
        <v>20.77</v>
      </c>
      <c r="H67">
        <v>18.260000000000002</v>
      </c>
      <c r="I67">
        <v>34.39</v>
      </c>
      <c r="J67">
        <v>81.739999999999995</v>
      </c>
      <c r="K67">
        <v>62.95</v>
      </c>
    </row>
    <row r="68" spans="1:14">
      <c r="A68" s="3" t="s">
        <v>30</v>
      </c>
      <c r="B68">
        <v>279.19</v>
      </c>
      <c r="C68">
        <v>305.36</v>
      </c>
      <c r="D68">
        <v>344.77</v>
      </c>
      <c r="E68">
        <v>497.01</v>
      </c>
      <c r="F68">
        <v>607.80999999999995</v>
      </c>
      <c r="G68">
        <v>428.39</v>
      </c>
      <c r="H68">
        <v>867.78</v>
      </c>
      <c r="I68">
        <v>1361.16</v>
      </c>
      <c r="J68">
        <v>1582.73</v>
      </c>
      <c r="K68">
        <v>2045.05</v>
      </c>
    </row>
    <row r="69" spans="1:14">
      <c r="A69" s="2" t="s">
        <v>52</v>
      </c>
      <c r="B69">
        <v>26.9</v>
      </c>
      <c r="C69">
        <v>34.28</v>
      </c>
      <c r="D69">
        <v>32.81</v>
      </c>
      <c r="E69">
        <v>54.23</v>
      </c>
      <c r="F69">
        <v>61.41</v>
      </c>
      <c r="G69">
        <v>81.47</v>
      </c>
      <c r="H69">
        <v>85.97</v>
      </c>
      <c r="I69">
        <v>86.3</v>
      </c>
      <c r="J69">
        <v>297.56</v>
      </c>
      <c r="K69">
        <v>339.84</v>
      </c>
    </row>
    <row r="70" spans="1:14">
      <c r="A70" s="2" t="s">
        <v>39</v>
      </c>
      <c r="B70">
        <v>33231673</v>
      </c>
      <c r="C70">
        <v>332316730</v>
      </c>
      <c r="D70">
        <v>332316730</v>
      </c>
      <c r="E70">
        <v>332316730</v>
      </c>
      <c r="F70">
        <v>355487461</v>
      </c>
      <c r="G70">
        <v>355487461</v>
      </c>
      <c r="H70">
        <v>355487461</v>
      </c>
      <c r="I70">
        <v>355487461</v>
      </c>
      <c r="J70">
        <v>355487461</v>
      </c>
      <c r="K70">
        <v>355487461</v>
      </c>
    </row>
    <row r="71" spans="1:14">
      <c r="A71" s="2" t="s">
        <v>40</v>
      </c>
    </row>
    <row r="72" spans="1:14">
      <c r="A72" s="2" t="s">
        <v>53</v>
      </c>
      <c r="B72">
        <v>10</v>
      </c>
      <c r="C72">
        <v>1</v>
      </c>
      <c r="D72">
        <v>1</v>
      </c>
      <c r="E72">
        <v>1</v>
      </c>
      <c r="F72">
        <v>1</v>
      </c>
      <c r="G72">
        <v>1</v>
      </c>
      <c r="H72">
        <v>1</v>
      </c>
      <c r="I72">
        <v>1</v>
      </c>
      <c r="J72">
        <v>1</v>
      </c>
      <c r="K72">
        <v>1</v>
      </c>
      <c r="N72" s="2" t="s">
        <v>244</v>
      </c>
    </row>
    <row r="73" spans="1:14">
      <c r="B73"/>
      <c r="C73"/>
      <c r="D73"/>
      <c r="E73"/>
      <c r="F73"/>
      <c r="G73"/>
      <c r="H73"/>
      <c r="I73"/>
      <c r="J73"/>
      <c r="K73"/>
    </row>
    <row r="74" spans="1:14">
      <c r="A74" s="2" t="s">
        <v>8848</v>
      </c>
      <c r="B74"/>
      <c r="C74" s="41">
        <f>(C67+B67)/2</f>
        <v>9.4550000000000001</v>
      </c>
      <c r="D74" s="41">
        <f t="shared" ref="D74:K74" si="1">(D67+C67)/2</f>
        <v>10.51</v>
      </c>
      <c r="E74" s="41">
        <f t="shared" si="1"/>
        <v>15.82</v>
      </c>
      <c r="F74" s="41">
        <f t="shared" si="1"/>
        <v>16.829999999999998</v>
      </c>
      <c r="G74" s="41">
        <f t="shared" si="1"/>
        <v>18.945</v>
      </c>
      <c r="H74" s="41">
        <f t="shared" si="1"/>
        <v>19.515000000000001</v>
      </c>
      <c r="I74" s="41">
        <f t="shared" si="1"/>
        <v>26.325000000000003</v>
      </c>
      <c r="J74" s="41">
        <f t="shared" si="1"/>
        <v>58.064999999999998</v>
      </c>
      <c r="K74" s="41">
        <f t="shared" si="1"/>
        <v>72.344999999999999</v>
      </c>
    </row>
    <row r="75" spans="1:14">
      <c r="N75" s="2" t="s">
        <v>245</v>
      </c>
    </row>
    <row r="76" spans="1:14">
      <c r="A76" s="2" t="s">
        <v>243</v>
      </c>
      <c r="B76" s="2">
        <f>B65-SUM(B67:B69)</f>
        <v>238.89000000000004</v>
      </c>
      <c r="C76" s="2">
        <f t="shared" ref="C76:K76" si="2">C65-SUM(C67:C69)</f>
        <v>242.53999999999996</v>
      </c>
      <c r="D76" s="2">
        <f t="shared" si="2"/>
        <v>298.18</v>
      </c>
      <c r="E76" s="2">
        <f t="shared" si="2"/>
        <v>358.79000000000008</v>
      </c>
      <c r="F76" s="2">
        <f t="shared" si="2"/>
        <v>543.81000000000017</v>
      </c>
      <c r="G76" s="2">
        <f t="shared" si="2"/>
        <v>544.0100000000001</v>
      </c>
      <c r="H76" s="2">
        <f t="shared" si="2"/>
        <v>678.8599999999999</v>
      </c>
      <c r="I76" s="2">
        <f t="shared" si="2"/>
        <v>861.13999999999965</v>
      </c>
      <c r="J76" s="2">
        <f t="shared" si="2"/>
        <v>1109.99</v>
      </c>
      <c r="K76" s="2">
        <f t="shared" si="2"/>
        <v>1416.92</v>
      </c>
    </row>
    <row r="77" spans="1:14">
      <c r="A77" s="2" t="s">
        <v>83</v>
      </c>
      <c r="B77" s="2">
        <f t="shared" ref="B77:K77" si="3">B61</f>
        <v>2156.59</v>
      </c>
      <c r="C77" s="2">
        <f t="shared" si="3"/>
        <v>2222.25</v>
      </c>
      <c r="D77" s="2">
        <f t="shared" si="3"/>
        <v>2335.86</v>
      </c>
      <c r="E77" s="2">
        <f t="shared" si="3"/>
        <v>2558.7600000000002</v>
      </c>
      <c r="F77" s="2">
        <f t="shared" si="3"/>
        <v>5506.68</v>
      </c>
      <c r="G77" s="2">
        <f t="shared" si="3"/>
        <v>5723.73</v>
      </c>
      <c r="H77" s="2">
        <f t="shared" si="3"/>
        <v>7726.02</v>
      </c>
      <c r="I77" s="2">
        <f t="shared" si="3"/>
        <v>8081.53</v>
      </c>
      <c r="J77" s="2">
        <f t="shared" si="3"/>
        <v>7161.75</v>
      </c>
      <c r="K77" s="2">
        <f t="shared" si="3"/>
        <v>9419.64</v>
      </c>
    </row>
    <row r="78" spans="1:14">
      <c r="A78" s="1" t="s">
        <v>8837</v>
      </c>
      <c r="B78" s="1"/>
      <c r="C78" s="1">
        <f t="shared" ref="C78:K78" si="4">(C66+B66)/2</f>
        <v>2189.42</v>
      </c>
      <c r="D78" s="1">
        <f t="shared" si="4"/>
        <v>2279.0550000000003</v>
      </c>
      <c r="E78" s="1">
        <f t="shared" si="4"/>
        <v>2447.3100000000004</v>
      </c>
      <c r="F78" s="1">
        <f t="shared" si="4"/>
        <v>4032.7200000000003</v>
      </c>
      <c r="G78" s="1">
        <f t="shared" si="4"/>
        <v>5615.2049999999999</v>
      </c>
      <c r="H78" s="1">
        <f t="shared" si="4"/>
        <v>6724.875</v>
      </c>
      <c r="I78" s="1">
        <f t="shared" si="4"/>
        <v>7903.7749999999996</v>
      </c>
      <c r="J78" s="1">
        <f t="shared" si="4"/>
        <v>7621.6399999999994</v>
      </c>
      <c r="K78" s="1">
        <f t="shared" si="4"/>
        <v>8290.6949999999997</v>
      </c>
    </row>
    <row r="79" spans="1:14">
      <c r="A79" s="1" t="s">
        <v>8838</v>
      </c>
      <c r="B79" s="1"/>
      <c r="C79" s="1">
        <f>(SUM(B57:B58)+SUM(C57:C58))/2</f>
        <v>1506.04</v>
      </c>
      <c r="D79" s="1">
        <f t="shared" ref="D79:K79" si="5">(SUM(C57:C58)+SUM(D57:D58))/2</f>
        <v>1571.5300000000002</v>
      </c>
      <c r="E79" s="1">
        <f t="shared" si="5"/>
        <v>1620.94</v>
      </c>
      <c r="F79" s="1">
        <f t="shared" si="5"/>
        <v>2017.1399999999999</v>
      </c>
      <c r="G79" s="1">
        <f t="shared" si="5"/>
        <v>2350.4</v>
      </c>
      <c r="H79" s="1">
        <f t="shared" si="5"/>
        <v>2338.5150000000003</v>
      </c>
      <c r="I79" s="1">
        <f t="shared" si="5"/>
        <v>2479.7449999999999</v>
      </c>
      <c r="J79" s="1">
        <f t="shared" si="5"/>
        <v>3331.6150000000002</v>
      </c>
      <c r="K79" s="1">
        <f t="shared" si="5"/>
        <v>4764.74</v>
      </c>
    </row>
    <row r="80" spans="1:14">
      <c r="A80" s="1"/>
      <c r="B80" s="1"/>
      <c r="C80" s="1"/>
      <c r="D80" s="1"/>
      <c r="E80" s="1"/>
      <c r="F80" s="1"/>
      <c r="G80" s="1"/>
      <c r="H80" s="1"/>
      <c r="I80" s="1"/>
      <c r="J80" s="1"/>
      <c r="K80" s="1"/>
    </row>
    <row r="81" spans="1:11">
      <c r="A81" s="3" t="s">
        <v>8842</v>
      </c>
      <c r="B81" s="3">
        <f>SUM(B57:B59)</f>
        <v>1864.19</v>
      </c>
      <c r="C81" s="3">
        <f t="shared" ref="C81:K81" si="6">SUM(C57:C59)</f>
        <v>1939.43</v>
      </c>
      <c r="D81" s="3">
        <f t="shared" si="6"/>
        <v>1986.8000000000002</v>
      </c>
      <c r="E81" s="3">
        <f t="shared" si="6"/>
        <v>2140.65</v>
      </c>
      <c r="F81" s="3">
        <f t="shared" si="6"/>
        <v>2687.51</v>
      </c>
      <c r="G81" s="3">
        <f t="shared" si="6"/>
        <v>2612.96</v>
      </c>
      <c r="H81" s="3">
        <f t="shared" si="6"/>
        <v>7089.36</v>
      </c>
      <c r="I81" s="3">
        <f t="shared" si="6"/>
        <v>7059.630000000001</v>
      </c>
      <c r="J81" s="3">
        <f t="shared" si="6"/>
        <v>5820.7300000000005</v>
      </c>
      <c r="K81" s="3">
        <f t="shared" si="6"/>
        <v>7698.93</v>
      </c>
    </row>
    <row r="82" spans="1:11">
      <c r="A82" s="1" t="s">
        <v>8843</v>
      </c>
      <c r="B82" s="1"/>
      <c r="C82" s="1">
        <f>(C81+B81)/2</f>
        <v>1901.81</v>
      </c>
      <c r="D82" s="1">
        <f t="shared" ref="D82:K82" si="7">(D81+C81)/2</f>
        <v>1963.1150000000002</v>
      </c>
      <c r="E82" s="1">
        <f t="shared" si="7"/>
        <v>2063.7250000000004</v>
      </c>
      <c r="F82" s="1">
        <f t="shared" si="7"/>
        <v>2414.08</v>
      </c>
      <c r="G82" s="1">
        <f t="shared" si="7"/>
        <v>2650.2350000000001</v>
      </c>
      <c r="H82" s="1">
        <f t="shared" si="7"/>
        <v>4851.16</v>
      </c>
      <c r="I82" s="1">
        <f t="shared" si="7"/>
        <v>7074.4950000000008</v>
      </c>
      <c r="J82" s="1">
        <f t="shared" si="7"/>
        <v>6440.18</v>
      </c>
      <c r="K82" s="1">
        <f t="shared" si="7"/>
        <v>6759.83</v>
      </c>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t="s">
        <v>27</v>
      </c>
    </row>
    <row r="86" spans="1:11">
      <c r="A86" s="5" t="s">
        <v>24</v>
      </c>
      <c r="B86" s="4">
        <v>42460</v>
      </c>
      <c r="C86" s="4">
        <v>42825</v>
      </c>
      <c r="D86" s="4">
        <v>43190</v>
      </c>
      <c r="E86" s="4">
        <v>43555</v>
      </c>
      <c r="F86" s="4">
        <v>43921</v>
      </c>
      <c r="G86" s="4">
        <v>44286</v>
      </c>
      <c r="H86" s="4">
        <v>44651</v>
      </c>
      <c r="I86" s="4">
        <v>45016</v>
      </c>
      <c r="J86" s="4">
        <v>45382</v>
      </c>
      <c r="K86" s="4">
        <v>45747</v>
      </c>
    </row>
    <row r="87" spans="1:11" s="6" customFormat="1">
      <c r="A87" s="3" t="s">
        <v>18</v>
      </c>
      <c r="B87">
        <v>109.42</v>
      </c>
      <c r="C87">
        <v>102.44</v>
      </c>
      <c r="D87">
        <v>76.86</v>
      </c>
      <c r="E87">
        <v>20.98</v>
      </c>
      <c r="F87">
        <v>361.16</v>
      </c>
      <c r="G87">
        <v>285.02999999999997</v>
      </c>
      <c r="H87">
        <v>58.08</v>
      </c>
      <c r="I87">
        <v>594.88</v>
      </c>
      <c r="J87">
        <v>1348.98</v>
      </c>
      <c r="K87">
        <v>1660.9</v>
      </c>
    </row>
    <row r="88" spans="1:11" s="1" customFormat="1">
      <c r="A88" s="3" t="s">
        <v>19</v>
      </c>
      <c r="B88">
        <v>-98.4</v>
      </c>
      <c r="C88">
        <v>-43.7</v>
      </c>
      <c r="D88">
        <v>-4.0199999999999996</v>
      </c>
      <c r="E88">
        <v>-37.03</v>
      </c>
      <c r="F88">
        <v>-808.56</v>
      </c>
      <c r="G88">
        <v>17.71</v>
      </c>
      <c r="H88">
        <v>56.03</v>
      </c>
      <c r="I88">
        <v>-102.63</v>
      </c>
      <c r="J88">
        <v>-508.21</v>
      </c>
      <c r="K88">
        <v>-923.31</v>
      </c>
    </row>
    <row r="89" spans="1:11" s="3" customFormat="1">
      <c r="A89" s="3" t="s">
        <v>20</v>
      </c>
      <c r="B89">
        <v>-13.33</v>
      </c>
      <c r="C89">
        <v>-51.36</v>
      </c>
      <c r="D89">
        <v>-74.31</v>
      </c>
      <c r="E89">
        <v>37.47</v>
      </c>
      <c r="F89">
        <v>451.94</v>
      </c>
      <c r="G89">
        <v>-283.11</v>
      </c>
      <c r="H89">
        <v>-107.98</v>
      </c>
      <c r="I89">
        <v>-491.41</v>
      </c>
      <c r="J89">
        <v>-629.45000000000005</v>
      </c>
      <c r="K89">
        <v>-693.67</v>
      </c>
    </row>
    <row r="90" spans="1:11" s="3" customFormat="1">
      <c r="A90" s="3" t="s">
        <v>21</v>
      </c>
      <c r="B90">
        <v>-2.31</v>
      </c>
      <c r="C90">
        <v>7.38</v>
      </c>
      <c r="D90">
        <v>-1.47</v>
      </c>
      <c r="E90">
        <v>21.42</v>
      </c>
      <c r="F90">
        <v>4.54</v>
      </c>
      <c r="G90">
        <v>19.63</v>
      </c>
      <c r="H90">
        <v>6.13</v>
      </c>
      <c r="I90">
        <v>0.84</v>
      </c>
      <c r="J90">
        <v>211.32</v>
      </c>
      <c r="K90">
        <v>43.92</v>
      </c>
    </row>
    <row r="91" spans="1:11" s="1" customFormat="1">
      <c r="A91" s="3"/>
      <c r="B91" s="2"/>
      <c r="C91" s="2"/>
      <c r="D91" s="2"/>
      <c r="E91" s="2"/>
      <c r="F91" s="2"/>
      <c r="G91" s="2"/>
      <c r="H91" s="2"/>
    </row>
    <row r="92" spans="1:11">
      <c r="A92" s="3"/>
      <c r="I92" s="2">
        <f>SUM(H67:H68)-SUM(I67:I68)</f>
        <v>-509.51000000000022</v>
      </c>
      <c r="J92" s="2">
        <f>SUM(I67:I68)-SUM(J67:J68)</f>
        <v>-268.91999999999985</v>
      </c>
      <c r="K92" s="2">
        <f>SUM(J67:J68)-SUM(K67:K68)</f>
        <v>-443.53</v>
      </c>
    </row>
    <row r="93" spans="1:11">
      <c r="A93" s="3"/>
      <c r="I93" s="2">
        <f>I92+I88</f>
        <v>-612.14000000000021</v>
      </c>
      <c r="J93" s="2">
        <f t="shared" ref="J93:K93" si="8">J92+J88</f>
        <v>-777.12999999999988</v>
      </c>
      <c r="K93" s="2">
        <f t="shared" si="8"/>
        <v>-1366.84</v>
      </c>
    </row>
    <row r="94" spans="1:11">
      <c r="A94" s="3"/>
      <c r="I94" s="2">
        <f>HistoricalFS!J28*(1-Tax_rate)</f>
        <v>465.34500000000105</v>
      </c>
      <c r="J94" s="2">
        <f>HistoricalFS!K28*(1-Tax_rate)</f>
        <v>974.68500000000029</v>
      </c>
      <c r="K94" s="2">
        <f>HistoricalFS!L28*(1-Tax_rate)</f>
        <v>1443.5849999999998</v>
      </c>
    </row>
    <row r="95" spans="1:11">
      <c r="A95" s="3"/>
      <c r="I95" s="2">
        <f>I93/I94</f>
        <v>-1.3154541254338155</v>
      </c>
      <c r="J95" s="2">
        <f t="shared" ref="J95:K95" si="9">J93/J94</f>
        <v>-0.79731400401155206</v>
      </c>
      <c r="K95" s="2">
        <f t="shared" si="9"/>
        <v>-0.94683721429635259</v>
      </c>
    </row>
    <row r="96" spans="1:11">
      <c r="A96" s="3"/>
    </row>
    <row r="97" spans="1:11">
      <c r="A97" s="1" t="s">
        <v>42</v>
      </c>
      <c r="B97">
        <v>159.18</v>
      </c>
      <c r="C97">
        <v>266.7</v>
      </c>
      <c r="D97">
        <v>345.05</v>
      </c>
      <c r="E97">
        <v>361.9</v>
      </c>
      <c r="F97">
        <v>484.35</v>
      </c>
      <c r="G97">
        <v>751.05</v>
      </c>
      <c r="H97">
        <v>1275.5</v>
      </c>
      <c r="I97">
        <v>1374.95</v>
      </c>
      <c r="J97">
        <v>3948</v>
      </c>
      <c r="K97">
        <v>5325.15</v>
      </c>
    </row>
    <row r="98" spans="1:11" s="1" customFormat="1">
      <c r="A98" s="2"/>
      <c r="B98" s="2"/>
      <c r="C98" s="2"/>
      <c r="D98" s="2"/>
      <c r="E98" s="2"/>
      <c r="F98" s="2"/>
      <c r="G98" s="2"/>
      <c r="H98" s="2"/>
      <c r="I98" s="2"/>
      <c r="J98" s="2"/>
      <c r="K98" s="2"/>
    </row>
    <row r="99" spans="1:11">
      <c r="A99" s="1" t="s">
        <v>41</v>
      </c>
      <c r="B99" s="1"/>
      <c r="C99" s="1"/>
      <c r="D99" s="1"/>
      <c r="E99" s="1"/>
      <c r="F99" s="1"/>
      <c r="G99" s="1"/>
      <c r="H99" s="1"/>
      <c r="I99" s="1"/>
      <c r="J99" s="1"/>
      <c r="K99" s="1"/>
    </row>
    <row r="100" spans="1:11" s="1" customFormat="1">
      <c r="A100" s="2" t="s">
        <v>54</v>
      </c>
      <c r="B100" s="7">
        <v>33.229999999999997</v>
      </c>
      <c r="C100" s="7">
        <v>33.229999999999997</v>
      </c>
      <c r="D100" s="7">
        <v>33.229999999999997</v>
      </c>
      <c r="E100" s="7">
        <v>33.229999999999997</v>
      </c>
      <c r="F100" s="7">
        <v>35.549999999999997</v>
      </c>
      <c r="G100" s="7">
        <v>35.549999999999997</v>
      </c>
      <c r="H100" s="7">
        <v>35.549999999999997</v>
      </c>
      <c r="I100" s="7">
        <v>35.549999999999997</v>
      </c>
      <c r="J100" s="7">
        <v>35.549999999999997</v>
      </c>
      <c r="K100" s="7">
        <v>35.549999999999997</v>
      </c>
    </row>
  </sheetData>
  <mergeCells count="2">
    <mergeCell ref="E1:K1"/>
    <mergeCell ref="E2:K2"/>
  </mergeCells>
  <conditionalFormatting sqref="E1:K1">
    <cfRule type="cellIs" dxfId="0" priority="1" operator="notEqual">
      <formula>""</formula>
    </cfRule>
  </conditionalFormatting>
  <pageMargins left="0.7" right="0.7" top="0.75" bottom="0.75" header="0.3" footer="0.3"/>
  <pageSetup paperSize="9" orientation="portrait" r:id="rId1"/>
  <ignoredErrors>
    <ignoredError sqref="C31 D31:K31" numberStoredAsText="1"/>
    <ignoredError sqref="C79:K79"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N35"/>
  <sheetViews>
    <sheetView showGridLines="0" topLeftCell="A16" workbookViewId="0">
      <selection activeCell="B38" sqref="B38"/>
    </sheetView>
  </sheetViews>
  <sheetFormatPr defaultRowHeight="15"/>
  <cols>
    <col min="1" max="1" width="1.85546875" style="12" customWidth="1"/>
    <col min="2" max="2" width="36.85546875" style="12" bestFit="1" customWidth="1"/>
    <col min="3" max="7" width="9.28515625" style="12" customWidth="1"/>
    <col min="8" max="8" width="9.7109375" style="12" customWidth="1"/>
    <col min="9" max="10" width="9.7109375" style="12" bestFit="1" customWidth="1"/>
    <col min="11" max="12" width="10.5703125" style="12" bestFit="1" customWidth="1"/>
    <col min="13" max="16384" width="9.140625" style="12"/>
  </cols>
  <sheetData>
    <row r="2" spans="2:14">
      <c r="C2" s="20">
        <v>42430</v>
      </c>
      <c r="D2" s="20">
        <v>42795</v>
      </c>
      <c r="E2" s="20">
        <v>43160</v>
      </c>
      <c r="F2" s="20">
        <v>43525</v>
      </c>
      <c r="G2" s="20">
        <v>43891</v>
      </c>
      <c r="H2" s="20">
        <v>44256</v>
      </c>
      <c r="I2" s="20">
        <v>44621</v>
      </c>
      <c r="J2" s="20">
        <v>44986</v>
      </c>
      <c r="K2" s="20">
        <v>45352</v>
      </c>
      <c r="L2" s="20">
        <v>45717</v>
      </c>
    </row>
    <row r="3" spans="2:14">
      <c r="B3" s="49" t="s">
        <v>289</v>
      </c>
      <c r="C3" s="22"/>
      <c r="D3" s="22"/>
      <c r="E3" s="22"/>
      <c r="F3" s="22"/>
      <c r="G3" s="22"/>
      <c r="H3" s="22"/>
      <c r="I3" s="22"/>
      <c r="J3" s="22"/>
      <c r="K3" s="22"/>
      <c r="L3" s="22"/>
      <c r="M3" s="18"/>
      <c r="N3" s="18"/>
    </row>
    <row r="4" spans="2:14">
      <c r="B4" s="23" t="s">
        <v>85</v>
      </c>
      <c r="C4" s="22">
        <v>2848</v>
      </c>
      <c r="D4" s="22">
        <v>3056</v>
      </c>
      <c r="E4" s="22">
        <v>3274</v>
      </c>
      <c r="F4" s="22">
        <v>3861</v>
      </c>
      <c r="G4" s="22">
        <v>4380</v>
      </c>
      <c r="H4" s="22">
        <v>4970</v>
      </c>
      <c r="I4" s="22">
        <v>4957</v>
      </c>
      <c r="J4" s="22">
        <v>6460</v>
      </c>
      <c r="K4" s="22">
        <v>7929</v>
      </c>
      <c r="L4" s="22">
        <v>6390</v>
      </c>
    </row>
    <row r="5" spans="2:14">
      <c r="B5" s="24" t="s">
        <v>43</v>
      </c>
      <c r="C5" s="25">
        <v>-146</v>
      </c>
      <c r="D5" s="25">
        <v>-475</v>
      </c>
      <c r="E5" s="25">
        <v>-483</v>
      </c>
      <c r="F5" s="25">
        <v>-205</v>
      </c>
      <c r="G5" s="25">
        <v>160</v>
      </c>
      <c r="H5" s="25">
        <v>-849</v>
      </c>
      <c r="I5" s="26">
        <v>-1326</v>
      </c>
      <c r="J5" s="25">
        <v>-834</v>
      </c>
      <c r="K5" s="25">
        <v>-362</v>
      </c>
      <c r="L5" s="25">
        <v>282</v>
      </c>
      <c r="M5" s="17"/>
    </row>
    <row r="6" spans="2:14">
      <c r="B6" s="24" t="s">
        <v>30</v>
      </c>
      <c r="C6" s="25">
        <v>202</v>
      </c>
      <c r="D6" s="25">
        <v>-629</v>
      </c>
      <c r="E6" s="25">
        <v>-39</v>
      </c>
      <c r="F6" s="25">
        <v>-492</v>
      </c>
      <c r="G6" s="25">
        <v>-251</v>
      </c>
      <c r="H6" s="25">
        <v>-409</v>
      </c>
      <c r="I6" s="26">
        <v>-2354</v>
      </c>
      <c r="J6" s="25">
        <v>-56</v>
      </c>
      <c r="K6" s="25">
        <v>315</v>
      </c>
      <c r="L6" s="25">
        <v>-805</v>
      </c>
      <c r="M6" s="17"/>
    </row>
    <row r="7" spans="2:14">
      <c r="B7" s="24" t="s">
        <v>86</v>
      </c>
      <c r="C7" s="25">
        <v>142</v>
      </c>
      <c r="D7" s="25">
        <v>501</v>
      </c>
      <c r="E7" s="25">
        <v>442</v>
      </c>
      <c r="F7" s="25">
        <v>287</v>
      </c>
      <c r="G7" s="25">
        <v>-241</v>
      </c>
      <c r="H7" s="26">
        <v>1143</v>
      </c>
      <c r="I7" s="25">
        <v>644</v>
      </c>
      <c r="J7" s="25">
        <v>-539</v>
      </c>
      <c r="K7" s="25">
        <v>269</v>
      </c>
      <c r="L7" s="25">
        <v>-160</v>
      </c>
      <c r="M7" s="17"/>
    </row>
    <row r="8" spans="2:14">
      <c r="B8" s="24" t="s">
        <v>87</v>
      </c>
      <c r="C8" s="25">
        <v>0</v>
      </c>
      <c r="D8" s="25">
        <v>0</v>
      </c>
      <c r="E8" s="25">
        <v>0</v>
      </c>
      <c r="F8" s="25">
        <v>0</v>
      </c>
      <c r="G8" s="25">
        <v>0</v>
      </c>
      <c r="H8" s="25">
        <v>-92</v>
      </c>
      <c r="I8" s="25">
        <v>242</v>
      </c>
      <c r="J8" s="25">
        <v>657</v>
      </c>
      <c r="K8" s="25">
        <v>-212</v>
      </c>
      <c r="L8" s="25">
        <v>114</v>
      </c>
      <c r="M8" s="17"/>
    </row>
    <row r="9" spans="2:14">
      <c r="B9" s="24" t="s">
        <v>88</v>
      </c>
      <c r="C9" s="25">
        <v>198</v>
      </c>
      <c r="D9" s="25">
        <v>-603</v>
      </c>
      <c r="E9" s="25">
        <v>-80</v>
      </c>
      <c r="F9" s="25">
        <v>-410</v>
      </c>
      <c r="G9" s="25">
        <v>-331</v>
      </c>
      <c r="H9" s="25">
        <v>-206</v>
      </c>
      <c r="I9" s="26">
        <v>-2795</v>
      </c>
      <c r="J9" s="25">
        <v>-772</v>
      </c>
      <c r="K9" s="25">
        <v>10</v>
      </c>
      <c r="L9" s="25">
        <v>-570</v>
      </c>
    </row>
    <row r="10" spans="2:14">
      <c r="B10" s="24" t="s">
        <v>89</v>
      </c>
      <c r="C10" s="25">
        <v>-802</v>
      </c>
      <c r="D10" s="25">
        <v>-925</v>
      </c>
      <c r="E10" s="26">
        <v>-1081</v>
      </c>
      <c r="F10" s="25">
        <v>-982</v>
      </c>
      <c r="G10" s="26">
        <v>-1011</v>
      </c>
      <c r="H10" s="26">
        <v>-1080</v>
      </c>
      <c r="I10" s="26">
        <v>-1176</v>
      </c>
      <c r="J10" s="26">
        <v>-1494</v>
      </c>
      <c r="K10" s="26">
        <v>-1835</v>
      </c>
      <c r="L10" s="26">
        <v>-1396</v>
      </c>
    </row>
    <row r="11" spans="2:14">
      <c r="B11" s="50" t="s">
        <v>290</v>
      </c>
      <c r="C11" s="27">
        <v>-866</v>
      </c>
      <c r="D11" s="27">
        <v>-681</v>
      </c>
      <c r="E11" s="22">
        <v>-1556</v>
      </c>
      <c r="F11" s="27">
        <v>-918</v>
      </c>
      <c r="G11" s="27">
        <v>-518</v>
      </c>
      <c r="H11" s="27">
        <v>-541</v>
      </c>
      <c r="I11" s="22">
        <v>-317</v>
      </c>
      <c r="J11" s="22">
        <v>-1282</v>
      </c>
      <c r="K11" s="22">
        <v>-2548</v>
      </c>
      <c r="L11" s="27">
        <v>-941</v>
      </c>
    </row>
    <row r="12" spans="2:14">
      <c r="B12" s="24" t="s">
        <v>90</v>
      </c>
      <c r="C12" s="26">
        <v>-817</v>
      </c>
      <c r="D12" s="26">
        <v>-684</v>
      </c>
      <c r="E12" s="26">
        <v>-1426</v>
      </c>
      <c r="F12" s="26">
        <v>-1151</v>
      </c>
      <c r="G12" s="26">
        <v>-404</v>
      </c>
      <c r="H12" s="26">
        <v>-282</v>
      </c>
      <c r="I12" s="26">
        <v>-551</v>
      </c>
      <c r="J12" s="26">
        <v>-1446</v>
      </c>
      <c r="K12" s="26">
        <v>-2496</v>
      </c>
      <c r="L12" s="26">
        <v>-1830</v>
      </c>
    </row>
    <row r="13" spans="2:14">
      <c r="B13" s="24" t="s">
        <v>91</v>
      </c>
      <c r="C13" s="25">
        <v>15</v>
      </c>
      <c r="D13" s="25">
        <v>17</v>
      </c>
      <c r="E13" s="25">
        <v>17</v>
      </c>
      <c r="F13" s="25">
        <v>17</v>
      </c>
      <c r="G13" s="25">
        <v>37</v>
      </c>
      <c r="H13" s="25">
        <v>28</v>
      </c>
      <c r="I13" s="25">
        <v>40</v>
      </c>
      <c r="J13" s="25">
        <v>26</v>
      </c>
      <c r="K13" s="25">
        <v>5</v>
      </c>
      <c r="L13" s="25">
        <v>10</v>
      </c>
    </row>
    <row r="14" spans="2:14">
      <c r="B14" s="24" t="s">
        <v>92</v>
      </c>
      <c r="C14" s="25">
        <v>-282</v>
      </c>
      <c r="D14" s="25">
        <v>-153</v>
      </c>
      <c r="E14" s="25">
        <v>-320</v>
      </c>
      <c r="F14" s="25">
        <v>-573</v>
      </c>
      <c r="G14" s="25">
        <v>-25</v>
      </c>
      <c r="H14" s="25">
        <v>-140</v>
      </c>
      <c r="I14" s="25">
        <v>0</v>
      </c>
      <c r="J14" s="25">
        <v>-146</v>
      </c>
      <c r="K14" s="25">
        <v>-212</v>
      </c>
      <c r="L14" s="25">
        <v>-1</v>
      </c>
    </row>
    <row r="15" spans="2:14">
      <c r="B15" s="70" t="s">
        <v>93</v>
      </c>
      <c r="C15" s="27">
        <v>205</v>
      </c>
      <c r="D15" s="22">
        <v>357</v>
      </c>
      <c r="E15" s="22">
        <v>362</v>
      </c>
      <c r="F15" s="27">
        <v>733</v>
      </c>
      <c r="G15" s="22">
        <v>134</v>
      </c>
      <c r="H15" s="22">
        <v>272</v>
      </c>
      <c r="I15" s="22">
        <v>207</v>
      </c>
      <c r="J15" s="22">
        <v>446</v>
      </c>
      <c r="K15" s="22">
        <v>240</v>
      </c>
      <c r="L15" s="22">
        <v>421</v>
      </c>
    </row>
    <row r="16" spans="2:14">
      <c r="B16" s="24" t="s">
        <v>94</v>
      </c>
      <c r="C16" s="25">
        <v>15</v>
      </c>
      <c r="D16" s="26">
        <v>32</v>
      </c>
      <c r="E16" s="25">
        <v>39</v>
      </c>
      <c r="F16" s="25">
        <v>40</v>
      </c>
      <c r="G16" s="25">
        <v>65</v>
      </c>
      <c r="H16" s="26">
        <v>73</v>
      </c>
      <c r="I16" s="26">
        <v>77</v>
      </c>
      <c r="J16" s="26">
        <v>87</v>
      </c>
      <c r="K16" s="26">
        <v>135</v>
      </c>
      <c r="L16" s="26">
        <v>155</v>
      </c>
    </row>
    <row r="17" spans="2:13">
      <c r="B17" s="24" t="s">
        <v>95</v>
      </c>
      <c r="C17" s="25">
        <v>69</v>
      </c>
      <c r="D17" s="25">
        <v>74</v>
      </c>
      <c r="E17" s="25">
        <v>38</v>
      </c>
      <c r="F17" s="25">
        <v>40</v>
      </c>
      <c r="G17" s="25">
        <v>27</v>
      </c>
      <c r="H17" s="25">
        <v>8</v>
      </c>
      <c r="I17" s="25">
        <v>15</v>
      </c>
      <c r="J17" s="25">
        <v>56</v>
      </c>
      <c r="K17" s="25">
        <v>129</v>
      </c>
      <c r="L17" s="25">
        <v>136</v>
      </c>
    </row>
    <row r="18" spans="2:13">
      <c r="B18" s="24" t="s">
        <v>355</v>
      </c>
      <c r="C18" s="26">
        <v>0</v>
      </c>
      <c r="D18" s="26">
        <v>0</v>
      </c>
      <c r="E18" s="26">
        <v>0</v>
      </c>
      <c r="F18" s="26">
        <v>0</v>
      </c>
      <c r="G18" s="26">
        <v>0</v>
      </c>
      <c r="H18" s="26">
        <v>0</v>
      </c>
      <c r="I18" s="26">
        <v>0</v>
      </c>
      <c r="J18" s="26">
        <v>-180</v>
      </c>
      <c r="K18" s="26">
        <v>0</v>
      </c>
      <c r="L18" s="26">
        <v>0</v>
      </c>
    </row>
    <row r="19" spans="2:13">
      <c r="B19" s="24" t="s">
        <v>96</v>
      </c>
      <c r="C19" s="26">
        <v>0</v>
      </c>
      <c r="D19" s="26">
        <v>0</v>
      </c>
      <c r="E19" s="26">
        <v>141</v>
      </c>
      <c r="F19" s="26">
        <v>0</v>
      </c>
      <c r="G19" s="26">
        <v>0</v>
      </c>
      <c r="H19" s="26">
        <v>0</v>
      </c>
      <c r="I19" s="26">
        <v>0</v>
      </c>
      <c r="J19" s="26">
        <v>0</v>
      </c>
      <c r="K19" s="26">
        <v>0</v>
      </c>
      <c r="L19" s="26">
        <v>38</v>
      </c>
    </row>
    <row r="20" spans="2:13">
      <c r="B20" s="24" t="s">
        <v>123</v>
      </c>
      <c r="C20" s="25">
        <v>0</v>
      </c>
      <c r="D20" s="25">
        <v>0</v>
      </c>
      <c r="E20" s="25">
        <v>-525</v>
      </c>
      <c r="F20" s="25">
        <v>0</v>
      </c>
      <c r="G20" s="25">
        <v>0</v>
      </c>
      <c r="H20" s="25">
        <v>0</v>
      </c>
      <c r="I20" s="25">
        <v>0</v>
      </c>
      <c r="J20" s="25">
        <v>0</v>
      </c>
      <c r="K20" s="25">
        <v>0</v>
      </c>
      <c r="L20" s="25">
        <v>0</v>
      </c>
    </row>
    <row r="21" spans="2:13">
      <c r="B21" s="24" t="s">
        <v>97</v>
      </c>
      <c r="C21" s="25">
        <v>-70</v>
      </c>
      <c r="D21" s="25">
        <v>-324</v>
      </c>
      <c r="E21" s="25">
        <v>118</v>
      </c>
      <c r="F21" s="25">
        <v>-24</v>
      </c>
      <c r="G21" s="25">
        <v>-353</v>
      </c>
      <c r="H21" s="25">
        <v>-500</v>
      </c>
      <c r="I21" s="25">
        <v>-105</v>
      </c>
      <c r="J21" s="25">
        <v>-126</v>
      </c>
      <c r="K21" s="25">
        <v>-350</v>
      </c>
      <c r="L21" s="25">
        <v>130</v>
      </c>
      <c r="M21" s="18"/>
    </row>
    <row r="22" spans="2:13">
      <c r="B22" s="50" t="s">
        <v>291</v>
      </c>
      <c r="C22" s="25">
        <v>-849</v>
      </c>
      <c r="D22" s="25">
        <v>-756</v>
      </c>
      <c r="E22" s="26">
        <v>-1379</v>
      </c>
      <c r="F22" s="26">
        <v>-1117</v>
      </c>
      <c r="G22" s="26">
        <v>-2871</v>
      </c>
      <c r="H22" s="25">
        <v>-650</v>
      </c>
      <c r="I22" s="26">
        <v>-1808</v>
      </c>
      <c r="J22" s="26">
        <v>-2140</v>
      </c>
      <c r="K22" s="26">
        <v>-2982</v>
      </c>
      <c r="L22" s="26">
        <v>-3753</v>
      </c>
    </row>
    <row r="23" spans="2:13">
      <c r="B23" s="24" t="s">
        <v>98</v>
      </c>
      <c r="C23" s="25">
        <v>0</v>
      </c>
      <c r="D23" s="25">
        <v>0</v>
      </c>
      <c r="E23" s="25">
        <v>0</v>
      </c>
      <c r="F23" s="25">
        <v>0</v>
      </c>
      <c r="G23" s="25">
        <v>0</v>
      </c>
      <c r="H23" s="25">
        <v>0</v>
      </c>
      <c r="I23" s="25">
        <v>0</v>
      </c>
      <c r="J23" s="25">
        <v>0</v>
      </c>
      <c r="K23" s="25">
        <v>1</v>
      </c>
      <c r="L23" s="25">
        <v>0</v>
      </c>
    </row>
    <row r="24" spans="2:13">
      <c r="B24" s="24" t="s">
        <v>99</v>
      </c>
      <c r="C24" s="25">
        <v>8</v>
      </c>
      <c r="D24" s="25">
        <v>271</v>
      </c>
      <c r="E24" s="25">
        <v>10</v>
      </c>
      <c r="F24" s="25">
        <v>243</v>
      </c>
      <c r="G24" s="25">
        <v>18</v>
      </c>
      <c r="H24" s="25">
        <v>155</v>
      </c>
      <c r="I24" s="25">
        <v>418</v>
      </c>
      <c r="J24" s="25">
        <v>254</v>
      </c>
      <c r="K24" s="25">
        <v>101</v>
      </c>
      <c r="L24" s="25">
        <v>415</v>
      </c>
    </row>
    <row r="25" spans="2:13">
      <c r="B25" s="24" t="s">
        <v>100</v>
      </c>
      <c r="C25" s="25">
        <v>-119</v>
      </c>
      <c r="D25" s="25">
        <v>-58</v>
      </c>
      <c r="E25" s="25">
        <v>-54</v>
      </c>
      <c r="F25" s="25">
        <v>-26</v>
      </c>
      <c r="G25" s="25">
        <v>-279</v>
      </c>
      <c r="H25" s="25">
        <v>-14</v>
      </c>
      <c r="I25" s="25">
        <v>-8</v>
      </c>
      <c r="J25" s="25">
        <v>-25</v>
      </c>
      <c r="K25" s="25">
        <v>-98</v>
      </c>
      <c r="L25" s="25">
        <v>-428</v>
      </c>
    </row>
    <row r="26" spans="2:13">
      <c r="B26" s="24" t="s">
        <v>101</v>
      </c>
      <c r="C26" s="25">
        <v>-40</v>
      </c>
      <c r="D26" s="25">
        <v>-36</v>
      </c>
      <c r="E26" s="26">
        <v>-35</v>
      </c>
      <c r="F26" s="25">
        <v>-106</v>
      </c>
      <c r="G26" s="25">
        <v>-101</v>
      </c>
      <c r="H26" s="26">
        <v>-89</v>
      </c>
      <c r="I26" s="25">
        <v>-94</v>
      </c>
      <c r="J26" s="26">
        <v>-142</v>
      </c>
      <c r="K26" s="26">
        <v>-191</v>
      </c>
      <c r="L26" s="26">
        <v>-203</v>
      </c>
    </row>
    <row r="27" spans="2:13">
      <c r="B27" s="21" t="s">
        <v>124</v>
      </c>
      <c r="C27" s="22">
        <v>-764</v>
      </c>
      <c r="D27" s="22">
        <v>-947</v>
      </c>
      <c r="E27" s="22">
        <v>-1218</v>
      </c>
      <c r="F27" s="22">
        <v>-1049</v>
      </c>
      <c r="G27" s="22">
        <v>-2121</v>
      </c>
      <c r="H27" s="22">
        <v>-499</v>
      </c>
      <c r="I27" s="22">
        <v>-1763</v>
      </c>
      <c r="J27" s="22">
        <v>-1936</v>
      </c>
      <c r="K27" s="22">
        <v>-2551</v>
      </c>
      <c r="L27" s="22">
        <v>-3140</v>
      </c>
    </row>
    <row r="28" spans="2:13">
      <c r="B28" s="24" t="s">
        <v>102</v>
      </c>
      <c r="C28" s="25">
        <v>0</v>
      </c>
      <c r="D28" s="25">
        <v>0</v>
      </c>
      <c r="E28" s="25">
        <v>0</v>
      </c>
      <c r="F28" s="25">
        <v>-180</v>
      </c>
      <c r="G28" s="25">
        <v>-179</v>
      </c>
      <c r="H28" s="25">
        <v>-203</v>
      </c>
      <c r="I28" s="25">
        <v>-221</v>
      </c>
      <c r="J28" s="25">
        <v>-256</v>
      </c>
      <c r="K28" s="25">
        <v>-286</v>
      </c>
      <c r="L28" s="25">
        <v>-325</v>
      </c>
    </row>
    <row r="29" spans="2:13">
      <c r="B29" s="24" t="s">
        <v>103</v>
      </c>
      <c r="C29" s="25">
        <v>66</v>
      </c>
      <c r="D29" s="25">
        <v>13</v>
      </c>
      <c r="E29" s="25">
        <v>-82</v>
      </c>
      <c r="F29" s="25">
        <v>0</v>
      </c>
      <c r="G29" s="25">
        <v>-209</v>
      </c>
      <c r="H29" s="25">
        <v>0</v>
      </c>
      <c r="I29" s="25">
        <v>-140</v>
      </c>
      <c r="J29" s="25">
        <v>-36</v>
      </c>
      <c r="K29" s="25">
        <v>41</v>
      </c>
      <c r="L29" s="25">
        <v>-72</v>
      </c>
    </row>
    <row r="30" spans="2:13">
      <c r="B30" s="24" t="s">
        <v>21</v>
      </c>
      <c r="C30" s="25">
        <v>528</v>
      </c>
      <c r="D30" s="25">
        <v>90</v>
      </c>
      <c r="E30" s="25">
        <v>-822</v>
      </c>
      <c r="F30" s="25">
        <v>434</v>
      </c>
      <c r="G30" s="25">
        <v>-351</v>
      </c>
      <c r="H30" s="26">
        <v>2492</v>
      </c>
      <c r="I30" s="26">
        <v>-1138</v>
      </c>
      <c r="J30" s="25">
        <v>771</v>
      </c>
      <c r="K30" s="25">
        <v>573</v>
      </c>
      <c r="L30" s="25">
        <v>-270</v>
      </c>
    </row>
    <row r="31" spans="2:13">
      <c r="B31" s="24" t="s">
        <v>101</v>
      </c>
      <c r="C31" s="25">
        <v>-2</v>
      </c>
      <c r="D31" s="25">
        <v>-14</v>
      </c>
      <c r="E31" s="25">
        <v>-6</v>
      </c>
      <c r="F31" s="25">
        <v>-7</v>
      </c>
      <c r="G31" s="25">
        <v>-90</v>
      </c>
      <c r="H31" s="25">
        <v>-92</v>
      </c>
      <c r="I31" s="25">
        <v>-82</v>
      </c>
      <c r="J31" s="25">
        <v>-88</v>
      </c>
      <c r="K31" s="25">
        <v>-110</v>
      </c>
      <c r="L31" s="25">
        <v>-130</v>
      </c>
    </row>
    <row r="32" spans="2:13">
      <c r="B32" s="24" t="s">
        <v>124</v>
      </c>
      <c r="C32" s="26">
        <v>-3354</v>
      </c>
      <c r="D32" s="26">
        <v>-3572</v>
      </c>
      <c r="E32" s="26">
        <v>-3911</v>
      </c>
      <c r="F32" s="26">
        <v>-4554</v>
      </c>
      <c r="G32" s="26">
        <v>-5196</v>
      </c>
      <c r="H32" s="26">
        <v>-8811</v>
      </c>
      <c r="I32" s="26">
        <v>-7526</v>
      </c>
      <c r="J32" s="26">
        <v>-8474</v>
      </c>
      <c r="K32" s="26">
        <v>-9416</v>
      </c>
      <c r="L32" s="26">
        <v>-12473</v>
      </c>
    </row>
    <row r="33" spans="2:12">
      <c r="B33" s="24" t="s">
        <v>102</v>
      </c>
      <c r="C33" s="25">
        <v>0</v>
      </c>
      <c r="D33" s="25">
        <v>0</v>
      </c>
      <c r="E33" s="25">
        <v>0</v>
      </c>
      <c r="F33" s="25">
        <v>0</v>
      </c>
      <c r="G33" s="25">
        <v>-373</v>
      </c>
      <c r="H33" s="25">
        <v>-406</v>
      </c>
      <c r="I33" s="25">
        <v>-407</v>
      </c>
      <c r="J33" s="25">
        <v>-467</v>
      </c>
      <c r="K33" s="25">
        <v>-423</v>
      </c>
      <c r="L33" s="25">
        <v>-498</v>
      </c>
    </row>
    <row r="34" spans="2:12">
      <c r="B34" s="24" t="s">
        <v>103</v>
      </c>
      <c r="C34" s="25">
        <v>-685</v>
      </c>
      <c r="D34" s="25">
        <v>-728</v>
      </c>
      <c r="E34" s="25">
        <v>-781</v>
      </c>
      <c r="F34" s="25">
        <v>-928</v>
      </c>
      <c r="G34" s="26">
        <v>-1061</v>
      </c>
      <c r="H34" s="25">
        <v>0</v>
      </c>
      <c r="I34" s="25">
        <v>0</v>
      </c>
      <c r="J34" s="25">
        <v>-2</v>
      </c>
      <c r="K34" s="25">
        <v>0</v>
      </c>
      <c r="L34" s="25">
        <v>0</v>
      </c>
    </row>
    <row r="35" spans="2:12">
      <c r="B35" s="21" t="s">
        <v>21</v>
      </c>
      <c r="C35" s="27">
        <v>25</v>
      </c>
      <c r="D35" s="27">
        <v>-202</v>
      </c>
      <c r="E35" s="27">
        <v>21</v>
      </c>
      <c r="F35" s="27">
        <v>-28</v>
      </c>
      <c r="G35" s="22">
        <v>2595</v>
      </c>
      <c r="H35" s="22">
        <v>-1374</v>
      </c>
      <c r="I35" s="27">
        <v>-695</v>
      </c>
      <c r="J35" s="27">
        <v>-446</v>
      </c>
      <c r="K35" s="27">
        <v>111</v>
      </c>
      <c r="L35" s="22">
        <v>5258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3:F31"/>
  <sheetViews>
    <sheetView showGridLines="0" zoomScale="70" zoomScaleNormal="70" workbookViewId="0">
      <selection activeCell="A9" sqref="A9"/>
    </sheetView>
  </sheetViews>
  <sheetFormatPr defaultRowHeight="15"/>
  <cols>
    <col min="1" max="1" width="1.85546875" customWidth="1"/>
    <col min="2" max="2" width="15.28515625" customWidth="1"/>
    <col min="3" max="3" width="16.28515625" customWidth="1"/>
    <col min="5" max="5" width="24.28515625" bestFit="1" customWidth="1"/>
    <col min="6" max="6" width="12.85546875" bestFit="1" customWidth="1"/>
  </cols>
  <sheetData>
    <row r="3" spans="2:6">
      <c r="B3" s="836" t="s">
        <v>8853</v>
      </c>
      <c r="C3" s="836"/>
    </row>
    <row r="5" spans="2:6" ht="15.75" thickBot="1">
      <c r="B5" s="77" t="s">
        <v>129</v>
      </c>
      <c r="C5" s="78" t="s">
        <v>239</v>
      </c>
    </row>
    <row r="6" spans="2:6">
      <c r="B6" s="35">
        <v>2025</v>
      </c>
      <c r="C6" s="10">
        <v>0.1051</v>
      </c>
      <c r="E6" s="69" t="s">
        <v>240</v>
      </c>
      <c r="F6" s="241">
        <v>0.14000000000000001</v>
      </c>
    </row>
    <row r="7" spans="2:6" ht="17.25">
      <c r="B7" s="35">
        <v>2024</v>
      </c>
      <c r="C7" s="10">
        <v>8.7499999999999994E-2</v>
      </c>
      <c r="E7" s="15" t="s">
        <v>241</v>
      </c>
      <c r="F7" s="278" t="s">
        <v>8913</v>
      </c>
    </row>
    <row r="8" spans="2:6" ht="15.75" thickBot="1">
      <c r="B8" s="35">
        <v>2023</v>
      </c>
      <c r="C8" s="10">
        <v>0.19420000000000001</v>
      </c>
      <c r="E8" s="242" t="s">
        <v>8854</v>
      </c>
      <c r="F8" s="243">
        <v>0.12</v>
      </c>
    </row>
    <row r="9" spans="2:6">
      <c r="B9" s="35">
        <v>2022</v>
      </c>
      <c r="C9" s="10">
        <v>4.3200000000000002E-2</v>
      </c>
    </row>
    <row r="10" spans="2:6">
      <c r="B10" s="35">
        <v>2021</v>
      </c>
      <c r="C10" s="10">
        <v>0.2412</v>
      </c>
    </row>
    <row r="11" spans="2:6">
      <c r="B11" s="35">
        <v>2020</v>
      </c>
      <c r="C11" s="10">
        <v>0.14899999999999999</v>
      </c>
      <c r="E11" s="40"/>
    </row>
    <row r="12" spans="2:6">
      <c r="B12" s="35">
        <v>2019</v>
      </c>
      <c r="C12" s="10">
        <v>0.1202</v>
      </c>
    </row>
    <row r="13" spans="2:6">
      <c r="B13" s="35">
        <v>2018</v>
      </c>
      <c r="C13" s="10">
        <v>3.15E-2</v>
      </c>
    </row>
    <row r="14" spans="2:6">
      <c r="B14" s="35">
        <v>2017</v>
      </c>
      <c r="C14" s="10">
        <v>0.28649999999999998</v>
      </c>
    </row>
    <row r="15" spans="2:6">
      <c r="B15" s="35">
        <v>2016</v>
      </c>
      <c r="C15" s="10">
        <v>3.0099999999999998E-2</v>
      </c>
    </row>
    <row r="16" spans="2:6">
      <c r="B16" s="35">
        <v>2015</v>
      </c>
      <c r="C16" s="10">
        <v>-4.0599999999999997E-2</v>
      </c>
    </row>
    <row r="17" spans="2:3">
      <c r="B17" s="35">
        <v>2014</v>
      </c>
      <c r="C17" s="10">
        <v>0.31390000000000001</v>
      </c>
    </row>
    <row r="18" spans="2:3">
      <c r="B18" s="35">
        <v>2013</v>
      </c>
      <c r="C18" s="10">
        <v>6.7599999999999993E-2</v>
      </c>
    </row>
    <row r="19" spans="2:3">
      <c r="B19" s="35">
        <v>2012</v>
      </c>
      <c r="C19" s="10">
        <v>0.27699999999999997</v>
      </c>
    </row>
    <row r="20" spans="2:3">
      <c r="B20" s="35">
        <v>2011</v>
      </c>
      <c r="C20" s="10">
        <v>-0.2462</v>
      </c>
    </row>
    <row r="21" spans="2:3">
      <c r="B21" s="35">
        <v>2010</v>
      </c>
      <c r="C21" s="10">
        <v>0.17949999999999999</v>
      </c>
    </row>
    <row r="22" spans="2:3">
      <c r="B22" s="35">
        <v>2009</v>
      </c>
      <c r="C22" s="10">
        <v>0.75760000000000005</v>
      </c>
    </row>
    <row r="23" spans="2:3">
      <c r="B23" s="35">
        <v>2008</v>
      </c>
      <c r="C23" s="10">
        <v>-0.51790000000000003</v>
      </c>
    </row>
    <row r="24" spans="2:3">
      <c r="B24" s="35">
        <v>2007</v>
      </c>
      <c r="C24" s="10">
        <v>0.54770000000000008</v>
      </c>
    </row>
    <row r="25" spans="2:3">
      <c r="B25" s="35">
        <v>2006</v>
      </c>
      <c r="C25" s="10">
        <v>0.39829999999999999</v>
      </c>
    </row>
    <row r="26" spans="2:3">
      <c r="B26" s="35">
        <v>2005</v>
      </c>
      <c r="C26" s="10">
        <v>0.36340000000000006</v>
      </c>
    </row>
    <row r="27" spans="2:3">
      <c r="B27" s="35">
        <v>2004</v>
      </c>
      <c r="C27" s="10">
        <v>0.10679999999999999</v>
      </c>
    </row>
    <row r="28" spans="2:3">
      <c r="B28" s="35">
        <v>2003</v>
      </c>
      <c r="C28" s="10">
        <v>0.71900000000000008</v>
      </c>
    </row>
    <row r="29" spans="2:3">
      <c r="B29" s="35">
        <v>2002</v>
      </c>
      <c r="C29" s="10">
        <v>3.2500000000000001E-2</v>
      </c>
    </row>
    <row r="30" spans="2:3">
      <c r="B30" s="35">
        <v>2001</v>
      </c>
      <c r="C30" s="10">
        <v>-0.1618</v>
      </c>
    </row>
    <row r="31" spans="2:3">
      <c r="B31" s="35">
        <v>2000</v>
      </c>
      <c r="C31" s="10">
        <v>-0.14649999999999999</v>
      </c>
    </row>
  </sheetData>
  <mergeCells count="1">
    <mergeCell ref="B3:C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G9"/>
  <sheetViews>
    <sheetView showGridLines="0" workbookViewId="0">
      <selection activeCell="K1" sqref="K1"/>
    </sheetView>
  </sheetViews>
  <sheetFormatPr defaultRowHeight="15"/>
  <cols>
    <col min="1" max="1" width="1.85546875" customWidth="1"/>
    <col min="2" max="2" width="5.7109375" bestFit="1" customWidth="1"/>
    <col min="3" max="3" width="15.85546875" bestFit="1" customWidth="1"/>
    <col min="4" max="4" width="9.5703125" bestFit="1" customWidth="1"/>
    <col min="5" max="5" width="13.85546875" bestFit="1" customWidth="1"/>
    <col min="6" max="6" width="9.28515625" bestFit="1" customWidth="1"/>
    <col min="7" max="7" width="10.85546875" bestFit="1" customWidth="1"/>
  </cols>
  <sheetData>
    <row r="2" spans="2:7">
      <c r="B2" t="s">
        <v>226</v>
      </c>
      <c r="C2" t="s">
        <v>227</v>
      </c>
      <c r="D2" t="s">
        <v>228</v>
      </c>
      <c r="E2" t="s">
        <v>229</v>
      </c>
      <c r="F2" t="s">
        <v>231</v>
      </c>
      <c r="G2" t="s">
        <v>230</v>
      </c>
    </row>
    <row r="3" spans="2:7" ht="15.75">
      <c r="B3">
        <v>1</v>
      </c>
      <c r="C3" t="s">
        <v>8855</v>
      </c>
      <c r="D3" s="245">
        <v>4260.7</v>
      </c>
      <c r="E3" s="245">
        <v>151462.5</v>
      </c>
      <c r="F3" s="245">
        <v>0.38</v>
      </c>
      <c r="G3" s="245">
        <v>2348.5700000000002</v>
      </c>
    </row>
    <row r="4" spans="2:7">
      <c r="B4">
        <v>2</v>
      </c>
      <c r="C4" s="244" t="s">
        <v>8875</v>
      </c>
      <c r="D4" s="246">
        <v>3909.2</v>
      </c>
      <c r="E4" s="246">
        <v>254384.57</v>
      </c>
      <c r="F4" s="246">
        <v>7.0000000000000007E-2</v>
      </c>
      <c r="G4" s="246">
        <v>1609.19</v>
      </c>
    </row>
    <row r="5" spans="2:7">
      <c r="B5">
        <v>3</v>
      </c>
      <c r="C5" s="244" t="s">
        <v>8876</v>
      </c>
      <c r="D5" s="246">
        <v>33530</v>
      </c>
      <c r="E5" s="246">
        <v>37398.94</v>
      </c>
      <c r="F5" s="246">
        <v>0.19</v>
      </c>
      <c r="G5" s="246">
        <v>268.13</v>
      </c>
    </row>
    <row r="6" spans="2:7">
      <c r="B6">
        <v>4</v>
      </c>
      <c r="C6" s="244" t="s">
        <v>8856</v>
      </c>
      <c r="D6" s="246">
        <v>455.3</v>
      </c>
      <c r="E6" s="246">
        <v>11062.57</v>
      </c>
      <c r="F6" s="246">
        <v>0.27</v>
      </c>
      <c r="G6" s="246">
        <v>463.76</v>
      </c>
    </row>
    <row r="7" spans="2:7">
      <c r="B7">
        <v>5</v>
      </c>
      <c r="C7" s="244" t="s">
        <v>8857</v>
      </c>
      <c r="D7" s="244">
        <v>2031.2</v>
      </c>
      <c r="E7" s="244">
        <v>7406.52</v>
      </c>
      <c r="F7" s="244">
        <v>3.39</v>
      </c>
      <c r="G7" s="244">
        <v>1312.5</v>
      </c>
    </row>
    <row r="8" spans="2:7">
      <c r="C8" s="244"/>
      <c r="D8" s="246"/>
      <c r="E8" s="246"/>
      <c r="F8" s="246"/>
      <c r="G8" s="246"/>
    </row>
    <row r="9" spans="2:7">
      <c r="C9" s="21"/>
      <c r="D9" s="44"/>
      <c r="E9" s="44"/>
      <c r="F9" s="44"/>
      <c r="G9" s="44"/>
    </row>
  </sheetData>
  <hyperlinks>
    <hyperlink ref="C6" r:id="rId1" display="https://www.screener.in/company/MANYAVAR/"/>
    <hyperlink ref="C5" r:id="rId2" display="https://www.screener.in/company/PAGEIND/"/>
    <hyperlink ref="C4" r:id="rId3" display="https://www.screener.in/company/DMART/consolidated/"/>
    <hyperlink ref="C7" r:id="rId4" display="https://www.screener.in/company/V2RETAIL/consolidated/"/>
  </hyperlinks>
  <pageMargins left="0.7" right="0.7" top="0.75" bottom="0.75" header="0.3" footer="0.3"/>
  <pageSetup paperSize="9" orientation="portrait" horizontalDpi="360" verticalDpi="360"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P25"/>
  <sheetViews>
    <sheetView showGridLines="0" zoomScale="70" zoomScaleNormal="70" workbookViewId="0">
      <selection activeCell="C11" sqref="C11:N22"/>
    </sheetView>
  </sheetViews>
  <sheetFormatPr defaultRowHeight="15"/>
  <cols>
    <col min="1" max="1" width="1.85546875" customWidth="1"/>
    <col min="2" max="2" width="7.140625" bestFit="1" customWidth="1"/>
    <col min="3" max="3" width="18.42578125" bestFit="1" customWidth="1"/>
    <col min="4" max="4" width="10.5703125" customWidth="1"/>
    <col min="5" max="5" width="21.42578125" bestFit="1" customWidth="1"/>
    <col min="6" max="6" width="17" customWidth="1"/>
    <col min="7" max="7" width="13.85546875" bestFit="1" customWidth="1"/>
    <col min="8" max="8" width="19.5703125" customWidth="1"/>
    <col min="9" max="9" width="12.140625" bestFit="1" customWidth="1"/>
    <col min="10" max="10" width="12.140625" customWidth="1"/>
    <col min="11" max="11" width="14.7109375" customWidth="1"/>
    <col min="12" max="12" width="14.85546875" customWidth="1"/>
    <col min="13" max="13" width="9.85546875" bestFit="1" customWidth="1"/>
    <col min="14" max="14" width="17" bestFit="1" customWidth="1"/>
    <col min="16" max="16" width="81.7109375" style="14" bestFit="1" customWidth="1"/>
  </cols>
  <sheetData>
    <row r="1" spans="2:16">
      <c r="P1" s="45"/>
    </row>
    <row r="2" spans="2:16" ht="15.75">
      <c r="B2" s="591" t="s">
        <v>226</v>
      </c>
      <c r="C2" s="591" t="s">
        <v>227</v>
      </c>
      <c r="D2" s="591" t="s">
        <v>228</v>
      </c>
      <c r="E2" s="591" t="s">
        <v>332</v>
      </c>
      <c r="F2" s="591" t="s">
        <v>336</v>
      </c>
      <c r="G2" s="591" t="s">
        <v>230</v>
      </c>
      <c r="H2" s="591" t="s">
        <v>333</v>
      </c>
      <c r="I2" s="591" t="s">
        <v>323</v>
      </c>
      <c r="J2" s="591" t="s">
        <v>337</v>
      </c>
      <c r="K2" s="591" t="s">
        <v>334</v>
      </c>
      <c r="L2" s="591" t="s">
        <v>335</v>
      </c>
      <c r="M2" s="591" t="s">
        <v>65</v>
      </c>
      <c r="N2" s="591" t="s">
        <v>8941</v>
      </c>
      <c r="P2" s="45"/>
    </row>
    <row r="3" spans="2:16" ht="15.75">
      <c r="B3" s="555">
        <v>1</v>
      </c>
      <c r="C3" s="592" t="s">
        <v>8855</v>
      </c>
      <c r="D3" s="592">
        <v>4252</v>
      </c>
      <c r="E3" s="592">
        <v>35.549999999999997</v>
      </c>
      <c r="F3" s="592">
        <v>151153.26999999999</v>
      </c>
      <c r="G3" s="592">
        <v>2348.5700000000002</v>
      </c>
      <c r="H3" s="592">
        <v>339.84</v>
      </c>
      <c r="I3" s="333">
        <f>G3-H3</f>
        <v>2008.7300000000002</v>
      </c>
      <c r="J3" s="333">
        <f>F3+G3-H3</f>
        <v>153162</v>
      </c>
      <c r="K3" s="592">
        <v>19263.16</v>
      </c>
      <c r="L3" s="592">
        <v>42.85</v>
      </c>
      <c r="M3" s="555">
        <v>4100</v>
      </c>
      <c r="N3" s="592">
        <v>1619.83</v>
      </c>
      <c r="P3" s="45"/>
    </row>
    <row r="4" spans="2:16" ht="15.75">
      <c r="B4" s="555">
        <v>2</v>
      </c>
      <c r="C4" s="592" t="s">
        <v>8875</v>
      </c>
      <c r="D4" s="593">
        <v>3909.2</v>
      </c>
      <c r="E4" s="593">
        <v>65.069999999999993</v>
      </c>
      <c r="F4" s="593">
        <v>254384.57</v>
      </c>
      <c r="G4" s="593">
        <v>1609.19</v>
      </c>
      <c r="H4" s="593">
        <v>358.2</v>
      </c>
      <c r="I4" s="333">
        <v>255783.91</v>
      </c>
      <c r="J4" s="333">
        <v>66008.740000000005</v>
      </c>
      <c r="K4" s="593">
        <v>66008.740000000005</v>
      </c>
      <c r="L4" s="593">
        <v>51.03</v>
      </c>
      <c r="M4" s="555">
        <v>9600</v>
      </c>
      <c r="N4" s="593">
        <v>2864.23</v>
      </c>
      <c r="P4" s="45"/>
    </row>
    <row r="5" spans="2:16" ht="15.75">
      <c r="B5" s="555">
        <v>3</v>
      </c>
      <c r="C5" s="592" t="s">
        <v>8876</v>
      </c>
      <c r="D5" s="592">
        <v>33530</v>
      </c>
      <c r="E5" s="592">
        <v>1.1200000000000001</v>
      </c>
      <c r="F5" s="592">
        <v>37398.94</v>
      </c>
      <c r="G5" s="592">
        <v>268.13</v>
      </c>
      <c r="H5" s="592">
        <v>471.38</v>
      </c>
      <c r="I5" s="333">
        <f t="shared" ref="I5:I7" si="0">G5-H5</f>
        <v>-203.25</v>
      </c>
      <c r="J5" s="333">
        <f t="shared" ref="J5:J7" si="1">F5+G5-H5</f>
        <v>37195.69</v>
      </c>
      <c r="K5" s="592">
        <v>5092.25</v>
      </c>
      <c r="L5" s="592">
        <v>31.11</v>
      </c>
      <c r="M5" s="555">
        <v>1250</v>
      </c>
      <c r="N5" s="592">
        <v>749.11</v>
      </c>
      <c r="P5" s="45"/>
    </row>
    <row r="6" spans="2:16" ht="15.75">
      <c r="B6" s="555">
        <v>4</v>
      </c>
      <c r="C6" s="592" t="s">
        <v>8856</v>
      </c>
      <c r="D6" s="592">
        <v>455.3</v>
      </c>
      <c r="E6" s="592">
        <v>24.3</v>
      </c>
      <c r="F6" s="592">
        <v>11062.57</v>
      </c>
      <c r="G6" s="592">
        <v>463.76</v>
      </c>
      <c r="H6" s="592">
        <v>17.23</v>
      </c>
      <c r="I6" s="333">
        <f t="shared" si="0"/>
        <v>446.53</v>
      </c>
      <c r="J6" s="333">
        <f t="shared" si="1"/>
        <v>11509.1</v>
      </c>
      <c r="K6" s="592">
        <v>1403.49</v>
      </c>
      <c r="L6" s="592">
        <v>16.350000000000001</v>
      </c>
      <c r="M6" s="555">
        <v>730</v>
      </c>
      <c r="N6" s="592">
        <v>362.35</v>
      </c>
      <c r="P6" s="45"/>
    </row>
    <row r="7" spans="2:16" ht="15.75">
      <c r="B7" s="555">
        <v>5</v>
      </c>
      <c r="C7" s="592" t="s">
        <v>8857</v>
      </c>
      <c r="D7" s="246">
        <v>2031.2</v>
      </c>
      <c r="E7" s="246">
        <v>3.65</v>
      </c>
      <c r="F7" s="246">
        <v>7406.52</v>
      </c>
      <c r="G7" s="246">
        <v>1312.5</v>
      </c>
      <c r="H7" s="246">
        <v>9.4</v>
      </c>
      <c r="I7" s="333">
        <f t="shared" si="0"/>
        <v>1303.0999999999999</v>
      </c>
      <c r="J7" s="333">
        <f t="shared" si="1"/>
        <v>8709.6200000000008</v>
      </c>
      <c r="K7" s="246">
        <v>2768.55</v>
      </c>
      <c r="L7" s="246">
        <v>21.11</v>
      </c>
      <c r="M7" s="555">
        <v>320</v>
      </c>
      <c r="N7" s="246">
        <v>150.4</v>
      </c>
      <c r="P7" s="46"/>
    </row>
    <row r="8" spans="2:16">
      <c r="B8" s="35"/>
      <c r="I8" s="47"/>
      <c r="J8" s="579"/>
      <c r="L8" s="580"/>
      <c r="M8" s="47"/>
      <c r="N8" s="580"/>
      <c r="P8" s="46"/>
    </row>
    <row r="9" spans="2:16">
      <c r="B9" s="35"/>
      <c r="I9" s="47"/>
      <c r="J9" s="579"/>
      <c r="L9" s="580"/>
      <c r="N9" s="580"/>
      <c r="P9" s="45"/>
    </row>
    <row r="10" spans="2:16">
      <c r="B10" s="35"/>
      <c r="C10" s="35"/>
      <c r="D10" s="47"/>
      <c r="E10" s="47"/>
      <c r="F10" s="47"/>
      <c r="G10" s="47"/>
      <c r="H10" s="47"/>
      <c r="I10" s="47"/>
      <c r="J10" s="48"/>
      <c r="K10" s="47"/>
      <c r="L10" s="47"/>
      <c r="M10" s="47"/>
      <c r="N10" s="47"/>
      <c r="P10" s="14" t="s">
        <v>338</v>
      </c>
    </row>
    <row r="11" spans="2:16" s="15" customFormat="1">
      <c r="B11" s="584"/>
      <c r="C11" s="582"/>
      <c r="D11" s="583"/>
      <c r="E11" s="583"/>
      <c r="F11" s="583"/>
      <c r="G11" s="583"/>
      <c r="H11" s="583"/>
      <c r="I11" s="583"/>
      <c r="J11" s="583"/>
      <c r="K11" s="583"/>
      <c r="L11" s="583"/>
      <c r="M11" s="583"/>
      <c r="N11" s="587"/>
      <c r="P11" s="585"/>
    </row>
    <row r="12" spans="2:16" s="15" customFormat="1">
      <c r="B12" s="584"/>
      <c r="C12" s="582"/>
      <c r="D12" s="583"/>
      <c r="E12" s="583"/>
      <c r="F12" s="583"/>
      <c r="G12" s="583"/>
      <c r="H12" s="583"/>
      <c r="I12" s="583"/>
      <c r="J12" s="583"/>
      <c r="K12" s="583"/>
      <c r="L12" s="583"/>
      <c r="M12" s="583"/>
      <c r="N12" s="587"/>
      <c r="P12" s="585"/>
    </row>
    <row r="13" spans="2:16" s="15" customFormat="1">
      <c r="B13" s="586"/>
      <c r="C13" s="582"/>
      <c r="D13" s="583"/>
      <c r="E13" s="583"/>
      <c r="F13" s="583"/>
      <c r="G13" s="583"/>
      <c r="H13" s="583"/>
      <c r="I13" s="583"/>
      <c r="J13" s="583"/>
      <c r="K13" s="583"/>
      <c r="L13" s="583"/>
      <c r="M13" s="583"/>
      <c r="N13" s="587"/>
      <c r="P13" s="585"/>
    </row>
    <row r="14" spans="2:16" s="15" customFormat="1">
      <c r="B14" s="586"/>
      <c r="C14" s="16"/>
      <c r="D14" s="16"/>
      <c r="E14" s="16"/>
      <c r="F14" s="16"/>
      <c r="G14" s="16"/>
      <c r="H14" s="16"/>
      <c r="I14" s="16"/>
      <c r="J14" s="16"/>
      <c r="K14" s="16"/>
      <c r="L14" s="16"/>
      <c r="M14" s="587"/>
      <c r="N14" s="587"/>
      <c r="P14" s="588"/>
    </row>
    <row r="15" spans="2:16" s="15" customFormat="1" ht="15.75">
      <c r="B15" s="16"/>
      <c r="C15" s="172"/>
      <c r="D15" s="16"/>
      <c r="E15" s="16"/>
      <c r="F15" s="16"/>
      <c r="G15" s="16"/>
      <c r="H15" s="16"/>
      <c r="I15" s="16"/>
      <c r="J15" s="16"/>
      <c r="K15" s="16"/>
      <c r="L15" s="16"/>
      <c r="M15" s="16"/>
      <c r="N15" s="16"/>
      <c r="P15" s="588"/>
    </row>
    <row r="16" spans="2:16" s="15" customFormat="1" ht="15.75">
      <c r="B16" s="16"/>
      <c r="C16" s="172"/>
      <c r="D16" s="583"/>
      <c r="E16" s="583"/>
      <c r="F16" s="583"/>
      <c r="G16" s="583"/>
      <c r="H16" s="583"/>
      <c r="I16" s="583"/>
      <c r="J16" s="16"/>
      <c r="K16" s="16"/>
      <c r="L16" s="16"/>
      <c r="M16" s="583"/>
      <c r="N16" s="16"/>
      <c r="P16" s="588"/>
    </row>
    <row r="17" spans="2:16" s="15" customFormat="1" ht="15.75">
      <c r="B17" s="16"/>
      <c r="C17" s="172"/>
      <c r="D17" s="16"/>
      <c r="E17" s="16"/>
      <c r="F17" s="16"/>
      <c r="G17" s="16"/>
      <c r="H17" s="16"/>
      <c r="I17" s="16"/>
      <c r="J17" s="16"/>
      <c r="K17" s="16"/>
      <c r="L17" s="16"/>
      <c r="M17" s="16"/>
      <c r="N17" s="16"/>
      <c r="P17" s="589"/>
    </row>
    <row r="18" spans="2:16" s="15" customFormat="1" ht="15.75">
      <c r="B18" s="16"/>
      <c r="C18" s="172"/>
      <c r="D18" s="16"/>
      <c r="E18" s="16"/>
      <c r="F18" s="16"/>
      <c r="G18" s="16"/>
      <c r="H18" s="16"/>
      <c r="I18" s="16"/>
      <c r="J18" s="16"/>
      <c r="K18" s="16"/>
      <c r="L18" s="16"/>
      <c r="M18" s="16"/>
      <c r="N18" s="16"/>
      <c r="P18" s="588"/>
    </row>
    <row r="19" spans="2:16" s="15" customFormat="1" ht="15.75">
      <c r="B19" s="16"/>
      <c r="C19" s="172"/>
      <c r="D19" s="27"/>
      <c r="E19" s="27"/>
      <c r="F19" s="27"/>
      <c r="G19" s="27"/>
      <c r="H19" s="27"/>
      <c r="I19" s="27"/>
      <c r="J19" s="16"/>
      <c r="K19" s="16"/>
      <c r="L19" s="16"/>
      <c r="M19" s="27"/>
      <c r="N19" s="16"/>
      <c r="P19" s="585"/>
    </row>
    <row r="20" spans="2:16" s="15" customFormat="1">
      <c r="C20" s="16"/>
      <c r="D20" s="16"/>
      <c r="E20" s="16"/>
      <c r="F20" s="16"/>
      <c r="G20" s="16"/>
      <c r="H20" s="16"/>
      <c r="I20" s="16"/>
      <c r="J20" s="16"/>
      <c r="K20" s="16"/>
      <c r="L20" s="16"/>
      <c r="M20" s="16"/>
      <c r="N20" s="16"/>
      <c r="P20" s="585"/>
    </row>
    <row r="21" spans="2:16" s="15" customFormat="1">
      <c r="C21" s="16"/>
      <c r="D21" s="583"/>
      <c r="E21" s="583"/>
      <c r="F21" s="583"/>
      <c r="G21" s="583"/>
      <c r="H21" s="583"/>
      <c r="I21" s="583"/>
      <c r="J21" s="583"/>
      <c r="K21" s="583"/>
      <c r="L21" s="583"/>
      <c r="M21" s="583"/>
      <c r="N21" s="16"/>
      <c r="P21" s="588"/>
    </row>
    <row r="22" spans="2:16" s="15" customFormat="1">
      <c r="C22" s="16"/>
      <c r="D22" s="16"/>
      <c r="E22" s="16"/>
      <c r="F22" s="16"/>
      <c r="G22" s="16"/>
      <c r="H22" s="16"/>
      <c r="I22" s="16"/>
      <c r="J22" s="16"/>
      <c r="K22" s="16"/>
      <c r="L22" s="16"/>
      <c r="M22" s="16"/>
      <c r="N22" s="16"/>
      <c r="P22" s="588"/>
    </row>
    <row r="23" spans="2:16" s="15" customFormat="1">
      <c r="P23" s="588"/>
    </row>
    <row r="24" spans="2:16" s="15" customFormat="1">
      <c r="P24" s="588"/>
    </row>
    <row r="25" spans="2:16">
      <c r="P25" s="4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D5442"/>
  <sheetViews>
    <sheetView topLeftCell="A182" workbookViewId="0">
      <selection activeCell="D203" sqref="D203"/>
    </sheetView>
  </sheetViews>
  <sheetFormatPr defaultRowHeight="15"/>
  <cols>
    <col min="1" max="1" width="41.5703125" customWidth="1"/>
    <col min="2" max="2" width="10" bestFit="1" customWidth="1"/>
    <col min="3" max="3" width="15.5703125" bestFit="1" customWidth="1"/>
    <col min="4" max="4" width="69.7109375" bestFit="1" customWidth="1"/>
  </cols>
  <sheetData>
    <row r="2" spans="1:4">
      <c r="A2" s="58" t="s">
        <v>562</v>
      </c>
      <c r="B2" s="58" t="s">
        <v>563</v>
      </c>
      <c r="C2" s="58" t="s">
        <v>564</v>
      </c>
      <c r="D2" s="58" t="s">
        <v>565</v>
      </c>
    </row>
    <row r="3" spans="1:4">
      <c r="A3" s="58" t="s">
        <v>566</v>
      </c>
      <c r="B3" s="58">
        <v>533022</v>
      </c>
      <c r="C3" s="58" t="s">
        <v>567</v>
      </c>
      <c r="D3" s="58" t="s">
        <v>568</v>
      </c>
    </row>
    <row r="4" spans="1:4">
      <c r="A4" s="58" t="s">
        <v>569</v>
      </c>
      <c r="B4" s="58">
        <v>526921</v>
      </c>
      <c r="C4" s="58" t="s">
        <v>570</v>
      </c>
      <c r="D4" s="58" t="s">
        <v>571</v>
      </c>
    </row>
    <row r="5" spans="1:4">
      <c r="A5" s="58" t="s">
        <v>572</v>
      </c>
      <c r="B5" s="58">
        <v>532628</v>
      </c>
      <c r="C5" s="58" t="s">
        <v>573</v>
      </c>
      <c r="D5" s="58" t="s">
        <v>574</v>
      </c>
    </row>
    <row r="6" spans="1:4">
      <c r="A6" s="58" t="s">
        <v>575</v>
      </c>
      <c r="B6" s="58">
        <v>523395</v>
      </c>
      <c r="C6" s="58" t="s">
        <v>576</v>
      </c>
      <c r="D6" s="58" t="s">
        <v>577</v>
      </c>
    </row>
    <row r="7" spans="1:4">
      <c r="A7" s="58" t="s">
        <v>578</v>
      </c>
      <c r="B7" s="58">
        <v>523395</v>
      </c>
      <c r="C7" s="58" t="s">
        <v>579</v>
      </c>
      <c r="D7" s="58" t="s">
        <v>577</v>
      </c>
    </row>
    <row r="8" spans="1:4">
      <c r="A8" s="58" t="s">
        <v>580</v>
      </c>
      <c r="B8" s="58">
        <v>516092</v>
      </c>
      <c r="C8" s="58" t="s">
        <v>581</v>
      </c>
      <c r="D8" s="58" t="s">
        <v>582</v>
      </c>
    </row>
    <row r="9" spans="1:4">
      <c r="A9" s="58" t="s">
        <v>583</v>
      </c>
      <c r="B9" s="58">
        <v>540776</v>
      </c>
      <c r="C9" s="58" t="s">
        <v>584</v>
      </c>
      <c r="D9" s="58" t="s">
        <v>571</v>
      </c>
    </row>
    <row r="10" spans="1:4">
      <c r="A10" s="58" t="s">
        <v>585</v>
      </c>
      <c r="B10" s="58">
        <v>526881</v>
      </c>
      <c r="C10" s="58" t="s">
        <v>586</v>
      </c>
      <c r="D10" s="58" t="s">
        <v>574</v>
      </c>
    </row>
    <row r="11" spans="1:4">
      <c r="A11" s="58" t="s">
        <v>587</v>
      </c>
      <c r="B11" s="58">
        <v>540615</v>
      </c>
      <c r="C11" s="58" t="s">
        <v>588</v>
      </c>
      <c r="D11" s="58" t="s">
        <v>589</v>
      </c>
    </row>
    <row r="12" spans="1:4">
      <c r="A12" s="58" t="s">
        <v>590</v>
      </c>
      <c r="B12" s="58">
        <v>540874</v>
      </c>
      <c r="C12" s="58" t="s">
        <v>588</v>
      </c>
      <c r="D12" s="58" t="s">
        <v>591</v>
      </c>
    </row>
    <row r="13" spans="1:4">
      <c r="A13" s="58" t="s">
        <v>592</v>
      </c>
      <c r="B13" s="58">
        <v>512161</v>
      </c>
      <c r="C13" s="58" t="s">
        <v>593</v>
      </c>
      <c r="D13" s="58" t="s">
        <v>594</v>
      </c>
    </row>
    <row r="14" spans="1:4">
      <c r="A14" s="58" t="s">
        <v>595</v>
      </c>
      <c r="B14" s="58">
        <v>540697</v>
      </c>
      <c r="C14" s="58" t="s">
        <v>588</v>
      </c>
      <c r="D14" s="58" t="s">
        <v>596</v>
      </c>
    </row>
    <row r="15" spans="1:4">
      <c r="A15" s="58" t="s">
        <v>597</v>
      </c>
      <c r="B15" s="58" t="s">
        <v>588</v>
      </c>
      <c r="C15" s="58" t="s">
        <v>598</v>
      </c>
      <c r="D15" s="58" t="s">
        <v>599</v>
      </c>
    </row>
    <row r="16" spans="1:4">
      <c r="A16" s="58" t="s">
        <v>600</v>
      </c>
      <c r="B16" s="58">
        <v>539620</v>
      </c>
      <c r="C16" s="58" t="s">
        <v>588</v>
      </c>
      <c r="D16" s="58" t="s">
        <v>601</v>
      </c>
    </row>
    <row r="17" spans="1:4">
      <c r="A17" s="58" t="s">
        <v>602</v>
      </c>
      <c r="B17" s="58">
        <v>539300</v>
      </c>
      <c r="C17" s="58" t="s">
        <v>588</v>
      </c>
      <c r="D17" s="58" t="s">
        <v>603</v>
      </c>
    </row>
    <row r="18" spans="1:4">
      <c r="A18" s="58" t="s">
        <v>604</v>
      </c>
      <c r="B18" s="58">
        <v>530499</v>
      </c>
      <c r="C18" s="58" t="s">
        <v>588</v>
      </c>
      <c r="D18" s="58" t="s">
        <v>605</v>
      </c>
    </row>
    <row r="19" spans="1:4">
      <c r="A19" s="58" t="s">
        <v>606</v>
      </c>
      <c r="B19" s="58">
        <v>538351</v>
      </c>
      <c r="C19" s="58" t="s">
        <v>607</v>
      </c>
      <c r="D19" s="58" t="s">
        <v>608</v>
      </c>
    </row>
    <row r="20" spans="1:4">
      <c r="A20" s="58" t="s">
        <v>609</v>
      </c>
      <c r="B20" s="58">
        <v>542012</v>
      </c>
      <c r="C20" s="58" t="s">
        <v>588</v>
      </c>
      <c r="D20" s="58" t="s">
        <v>610</v>
      </c>
    </row>
    <row r="21" spans="1:4">
      <c r="A21" s="58" t="s">
        <v>611</v>
      </c>
      <c r="B21" s="58">
        <v>533292</v>
      </c>
      <c r="C21" s="58" t="s">
        <v>612</v>
      </c>
      <c r="D21" s="58" t="s">
        <v>613</v>
      </c>
    </row>
    <row r="22" spans="1:4">
      <c r="A22" s="58" t="s">
        <v>614</v>
      </c>
      <c r="B22" s="58">
        <v>531611</v>
      </c>
      <c r="C22" s="58" t="s">
        <v>588</v>
      </c>
      <c r="D22" s="58" t="s">
        <v>605</v>
      </c>
    </row>
    <row r="23" spans="1:4">
      <c r="A23" s="58" t="s">
        <v>615</v>
      </c>
      <c r="B23" s="58">
        <v>531611</v>
      </c>
      <c r="C23" s="58" t="s">
        <v>588</v>
      </c>
      <c r="D23" s="58" t="s">
        <v>605</v>
      </c>
    </row>
    <row r="24" spans="1:4">
      <c r="A24" s="58" t="s">
        <v>616</v>
      </c>
      <c r="B24" s="58" t="s">
        <v>588</v>
      </c>
      <c r="C24" s="58" t="s">
        <v>617</v>
      </c>
      <c r="D24" s="58" t="s">
        <v>599</v>
      </c>
    </row>
    <row r="25" spans="1:4">
      <c r="A25" s="58" t="s">
        <v>618</v>
      </c>
      <c r="B25" s="58">
        <v>539096</v>
      </c>
      <c r="C25" s="58" t="s">
        <v>588</v>
      </c>
      <c r="D25" s="58" t="s">
        <v>603</v>
      </c>
    </row>
    <row r="26" spans="1:4">
      <c r="A26" s="58" t="s">
        <v>619</v>
      </c>
      <c r="B26" s="58">
        <v>538812</v>
      </c>
      <c r="C26" s="58" t="s">
        <v>588</v>
      </c>
      <c r="D26" s="58" t="s">
        <v>620</v>
      </c>
    </row>
    <row r="27" spans="1:4">
      <c r="A27" s="58" t="s">
        <v>621</v>
      </c>
      <c r="B27" s="58">
        <v>539632</v>
      </c>
      <c r="C27" s="58" t="s">
        <v>588</v>
      </c>
      <c r="D27" s="58" t="s">
        <v>622</v>
      </c>
    </row>
    <row r="28" spans="1:4">
      <c r="A28" s="58" t="s">
        <v>623</v>
      </c>
      <c r="B28" s="58">
        <v>542377</v>
      </c>
      <c r="C28" s="58" t="s">
        <v>624</v>
      </c>
      <c r="D28" s="58" t="s">
        <v>605</v>
      </c>
    </row>
    <row r="29" spans="1:4">
      <c r="A29" s="58" t="s">
        <v>625</v>
      </c>
      <c r="B29" s="58">
        <v>524412</v>
      </c>
      <c r="C29" s="58" t="s">
        <v>588</v>
      </c>
      <c r="D29" s="58" t="s">
        <v>626</v>
      </c>
    </row>
    <row r="30" spans="1:4">
      <c r="A30" s="58" t="s">
        <v>627</v>
      </c>
      <c r="B30" s="58" t="s">
        <v>588</v>
      </c>
      <c r="C30" s="58" t="s">
        <v>628</v>
      </c>
      <c r="D30" s="58" t="s">
        <v>599</v>
      </c>
    </row>
    <row r="31" spans="1:4">
      <c r="A31" s="58" t="s">
        <v>629</v>
      </c>
      <c r="B31" s="58">
        <v>542580</v>
      </c>
      <c r="C31" s="58" t="s">
        <v>630</v>
      </c>
      <c r="D31" s="58" t="s">
        <v>631</v>
      </c>
    </row>
    <row r="32" spans="1:4">
      <c r="A32" s="58" t="s">
        <v>632</v>
      </c>
      <c r="B32" s="58">
        <v>524348</v>
      </c>
      <c r="C32" s="58" t="s">
        <v>633</v>
      </c>
      <c r="D32" s="58" t="s">
        <v>626</v>
      </c>
    </row>
    <row r="33" spans="1:4">
      <c r="A33" s="58" t="s">
        <v>634</v>
      </c>
      <c r="B33" s="58">
        <v>524208</v>
      </c>
      <c r="C33" s="58" t="s">
        <v>635</v>
      </c>
      <c r="D33" s="58" t="s">
        <v>636</v>
      </c>
    </row>
    <row r="34" spans="1:4">
      <c r="A34" s="58" t="s">
        <v>637</v>
      </c>
      <c r="B34" s="58">
        <v>526488</v>
      </c>
      <c r="C34" s="58" t="s">
        <v>588</v>
      </c>
      <c r="D34" s="58" t="s">
        <v>603</v>
      </c>
    </row>
    <row r="35" spans="1:4">
      <c r="A35" s="58" t="s">
        <v>638</v>
      </c>
      <c r="B35" s="58">
        <v>514274</v>
      </c>
      <c r="C35" s="58" t="s">
        <v>639</v>
      </c>
      <c r="D35" s="58" t="s">
        <v>603</v>
      </c>
    </row>
    <row r="36" spans="1:4">
      <c r="A36" s="58" t="s">
        <v>640</v>
      </c>
      <c r="B36" s="58" t="s">
        <v>588</v>
      </c>
      <c r="C36" s="58" t="s">
        <v>641</v>
      </c>
      <c r="D36" s="58" t="s">
        <v>599</v>
      </c>
    </row>
    <row r="37" spans="1:4">
      <c r="A37" s="58" t="s">
        <v>642</v>
      </c>
      <c r="B37" s="58">
        <v>519319</v>
      </c>
      <c r="C37" s="58" t="s">
        <v>588</v>
      </c>
      <c r="D37" s="58" t="s">
        <v>594</v>
      </c>
    </row>
    <row r="38" spans="1:4">
      <c r="A38" s="58" t="s">
        <v>643</v>
      </c>
      <c r="B38" s="58">
        <v>512038</v>
      </c>
      <c r="C38" s="58" t="s">
        <v>588</v>
      </c>
      <c r="D38" s="58" t="s">
        <v>610</v>
      </c>
    </row>
    <row r="39" spans="1:4">
      <c r="A39" s="58" t="s">
        <v>644</v>
      </c>
      <c r="B39" s="58">
        <v>541988</v>
      </c>
      <c r="C39" s="58" t="s">
        <v>645</v>
      </c>
      <c r="D39" s="58" t="s">
        <v>646</v>
      </c>
    </row>
    <row r="40" spans="1:4">
      <c r="A40" s="58" t="s">
        <v>647</v>
      </c>
      <c r="B40" s="58">
        <v>539528</v>
      </c>
      <c r="C40" s="58" t="s">
        <v>588</v>
      </c>
      <c r="D40" s="58" t="s">
        <v>648</v>
      </c>
    </row>
    <row r="41" spans="1:4">
      <c r="A41" s="58" t="s">
        <v>649</v>
      </c>
      <c r="B41" s="58">
        <v>523204</v>
      </c>
      <c r="C41" s="58" t="s">
        <v>650</v>
      </c>
      <c r="D41" s="58" t="s">
        <v>651</v>
      </c>
    </row>
    <row r="42" spans="1:4">
      <c r="A42" s="58" t="s">
        <v>652</v>
      </c>
      <c r="B42" s="58">
        <v>512165</v>
      </c>
      <c r="C42" s="58" t="s">
        <v>588</v>
      </c>
      <c r="D42" s="58" t="s">
        <v>610</v>
      </c>
    </row>
    <row r="43" spans="1:4">
      <c r="A43" s="58" t="s">
        <v>653</v>
      </c>
      <c r="B43" s="58">
        <v>500002</v>
      </c>
      <c r="C43" s="58" t="s">
        <v>654</v>
      </c>
      <c r="D43" s="58" t="s">
        <v>631</v>
      </c>
    </row>
    <row r="44" spans="1:4">
      <c r="A44" s="58" t="s">
        <v>655</v>
      </c>
      <c r="B44" s="58">
        <v>500488</v>
      </c>
      <c r="C44" s="58" t="s">
        <v>656</v>
      </c>
      <c r="D44" s="58" t="s">
        <v>626</v>
      </c>
    </row>
    <row r="45" spans="1:4">
      <c r="A45" s="58" t="s">
        <v>657</v>
      </c>
      <c r="B45" s="58">
        <v>500488</v>
      </c>
      <c r="C45" s="58" t="s">
        <v>658</v>
      </c>
      <c r="D45" s="58" t="s">
        <v>626</v>
      </c>
    </row>
    <row r="46" spans="1:4">
      <c r="A46" s="58" t="s">
        <v>659</v>
      </c>
      <c r="B46" s="58">
        <v>520123</v>
      </c>
      <c r="C46" s="58" t="s">
        <v>588</v>
      </c>
      <c r="D46" s="58" t="s">
        <v>660</v>
      </c>
    </row>
    <row r="47" spans="1:4">
      <c r="A47" s="58" t="s">
        <v>661</v>
      </c>
      <c r="B47" s="58">
        <v>513119</v>
      </c>
      <c r="C47" s="58" t="s">
        <v>588</v>
      </c>
      <c r="D47" s="58" t="s">
        <v>662</v>
      </c>
    </row>
    <row r="48" spans="1:4">
      <c r="A48" s="58" t="s">
        <v>663</v>
      </c>
      <c r="B48" s="58">
        <v>520123</v>
      </c>
      <c r="C48" s="58" t="s">
        <v>588</v>
      </c>
      <c r="D48" s="58" t="s">
        <v>660</v>
      </c>
    </row>
    <row r="49" spans="1:4">
      <c r="A49" s="58" t="s">
        <v>664</v>
      </c>
      <c r="B49" s="58">
        <v>532682</v>
      </c>
      <c r="C49" s="58" t="s">
        <v>665</v>
      </c>
      <c r="D49" s="58" t="s">
        <v>666</v>
      </c>
    </row>
    <row r="50" spans="1:4">
      <c r="A50" s="58" t="s">
        <v>667</v>
      </c>
      <c r="B50" s="58">
        <v>539560</v>
      </c>
      <c r="C50" s="58" t="s">
        <v>588</v>
      </c>
      <c r="D50" s="58" t="s">
        <v>668</v>
      </c>
    </row>
    <row r="51" spans="1:4">
      <c r="A51" s="58" t="s">
        <v>669</v>
      </c>
      <c r="B51" s="58">
        <v>532057</v>
      </c>
      <c r="C51" s="58" t="s">
        <v>588</v>
      </c>
      <c r="D51" s="58" t="s">
        <v>605</v>
      </c>
    </row>
    <row r="52" spans="1:4">
      <c r="A52" s="58" t="s">
        <v>670</v>
      </c>
      <c r="B52" s="58">
        <v>538952</v>
      </c>
      <c r="C52" s="58" t="s">
        <v>588</v>
      </c>
      <c r="D52" s="58" t="s">
        <v>605</v>
      </c>
    </row>
    <row r="53" spans="1:4">
      <c r="A53" s="58" t="s">
        <v>671</v>
      </c>
      <c r="B53" s="58">
        <v>538935</v>
      </c>
      <c r="C53" s="58" t="s">
        <v>588</v>
      </c>
      <c r="D53" s="58" t="s">
        <v>672</v>
      </c>
    </row>
    <row r="54" spans="1:4">
      <c r="A54" s="58" t="s">
        <v>673</v>
      </c>
      <c r="B54" s="58">
        <v>539544</v>
      </c>
      <c r="C54" s="58" t="s">
        <v>588</v>
      </c>
      <c r="D54" s="58" t="s">
        <v>674</v>
      </c>
    </row>
    <row r="55" spans="1:4">
      <c r="A55" s="58" t="s">
        <v>675</v>
      </c>
      <c r="B55" s="58">
        <v>511756</v>
      </c>
      <c r="C55" s="58" t="s">
        <v>588</v>
      </c>
      <c r="D55" s="58" t="s">
        <v>605</v>
      </c>
    </row>
    <row r="56" spans="1:4">
      <c r="A56" s="58" t="s">
        <v>676</v>
      </c>
      <c r="B56" s="58">
        <v>511756</v>
      </c>
      <c r="C56" s="58" t="s">
        <v>588</v>
      </c>
      <c r="D56" s="58" t="s">
        <v>605</v>
      </c>
    </row>
    <row r="57" spans="1:4">
      <c r="A57" s="58" t="s">
        <v>677</v>
      </c>
      <c r="B57" s="58" t="s">
        <v>588</v>
      </c>
      <c r="C57" s="58" t="s">
        <v>678</v>
      </c>
      <c r="D57" s="58" t="s">
        <v>679</v>
      </c>
    </row>
    <row r="58" spans="1:4">
      <c r="A58" s="58" t="s">
        <v>680</v>
      </c>
      <c r="B58" s="58">
        <v>531161</v>
      </c>
      <c r="C58" s="58" t="s">
        <v>588</v>
      </c>
      <c r="D58" s="58" t="s">
        <v>681</v>
      </c>
    </row>
    <row r="59" spans="1:4">
      <c r="A59" s="58" t="s">
        <v>682</v>
      </c>
      <c r="B59" s="58">
        <v>500410</v>
      </c>
      <c r="C59" s="58" t="s">
        <v>683</v>
      </c>
      <c r="D59" s="58" t="s">
        <v>601</v>
      </c>
    </row>
    <row r="60" spans="1:4">
      <c r="A60" s="58" t="s">
        <v>684</v>
      </c>
      <c r="B60" s="58">
        <v>517494</v>
      </c>
      <c r="C60" s="58" t="s">
        <v>588</v>
      </c>
      <c r="D60" s="58" t="s">
        <v>685</v>
      </c>
    </row>
    <row r="61" spans="1:4">
      <c r="A61" s="58" t="s">
        <v>686</v>
      </c>
      <c r="B61" s="58">
        <v>532268</v>
      </c>
      <c r="C61" s="58" t="s">
        <v>687</v>
      </c>
      <c r="D61" s="58" t="s">
        <v>574</v>
      </c>
    </row>
    <row r="62" spans="1:4">
      <c r="A62" s="58" t="s">
        <v>688</v>
      </c>
      <c r="B62" s="58" t="s">
        <v>588</v>
      </c>
      <c r="C62" s="58" t="s">
        <v>689</v>
      </c>
      <c r="D62" s="58" t="s">
        <v>599</v>
      </c>
    </row>
    <row r="63" spans="1:4">
      <c r="A63" s="58" t="s">
        <v>690</v>
      </c>
      <c r="B63" s="58" t="s">
        <v>588</v>
      </c>
      <c r="C63" s="58" t="s">
        <v>691</v>
      </c>
      <c r="D63" s="58" t="s">
        <v>599</v>
      </c>
    </row>
    <row r="64" spans="1:4">
      <c r="A64" s="58" t="s">
        <v>692</v>
      </c>
      <c r="B64" s="58">
        <v>530093</v>
      </c>
      <c r="C64" s="58" t="s">
        <v>588</v>
      </c>
      <c r="D64" s="58" t="s">
        <v>693</v>
      </c>
    </row>
    <row r="65" spans="1:4">
      <c r="A65" s="58" t="s">
        <v>694</v>
      </c>
      <c r="B65" s="58" t="s">
        <v>588</v>
      </c>
      <c r="C65" s="58" t="s">
        <v>695</v>
      </c>
      <c r="D65" s="58" t="s">
        <v>599</v>
      </c>
    </row>
    <row r="66" spans="1:4">
      <c r="A66" s="58" t="s">
        <v>696</v>
      </c>
      <c r="B66" s="58">
        <v>539661</v>
      </c>
      <c r="C66" s="58" t="s">
        <v>588</v>
      </c>
      <c r="D66" s="58" t="s">
        <v>622</v>
      </c>
    </row>
    <row r="67" spans="1:4">
      <c r="A67" s="58" t="s">
        <v>697</v>
      </c>
      <c r="B67" s="58">
        <v>531525</v>
      </c>
      <c r="C67" s="58" t="s">
        <v>588</v>
      </c>
      <c r="D67" s="58" t="s">
        <v>681</v>
      </c>
    </row>
    <row r="68" spans="1:4">
      <c r="A68" s="58" t="s">
        <v>698</v>
      </c>
      <c r="B68" s="58">
        <v>538570</v>
      </c>
      <c r="C68" s="58" t="s">
        <v>699</v>
      </c>
      <c r="D68" s="58" t="s">
        <v>571</v>
      </c>
    </row>
    <row r="69" spans="1:4">
      <c r="A69" s="58" t="s">
        <v>700</v>
      </c>
      <c r="B69" s="58">
        <v>517356</v>
      </c>
      <c r="C69" s="58" t="s">
        <v>588</v>
      </c>
      <c r="D69" s="58" t="s">
        <v>685</v>
      </c>
    </row>
    <row r="70" spans="1:4">
      <c r="A70" s="58" t="s">
        <v>701</v>
      </c>
      <c r="B70" s="58">
        <v>530043</v>
      </c>
      <c r="C70" s="58" t="s">
        <v>588</v>
      </c>
      <c r="D70" s="58" t="s">
        <v>702</v>
      </c>
    </row>
    <row r="71" spans="1:4">
      <c r="A71" s="58" t="s">
        <v>703</v>
      </c>
      <c r="B71" s="58">
        <v>539391</v>
      </c>
      <c r="C71" s="58" t="s">
        <v>588</v>
      </c>
      <c r="D71" s="58" t="s">
        <v>605</v>
      </c>
    </row>
    <row r="72" spans="1:4">
      <c r="A72" s="58" t="s">
        <v>704</v>
      </c>
      <c r="B72" s="58">
        <v>513149</v>
      </c>
      <c r="C72" s="58" t="s">
        <v>705</v>
      </c>
      <c r="D72" s="58" t="s">
        <v>706</v>
      </c>
    </row>
    <row r="73" spans="1:4">
      <c r="A73" s="58" t="s">
        <v>707</v>
      </c>
      <c r="B73" s="58">
        <v>524091</v>
      </c>
      <c r="C73" s="58" t="s">
        <v>588</v>
      </c>
      <c r="D73" s="58" t="s">
        <v>708</v>
      </c>
    </row>
    <row r="74" spans="1:4">
      <c r="A74" s="58" t="s">
        <v>709</v>
      </c>
      <c r="B74" s="58">
        <v>532762</v>
      </c>
      <c r="C74" s="58" t="s">
        <v>710</v>
      </c>
      <c r="D74" s="58" t="s">
        <v>711</v>
      </c>
    </row>
    <row r="75" spans="1:4">
      <c r="A75" s="58" t="s">
        <v>712</v>
      </c>
      <c r="B75" s="58">
        <v>511706</v>
      </c>
      <c r="C75" s="58" t="s">
        <v>588</v>
      </c>
      <c r="D75" s="58" t="s">
        <v>571</v>
      </c>
    </row>
    <row r="76" spans="1:4">
      <c r="A76" s="58" t="s">
        <v>713</v>
      </c>
      <c r="B76" s="58">
        <v>511706</v>
      </c>
      <c r="C76" s="58" t="s">
        <v>588</v>
      </c>
      <c r="D76" s="58" t="s">
        <v>571</v>
      </c>
    </row>
    <row r="77" spans="1:4">
      <c r="A77" s="58" t="s">
        <v>714</v>
      </c>
      <c r="B77" s="58">
        <v>541144</v>
      </c>
      <c r="C77" s="58" t="s">
        <v>588</v>
      </c>
      <c r="D77" s="58" t="s">
        <v>702</v>
      </c>
    </row>
    <row r="78" spans="1:4">
      <c r="A78" s="58" t="s">
        <v>715</v>
      </c>
      <c r="B78" s="58">
        <v>512599</v>
      </c>
      <c r="C78" s="58" t="s">
        <v>716</v>
      </c>
      <c r="D78" s="58" t="s">
        <v>610</v>
      </c>
    </row>
    <row r="79" spans="1:4">
      <c r="A79" s="58" t="s">
        <v>717</v>
      </c>
      <c r="B79" s="58">
        <v>542066</v>
      </c>
      <c r="C79" s="58" t="s">
        <v>718</v>
      </c>
      <c r="D79" s="58" t="s">
        <v>719</v>
      </c>
    </row>
    <row r="80" spans="1:4">
      <c r="A80" s="58" t="s">
        <v>720</v>
      </c>
      <c r="B80" s="58">
        <v>541450</v>
      </c>
      <c r="C80" s="58" t="s">
        <v>721</v>
      </c>
      <c r="D80" s="58" t="s">
        <v>631</v>
      </c>
    </row>
    <row r="81" spans="1:4">
      <c r="A81" s="58" t="s">
        <v>722</v>
      </c>
      <c r="B81" s="58">
        <v>532921</v>
      </c>
      <c r="C81" s="58" t="s">
        <v>723</v>
      </c>
      <c r="D81" s="58" t="s">
        <v>724</v>
      </c>
    </row>
    <row r="82" spans="1:4">
      <c r="A82" s="58" t="s">
        <v>725</v>
      </c>
      <c r="B82" s="58">
        <v>533096</v>
      </c>
      <c r="C82" s="58" t="s">
        <v>726</v>
      </c>
      <c r="D82" s="58" t="s">
        <v>727</v>
      </c>
    </row>
    <row r="83" spans="1:4">
      <c r="A83" s="58" t="s">
        <v>728</v>
      </c>
      <c r="B83" s="58">
        <v>539254</v>
      </c>
      <c r="C83" s="58" t="s">
        <v>729</v>
      </c>
      <c r="D83" s="58" t="s">
        <v>727</v>
      </c>
    </row>
    <row r="84" spans="1:4">
      <c r="A84" s="58" t="s">
        <v>730</v>
      </c>
      <c r="B84" s="58">
        <v>538563</v>
      </c>
      <c r="C84" s="58" t="s">
        <v>588</v>
      </c>
      <c r="D84" s="58" t="s">
        <v>610</v>
      </c>
    </row>
    <row r="85" spans="1:4">
      <c r="A85" s="58" t="s">
        <v>731</v>
      </c>
      <c r="B85" s="58">
        <v>526711</v>
      </c>
      <c r="C85" s="58" t="s">
        <v>588</v>
      </c>
      <c r="D85" s="58" t="s">
        <v>732</v>
      </c>
    </row>
    <row r="86" spans="1:4">
      <c r="A86" s="58" t="s">
        <v>733</v>
      </c>
      <c r="B86" s="58">
        <v>523411</v>
      </c>
      <c r="C86" s="58" t="s">
        <v>588</v>
      </c>
      <c r="D86" s="58" t="s">
        <v>734</v>
      </c>
    </row>
    <row r="87" spans="1:4">
      <c r="A87" s="58" t="s">
        <v>735</v>
      </c>
      <c r="B87" s="58">
        <v>539506</v>
      </c>
      <c r="C87" s="58" t="s">
        <v>588</v>
      </c>
      <c r="D87" s="58" t="s">
        <v>605</v>
      </c>
    </row>
    <row r="88" spans="1:4">
      <c r="A88" s="58" t="s">
        <v>736</v>
      </c>
      <c r="B88" s="58">
        <v>507852</v>
      </c>
      <c r="C88" s="58" t="s">
        <v>588</v>
      </c>
      <c r="D88" s="58" t="s">
        <v>702</v>
      </c>
    </row>
    <row r="89" spans="1:4">
      <c r="A89" s="58" t="s">
        <v>737</v>
      </c>
      <c r="B89" s="58">
        <v>541865</v>
      </c>
      <c r="C89" s="58" t="s">
        <v>588</v>
      </c>
      <c r="D89" s="58" t="s">
        <v>622</v>
      </c>
    </row>
    <row r="90" spans="1:4">
      <c r="A90" s="58" t="s">
        <v>738</v>
      </c>
      <c r="B90" s="58">
        <v>519183</v>
      </c>
      <c r="C90" s="58" t="s">
        <v>739</v>
      </c>
      <c r="D90" s="58" t="s">
        <v>648</v>
      </c>
    </row>
    <row r="91" spans="1:4">
      <c r="A91" s="58" t="s">
        <v>740</v>
      </c>
      <c r="B91" s="58">
        <v>539493</v>
      </c>
      <c r="C91" s="58" t="s">
        <v>588</v>
      </c>
      <c r="D91" s="58" t="s">
        <v>605</v>
      </c>
    </row>
    <row r="92" spans="1:4">
      <c r="A92" s="58" t="s">
        <v>741</v>
      </c>
      <c r="B92" s="58">
        <v>539189</v>
      </c>
      <c r="C92" s="58" t="s">
        <v>588</v>
      </c>
      <c r="D92" s="58" t="s">
        <v>674</v>
      </c>
    </row>
    <row r="93" spans="1:4">
      <c r="A93" s="58" t="s">
        <v>742</v>
      </c>
      <c r="B93" s="58">
        <v>780018</v>
      </c>
      <c r="C93" s="58" t="s">
        <v>588</v>
      </c>
      <c r="D93" s="58" t="s">
        <v>679</v>
      </c>
    </row>
    <row r="94" spans="1:4">
      <c r="A94" s="58" t="s">
        <v>743</v>
      </c>
      <c r="B94" s="58">
        <v>538365</v>
      </c>
      <c r="C94" s="58" t="s">
        <v>744</v>
      </c>
      <c r="D94" s="58" t="s">
        <v>620</v>
      </c>
    </row>
    <row r="95" spans="1:4">
      <c r="A95" s="58" t="s">
        <v>745</v>
      </c>
      <c r="B95" s="58">
        <v>532727</v>
      </c>
      <c r="C95" s="58" t="s">
        <v>746</v>
      </c>
      <c r="D95" s="58" t="s">
        <v>620</v>
      </c>
    </row>
    <row r="96" spans="1:4">
      <c r="A96" s="58" t="s">
        <v>747</v>
      </c>
      <c r="B96" s="58">
        <v>531592</v>
      </c>
      <c r="C96" s="58" t="s">
        <v>588</v>
      </c>
      <c r="D96" s="58" t="s">
        <v>748</v>
      </c>
    </row>
    <row r="97" spans="1:4">
      <c r="A97" s="58" t="s">
        <v>749</v>
      </c>
      <c r="B97" s="58">
        <v>532056</v>
      </c>
      <c r="C97" s="58" t="s">
        <v>588</v>
      </c>
      <c r="D97" s="58" t="s">
        <v>608</v>
      </c>
    </row>
    <row r="98" spans="1:4">
      <c r="A98" s="58" t="s">
        <v>750</v>
      </c>
      <c r="B98" s="58">
        <v>514113</v>
      </c>
      <c r="C98" s="58" t="s">
        <v>588</v>
      </c>
      <c r="D98" s="58" t="s">
        <v>603</v>
      </c>
    </row>
    <row r="99" spans="1:4">
      <c r="A99" s="58" t="s">
        <v>751</v>
      </c>
      <c r="B99" s="58">
        <v>534707</v>
      </c>
      <c r="C99" s="58" t="s">
        <v>588</v>
      </c>
      <c r="D99" s="58" t="s">
        <v>702</v>
      </c>
    </row>
    <row r="100" spans="1:4">
      <c r="A100" s="58" t="s">
        <v>752</v>
      </c>
      <c r="B100" s="58">
        <v>540691</v>
      </c>
      <c r="C100" s="58" t="s">
        <v>753</v>
      </c>
      <c r="D100" s="58" t="s">
        <v>754</v>
      </c>
    </row>
    <row r="101" spans="1:4">
      <c r="A101" s="58" t="s">
        <v>755</v>
      </c>
      <c r="B101" s="58">
        <v>535755</v>
      </c>
      <c r="C101" s="58" t="s">
        <v>756</v>
      </c>
      <c r="D101" s="58" t="s">
        <v>757</v>
      </c>
    </row>
    <row r="102" spans="1:4">
      <c r="A102" s="58" t="s">
        <v>758</v>
      </c>
      <c r="B102" s="58">
        <v>532974</v>
      </c>
      <c r="C102" s="58" t="s">
        <v>759</v>
      </c>
      <c r="D102" s="58" t="s">
        <v>571</v>
      </c>
    </row>
    <row r="103" spans="1:4">
      <c r="A103" s="58" t="s">
        <v>760</v>
      </c>
      <c r="B103" s="58">
        <v>540146</v>
      </c>
      <c r="C103" s="58" t="s">
        <v>588</v>
      </c>
      <c r="D103" s="58" t="s">
        <v>622</v>
      </c>
    </row>
    <row r="104" spans="1:4">
      <c r="A104" s="58" t="s">
        <v>761</v>
      </c>
      <c r="B104" s="58">
        <v>513513</v>
      </c>
      <c r="C104" s="58" t="s">
        <v>588</v>
      </c>
      <c r="D104" s="58" t="s">
        <v>620</v>
      </c>
    </row>
    <row r="105" spans="1:4">
      <c r="A105" s="58" t="s">
        <v>762</v>
      </c>
      <c r="B105" s="58">
        <v>521141</v>
      </c>
      <c r="C105" s="58" t="s">
        <v>588</v>
      </c>
      <c r="D105" s="58" t="s">
        <v>603</v>
      </c>
    </row>
    <row r="106" spans="1:4">
      <c r="A106" s="58" t="s">
        <v>763</v>
      </c>
      <c r="B106" s="58">
        <v>540205</v>
      </c>
      <c r="C106" s="58" t="s">
        <v>588</v>
      </c>
      <c r="D106" s="58" t="s">
        <v>610</v>
      </c>
    </row>
    <row r="107" spans="1:4">
      <c r="A107" s="58" t="s">
        <v>764</v>
      </c>
      <c r="B107" s="58">
        <v>539056</v>
      </c>
      <c r="C107" s="58" t="s">
        <v>765</v>
      </c>
      <c r="D107" s="58" t="s">
        <v>766</v>
      </c>
    </row>
    <row r="108" spans="1:4">
      <c r="A108" s="58" t="s">
        <v>767</v>
      </c>
      <c r="B108" s="58">
        <v>511359</v>
      </c>
      <c r="C108" s="58" t="s">
        <v>588</v>
      </c>
      <c r="D108" s="58" t="s">
        <v>605</v>
      </c>
    </row>
    <row r="109" spans="1:4">
      <c r="A109" s="58" t="s">
        <v>768</v>
      </c>
      <c r="B109" s="58">
        <v>530431</v>
      </c>
      <c r="C109" s="58" t="s">
        <v>588</v>
      </c>
      <c r="D109" s="58" t="s">
        <v>610</v>
      </c>
    </row>
    <row r="110" spans="1:4">
      <c r="A110" s="58" t="s">
        <v>769</v>
      </c>
      <c r="B110" s="58">
        <v>523120</v>
      </c>
      <c r="C110" s="58" t="s">
        <v>588</v>
      </c>
      <c r="D110" s="58" t="s">
        <v>770</v>
      </c>
    </row>
    <row r="111" spans="1:4">
      <c r="A111" s="58" t="s">
        <v>771</v>
      </c>
      <c r="B111" s="58">
        <v>517041</v>
      </c>
      <c r="C111" s="58" t="s">
        <v>772</v>
      </c>
      <c r="D111" s="58" t="s">
        <v>773</v>
      </c>
    </row>
    <row r="112" spans="1:4">
      <c r="A112" s="58" t="s">
        <v>774</v>
      </c>
      <c r="B112" s="58">
        <v>532172</v>
      </c>
      <c r="C112" s="58" t="s">
        <v>775</v>
      </c>
      <c r="D112" s="58" t="s">
        <v>574</v>
      </c>
    </row>
    <row r="113" spans="1:4">
      <c r="A113" s="58" t="s">
        <v>776</v>
      </c>
      <c r="B113" s="58">
        <v>523031</v>
      </c>
      <c r="C113" s="58" t="s">
        <v>588</v>
      </c>
      <c r="D113" s="58" t="s">
        <v>777</v>
      </c>
    </row>
    <row r="114" spans="1:4">
      <c r="A114" s="58" t="s">
        <v>778</v>
      </c>
      <c r="B114" s="58">
        <v>521048</v>
      </c>
      <c r="C114" s="58" t="s">
        <v>588</v>
      </c>
      <c r="D114" s="58" t="s">
        <v>603</v>
      </c>
    </row>
    <row r="115" spans="1:4">
      <c r="A115" s="58" t="s">
        <v>779</v>
      </c>
      <c r="B115" s="58">
        <v>534612</v>
      </c>
      <c r="C115" s="58" t="s">
        <v>588</v>
      </c>
      <c r="D115" s="58" t="s">
        <v>727</v>
      </c>
    </row>
    <row r="116" spans="1:4">
      <c r="A116" s="58" t="s">
        <v>780</v>
      </c>
      <c r="B116" s="58">
        <v>506947</v>
      </c>
      <c r="C116" s="58" t="s">
        <v>588</v>
      </c>
      <c r="D116" s="58" t="s">
        <v>636</v>
      </c>
    </row>
    <row r="117" spans="1:4">
      <c r="A117" s="58" t="s">
        <v>781</v>
      </c>
      <c r="B117" s="58">
        <v>531047</v>
      </c>
      <c r="C117" s="58" t="s">
        <v>588</v>
      </c>
      <c r="D117" s="58" t="s">
        <v>605</v>
      </c>
    </row>
    <row r="118" spans="1:4">
      <c r="A118" s="58" t="s">
        <v>782</v>
      </c>
      <c r="B118" s="58">
        <v>539982</v>
      </c>
      <c r="C118" s="58" t="s">
        <v>588</v>
      </c>
      <c r="D118" s="58" t="s">
        <v>783</v>
      </c>
    </row>
    <row r="119" spans="1:4">
      <c r="A119" s="58" t="s">
        <v>784</v>
      </c>
      <c r="B119" s="58">
        <v>540025</v>
      </c>
      <c r="C119" s="58" t="s">
        <v>785</v>
      </c>
      <c r="D119" s="58" t="s">
        <v>786</v>
      </c>
    </row>
    <row r="120" spans="1:4">
      <c r="A120" s="58" t="s">
        <v>787</v>
      </c>
      <c r="B120" s="58">
        <v>523269</v>
      </c>
      <c r="C120" s="58" t="s">
        <v>788</v>
      </c>
      <c r="D120" s="58" t="s">
        <v>789</v>
      </c>
    </row>
    <row r="121" spans="1:4">
      <c r="A121" s="58" t="s">
        <v>790</v>
      </c>
      <c r="B121" s="58">
        <v>523269</v>
      </c>
      <c r="C121" s="58" t="s">
        <v>788</v>
      </c>
      <c r="D121" s="58" t="s">
        <v>789</v>
      </c>
    </row>
    <row r="122" spans="1:4">
      <c r="A122" s="58" t="s">
        <v>791</v>
      </c>
      <c r="B122" s="58">
        <v>531429</v>
      </c>
      <c r="C122" s="58" t="s">
        <v>588</v>
      </c>
      <c r="D122" s="58" t="s">
        <v>681</v>
      </c>
    </row>
    <row r="123" spans="1:4">
      <c r="A123" s="58" t="s">
        <v>792</v>
      </c>
      <c r="B123" s="58">
        <v>539773</v>
      </c>
      <c r="C123" s="58" t="s">
        <v>588</v>
      </c>
      <c r="D123" s="58" t="s">
        <v>605</v>
      </c>
    </row>
    <row r="124" spans="1:4">
      <c r="A124" s="58" t="s">
        <v>793</v>
      </c>
      <c r="B124" s="58">
        <v>531686</v>
      </c>
      <c r="C124" s="58" t="s">
        <v>588</v>
      </c>
      <c r="D124" s="58" t="s">
        <v>626</v>
      </c>
    </row>
    <row r="125" spans="1:4">
      <c r="A125" s="58" t="s">
        <v>794</v>
      </c>
      <c r="B125" s="58">
        <v>541152</v>
      </c>
      <c r="C125" s="58" t="s">
        <v>588</v>
      </c>
      <c r="D125" s="58" t="s">
        <v>610</v>
      </c>
    </row>
    <row r="126" spans="1:4">
      <c r="A126" s="58" t="s">
        <v>795</v>
      </c>
      <c r="B126" s="58">
        <v>541152</v>
      </c>
      <c r="C126" s="58" t="s">
        <v>588</v>
      </c>
      <c r="D126" s="58" t="s">
        <v>610</v>
      </c>
    </row>
    <row r="127" spans="1:4">
      <c r="A127" s="58" t="s">
        <v>796</v>
      </c>
      <c r="B127" s="58">
        <v>500003</v>
      </c>
      <c r="C127" s="58" t="s">
        <v>797</v>
      </c>
      <c r="D127" s="58" t="s">
        <v>798</v>
      </c>
    </row>
    <row r="128" spans="1:4">
      <c r="A128" s="58" t="s">
        <v>799</v>
      </c>
      <c r="B128" s="58">
        <v>541402</v>
      </c>
      <c r="C128" s="58" t="s">
        <v>588</v>
      </c>
      <c r="D128" s="58" t="s">
        <v>596</v>
      </c>
    </row>
    <row r="129" spans="1:4">
      <c r="A129" s="58" t="s">
        <v>800</v>
      </c>
      <c r="B129" s="58">
        <v>531921</v>
      </c>
      <c r="C129" s="58" t="s">
        <v>801</v>
      </c>
      <c r="D129" s="58" t="s">
        <v>802</v>
      </c>
    </row>
    <row r="130" spans="1:4">
      <c r="A130" s="58" t="s">
        <v>803</v>
      </c>
      <c r="B130" s="58">
        <v>500463</v>
      </c>
      <c r="C130" s="58" t="s">
        <v>804</v>
      </c>
      <c r="D130" s="58" t="s">
        <v>574</v>
      </c>
    </row>
    <row r="131" spans="1:4">
      <c r="A131" s="58" t="s">
        <v>805</v>
      </c>
      <c r="B131" s="58">
        <v>539042</v>
      </c>
      <c r="C131" s="58" t="s">
        <v>588</v>
      </c>
      <c r="D131" s="58" t="s">
        <v>674</v>
      </c>
    </row>
    <row r="132" spans="1:4">
      <c r="A132" s="58" t="s">
        <v>806</v>
      </c>
      <c r="B132" s="58">
        <v>516020</v>
      </c>
      <c r="C132" s="58" t="s">
        <v>588</v>
      </c>
      <c r="D132" s="58" t="s">
        <v>582</v>
      </c>
    </row>
    <row r="133" spans="1:4">
      <c r="A133" s="58" t="s">
        <v>807</v>
      </c>
      <c r="B133" s="58">
        <v>537492</v>
      </c>
      <c r="C133" s="58" t="s">
        <v>588</v>
      </c>
      <c r="D133" s="58" t="s">
        <v>610</v>
      </c>
    </row>
    <row r="134" spans="1:4">
      <c r="A134" s="58" t="s">
        <v>808</v>
      </c>
      <c r="B134" s="58">
        <v>537292</v>
      </c>
      <c r="C134" s="58" t="s">
        <v>809</v>
      </c>
      <c r="D134" s="58" t="s">
        <v>786</v>
      </c>
    </row>
    <row r="135" spans="1:4">
      <c r="A135" s="58" t="s">
        <v>810</v>
      </c>
      <c r="B135" s="58">
        <v>537292</v>
      </c>
      <c r="C135" s="58" t="s">
        <v>809</v>
      </c>
      <c r="D135" s="58" t="s">
        <v>786</v>
      </c>
    </row>
    <row r="136" spans="1:4">
      <c r="A136" s="58" t="s">
        <v>811</v>
      </c>
      <c r="B136" s="58" t="s">
        <v>588</v>
      </c>
      <c r="C136" s="58" t="s">
        <v>812</v>
      </c>
      <c r="D136" s="58" t="s">
        <v>599</v>
      </c>
    </row>
    <row r="137" spans="1:4">
      <c r="A137" s="58" t="s">
        <v>813</v>
      </c>
      <c r="B137" s="58" t="s">
        <v>588</v>
      </c>
      <c r="C137" s="58" t="s">
        <v>812</v>
      </c>
      <c r="D137" s="58" t="s">
        <v>599</v>
      </c>
    </row>
    <row r="138" spans="1:4">
      <c r="A138" s="58" t="s">
        <v>814</v>
      </c>
      <c r="B138" s="58">
        <v>500215</v>
      </c>
      <c r="C138" s="58" t="s">
        <v>815</v>
      </c>
      <c r="D138" s="58" t="s">
        <v>786</v>
      </c>
    </row>
    <row r="139" spans="1:4">
      <c r="A139" s="58" t="s">
        <v>816</v>
      </c>
      <c r="B139" s="58" t="s">
        <v>588</v>
      </c>
      <c r="C139" s="58" t="s">
        <v>817</v>
      </c>
      <c r="D139" s="58" t="s">
        <v>599</v>
      </c>
    </row>
    <row r="140" spans="1:4">
      <c r="A140" s="58" t="s">
        <v>818</v>
      </c>
      <c r="B140" s="58" t="s">
        <v>588</v>
      </c>
      <c r="C140" s="58" t="s">
        <v>819</v>
      </c>
      <c r="D140" s="58" t="s">
        <v>599</v>
      </c>
    </row>
    <row r="141" spans="1:4">
      <c r="A141" s="58" t="s">
        <v>820</v>
      </c>
      <c r="B141" s="58">
        <v>532811</v>
      </c>
      <c r="C141" s="58" t="s">
        <v>821</v>
      </c>
      <c r="D141" s="58" t="s">
        <v>674</v>
      </c>
    </row>
    <row r="142" spans="1:4">
      <c r="A142" s="58" t="s">
        <v>822</v>
      </c>
      <c r="B142" s="58">
        <v>532811</v>
      </c>
      <c r="C142" s="58" t="s">
        <v>821</v>
      </c>
      <c r="D142" s="58" t="s">
        <v>674</v>
      </c>
    </row>
    <row r="143" spans="1:4">
      <c r="A143" s="58" t="s">
        <v>823</v>
      </c>
      <c r="B143" s="58">
        <v>522273</v>
      </c>
      <c r="C143" s="58" t="s">
        <v>588</v>
      </c>
      <c r="D143" s="58" t="s">
        <v>620</v>
      </c>
    </row>
    <row r="144" spans="1:4">
      <c r="A144" s="58" t="s">
        <v>824</v>
      </c>
      <c r="B144" s="58">
        <v>532806</v>
      </c>
      <c r="C144" s="58" t="s">
        <v>588</v>
      </c>
      <c r="D144" s="58" t="s">
        <v>825</v>
      </c>
    </row>
    <row r="145" spans="1:4">
      <c r="A145" s="58" t="s">
        <v>826</v>
      </c>
      <c r="B145" s="58">
        <v>532683</v>
      </c>
      <c r="C145" s="58" t="s">
        <v>827</v>
      </c>
      <c r="D145" s="58" t="s">
        <v>773</v>
      </c>
    </row>
    <row r="146" spans="1:4">
      <c r="A146" s="58" t="s">
        <v>828</v>
      </c>
      <c r="B146" s="58">
        <v>524288</v>
      </c>
      <c r="C146" s="58" t="s">
        <v>588</v>
      </c>
      <c r="D146" s="58" t="s">
        <v>732</v>
      </c>
    </row>
    <row r="147" spans="1:4">
      <c r="A147" s="58" t="s">
        <v>829</v>
      </c>
      <c r="B147" s="58" t="s">
        <v>588</v>
      </c>
      <c r="C147" s="58" t="s">
        <v>830</v>
      </c>
      <c r="D147" s="58" t="s">
        <v>599</v>
      </c>
    </row>
    <row r="148" spans="1:4">
      <c r="A148" s="58" t="s">
        <v>831</v>
      </c>
      <c r="B148" s="58" t="s">
        <v>588</v>
      </c>
      <c r="C148" s="58" t="s">
        <v>832</v>
      </c>
      <c r="D148" s="58" t="s">
        <v>599</v>
      </c>
    </row>
    <row r="149" spans="1:4">
      <c r="A149" s="58" t="s">
        <v>833</v>
      </c>
      <c r="B149" s="58">
        <v>532975</v>
      </c>
      <c r="C149" s="58" t="s">
        <v>588</v>
      </c>
      <c r="D149" s="58" t="s">
        <v>734</v>
      </c>
    </row>
    <row r="150" spans="1:4">
      <c r="A150" s="58" t="s">
        <v>834</v>
      </c>
      <c r="B150" s="58">
        <v>532331</v>
      </c>
      <c r="C150" s="58" t="s">
        <v>835</v>
      </c>
      <c r="D150" s="58" t="s">
        <v>626</v>
      </c>
    </row>
    <row r="151" spans="1:4">
      <c r="A151" s="58" t="s">
        <v>836</v>
      </c>
      <c r="B151" s="58">
        <v>519216</v>
      </c>
      <c r="C151" s="58" t="s">
        <v>588</v>
      </c>
      <c r="D151" s="58" t="s">
        <v>837</v>
      </c>
    </row>
    <row r="152" spans="1:4">
      <c r="A152" s="58" t="s">
        <v>838</v>
      </c>
      <c r="B152" s="58">
        <v>511692</v>
      </c>
      <c r="C152" s="58" t="s">
        <v>588</v>
      </c>
      <c r="D152" s="58" t="s">
        <v>571</v>
      </c>
    </row>
    <row r="153" spans="1:4">
      <c r="A153" s="58" t="s">
        <v>839</v>
      </c>
      <c r="B153" s="58">
        <v>530713</v>
      </c>
      <c r="C153" s="58" t="s">
        <v>588</v>
      </c>
      <c r="D153" s="58" t="s">
        <v>574</v>
      </c>
    </row>
    <row r="154" spans="1:4">
      <c r="A154" s="58" t="s">
        <v>840</v>
      </c>
      <c r="B154" s="58">
        <v>513349</v>
      </c>
      <c r="C154" s="58" t="s">
        <v>841</v>
      </c>
      <c r="D154" s="58" t="s">
        <v>674</v>
      </c>
    </row>
    <row r="155" spans="1:4">
      <c r="A155" s="58" t="s">
        <v>842</v>
      </c>
      <c r="B155" s="58">
        <v>513349</v>
      </c>
      <c r="C155" s="58" t="s">
        <v>841</v>
      </c>
      <c r="D155" s="58" t="s">
        <v>674</v>
      </c>
    </row>
    <row r="156" spans="1:4">
      <c r="A156" s="58" t="s">
        <v>843</v>
      </c>
      <c r="B156" s="58" t="s">
        <v>588</v>
      </c>
      <c r="C156" s="58" t="s">
        <v>844</v>
      </c>
      <c r="D156" s="58" t="s">
        <v>599</v>
      </c>
    </row>
    <row r="157" spans="1:4">
      <c r="A157" s="58" t="s">
        <v>845</v>
      </c>
      <c r="B157" s="58">
        <v>526628</v>
      </c>
      <c r="C157" s="58" t="s">
        <v>588</v>
      </c>
      <c r="D157" s="58" t="s">
        <v>766</v>
      </c>
    </row>
    <row r="158" spans="1:4">
      <c r="A158" s="58" t="s">
        <v>846</v>
      </c>
      <c r="B158" s="58">
        <v>530621</v>
      </c>
      <c r="C158" s="58" t="s">
        <v>588</v>
      </c>
      <c r="D158" s="58" t="s">
        <v>596</v>
      </c>
    </row>
    <row r="159" spans="1:4">
      <c r="A159" s="58" t="s">
        <v>847</v>
      </c>
      <c r="B159" s="58" t="s">
        <v>588</v>
      </c>
      <c r="C159" s="58" t="s">
        <v>848</v>
      </c>
      <c r="D159" s="58" t="s">
        <v>599</v>
      </c>
    </row>
    <row r="160" spans="1:4">
      <c r="A160" s="58" t="s">
        <v>849</v>
      </c>
      <c r="B160" s="58">
        <v>538778</v>
      </c>
      <c r="C160" s="58" t="s">
        <v>588</v>
      </c>
      <c r="D160" s="58" t="s">
        <v>605</v>
      </c>
    </row>
    <row r="161" spans="1:4">
      <c r="A161" s="58" t="s">
        <v>850</v>
      </c>
      <c r="B161" s="58" t="s">
        <v>588</v>
      </c>
      <c r="C161" s="58" t="s">
        <v>851</v>
      </c>
      <c r="D161" s="58" t="s">
        <v>599</v>
      </c>
    </row>
    <row r="162" spans="1:4">
      <c r="A162" s="58" t="s">
        <v>852</v>
      </c>
      <c r="B162" s="58">
        <v>542020</v>
      </c>
      <c r="C162" s="58" t="s">
        <v>588</v>
      </c>
      <c r="D162" s="58" t="s">
        <v>702</v>
      </c>
    </row>
    <row r="163" spans="1:4">
      <c r="A163" s="58" t="s">
        <v>853</v>
      </c>
      <c r="B163" s="58">
        <v>542020</v>
      </c>
      <c r="C163" s="58" t="s">
        <v>588</v>
      </c>
      <c r="D163" s="58" t="s">
        <v>702</v>
      </c>
    </row>
    <row r="164" spans="1:4">
      <c r="A164" s="58" t="s">
        <v>854</v>
      </c>
      <c r="B164" s="58">
        <v>540718</v>
      </c>
      <c r="C164" s="58" t="s">
        <v>588</v>
      </c>
      <c r="D164" s="58" t="s">
        <v>603</v>
      </c>
    </row>
    <row r="165" spans="1:4">
      <c r="A165" s="58" t="s">
        <v>855</v>
      </c>
      <c r="B165" s="58">
        <v>539017</v>
      </c>
      <c r="C165" s="58" t="s">
        <v>588</v>
      </c>
      <c r="D165" s="58" t="s">
        <v>646</v>
      </c>
    </row>
    <row r="166" spans="1:4">
      <c r="A166" s="58" t="s">
        <v>856</v>
      </c>
      <c r="B166" s="58">
        <v>532351</v>
      </c>
      <c r="C166" s="58" t="s">
        <v>857</v>
      </c>
      <c r="D166" s="58" t="s">
        <v>858</v>
      </c>
    </row>
    <row r="167" spans="1:4">
      <c r="A167" s="58" t="s">
        <v>859</v>
      </c>
      <c r="B167" s="58">
        <v>541303</v>
      </c>
      <c r="C167" s="58" t="s">
        <v>588</v>
      </c>
      <c r="D167" s="58" t="s">
        <v>603</v>
      </c>
    </row>
    <row r="168" spans="1:4">
      <c r="A168" s="58" t="s">
        <v>860</v>
      </c>
      <c r="B168" s="58">
        <v>524598</v>
      </c>
      <c r="C168" s="58" t="s">
        <v>861</v>
      </c>
      <c r="D168" s="58" t="s">
        <v>748</v>
      </c>
    </row>
    <row r="169" spans="1:4">
      <c r="A169" s="58" t="s">
        <v>862</v>
      </c>
      <c r="B169" s="58">
        <v>524598</v>
      </c>
      <c r="C169" s="58" t="s">
        <v>861</v>
      </c>
      <c r="D169" s="58" t="s">
        <v>748</v>
      </c>
    </row>
    <row r="170" spans="1:4">
      <c r="A170" s="58" t="s">
        <v>863</v>
      </c>
      <c r="B170" s="58">
        <v>500710</v>
      </c>
      <c r="C170" s="58" t="s">
        <v>864</v>
      </c>
      <c r="D170" s="58" t="s">
        <v>865</v>
      </c>
    </row>
    <row r="171" spans="1:4">
      <c r="A171" s="58" t="s">
        <v>866</v>
      </c>
      <c r="B171" s="58">
        <v>500710</v>
      </c>
      <c r="C171" s="58" t="s">
        <v>867</v>
      </c>
      <c r="D171" s="58" t="s">
        <v>865</v>
      </c>
    </row>
    <row r="172" spans="1:4">
      <c r="A172" s="58" t="s">
        <v>868</v>
      </c>
      <c r="B172" s="58">
        <v>535916</v>
      </c>
      <c r="C172" s="58" t="s">
        <v>588</v>
      </c>
      <c r="D172" s="58" t="s">
        <v>571</v>
      </c>
    </row>
    <row r="173" spans="1:4">
      <c r="A173" s="58" t="s">
        <v>869</v>
      </c>
      <c r="B173" s="58">
        <v>539115</v>
      </c>
      <c r="C173" s="58" t="s">
        <v>588</v>
      </c>
      <c r="D173" s="58" t="s">
        <v>591</v>
      </c>
    </row>
    <row r="174" spans="1:4">
      <c r="A174" s="58" t="s">
        <v>870</v>
      </c>
      <c r="B174" s="58">
        <v>531082</v>
      </c>
      <c r="C174" s="58" t="s">
        <v>871</v>
      </c>
      <c r="D174" s="58" t="s">
        <v>571</v>
      </c>
    </row>
    <row r="175" spans="1:4">
      <c r="A175" s="58" t="s">
        <v>872</v>
      </c>
      <c r="B175" s="58">
        <v>524075</v>
      </c>
      <c r="C175" s="58" t="s">
        <v>873</v>
      </c>
      <c r="D175" s="58" t="s">
        <v>626</v>
      </c>
    </row>
    <row r="176" spans="1:4">
      <c r="A176" s="58" t="s">
        <v>874</v>
      </c>
      <c r="B176" s="58">
        <v>531409</v>
      </c>
      <c r="C176" s="58" t="s">
        <v>588</v>
      </c>
      <c r="D176" s="58" t="s">
        <v>636</v>
      </c>
    </row>
    <row r="177" spans="1:4">
      <c r="A177" s="58" t="s">
        <v>875</v>
      </c>
      <c r="B177" s="58">
        <v>526707</v>
      </c>
      <c r="C177" s="58" t="s">
        <v>876</v>
      </c>
      <c r="D177" s="58" t="s">
        <v>610</v>
      </c>
    </row>
    <row r="178" spans="1:4">
      <c r="A178" s="58" t="s">
        <v>877</v>
      </c>
      <c r="B178" s="58">
        <v>532114</v>
      </c>
      <c r="C178" s="58" t="s">
        <v>588</v>
      </c>
      <c r="D178" s="58" t="s">
        <v>674</v>
      </c>
    </row>
    <row r="179" spans="1:4">
      <c r="A179" s="58" t="s">
        <v>878</v>
      </c>
      <c r="B179" s="58">
        <v>506235</v>
      </c>
      <c r="C179" s="58" t="s">
        <v>879</v>
      </c>
      <c r="D179" s="58" t="s">
        <v>626</v>
      </c>
    </row>
    <row r="180" spans="1:4">
      <c r="A180" s="58" t="s">
        <v>880</v>
      </c>
      <c r="B180" s="58">
        <v>533573</v>
      </c>
      <c r="C180" s="58" t="s">
        <v>881</v>
      </c>
      <c r="D180" s="58" t="s">
        <v>626</v>
      </c>
    </row>
    <row r="181" spans="1:4">
      <c r="A181" s="58" t="s">
        <v>882</v>
      </c>
      <c r="B181" s="58">
        <v>511463</v>
      </c>
      <c r="C181" s="58" t="s">
        <v>588</v>
      </c>
      <c r="D181" s="58" t="s">
        <v>577</v>
      </c>
    </row>
    <row r="182" spans="1:4">
      <c r="A182" s="58" t="s">
        <v>883</v>
      </c>
      <c r="B182" s="58">
        <v>530973</v>
      </c>
      <c r="C182" s="58" t="s">
        <v>588</v>
      </c>
      <c r="D182" s="58" t="s">
        <v>708</v>
      </c>
    </row>
    <row r="183" spans="1:4">
      <c r="A183" s="58" t="s">
        <v>884</v>
      </c>
      <c r="B183" s="58">
        <v>530973</v>
      </c>
      <c r="C183" s="58" t="s">
        <v>588</v>
      </c>
      <c r="D183" s="58" t="s">
        <v>708</v>
      </c>
    </row>
    <row r="184" spans="1:4">
      <c r="A184" s="58" t="s">
        <v>885</v>
      </c>
      <c r="B184" s="58">
        <v>517546</v>
      </c>
      <c r="C184" s="58" t="s">
        <v>588</v>
      </c>
      <c r="D184" s="58" t="s">
        <v>886</v>
      </c>
    </row>
    <row r="185" spans="1:4">
      <c r="A185" s="58" t="s">
        <v>887</v>
      </c>
      <c r="B185" s="58">
        <v>531156</v>
      </c>
      <c r="C185" s="58" t="s">
        <v>588</v>
      </c>
      <c r="D185" s="58" t="s">
        <v>605</v>
      </c>
    </row>
    <row r="186" spans="1:4">
      <c r="A186" s="58" t="s">
        <v>888</v>
      </c>
      <c r="B186" s="58">
        <v>531156</v>
      </c>
      <c r="C186" s="58" t="s">
        <v>588</v>
      </c>
      <c r="D186" s="58" t="s">
        <v>605</v>
      </c>
    </row>
    <row r="187" spans="1:4">
      <c r="A187" s="58" t="s">
        <v>889</v>
      </c>
      <c r="B187" s="58">
        <v>505216</v>
      </c>
      <c r="C187" s="58" t="s">
        <v>588</v>
      </c>
      <c r="D187" s="58" t="s">
        <v>605</v>
      </c>
    </row>
    <row r="188" spans="1:4">
      <c r="A188" s="58" t="s">
        <v>890</v>
      </c>
      <c r="B188" s="58">
        <v>505216</v>
      </c>
      <c r="C188" s="58" t="s">
        <v>588</v>
      </c>
      <c r="D188" s="58" t="s">
        <v>605</v>
      </c>
    </row>
    <row r="189" spans="1:4">
      <c r="A189" s="58" t="s">
        <v>891</v>
      </c>
      <c r="B189" s="58">
        <v>531147</v>
      </c>
      <c r="C189" s="58" t="s">
        <v>892</v>
      </c>
      <c r="D189" s="58" t="s">
        <v>893</v>
      </c>
    </row>
    <row r="190" spans="1:4">
      <c r="A190" s="58" t="s">
        <v>894</v>
      </c>
      <c r="B190" s="58">
        <v>530889</v>
      </c>
      <c r="C190" s="58" t="s">
        <v>588</v>
      </c>
      <c r="D190" s="58" t="s">
        <v>603</v>
      </c>
    </row>
    <row r="191" spans="1:4">
      <c r="A191" s="58" t="s">
        <v>895</v>
      </c>
      <c r="B191" s="58">
        <v>531581</v>
      </c>
      <c r="C191" s="58" t="s">
        <v>588</v>
      </c>
      <c r="D191" s="58" t="s">
        <v>702</v>
      </c>
    </row>
    <row r="192" spans="1:4">
      <c r="A192" s="58" t="s">
        <v>896</v>
      </c>
      <c r="B192" s="58">
        <v>530889</v>
      </c>
      <c r="C192" s="58" t="s">
        <v>588</v>
      </c>
      <c r="D192" s="58" t="s">
        <v>603</v>
      </c>
    </row>
    <row r="193" spans="1:4">
      <c r="A193" s="58" t="s">
        <v>897</v>
      </c>
      <c r="B193" s="58">
        <v>532166</v>
      </c>
      <c r="C193" s="58" t="s">
        <v>588</v>
      </c>
      <c r="D193" s="58" t="s">
        <v>605</v>
      </c>
    </row>
    <row r="194" spans="1:4">
      <c r="A194" s="58" t="s">
        <v>898</v>
      </c>
      <c r="B194" s="58">
        <v>533029</v>
      </c>
      <c r="C194" s="58" t="s">
        <v>899</v>
      </c>
      <c r="D194" s="58" t="s">
        <v>748</v>
      </c>
    </row>
    <row r="195" spans="1:4">
      <c r="A195" s="58" t="s">
        <v>900</v>
      </c>
      <c r="B195" s="58">
        <v>539523</v>
      </c>
      <c r="C195" s="58" t="s">
        <v>901</v>
      </c>
      <c r="D195" s="58" t="s">
        <v>626</v>
      </c>
    </row>
    <row r="196" spans="1:4">
      <c r="A196" s="58" t="s">
        <v>902</v>
      </c>
      <c r="B196" s="58">
        <v>506767</v>
      </c>
      <c r="C196" s="58" t="s">
        <v>903</v>
      </c>
      <c r="D196" s="58" t="s">
        <v>748</v>
      </c>
    </row>
    <row r="197" spans="1:4">
      <c r="A197" s="58" t="s">
        <v>904</v>
      </c>
      <c r="B197" s="58">
        <v>532480</v>
      </c>
      <c r="C197" s="58" t="s">
        <v>905</v>
      </c>
      <c r="D197" s="58" t="s">
        <v>906</v>
      </c>
    </row>
    <row r="198" spans="1:4">
      <c r="A198" s="58" t="s">
        <v>907</v>
      </c>
      <c r="B198" s="58">
        <v>532749</v>
      </c>
      <c r="C198" s="58" t="s">
        <v>908</v>
      </c>
      <c r="D198" s="58" t="s">
        <v>909</v>
      </c>
    </row>
    <row r="199" spans="1:4">
      <c r="A199" s="58" t="s">
        <v>910</v>
      </c>
      <c r="B199" s="58">
        <v>534064</v>
      </c>
      <c r="C199" s="58" t="s">
        <v>588</v>
      </c>
      <c r="D199" s="58" t="s">
        <v>911</v>
      </c>
    </row>
    <row r="200" spans="1:4">
      <c r="A200" s="58" t="s">
        <v>912</v>
      </c>
      <c r="B200" s="58">
        <v>532919</v>
      </c>
      <c r="C200" s="58" t="s">
        <v>588</v>
      </c>
      <c r="D200" s="58" t="s">
        <v>913</v>
      </c>
    </row>
    <row r="201" spans="1:4">
      <c r="A201" s="58" t="s">
        <v>914</v>
      </c>
      <c r="B201" s="58">
        <v>532875</v>
      </c>
      <c r="C201" s="58" t="s">
        <v>915</v>
      </c>
      <c r="D201" s="58" t="s">
        <v>574</v>
      </c>
    </row>
    <row r="202" spans="1:4">
      <c r="A202" s="58" t="s">
        <v>916</v>
      </c>
      <c r="B202" s="58">
        <v>532633</v>
      </c>
      <c r="C202" s="58" t="s">
        <v>917</v>
      </c>
      <c r="D202" s="58" t="s">
        <v>918</v>
      </c>
    </row>
    <row r="203" spans="1:4">
      <c r="A203" s="58" t="s">
        <v>919</v>
      </c>
      <c r="B203" s="58">
        <v>531400</v>
      </c>
      <c r="C203" s="58" t="s">
        <v>920</v>
      </c>
      <c r="D203" s="58" t="s">
        <v>571</v>
      </c>
    </row>
    <row r="204" spans="1:4">
      <c r="A204" s="58" t="s">
        <v>921</v>
      </c>
      <c r="B204" s="58">
        <v>506120</v>
      </c>
      <c r="C204" s="58" t="s">
        <v>588</v>
      </c>
      <c r="D204" s="58" t="s">
        <v>610</v>
      </c>
    </row>
    <row r="205" spans="1:4">
      <c r="A205" s="58" t="s">
        <v>922</v>
      </c>
      <c r="B205" s="58">
        <v>521070</v>
      </c>
      <c r="C205" s="58" t="s">
        <v>923</v>
      </c>
      <c r="D205" s="58" t="s">
        <v>603</v>
      </c>
    </row>
    <row r="206" spans="1:4">
      <c r="A206" s="58" t="s">
        <v>924</v>
      </c>
      <c r="B206" s="58">
        <v>532878</v>
      </c>
      <c r="C206" s="58" t="s">
        <v>925</v>
      </c>
      <c r="D206" s="58" t="s">
        <v>926</v>
      </c>
    </row>
    <row r="207" spans="1:4">
      <c r="A207" s="58" t="s">
        <v>927</v>
      </c>
      <c r="B207" s="58">
        <v>526397</v>
      </c>
      <c r="C207" s="58" t="s">
        <v>928</v>
      </c>
      <c r="D207" s="58" t="s">
        <v>929</v>
      </c>
    </row>
    <row r="208" spans="1:4">
      <c r="A208" s="58" t="s">
        <v>930</v>
      </c>
      <c r="B208" s="58">
        <v>526397</v>
      </c>
      <c r="C208" s="58" t="s">
        <v>928</v>
      </c>
      <c r="D208" s="58" t="s">
        <v>929</v>
      </c>
    </row>
    <row r="209" spans="1:4">
      <c r="A209" s="58" t="s">
        <v>931</v>
      </c>
      <c r="B209" s="58">
        <v>526519</v>
      </c>
      <c r="C209" s="58" t="s">
        <v>588</v>
      </c>
      <c r="D209" s="58" t="s">
        <v>674</v>
      </c>
    </row>
    <row r="210" spans="1:4">
      <c r="A210" s="58" t="s">
        <v>932</v>
      </c>
      <c r="B210" s="58">
        <v>530715</v>
      </c>
      <c r="C210" s="58" t="s">
        <v>933</v>
      </c>
      <c r="D210" s="58" t="s">
        <v>603</v>
      </c>
    </row>
    <row r="211" spans="1:4">
      <c r="A211" s="58" t="s">
        <v>934</v>
      </c>
      <c r="B211" s="58">
        <v>538423</v>
      </c>
      <c r="C211" s="58" t="s">
        <v>935</v>
      </c>
      <c r="D211" s="58" t="s">
        <v>571</v>
      </c>
    </row>
    <row r="212" spans="1:4">
      <c r="A212" s="58" t="s">
        <v>936</v>
      </c>
      <c r="B212" s="58">
        <v>539277</v>
      </c>
      <c r="C212" s="58" t="s">
        <v>588</v>
      </c>
      <c r="D212" s="58" t="s">
        <v>622</v>
      </c>
    </row>
    <row r="213" spans="1:4">
      <c r="A213" s="58" t="s">
        <v>937</v>
      </c>
      <c r="B213" s="58">
        <v>539277</v>
      </c>
      <c r="C213" s="58" t="s">
        <v>588</v>
      </c>
      <c r="D213" s="58" t="s">
        <v>622</v>
      </c>
    </row>
    <row r="214" spans="1:4">
      <c r="A214" s="58" t="s">
        <v>938</v>
      </c>
      <c r="B214" s="58">
        <v>524634</v>
      </c>
      <c r="C214" s="58" t="s">
        <v>588</v>
      </c>
      <c r="D214" s="58" t="s">
        <v>636</v>
      </c>
    </row>
    <row r="215" spans="1:4">
      <c r="A215" s="58" t="s">
        <v>939</v>
      </c>
      <c r="B215" s="58">
        <v>506597</v>
      </c>
      <c r="C215" s="58" t="s">
        <v>588</v>
      </c>
      <c r="D215" s="58" t="s">
        <v>748</v>
      </c>
    </row>
    <row r="216" spans="1:4">
      <c r="A216" s="58" t="s">
        <v>940</v>
      </c>
      <c r="B216" s="58">
        <v>512008</v>
      </c>
      <c r="C216" s="58" t="s">
        <v>588</v>
      </c>
      <c r="D216" s="58" t="s">
        <v>610</v>
      </c>
    </row>
    <row r="217" spans="1:4">
      <c r="A217" s="58" t="s">
        <v>941</v>
      </c>
      <c r="B217" s="58">
        <v>500008</v>
      </c>
      <c r="C217" s="58" t="s">
        <v>942</v>
      </c>
      <c r="D217" s="58" t="s">
        <v>943</v>
      </c>
    </row>
    <row r="218" spans="1:4">
      <c r="A218" s="58" t="s">
        <v>944</v>
      </c>
      <c r="B218" s="58">
        <v>521097</v>
      </c>
      <c r="C218" s="58" t="s">
        <v>588</v>
      </c>
      <c r="D218" s="58" t="s">
        <v>603</v>
      </c>
    </row>
    <row r="219" spans="1:4">
      <c r="A219" s="58" t="s">
        <v>945</v>
      </c>
      <c r="B219" s="58">
        <v>538465</v>
      </c>
      <c r="C219" s="58" t="s">
        <v>588</v>
      </c>
      <c r="D219" s="58" t="s">
        <v>605</v>
      </c>
    </row>
    <row r="220" spans="1:4">
      <c r="A220" s="58" t="s">
        <v>946</v>
      </c>
      <c r="B220" s="58">
        <v>531112</v>
      </c>
      <c r="C220" s="58" t="s">
        <v>588</v>
      </c>
      <c r="D220" s="58" t="s">
        <v>596</v>
      </c>
    </row>
    <row r="221" spans="1:4">
      <c r="A221" s="58" t="s">
        <v>947</v>
      </c>
      <c r="B221" s="58">
        <v>539196</v>
      </c>
      <c r="C221" s="58" t="s">
        <v>588</v>
      </c>
      <c r="D221" s="58" t="s">
        <v>886</v>
      </c>
    </row>
    <row r="222" spans="1:4">
      <c r="A222" s="58" t="s">
        <v>948</v>
      </c>
      <c r="B222" s="58">
        <v>500009</v>
      </c>
      <c r="C222" s="58" t="s">
        <v>588</v>
      </c>
      <c r="D222" s="58" t="s">
        <v>626</v>
      </c>
    </row>
    <row r="223" spans="1:4">
      <c r="A223" s="58" t="s">
        <v>949</v>
      </c>
      <c r="B223" s="58" t="s">
        <v>588</v>
      </c>
      <c r="C223" s="58" t="s">
        <v>950</v>
      </c>
      <c r="D223" s="58" t="s">
        <v>599</v>
      </c>
    </row>
    <row r="224" spans="1:4">
      <c r="A224" s="58" t="s">
        <v>951</v>
      </c>
      <c r="B224" s="58">
        <v>519471</v>
      </c>
      <c r="C224" s="58" t="s">
        <v>588</v>
      </c>
      <c r="D224" s="58" t="s">
        <v>837</v>
      </c>
    </row>
    <row r="225" spans="1:4">
      <c r="A225" s="58" t="s">
        <v>952</v>
      </c>
      <c r="B225" s="58">
        <v>542524</v>
      </c>
      <c r="C225" s="58" t="s">
        <v>953</v>
      </c>
      <c r="D225" s="58" t="s">
        <v>954</v>
      </c>
    </row>
    <row r="226" spans="1:4">
      <c r="A226" s="58" t="s">
        <v>955</v>
      </c>
      <c r="B226" s="58">
        <v>540902</v>
      </c>
      <c r="C226" s="58" t="s">
        <v>956</v>
      </c>
      <c r="D226" s="58" t="s">
        <v>957</v>
      </c>
    </row>
    <row r="227" spans="1:4">
      <c r="A227" s="58" t="s">
        <v>958</v>
      </c>
      <c r="B227" s="58">
        <v>540902</v>
      </c>
      <c r="C227" s="58" t="s">
        <v>956</v>
      </c>
      <c r="D227" s="58" t="s">
        <v>957</v>
      </c>
    </row>
    <row r="228" spans="1:4">
      <c r="A228" s="58" t="s">
        <v>959</v>
      </c>
      <c r="B228" s="58">
        <v>531978</v>
      </c>
      <c r="C228" s="58" t="s">
        <v>960</v>
      </c>
      <c r="D228" s="58" t="s">
        <v>603</v>
      </c>
    </row>
    <row r="229" spans="1:4">
      <c r="A229" s="58" t="s">
        <v>961</v>
      </c>
      <c r="B229" s="58">
        <v>539223</v>
      </c>
      <c r="C229" s="58" t="s">
        <v>588</v>
      </c>
      <c r="D229" s="58" t="s">
        <v>582</v>
      </c>
    </row>
    <row r="230" spans="1:4">
      <c r="A230" s="58" t="s">
        <v>962</v>
      </c>
      <c r="B230" s="58">
        <v>500425</v>
      </c>
      <c r="C230" s="58" t="s">
        <v>963</v>
      </c>
      <c r="D230" s="58" t="s">
        <v>601</v>
      </c>
    </row>
    <row r="231" spans="1:4">
      <c r="A231" s="58" t="s">
        <v>964</v>
      </c>
      <c r="B231" s="58">
        <v>530133</v>
      </c>
      <c r="C231" s="58" t="s">
        <v>588</v>
      </c>
      <c r="D231" s="58" t="s">
        <v>965</v>
      </c>
    </row>
    <row r="232" spans="1:4">
      <c r="A232" s="58" t="s">
        <v>966</v>
      </c>
      <c r="B232" s="58">
        <v>530133</v>
      </c>
      <c r="C232" s="58" t="s">
        <v>588</v>
      </c>
      <c r="D232" s="58" t="s">
        <v>965</v>
      </c>
    </row>
    <row r="233" spans="1:4">
      <c r="A233" s="58" t="s">
        <v>967</v>
      </c>
      <c r="B233" s="58">
        <v>532828</v>
      </c>
      <c r="C233" s="58" t="s">
        <v>968</v>
      </c>
      <c r="D233" s="58" t="s">
        <v>773</v>
      </c>
    </row>
    <row r="234" spans="1:4">
      <c r="A234" s="58" t="s">
        <v>969</v>
      </c>
      <c r="B234" s="58">
        <v>513117</v>
      </c>
      <c r="C234" s="58" t="s">
        <v>588</v>
      </c>
      <c r="D234" s="58" t="s">
        <v>943</v>
      </c>
    </row>
    <row r="235" spans="1:4">
      <c r="A235" s="58" t="s">
        <v>970</v>
      </c>
      <c r="B235" s="58">
        <v>541771</v>
      </c>
      <c r="C235" s="58" t="s">
        <v>588</v>
      </c>
      <c r="D235" s="58" t="s">
        <v>702</v>
      </c>
    </row>
    <row r="236" spans="1:4">
      <c r="A236" s="58" t="s">
        <v>971</v>
      </c>
      <c r="B236" s="58">
        <v>506248</v>
      </c>
      <c r="C236" s="58" t="s">
        <v>588</v>
      </c>
      <c r="D236" s="58" t="s">
        <v>636</v>
      </c>
    </row>
    <row r="237" spans="1:4">
      <c r="A237" s="58" t="s">
        <v>972</v>
      </c>
      <c r="B237" s="58">
        <v>531300</v>
      </c>
      <c r="C237" s="58" t="s">
        <v>588</v>
      </c>
      <c r="D237" s="58" t="s">
        <v>603</v>
      </c>
    </row>
    <row r="238" spans="1:4">
      <c r="A238" s="58" t="s">
        <v>973</v>
      </c>
      <c r="B238" s="58">
        <v>531557</v>
      </c>
      <c r="C238" s="58" t="s">
        <v>588</v>
      </c>
      <c r="D238" s="58" t="s">
        <v>605</v>
      </c>
    </row>
    <row r="239" spans="1:4">
      <c r="A239" s="58" t="s">
        <v>974</v>
      </c>
      <c r="B239" s="58">
        <v>500343</v>
      </c>
      <c r="C239" s="58" t="s">
        <v>975</v>
      </c>
      <c r="D239" s="58" t="s">
        <v>674</v>
      </c>
    </row>
    <row r="240" spans="1:4">
      <c r="A240" s="58" t="s">
        <v>976</v>
      </c>
      <c r="B240" s="58">
        <v>531681</v>
      </c>
      <c r="C240" s="58" t="s">
        <v>588</v>
      </c>
      <c r="D240" s="58" t="s">
        <v>708</v>
      </c>
    </row>
    <row r="241" spans="1:4">
      <c r="A241" s="58" t="s">
        <v>977</v>
      </c>
      <c r="B241" s="58">
        <v>536737</v>
      </c>
      <c r="C241" s="58" t="s">
        <v>588</v>
      </c>
      <c r="D241" s="58" t="s">
        <v>605</v>
      </c>
    </row>
    <row r="242" spans="1:4">
      <c r="A242" s="58" t="s">
        <v>978</v>
      </c>
      <c r="B242" s="58">
        <v>539265</v>
      </c>
      <c r="C242" s="58" t="s">
        <v>588</v>
      </c>
      <c r="D242" s="58" t="s">
        <v>605</v>
      </c>
    </row>
    <row r="243" spans="1:4">
      <c r="A243" s="58" t="s">
        <v>979</v>
      </c>
      <c r="B243" s="58">
        <v>526241</v>
      </c>
      <c r="C243" s="58" t="s">
        <v>588</v>
      </c>
      <c r="D243" s="58" t="s">
        <v>610</v>
      </c>
    </row>
    <row r="244" spans="1:4">
      <c r="A244" s="58" t="s">
        <v>980</v>
      </c>
      <c r="B244" s="58">
        <v>531991</v>
      </c>
      <c r="C244" s="58" t="s">
        <v>588</v>
      </c>
      <c r="D244" s="58" t="s">
        <v>603</v>
      </c>
    </row>
    <row r="245" spans="1:4">
      <c r="A245" s="58" t="s">
        <v>981</v>
      </c>
      <c r="B245" s="58">
        <v>507525</v>
      </c>
      <c r="C245" s="58" t="s">
        <v>588</v>
      </c>
      <c r="D245" s="58" t="s">
        <v>648</v>
      </c>
    </row>
    <row r="246" spans="1:4">
      <c r="A246" s="58" t="s">
        <v>982</v>
      </c>
      <c r="B246" s="58">
        <v>590006</v>
      </c>
      <c r="C246" s="58" t="s">
        <v>983</v>
      </c>
      <c r="D246" s="58" t="s">
        <v>626</v>
      </c>
    </row>
    <row r="247" spans="1:4">
      <c r="A247" s="58" t="s">
        <v>984</v>
      </c>
      <c r="B247" s="58">
        <v>538861</v>
      </c>
      <c r="C247" s="58" t="s">
        <v>588</v>
      </c>
      <c r="D247" s="58" t="s">
        <v>610</v>
      </c>
    </row>
    <row r="248" spans="1:4">
      <c r="A248" s="58" t="s">
        <v>985</v>
      </c>
      <c r="B248" s="58">
        <v>501630</v>
      </c>
      <c r="C248" s="58" t="s">
        <v>588</v>
      </c>
      <c r="D248" s="58" t="s">
        <v>986</v>
      </c>
    </row>
    <row r="249" spans="1:4">
      <c r="A249" s="58" t="s">
        <v>987</v>
      </c>
      <c r="B249" s="58">
        <v>515055</v>
      </c>
      <c r="C249" s="58" t="s">
        <v>988</v>
      </c>
      <c r="D249" s="58" t="s">
        <v>674</v>
      </c>
    </row>
    <row r="250" spans="1:4">
      <c r="A250" s="58" t="s">
        <v>989</v>
      </c>
      <c r="B250" s="58">
        <v>532418</v>
      </c>
      <c r="C250" s="58" t="s">
        <v>990</v>
      </c>
      <c r="D250" s="58" t="s">
        <v>906</v>
      </c>
    </row>
    <row r="251" spans="1:4">
      <c r="A251" s="58" t="s">
        <v>991</v>
      </c>
      <c r="B251" s="58">
        <v>532141</v>
      </c>
      <c r="C251" s="58" t="s">
        <v>992</v>
      </c>
      <c r="D251" s="58" t="s">
        <v>601</v>
      </c>
    </row>
    <row r="252" spans="1:4">
      <c r="A252" s="58" t="s">
        <v>993</v>
      </c>
      <c r="B252" s="58">
        <v>500012</v>
      </c>
      <c r="C252" s="58" t="s">
        <v>588</v>
      </c>
      <c r="D252" s="58" t="s">
        <v>636</v>
      </c>
    </row>
    <row r="253" spans="1:4">
      <c r="A253" s="58" t="s">
        <v>994</v>
      </c>
      <c r="B253" s="58">
        <v>526173</v>
      </c>
      <c r="C253" s="58" t="s">
        <v>588</v>
      </c>
      <c r="D253" s="58" t="s">
        <v>995</v>
      </c>
    </row>
    <row r="254" spans="1:4">
      <c r="A254" s="58" t="s">
        <v>996</v>
      </c>
      <c r="B254" s="58">
        <v>531252</v>
      </c>
      <c r="C254" s="58" t="s">
        <v>588</v>
      </c>
      <c r="D254" s="58" t="s">
        <v>605</v>
      </c>
    </row>
    <row r="255" spans="1:4">
      <c r="A255" s="58" t="s">
        <v>997</v>
      </c>
      <c r="B255" s="58">
        <v>530721</v>
      </c>
      <c r="C255" s="58" t="s">
        <v>998</v>
      </c>
      <c r="D255" s="58" t="s">
        <v>943</v>
      </c>
    </row>
    <row r="256" spans="1:4">
      <c r="A256" s="58" t="s">
        <v>999</v>
      </c>
      <c r="B256" s="58">
        <v>540694</v>
      </c>
      <c r="C256" s="58" t="s">
        <v>588</v>
      </c>
      <c r="D256" s="58" t="s">
        <v>777</v>
      </c>
    </row>
    <row r="257" spans="1:4">
      <c r="A257" s="58" t="s">
        <v>1000</v>
      </c>
      <c r="B257" s="58">
        <v>540694</v>
      </c>
      <c r="C257" s="58" t="s">
        <v>588</v>
      </c>
      <c r="D257" s="58" t="s">
        <v>777</v>
      </c>
    </row>
    <row r="258" spans="1:4">
      <c r="A258" s="58" t="s">
        <v>1001</v>
      </c>
      <c r="B258" s="58">
        <v>541006</v>
      </c>
      <c r="C258" s="58" t="s">
        <v>588</v>
      </c>
      <c r="D258" s="58" t="s">
        <v>603</v>
      </c>
    </row>
    <row r="259" spans="1:4">
      <c r="A259" s="58" t="s">
        <v>1002</v>
      </c>
      <c r="B259" s="58" t="s">
        <v>588</v>
      </c>
      <c r="C259" s="58" t="s">
        <v>1003</v>
      </c>
      <c r="D259" s="58" t="s">
        <v>599</v>
      </c>
    </row>
    <row r="260" spans="1:4">
      <c r="A260" s="58" t="s">
        <v>1004</v>
      </c>
      <c r="B260" s="58">
        <v>519383</v>
      </c>
      <c r="C260" s="58" t="s">
        <v>1005</v>
      </c>
      <c r="D260" s="58" t="s">
        <v>786</v>
      </c>
    </row>
    <row r="261" spans="1:4">
      <c r="A261" s="58" t="s">
        <v>1006</v>
      </c>
      <c r="B261" s="58">
        <v>537785</v>
      </c>
      <c r="C261" s="58" t="s">
        <v>588</v>
      </c>
      <c r="D261" s="58" t="s">
        <v>622</v>
      </c>
    </row>
    <row r="262" spans="1:4">
      <c r="A262" s="58" t="s">
        <v>1007</v>
      </c>
      <c r="B262" s="58">
        <v>531878</v>
      </c>
      <c r="C262" s="58" t="s">
        <v>588</v>
      </c>
      <c r="D262" s="58" t="s">
        <v>605</v>
      </c>
    </row>
    <row r="263" spans="1:4">
      <c r="A263" s="58" t="s">
        <v>1008</v>
      </c>
      <c r="B263" s="58">
        <v>511153</v>
      </c>
      <c r="C263" s="58" t="s">
        <v>588</v>
      </c>
      <c r="D263" s="58" t="s">
        <v>1009</v>
      </c>
    </row>
    <row r="264" spans="1:4">
      <c r="A264" s="58" t="s">
        <v>1010</v>
      </c>
      <c r="B264" s="58">
        <v>518091</v>
      </c>
      <c r="C264" s="58" t="s">
        <v>1011</v>
      </c>
      <c r="D264" s="58" t="s">
        <v>601</v>
      </c>
    </row>
    <row r="265" spans="1:4">
      <c r="A265" s="58" t="s">
        <v>1012</v>
      </c>
      <c r="B265" s="58">
        <v>531223</v>
      </c>
      <c r="C265" s="58" t="s">
        <v>588</v>
      </c>
      <c r="D265" s="58" t="s">
        <v>603</v>
      </c>
    </row>
    <row r="266" spans="1:4">
      <c r="A266" s="58" t="s">
        <v>1013</v>
      </c>
      <c r="B266" s="58">
        <v>531673</v>
      </c>
      <c r="C266" s="58" t="s">
        <v>588</v>
      </c>
      <c r="D266" s="58" t="s">
        <v>1014</v>
      </c>
    </row>
    <row r="267" spans="1:4">
      <c r="A267" s="58" t="s">
        <v>1015</v>
      </c>
      <c r="B267" s="58">
        <v>531673</v>
      </c>
      <c r="C267" s="58" t="s">
        <v>588</v>
      </c>
      <c r="D267" s="58" t="s">
        <v>1014</v>
      </c>
    </row>
    <row r="268" spans="1:4">
      <c r="A268" s="58" t="s">
        <v>1016</v>
      </c>
      <c r="B268" s="58">
        <v>532870</v>
      </c>
      <c r="C268" s="58" t="s">
        <v>1017</v>
      </c>
      <c r="D268" s="58" t="s">
        <v>620</v>
      </c>
    </row>
    <row r="269" spans="1:4">
      <c r="A269" s="58" t="s">
        <v>1018</v>
      </c>
      <c r="B269" s="58">
        <v>531519</v>
      </c>
      <c r="C269" s="58" t="s">
        <v>588</v>
      </c>
      <c r="D269" s="58" t="s">
        <v>571</v>
      </c>
    </row>
    <row r="270" spans="1:4">
      <c r="A270" s="58" t="s">
        <v>1019</v>
      </c>
      <c r="B270" s="58">
        <v>542437</v>
      </c>
      <c r="C270" s="58" t="s">
        <v>1020</v>
      </c>
      <c r="D270" s="58" t="s">
        <v>622</v>
      </c>
    </row>
    <row r="271" spans="1:4">
      <c r="A271" s="58" t="s">
        <v>1021</v>
      </c>
      <c r="B271" s="58">
        <v>530799</v>
      </c>
      <c r="C271" s="58" t="s">
        <v>588</v>
      </c>
      <c r="D271" s="58" t="s">
        <v>605</v>
      </c>
    </row>
    <row r="272" spans="1:4">
      <c r="A272" s="58" t="s">
        <v>1022</v>
      </c>
      <c r="B272" s="58">
        <v>531406</v>
      </c>
      <c r="C272" s="58" t="s">
        <v>588</v>
      </c>
      <c r="D272" s="58" t="s">
        <v>1023</v>
      </c>
    </row>
    <row r="273" spans="1:4">
      <c r="A273" s="58" t="s">
        <v>1024</v>
      </c>
      <c r="B273" s="58">
        <v>523007</v>
      </c>
      <c r="C273" s="58" t="s">
        <v>588</v>
      </c>
      <c r="D273" s="58" t="s">
        <v>674</v>
      </c>
    </row>
    <row r="274" spans="1:4">
      <c r="A274" s="58" t="s">
        <v>1025</v>
      </c>
      <c r="B274" s="58">
        <v>507828</v>
      </c>
      <c r="C274" s="58" t="s">
        <v>1026</v>
      </c>
      <c r="D274" s="58" t="s">
        <v>674</v>
      </c>
    </row>
    <row r="275" spans="1:4">
      <c r="A275" s="58" t="s">
        <v>1027</v>
      </c>
      <c r="B275" s="58">
        <v>500013</v>
      </c>
      <c r="C275" s="58" t="s">
        <v>1028</v>
      </c>
      <c r="D275" s="58" t="s">
        <v>674</v>
      </c>
    </row>
    <row r="276" spans="1:4">
      <c r="A276" s="58" t="s">
        <v>1029</v>
      </c>
      <c r="B276" s="58">
        <v>512091</v>
      </c>
      <c r="C276" s="58" t="s">
        <v>588</v>
      </c>
      <c r="D276" s="58" t="s">
        <v>702</v>
      </c>
    </row>
    <row r="277" spans="1:4">
      <c r="A277" s="58" t="s">
        <v>1030</v>
      </c>
      <c r="B277" s="58" t="s">
        <v>588</v>
      </c>
      <c r="C277" s="58" t="s">
        <v>1031</v>
      </c>
      <c r="D277" s="58" t="s">
        <v>679</v>
      </c>
    </row>
    <row r="278" spans="1:4">
      <c r="A278" s="58" t="s">
        <v>1032</v>
      </c>
      <c r="B278" s="58">
        <v>501270</v>
      </c>
      <c r="C278" s="58" t="s">
        <v>588</v>
      </c>
      <c r="D278" s="58" t="s">
        <v>674</v>
      </c>
    </row>
    <row r="279" spans="1:4">
      <c r="A279" s="58" t="s">
        <v>1033</v>
      </c>
      <c r="B279" s="58">
        <v>539697</v>
      </c>
      <c r="C279" s="58" t="s">
        <v>588</v>
      </c>
      <c r="D279" s="58" t="s">
        <v>1034</v>
      </c>
    </row>
    <row r="280" spans="1:4">
      <c r="A280" s="58" t="s">
        <v>1035</v>
      </c>
      <c r="B280" s="58">
        <v>538833</v>
      </c>
      <c r="C280" s="58" t="s">
        <v>588</v>
      </c>
      <c r="D280" s="58" t="s">
        <v>986</v>
      </c>
    </row>
    <row r="281" spans="1:4">
      <c r="A281" s="58" t="s">
        <v>1036</v>
      </c>
      <c r="B281" s="58">
        <v>506260</v>
      </c>
      <c r="C281" s="58" t="s">
        <v>588</v>
      </c>
      <c r="D281" s="58" t="s">
        <v>626</v>
      </c>
    </row>
    <row r="282" spans="1:4">
      <c r="A282" s="58" t="s">
        <v>1037</v>
      </c>
      <c r="B282" s="58">
        <v>506087</v>
      </c>
      <c r="C282" s="58" t="s">
        <v>588</v>
      </c>
      <c r="D282" s="58" t="s">
        <v>911</v>
      </c>
    </row>
    <row r="283" spans="1:4">
      <c r="A283" s="58" t="s">
        <v>1038</v>
      </c>
      <c r="B283" s="58">
        <v>530109</v>
      </c>
      <c r="C283" s="58" t="s">
        <v>588</v>
      </c>
      <c r="D283" s="58" t="s">
        <v>605</v>
      </c>
    </row>
    <row r="284" spans="1:4">
      <c r="A284" s="58" t="s">
        <v>1039</v>
      </c>
      <c r="B284" s="58">
        <v>532259</v>
      </c>
      <c r="C284" s="58" t="s">
        <v>1040</v>
      </c>
      <c r="D284" s="58" t="s">
        <v>886</v>
      </c>
    </row>
    <row r="285" spans="1:4">
      <c r="A285" s="58" t="s">
        <v>1041</v>
      </c>
      <c r="B285" s="58">
        <v>523694</v>
      </c>
      <c r="C285" s="58" t="s">
        <v>1042</v>
      </c>
      <c r="D285" s="58" t="s">
        <v>773</v>
      </c>
    </row>
    <row r="286" spans="1:4">
      <c r="A286" s="58" t="s">
        <v>1043</v>
      </c>
      <c r="B286" s="58">
        <v>540692</v>
      </c>
      <c r="C286" s="58" t="s">
        <v>1044</v>
      </c>
      <c r="D286" s="58" t="s">
        <v>648</v>
      </c>
    </row>
    <row r="287" spans="1:4">
      <c r="A287" s="58" t="s">
        <v>1045</v>
      </c>
      <c r="B287" s="58">
        <v>541133</v>
      </c>
      <c r="C287" s="58" t="s">
        <v>588</v>
      </c>
      <c r="D287" s="58" t="s">
        <v>605</v>
      </c>
    </row>
    <row r="288" spans="1:4">
      <c r="A288" s="58" t="s">
        <v>1046</v>
      </c>
      <c r="B288" s="58">
        <v>506166</v>
      </c>
      <c r="C288" s="58" t="s">
        <v>588</v>
      </c>
      <c r="D288" s="58" t="s">
        <v>668</v>
      </c>
    </row>
    <row r="289" spans="1:4">
      <c r="A289" s="58" t="s">
        <v>1047</v>
      </c>
      <c r="B289" s="58">
        <v>506166</v>
      </c>
      <c r="C289" s="58" t="s">
        <v>588</v>
      </c>
      <c r="D289" s="58" t="s">
        <v>668</v>
      </c>
    </row>
    <row r="290" spans="1:4">
      <c r="A290" s="58" t="s">
        <v>1048</v>
      </c>
      <c r="B290" s="58">
        <v>533758</v>
      </c>
      <c r="C290" s="58" t="s">
        <v>1049</v>
      </c>
      <c r="D290" s="58" t="s">
        <v>911</v>
      </c>
    </row>
    <row r="291" spans="1:4">
      <c r="A291" s="58" t="s">
        <v>1050</v>
      </c>
      <c r="B291" s="58">
        <v>517096</v>
      </c>
      <c r="C291" s="58" t="s">
        <v>588</v>
      </c>
      <c r="D291" s="58" t="s">
        <v>886</v>
      </c>
    </row>
    <row r="292" spans="1:4">
      <c r="A292" s="58" t="s">
        <v>1051</v>
      </c>
      <c r="B292" s="58">
        <v>511064</v>
      </c>
      <c r="C292" s="58" t="s">
        <v>1052</v>
      </c>
      <c r="D292" s="58" t="s">
        <v>954</v>
      </c>
    </row>
    <row r="293" spans="1:4">
      <c r="A293" s="58" t="s">
        <v>1053</v>
      </c>
      <c r="B293" s="58">
        <v>523537</v>
      </c>
      <c r="C293" s="58" t="s">
        <v>588</v>
      </c>
      <c r="D293" s="58" t="s">
        <v>603</v>
      </c>
    </row>
    <row r="294" spans="1:4">
      <c r="A294" s="58" t="s">
        <v>1054</v>
      </c>
      <c r="B294" s="58">
        <v>512437</v>
      </c>
      <c r="C294" s="58" t="s">
        <v>588</v>
      </c>
      <c r="D294" s="58" t="s">
        <v>571</v>
      </c>
    </row>
    <row r="295" spans="1:4">
      <c r="A295" s="58" t="s">
        <v>1055</v>
      </c>
      <c r="B295" s="58">
        <v>512437</v>
      </c>
      <c r="C295" s="58" t="s">
        <v>588</v>
      </c>
      <c r="D295" s="58" t="s">
        <v>571</v>
      </c>
    </row>
    <row r="296" spans="1:4">
      <c r="A296" s="58" t="s">
        <v>1056</v>
      </c>
      <c r="B296" s="58">
        <v>508869</v>
      </c>
      <c r="C296" s="58" t="s">
        <v>1057</v>
      </c>
      <c r="D296" s="58" t="s">
        <v>1058</v>
      </c>
    </row>
    <row r="297" spans="1:4">
      <c r="A297" s="58" t="s">
        <v>1059</v>
      </c>
      <c r="B297" s="58">
        <v>540879</v>
      </c>
      <c r="C297" s="58" t="s">
        <v>1060</v>
      </c>
      <c r="D297" s="58" t="s">
        <v>1061</v>
      </c>
    </row>
    <row r="298" spans="1:4">
      <c r="A298" s="58" t="s">
        <v>1062</v>
      </c>
      <c r="B298" s="58">
        <v>531761</v>
      </c>
      <c r="C298" s="58" t="s">
        <v>588</v>
      </c>
      <c r="D298" s="58" t="s">
        <v>708</v>
      </c>
    </row>
    <row r="299" spans="1:4">
      <c r="A299" s="58" t="s">
        <v>1063</v>
      </c>
      <c r="B299" s="58" t="s">
        <v>588</v>
      </c>
      <c r="C299" s="58" t="s">
        <v>1064</v>
      </c>
      <c r="D299" s="58" t="s">
        <v>679</v>
      </c>
    </row>
    <row r="300" spans="1:4">
      <c r="A300" s="58" t="s">
        <v>1065</v>
      </c>
      <c r="B300" s="58">
        <v>538566</v>
      </c>
      <c r="C300" s="58" t="s">
        <v>588</v>
      </c>
      <c r="D300" s="58" t="s">
        <v>610</v>
      </c>
    </row>
    <row r="301" spans="1:4">
      <c r="A301" s="58" t="s">
        <v>1066</v>
      </c>
      <c r="B301" s="58">
        <v>500877</v>
      </c>
      <c r="C301" s="58" t="s">
        <v>1067</v>
      </c>
      <c r="D301" s="58" t="s">
        <v>1068</v>
      </c>
    </row>
    <row r="302" spans="1:4">
      <c r="A302" s="58" t="s">
        <v>1069</v>
      </c>
      <c r="B302" s="58">
        <v>539545</v>
      </c>
      <c r="C302" s="58" t="s">
        <v>588</v>
      </c>
      <c r="D302" s="58" t="s">
        <v>608</v>
      </c>
    </row>
    <row r="303" spans="1:4">
      <c r="A303" s="58" t="s">
        <v>1070</v>
      </c>
      <c r="B303" s="58">
        <v>500014</v>
      </c>
      <c r="C303" s="58" t="s">
        <v>588</v>
      </c>
      <c r="D303" s="58" t="s">
        <v>605</v>
      </c>
    </row>
    <row r="304" spans="1:4">
      <c r="A304" s="58" t="s">
        <v>1071</v>
      </c>
      <c r="B304" s="58">
        <v>532475</v>
      </c>
      <c r="C304" s="58" t="s">
        <v>1072</v>
      </c>
      <c r="D304" s="58" t="s">
        <v>1073</v>
      </c>
    </row>
    <row r="305" spans="1:4">
      <c r="A305" s="58" t="s">
        <v>1074</v>
      </c>
      <c r="B305" s="58">
        <v>539469</v>
      </c>
      <c r="C305" s="58" t="s">
        <v>588</v>
      </c>
      <c r="D305" s="58" t="s">
        <v>610</v>
      </c>
    </row>
    <row r="306" spans="1:4">
      <c r="A306" s="58" t="s">
        <v>1075</v>
      </c>
      <c r="B306" s="58">
        <v>531364</v>
      </c>
      <c r="C306" s="58" t="s">
        <v>588</v>
      </c>
      <c r="D306" s="58" t="s">
        <v>986</v>
      </c>
    </row>
    <row r="307" spans="1:4">
      <c r="A307" s="58" t="s">
        <v>1076</v>
      </c>
      <c r="B307" s="58">
        <v>539403</v>
      </c>
      <c r="C307" s="58" t="s">
        <v>588</v>
      </c>
      <c r="D307" s="58" t="s">
        <v>1077</v>
      </c>
    </row>
    <row r="308" spans="1:4">
      <c r="A308" s="58" t="s">
        <v>1078</v>
      </c>
      <c r="B308" s="58">
        <v>540135</v>
      </c>
      <c r="C308" s="58" t="s">
        <v>588</v>
      </c>
      <c r="D308" s="58" t="s">
        <v>571</v>
      </c>
    </row>
    <row r="309" spans="1:4">
      <c r="A309" s="58" t="s">
        <v>1079</v>
      </c>
      <c r="B309" s="58">
        <v>520121</v>
      </c>
      <c r="C309" s="58" t="s">
        <v>588</v>
      </c>
      <c r="D309" s="58" t="s">
        <v>708</v>
      </c>
    </row>
    <row r="310" spans="1:4">
      <c r="A310" s="58" t="s">
        <v>1080</v>
      </c>
      <c r="B310" s="58">
        <v>530565</v>
      </c>
      <c r="C310" s="58" t="s">
        <v>588</v>
      </c>
      <c r="D310" s="58" t="s">
        <v>681</v>
      </c>
    </row>
    <row r="311" spans="1:4">
      <c r="A311" s="58" t="s">
        <v>1081</v>
      </c>
      <c r="B311" s="58">
        <v>532994</v>
      </c>
      <c r="C311" s="58" t="s">
        <v>1082</v>
      </c>
      <c r="D311" s="58" t="s">
        <v>1083</v>
      </c>
    </row>
    <row r="312" spans="1:4">
      <c r="A312" s="58" t="s">
        <v>1084</v>
      </c>
      <c r="B312" s="58">
        <v>532212</v>
      </c>
      <c r="C312" s="58" t="s">
        <v>1085</v>
      </c>
      <c r="D312" s="58" t="s">
        <v>1086</v>
      </c>
    </row>
    <row r="313" spans="1:4">
      <c r="A313" s="58" t="s">
        <v>1087</v>
      </c>
      <c r="B313" s="58">
        <v>524640</v>
      </c>
      <c r="C313" s="58" t="s">
        <v>588</v>
      </c>
      <c r="D313" s="58" t="s">
        <v>636</v>
      </c>
    </row>
    <row r="314" spans="1:4">
      <c r="A314" s="58" t="s">
        <v>1088</v>
      </c>
      <c r="B314" s="58">
        <v>532914</v>
      </c>
      <c r="C314" s="58" t="s">
        <v>1089</v>
      </c>
      <c r="D314" s="58" t="s">
        <v>662</v>
      </c>
    </row>
    <row r="315" spans="1:4">
      <c r="A315" s="58" t="s">
        <v>1090</v>
      </c>
      <c r="B315" s="58">
        <v>504370</v>
      </c>
      <c r="C315" s="58" t="s">
        <v>588</v>
      </c>
      <c r="D315" s="58" t="s">
        <v>1009</v>
      </c>
    </row>
    <row r="316" spans="1:4">
      <c r="A316" s="58" t="s">
        <v>1091</v>
      </c>
      <c r="B316" s="58">
        <v>526851</v>
      </c>
      <c r="C316" s="58" t="s">
        <v>588</v>
      </c>
      <c r="D316" s="58" t="s">
        <v>603</v>
      </c>
    </row>
    <row r="317" spans="1:4">
      <c r="A317" s="58" t="s">
        <v>1092</v>
      </c>
      <c r="B317" s="58">
        <v>539151</v>
      </c>
      <c r="C317" s="58" t="s">
        <v>588</v>
      </c>
      <c r="D317" s="58" t="s">
        <v>893</v>
      </c>
    </row>
    <row r="318" spans="1:4">
      <c r="A318" s="58" t="s">
        <v>1093</v>
      </c>
      <c r="B318" s="58">
        <v>539151</v>
      </c>
      <c r="C318" s="58" t="s">
        <v>588</v>
      </c>
      <c r="D318" s="58" t="s">
        <v>893</v>
      </c>
    </row>
    <row r="319" spans="1:4">
      <c r="A319" s="58" t="s">
        <v>1094</v>
      </c>
      <c r="B319" s="58">
        <v>532935</v>
      </c>
      <c r="C319" s="58" t="s">
        <v>1095</v>
      </c>
      <c r="D319" s="58" t="s">
        <v>1096</v>
      </c>
    </row>
    <row r="320" spans="1:4">
      <c r="A320" s="58" t="s">
        <v>1097</v>
      </c>
      <c r="B320" s="58">
        <v>511605</v>
      </c>
      <c r="C320" s="58" t="s">
        <v>588</v>
      </c>
      <c r="D320" s="58" t="s">
        <v>571</v>
      </c>
    </row>
    <row r="321" spans="1:4">
      <c r="A321" s="58" t="s">
        <v>1098</v>
      </c>
      <c r="B321" s="58">
        <v>531381</v>
      </c>
      <c r="C321" s="58" t="s">
        <v>1099</v>
      </c>
      <c r="D321" s="58" t="s">
        <v>674</v>
      </c>
    </row>
    <row r="322" spans="1:4">
      <c r="A322" s="58" t="s">
        <v>1100</v>
      </c>
      <c r="B322" s="58">
        <v>541401</v>
      </c>
      <c r="C322" s="58" t="s">
        <v>588</v>
      </c>
      <c r="D322" s="58" t="s">
        <v>693</v>
      </c>
    </row>
    <row r="323" spans="1:4">
      <c r="A323" s="58" t="s">
        <v>1101</v>
      </c>
      <c r="B323" s="58">
        <v>506194</v>
      </c>
      <c r="C323" s="58" t="s">
        <v>1102</v>
      </c>
      <c r="D323" s="58" t="s">
        <v>674</v>
      </c>
    </row>
    <row r="324" spans="1:4">
      <c r="A324" s="58" t="s">
        <v>1103</v>
      </c>
      <c r="B324" s="58">
        <v>526125</v>
      </c>
      <c r="C324" s="58" t="s">
        <v>588</v>
      </c>
      <c r="D324" s="58" t="s">
        <v>610</v>
      </c>
    </row>
    <row r="325" spans="1:4">
      <c r="A325" s="58" t="s">
        <v>1104</v>
      </c>
      <c r="B325" s="58">
        <v>531017</v>
      </c>
      <c r="C325" s="58" t="s">
        <v>588</v>
      </c>
      <c r="D325" s="58" t="s">
        <v>1009</v>
      </c>
    </row>
    <row r="326" spans="1:4">
      <c r="A326" s="58" t="s">
        <v>1105</v>
      </c>
      <c r="B326" s="58">
        <v>531677</v>
      </c>
      <c r="C326" s="58" t="s">
        <v>588</v>
      </c>
      <c r="D326" s="58" t="s">
        <v>574</v>
      </c>
    </row>
    <row r="327" spans="1:4">
      <c r="A327" s="58" t="s">
        <v>1106</v>
      </c>
      <c r="B327" s="58">
        <v>531179</v>
      </c>
      <c r="C327" s="58" t="s">
        <v>1107</v>
      </c>
      <c r="D327" s="58" t="s">
        <v>605</v>
      </c>
    </row>
    <row r="328" spans="1:4">
      <c r="A328" s="58" t="s">
        <v>1108</v>
      </c>
      <c r="B328" s="58">
        <v>538556</v>
      </c>
      <c r="C328" s="58" t="s">
        <v>1109</v>
      </c>
      <c r="D328" s="58" t="s">
        <v>608</v>
      </c>
    </row>
    <row r="329" spans="1:4">
      <c r="A329" s="58" t="s">
        <v>1110</v>
      </c>
      <c r="B329" s="58">
        <v>532397</v>
      </c>
      <c r="C329" s="58" t="s">
        <v>588</v>
      </c>
      <c r="D329" s="58" t="s">
        <v>582</v>
      </c>
    </row>
    <row r="330" spans="1:4">
      <c r="A330" s="58" t="s">
        <v>1111</v>
      </c>
      <c r="B330" s="58">
        <v>531467</v>
      </c>
      <c r="C330" s="58" t="s">
        <v>588</v>
      </c>
      <c r="D330" s="58" t="s">
        <v>1112</v>
      </c>
    </row>
    <row r="331" spans="1:4">
      <c r="A331" s="58" t="s">
        <v>1113</v>
      </c>
      <c r="B331" s="58">
        <v>537069</v>
      </c>
      <c r="C331" s="58" t="s">
        <v>588</v>
      </c>
      <c r="D331" s="58" t="s">
        <v>605</v>
      </c>
    </row>
    <row r="332" spans="1:4">
      <c r="A332" s="58" t="s">
        <v>1114</v>
      </c>
      <c r="B332" s="58">
        <v>513729</v>
      </c>
      <c r="C332" s="58" t="s">
        <v>1115</v>
      </c>
      <c r="D332" s="58" t="s">
        <v>1116</v>
      </c>
    </row>
    <row r="333" spans="1:4">
      <c r="A333" s="58" t="s">
        <v>1117</v>
      </c>
      <c r="B333" s="58">
        <v>531560</v>
      </c>
      <c r="C333" s="58" t="s">
        <v>588</v>
      </c>
      <c r="D333" s="58" t="s">
        <v>1009</v>
      </c>
    </row>
    <row r="334" spans="1:4">
      <c r="A334" s="58" t="s">
        <v>1118</v>
      </c>
      <c r="B334" s="58">
        <v>531560</v>
      </c>
      <c r="C334" s="58" t="s">
        <v>588</v>
      </c>
      <c r="D334" s="58" t="s">
        <v>1009</v>
      </c>
    </row>
    <row r="335" spans="1:4">
      <c r="A335" s="58" t="s">
        <v>1119</v>
      </c>
      <c r="B335" s="58">
        <v>516064</v>
      </c>
      <c r="C335" s="58" t="s">
        <v>1120</v>
      </c>
      <c r="D335" s="58" t="s">
        <v>708</v>
      </c>
    </row>
    <row r="336" spans="1:4">
      <c r="A336" s="58" t="s">
        <v>1121</v>
      </c>
      <c r="B336" s="58">
        <v>533068</v>
      </c>
      <c r="C336" s="58" t="s">
        <v>1122</v>
      </c>
      <c r="D336" s="58" t="s">
        <v>702</v>
      </c>
    </row>
    <row r="337" spans="1:4">
      <c r="A337" s="58" t="s">
        <v>1123</v>
      </c>
      <c r="B337" s="58">
        <v>506074</v>
      </c>
      <c r="C337" s="58" t="s">
        <v>1124</v>
      </c>
      <c r="D337" s="58" t="s">
        <v>909</v>
      </c>
    </row>
    <row r="338" spans="1:4">
      <c r="A338" s="58" t="s">
        <v>1125</v>
      </c>
      <c r="B338" s="58">
        <v>533163</v>
      </c>
      <c r="C338" s="58" t="s">
        <v>1126</v>
      </c>
      <c r="D338" s="58" t="s">
        <v>986</v>
      </c>
    </row>
    <row r="339" spans="1:4">
      <c r="A339" s="58" t="s">
        <v>1127</v>
      </c>
      <c r="B339" s="58" t="s">
        <v>588</v>
      </c>
      <c r="C339" s="58" t="s">
        <v>1128</v>
      </c>
      <c r="D339" s="58" t="s">
        <v>599</v>
      </c>
    </row>
    <row r="340" spans="1:4">
      <c r="A340" s="58" t="s">
        <v>1129</v>
      </c>
      <c r="B340" s="58">
        <v>517481</v>
      </c>
      <c r="C340" s="58" t="s">
        <v>588</v>
      </c>
      <c r="D340" s="58" t="s">
        <v>1130</v>
      </c>
    </row>
    <row r="341" spans="1:4">
      <c r="A341" s="58" t="s">
        <v>1131</v>
      </c>
      <c r="B341" s="58">
        <v>531297</v>
      </c>
      <c r="C341" s="58" t="s">
        <v>588</v>
      </c>
      <c r="D341" s="58" t="s">
        <v>672</v>
      </c>
    </row>
    <row r="342" spans="1:4">
      <c r="A342" s="58" t="s">
        <v>1132</v>
      </c>
      <c r="B342" s="58">
        <v>542670</v>
      </c>
      <c r="C342" s="58" t="s">
        <v>1133</v>
      </c>
      <c r="D342" s="58" t="s">
        <v>1134</v>
      </c>
    </row>
    <row r="343" spans="1:4">
      <c r="A343" s="58" t="s">
        <v>1135</v>
      </c>
      <c r="B343" s="58">
        <v>540616</v>
      </c>
      <c r="C343" s="58" t="s">
        <v>1136</v>
      </c>
      <c r="D343" s="58" t="s">
        <v>1058</v>
      </c>
    </row>
    <row r="344" spans="1:4">
      <c r="A344" s="58" t="s">
        <v>1137</v>
      </c>
      <c r="B344" s="58">
        <v>522134</v>
      </c>
      <c r="C344" s="58" t="s">
        <v>588</v>
      </c>
      <c r="D344" s="58" t="s">
        <v>596</v>
      </c>
    </row>
    <row r="345" spans="1:4">
      <c r="A345" s="58" t="s">
        <v>1138</v>
      </c>
      <c r="B345" s="58">
        <v>500016</v>
      </c>
      <c r="C345" s="58" t="s">
        <v>588</v>
      </c>
      <c r="D345" s="58" t="s">
        <v>789</v>
      </c>
    </row>
    <row r="346" spans="1:4">
      <c r="A346" s="58" t="s">
        <v>1139</v>
      </c>
      <c r="B346" s="58" t="s">
        <v>588</v>
      </c>
      <c r="C346" s="58" t="s">
        <v>1140</v>
      </c>
      <c r="D346" s="58" t="s">
        <v>599</v>
      </c>
    </row>
    <row r="347" spans="1:4">
      <c r="A347" s="58" t="s">
        <v>1141</v>
      </c>
      <c r="B347" s="58" t="s">
        <v>588</v>
      </c>
      <c r="C347" s="58" t="s">
        <v>1140</v>
      </c>
      <c r="D347" s="58" t="s">
        <v>599</v>
      </c>
    </row>
    <row r="348" spans="1:4">
      <c r="A348" s="58" t="s">
        <v>1142</v>
      </c>
      <c r="B348" s="58">
        <v>542484</v>
      </c>
      <c r="C348" s="58" t="s">
        <v>1143</v>
      </c>
      <c r="D348" s="58" t="s">
        <v>1144</v>
      </c>
    </row>
    <row r="349" spans="1:4">
      <c r="A349" s="58" t="s">
        <v>1145</v>
      </c>
      <c r="B349" s="58">
        <v>500101</v>
      </c>
      <c r="C349" s="58" t="s">
        <v>1146</v>
      </c>
      <c r="D349" s="58" t="s">
        <v>603</v>
      </c>
    </row>
    <row r="350" spans="1:4">
      <c r="A350" s="58" t="s">
        <v>1147</v>
      </c>
      <c r="B350" s="58">
        <v>539301</v>
      </c>
      <c r="C350" s="58" t="s">
        <v>1148</v>
      </c>
      <c r="D350" s="58" t="s">
        <v>674</v>
      </c>
    </row>
    <row r="351" spans="1:4">
      <c r="A351" s="58" t="s">
        <v>1149</v>
      </c>
      <c r="B351" s="58">
        <v>538716</v>
      </c>
      <c r="C351" s="58" t="s">
        <v>588</v>
      </c>
      <c r="D351" s="58" t="s">
        <v>571</v>
      </c>
    </row>
    <row r="352" spans="1:4">
      <c r="A352" s="58" t="s">
        <v>1150</v>
      </c>
      <c r="B352" s="58">
        <v>530245</v>
      </c>
      <c r="C352" s="58" t="s">
        <v>588</v>
      </c>
      <c r="D352" s="58" t="s">
        <v>605</v>
      </c>
    </row>
    <row r="353" spans="1:4">
      <c r="A353" s="58" t="s">
        <v>1151</v>
      </c>
      <c r="B353" s="58">
        <v>542176</v>
      </c>
      <c r="C353" s="58" t="s">
        <v>1152</v>
      </c>
      <c r="D353" s="58" t="s">
        <v>571</v>
      </c>
    </row>
    <row r="354" spans="1:4">
      <c r="A354" s="58" t="s">
        <v>1153</v>
      </c>
      <c r="B354" s="58">
        <v>515030</v>
      </c>
      <c r="C354" s="58" t="s">
        <v>1154</v>
      </c>
      <c r="D354" s="58" t="s">
        <v>943</v>
      </c>
    </row>
    <row r="355" spans="1:4">
      <c r="A355" s="58" t="s">
        <v>1155</v>
      </c>
      <c r="B355" s="58">
        <v>514482</v>
      </c>
      <c r="C355" s="58" t="s">
        <v>588</v>
      </c>
      <c r="D355" s="58" t="s">
        <v>603</v>
      </c>
    </row>
    <row r="356" spans="1:4">
      <c r="A356" s="58" t="s">
        <v>1156</v>
      </c>
      <c r="B356" s="58">
        <v>532853</v>
      </c>
      <c r="C356" s="58" t="s">
        <v>1157</v>
      </c>
      <c r="D356" s="58" t="s">
        <v>748</v>
      </c>
    </row>
    <row r="357" spans="1:4">
      <c r="A357" s="58" t="s">
        <v>1158</v>
      </c>
      <c r="B357" s="58">
        <v>535467</v>
      </c>
      <c r="C357" s="58" t="s">
        <v>1159</v>
      </c>
      <c r="D357" s="58" t="s">
        <v>702</v>
      </c>
    </row>
    <row r="358" spans="1:4">
      <c r="A358" s="58" t="s">
        <v>1160</v>
      </c>
      <c r="B358" s="58">
        <v>527001</v>
      </c>
      <c r="C358" s="58" t="s">
        <v>1161</v>
      </c>
      <c r="D358" s="58" t="s">
        <v>568</v>
      </c>
    </row>
    <row r="359" spans="1:4">
      <c r="A359" s="58" t="s">
        <v>1162</v>
      </c>
      <c r="B359" s="58">
        <v>542579</v>
      </c>
      <c r="C359" s="58" t="s">
        <v>1163</v>
      </c>
      <c r="D359" s="58" t="s">
        <v>1144</v>
      </c>
    </row>
    <row r="360" spans="1:4">
      <c r="A360" s="58" t="s">
        <v>1164</v>
      </c>
      <c r="B360" s="58">
        <v>540024</v>
      </c>
      <c r="C360" s="58" t="s">
        <v>588</v>
      </c>
      <c r="D360" s="58" t="s">
        <v>571</v>
      </c>
    </row>
    <row r="361" spans="1:4">
      <c r="A361" s="58" t="s">
        <v>1165</v>
      </c>
      <c r="B361" s="58">
        <v>519174</v>
      </c>
      <c r="C361" s="58" t="s">
        <v>588</v>
      </c>
      <c r="D361" s="58" t="s">
        <v>837</v>
      </c>
    </row>
    <row r="362" spans="1:4">
      <c r="A362" s="58" t="s">
        <v>1166</v>
      </c>
      <c r="B362" s="58">
        <v>523716</v>
      </c>
      <c r="C362" s="58" t="s">
        <v>1167</v>
      </c>
      <c r="D362" s="58" t="s">
        <v>674</v>
      </c>
    </row>
    <row r="363" spans="1:4">
      <c r="A363" s="58" t="s">
        <v>1168</v>
      </c>
      <c r="B363" s="58">
        <v>513401</v>
      </c>
      <c r="C363" s="58" t="s">
        <v>588</v>
      </c>
      <c r="D363" s="58" t="s">
        <v>620</v>
      </c>
    </row>
    <row r="364" spans="1:4">
      <c r="A364" s="58" t="s">
        <v>1169</v>
      </c>
      <c r="B364" s="58">
        <v>590122</v>
      </c>
      <c r="C364" s="58" t="s">
        <v>1170</v>
      </c>
      <c r="D364" s="58" t="s">
        <v>605</v>
      </c>
    </row>
    <row r="365" spans="1:4">
      <c r="A365" s="58" t="s">
        <v>1171</v>
      </c>
      <c r="B365" s="58">
        <v>514286</v>
      </c>
      <c r="C365" s="58" t="s">
        <v>1172</v>
      </c>
      <c r="D365" s="58" t="s">
        <v>603</v>
      </c>
    </row>
    <row r="366" spans="1:4">
      <c r="A366" s="58" t="s">
        <v>1173</v>
      </c>
      <c r="B366" s="58">
        <v>512247</v>
      </c>
      <c r="C366" s="58" t="s">
        <v>588</v>
      </c>
      <c r="D366" s="58" t="s">
        <v>571</v>
      </c>
    </row>
    <row r="367" spans="1:4">
      <c r="A367" s="58" t="s">
        <v>1174</v>
      </c>
      <c r="B367" s="58">
        <v>526847</v>
      </c>
      <c r="C367" s="58" t="s">
        <v>588</v>
      </c>
      <c r="D367" s="58" t="s">
        <v>620</v>
      </c>
    </row>
    <row r="368" spans="1:4">
      <c r="A368" s="58" t="s">
        <v>1175</v>
      </c>
      <c r="B368" s="58">
        <v>530429</v>
      </c>
      <c r="C368" s="58" t="s">
        <v>588</v>
      </c>
      <c r="D368" s="58" t="s">
        <v>708</v>
      </c>
    </row>
    <row r="369" spans="1:4">
      <c r="A369" s="58" t="s">
        <v>1176</v>
      </c>
      <c r="B369" s="58">
        <v>541702</v>
      </c>
      <c r="C369" s="58" t="s">
        <v>588</v>
      </c>
      <c r="D369" s="58" t="s">
        <v>610</v>
      </c>
    </row>
    <row r="370" spans="1:4">
      <c r="A370" s="58" t="s">
        <v>1177</v>
      </c>
      <c r="B370" s="58">
        <v>507872</v>
      </c>
      <c r="C370" s="58" t="s">
        <v>588</v>
      </c>
      <c r="D370" s="58" t="s">
        <v>603</v>
      </c>
    </row>
    <row r="371" spans="1:4">
      <c r="A371" s="58" t="s">
        <v>1178</v>
      </c>
      <c r="B371" s="58">
        <v>524594</v>
      </c>
      <c r="C371" s="58" t="s">
        <v>588</v>
      </c>
      <c r="D371" s="58" t="s">
        <v>636</v>
      </c>
    </row>
    <row r="372" spans="1:4">
      <c r="A372" s="58" t="s">
        <v>1179</v>
      </c>
      <c r="B372" s="58">
        <v>500477</v>
      </c>
      <c r="C372" s="58" t="s">
        <v>1180</v>
      </c>
      <c r="D372" s="58" t="s">
        <v>666</v>
      </c>
    </row>
    <row r="373" spans="1:4">
      <c r="A373" s="58" t="s">
        <v>1181</v>
      </c>
      <c r="B373" s="58">
        <v>533271</v>
      </c>
      <c r="C373" s="58" t="s">
        <v>1182</v>
      </c>
      <c r="D373" s="58" t="s">
        <v>1183</v>
      </c>
    </row>
    <row r="374" spans="1:4">
      <c r="A374" s="58" t="s">
        <v>1184</v>
      </c>
      <c r="B374" s="58">
        <v>540923</v>
      </c>
      <c r="C374" s="58" t="s">
        <v>588</v>
      </c>
      <c r="D374" s="58" t="s">
        <v>986</v>
      </c>
    </row>
    <row r="375" spans="1:4">
      <c r="A375" s="58" t="s">
        <v>1185</v>
      </c>
      <c r="B375" s="58">
        <v>526983</v>
      </c>
      <c r="C375" s="58" t="s">
        <v>588</v>
      </c>
      <c r="D375" s="58" t="s">
        <v>786</v>
      </c>
    </row>
    <row r="376" spans="1:4">
      <c r="A376" s="58" t="s">
        <v>1186</v>
      </c>
      <c r="B376" s="58">
        <v>526187</v>
      </c>
      <c r="C376" s="58" t="s">
        <v>588</v>
      </c>
      <c r="D376" s="58" t="s">
        <v>777</v>
      </c>
    </row>
    <row r="377" spans="1:4">
      <c r="A377" s="58" t="s">
        <v>1187</v>
      </c>
      <c r="B377" s="58">
        <v>531568</v>
      </c>
      <c r="C377" s="58" t="s">
        <v>588</v>
      </c>
      <c r="D377" s="58" t="s">
        <v>582</v>
      </c>
    </row>
    <row r="378" spans="1:4">
      <c r="A378" s="58" t="s">
        <v>1188</v>
      </c>
      <c r="B378" s="58">
        <v>502015</v>
      </c>
      <c r="C378" s="58" t="s">
        <v>588</v>
      </c>
      <c r="D378" s="58" t="s">
        <v>568</v>
      </c>
    </row>
    <row r="379" spans="1:4">
      <c r="A379" s="58" t="s">
        <v>1189</v>
      </c>
      <c r="B379" s="58">
        <v>538777</v>
      </c>
      <c r="C379" s="58" t="s">
        <v>588</v>
      </c>
      <c r="D379" s="58" t="s">
        <v>605</v>
      </c>
    </row>
    <row r="380" spans="1:4">
      <c r="A380" s="58" t="s">
        <v>1190</v>
      </c>
      <c r="B380" s="58">
        <v>530899</v>
      </c>
      <c r="C380" s="58" t="s">
        <v>588</v>
      </c>
      <c r="D380" s="58" t="s">
        <v>603</v>
      </c>
    </row>
    <row r="381" spans="1:4">
      <c r="A381" s="58" t="s">
        <v>1191</v>
      </c>
      <c r="B381" s="58">
        <v>531392</v>
      </c>
      <c r="C381" s="58" t="s">
        <v>588</v>
      </c>
      <c r="D381" s="58" t="s">
        <v>786</v>
      </c>
    </row>
    <row r="382" spans="1:4">
      <c r="A382" s="58" t="s">
        <v>1192</v>
      </c>
      <c r="B382" s="58">
        <v>532888</v>
      </c>
      <c r="C382" s="58" t="s">
        <v>1193</v>
      </c>
      <c r="D382" s="58" t="s">
        <v>865</v>
      </c>
    </row>
    <row r="383" spans="1:4">
      <c r="A383" s="58" t="s">
        <v>1194</v>
      </c>
      <c r="B383" s="58">
        <v>532888</v>
      </c>
      <c r="C383" s="58" t="s">
        <v>1193</v>
      </c>
      <c r="D383" s="58" t="s">
        <v>865</v>
      </c>
    </row>
    <row r="384" spans="1:4">
      <c r="A384" s="58" t="s">
        <v>1195</v>
      </c>
      <c r="B384" s="58">
        <v>533227</v>
      </c>
      <c r="C384" s="58" t="s">
        <v>1196</v>
      </c>
      <c r="D384" s="58" t="s">
        <v>789</v>
      </c>
    </row>
    <row r="385" spans="1:4">
      <c r="A385" s="58" t="s">
        <v>1197</v>
      </c>
      <c r="B385" s="58">
        <v>500023</v>
      </c>
      <c r="C385" s="58" t="s">
        <v>1198</v>
      </c>
      <c r="D385" s="58" t="s">
        <v>789</v>
      </c>
    </row>
    <row r="386" spans="1:4">
      <c r="A386" s="58" t="s">
        <v>1199</v>
      </c>
      <c r="B386" s="58">
        <v>533221</v>
      </c>
      <c r="C386" s="58" t="s">
        <v>1200</v>
      </c>
      <c r="D386" s="58" t="s">
        <v>789</v>
      </c>
    </row>
    <row r="387" spans="1:4">
      <c r="A387" s="58" t="s">
        <v>1201</v>
      </c>
      <c r="B387" s="58">
        <v>530355</v>
      </c>
      <c r="C387" s="58" t="s">
        <v>588</v>
      </c>
      <c r="D387" s="58" t="s">
        <v>929</v>
      </c>
    </row>
    <row r="388" spans="1:4">
      <c r="A388" s="706" t="s">
        <v>33</v>
      </c>
      <c r="B388" s="706">
        <v>500820</v>
      </c>
      <c r="C388" s="706" t="s">
        <v>1202</v>
      </c>
      <c r="D388" s="706" t="s">
        <v>865</v>
      </c>
    </row>
    <row r="389" spans="1:4">
      <c r="A389" s="58" t="s">
        <v>1203</v>
      </c>
      <c r="B389" s="58">
        <v>524434</v>
      </c>
      <c r="C389" s="58" t="s">
        <v>588</v>
      </c>
      <c r="D389" s="58" t="s">
        <v>636</v>
      </c>
    </row>
    <row r="390" spans="1:4">
      <c r="A390" s="58" t="s">
        <v>1204</v>
      </c>
      <c r="B390" s="58">
        <v>531847</v>
      </c>
      <c r="C390" s="58" t="s">
        <v>588</v>
      </c>
      <c r="D390" s="58" t="s">
        <v>702</v>
      </c>
    </row>
    <row r="391" spans="1:4">
      <c r="A391" s="58" t="s">
        <v>1205</v>
      </c>
      <c r="B391" s="58">
        <v>519532</v>
      </c>
      <c r="C391" s="58" t="s">
        <v>588</v>
      </c>
      <c r="D391" s="58" t="s">
        <v>610</v>
      </c>
    </row>
    <row r="392" spans="1:4">
      <c r="A392" s="58" t="s">
        <v>1206</v>
      </c>
      <c r="B392" s="58">
        <v>506159</v>
      </c>
      <c r="C392" s="58" t="s">
        <v>1207</v>
      </c>
      <c r="D392" s="58" t="s">
        <v>909</v>
      </c>
    </row>
    <row r="393" spans="1:4">
      <c r="A393" s="58" t="s">
        <v>1208</v>
      </c>
      <c r="B393" s="58">
        <v>530723</v>
      </c>
      <c r="C393" s="58" t="s">
        <v>588</v>
      </c>
      <c r="D393" s="58" t="s">
        <v>571</v>
      </c>
    </row>
    <row r="394" spans="1:4">
      <c r="A394" s="58" t="s">
        <v>1209</v>
      </c>
      <c r="B394" s="58" t="s">
        <v>588</v>
      </c>
      <c r="C394" s="58" t="s">
        <v>1210</v>
      </c>
      <c r="D394" s="58" t="s">
        <v>599</v>
      </c>
    </row>
    <row r="395" spans="1:4">
      <c r="A395" s="58" t="s">
        <v>1211</v>
      </c>
      <c r="B395" s="58">
        <v>526433</v>
      </c>
      <c r="C395" s="58" t="s">
        <v>588</v>
      </c>
      <c r="D395" s="58" t="s">
        <v>574</v>
      </c>
    </row>
    <row r="396" spans="1:4">
      <c r="A396" s="58" t="s">
        <v>1212</v>
      </c>
      <c r="B396" s="58" t="s">
        <v>588</v>
      </c>
      <c r="C396" s="58" t="s">
        <v>1213</v>
      </c>
      <c r="D396" s="58" t="s">
        <v>679</v>
      </c>
    </row>
    <row r="397" spans="1:4">
      <c r="A397" s="58" t="s">
        <v>1214</v>
      </c>
      <c r="B397" s="58">
        <v>540788</v>
      </c>
      <c r="C397" s="58" t="s">
        <v>588</v>
      </c>
      <c r="D397" s="58" t="s">
        <v>777</v>
      </c>
    </row>
    <row r="398" spans="1:4">
      <c r="A398" s="58" t="s">
        <v>1215</v>
      </c>
      <c r="B398" s="58">
        <v>500024</v>
      </c>
      <c r="C398" s="58" t="s">
        <v>1216</v>
      </c>
      <c r="D398" s="58" t="s">
        <v>995</v>
      </c>
    </row>
    <row r="399" spans="1:4">
      <c r="A399" s="58" t="s">
        <v>1217</v>
      </c>
      <c r="B399" s="58">
        <v>500024</v>
      </c>
      <c r="C399" s="58" t="s">
        <v>1216</v>
      </c>
      <c r="D399" s="58" t="s">
        <v>995</v>
      </c>
    </row>
    <row r="400" spans="1:4">
      <c r="A400" s="58" t="s">
        <v>1218</v>
      </c>
      <c r="B400" s="58">
        <v>507526</v>
      </c>
      <c r="C400" s="58" t="s">
        <v>588</v>
      </c>
      <c r="D400" s="58" t="s">
        <v>1219</v>
      </c>
    </row>
    <row r="401" spans="1:4">
      <c r="A401" s="58" t="s">
        <v>1220</v>
      </c>
      <c r="B401" s="58">
        <v>533138</v>
      </c>
      <c r="C401" s="58" t="s">
        <v>1221</v>
      </c>
      <c r="D401" s="58" t="s">
        <v>732</v>
      </c>
    </row>
    <row r="402" spans="1:4">
      <c r="A402" s="58" t="s">
        <v>1222</v>
      </c>
      <c r="B402" s="58">
        <v>540975</v>
      </c>
      <c r="C402" s="58" t="s">
        <v>1223</v>
      </c>
      <c r="D402" s="58" t="s">
        <v>777</v>
      </c>
    </row>
    <row r="403" spans="1:4">
      <c r="A403" s="58" t="s">
        <v>1224</v>
      </c>
      <c r="B403" s="58">
        <v>532493</v>
      </c>
      <c r="C403" s="58" t="s">
        <v>1225</v>
      </c>
      <c r="D403" s="58" t="s">
        <v>1061</v>
      </c>
    </row>
    <row r="404" spans="1:4">
      <c r="A404" s="58" t="s">
        <v>1226</v>
      </c>
      <c r="B404" s="58">
        <v>532830</v>
      </c>
      <c r="C404" s="58" t="s">
        <v>1227</v>
      </c>
      <c r="D404" s="58" t="s">
        <v>708</v>
      </c>
    </row>
    <row r="405" spans="1:4">
      <c r="A405" s="58" t="s">
        <v>1228</v>
      </c>
      <c r="B405" s="58">
        <v>506820</v>
      </c>
      <c r="C405" s="58" t="s">
        <v>1229</v>
      </c>
      <c r="D405" s="58" t="s">
        <v>626</v>
      </c>
    </row>
    <row r="406" spans="1:4">
      <c r="A406" s="58" t="s">
        <v>1230</v>
      </c>
      <c r="B406" s="58">
        <v>506820</v>
      </c>
      <c r="C406" s="58" t="s">
        <v>1229</v>
      </c>
      <c r="D406" s="58" t="s">
        <v>626</v>
      </c>
    </row>
    <row r="407" spans="1:4">
      <c r="A407" s="58" t="s">
        <v>1231</v>
      </c>
      <c r="B407" s="58">
        <v>540824</v>
      </c>
      <c r="C407" s="58" t="s">
        <v>1232</v>
      </c>
      <c r="D407" s="58" t="s">
        <v>582</v>
      </c>
    </row>
    <row r="408" spans="1:4">
      <c r="A408" s="58" t="s">
        <v>1233</v>
      </c>
      <c r="B408" s="58">
        <v>512433</v>
      </c>
      <c r="C408" s="58" t="s">
        <v>588</v>
      </c>
      <c r="D408" s="58" t="s">
        <v>610</v>
      </c>
    </row>
    <row r="409" spans="1:4">
      <c r="A409" s="58" t="s">
        <v>1234</v>
      </c>
      <c r="B409" s="58">
        <v>511144</v>
      </c>
      <c r="C409" s="58" t="s">
        <v>588</v>
      </c>
      <c r="D409" s="58" t="s">
        <v>574</v>
      </c>
    </row>
    <row r="410" spans="1:4">
      <c r="A410" s="58" t="s">
        <v>1235</v>
      </c>
      <c r="B410" s="58">
        <v>530187</v>
      </c>
      <c r="C410" s="58" t="s">
        <v>588</v>
      </c>
      <c r="D410" s="58" t="s">
        <v>605</v>
      </c>
    </row>
    <row r="411" spans="1:4">
      <c r="A411" s="58" t="s">
        <v>1236</v>
      </c>
      <c r="B411" s="58">
        <v>539099</v>
      </c>
      <c r="C411" s="58" t="s">
        <v>588</v>
      </c>
      <c r="D411" s="58" t="s">
        <v>674</v>
      </c>
    </row>
    <row r="412" spans="1:4">
      <c r="A412" s="58" t="s">
        <v>1237</v>
      </c>
      <c r="B412" s="58">
        <v>517429</v>
      </c>
      <c r="C412" s="58" t="s">
        <v>1238</v>
      </c>
      <c r="D412" s="58" t="s">
        <v>681</v>
      </c>
    </row>
    <row r="413" spans="1:4">
      <c r="A413" s="58" t="s">
        <v>1239</v>
      </c>
      <c r="B413" s="58">
        <v>538713</v>
      </c>
      <c r="C413" s="58" t="s">
        <v>588</v>
      </c>
      <c r="D413" s="58" t="s">
        <v>681</v>
      </c>
    </row>
    <row r="414" spans="1:4">
      <c r="A414" s="58" t="s">
        <v>1240</v>
      </c>
      <c r="B414" s="58">
        <v>526843</v>
      </c>
      <c r="C414" s="58" t="s">
        <v>588</v>
      </c>
      <c r="D414" s="58" t="s">
        <v>610</v>
      </c>
    </row>
    <row r="415" spans="1:4">
      <c r="A415" s="58" t="s">
        <v>1241</v>
      </c>
      <c r="B415" s="58">
        <v>532759</v>
      </c>
      <c r="C415" s="58" t="s">
        <v>1242</v>
      </c>
      <c r="D415" s="58" t="s">
        <v>986</v>
      </c>
    </row>
    <row r="416" spans="1:4">
      <c r="A416" s="58" t="s">
        <v>1243</v>
      </c>
      <c r="B416" s="58">
        <v>505029</v>
      </c>
      <c r="C416" s="58" t="s">
        <v>1244</v>
      </c>
      <c r="D416" s="58" t="s">
        <v>1245</v>
      </c>
    </row>
    <row r="417" spans="1:4">
      <c r="A417" s="58" t="s">
        <v>1246</v>
      </c>
      <c r="B417" s="58">
        <v>514394</v>
      </c>
      <c r="C417" s="58" t="s">
        <v>588</v>
      </c>
      <c r="D417" s="58" t="s">
        <v>702</v>
      </c>
    </row>
    <row r="418" spans="1:4">
      <c r="A418" s="58" t="s">
        <v>1247</v>
      </c>
      <c r="B418" s="58">
        <v>514394</v>
      </c>
      <c r="C418" s="58" t="s">
        <v>588</v>
      </c>
      <c r="D418" s="58" t="s">
        <v>702</v>
      </c>
    </row>
    <row r="419" spans="1:4">
      <c r="A419" s="58" t="s">
        <v>1248</v>
      </c>
      <c r="B419" s="58">
        <v>531795</v>
      </c>
      <c r="C419" s="58" t="s">
        <v>1249</v>
      </c>
      <c r="D419" s="58" t="s">
        <v>1245</v>
      </c>
    </row>
    <row r="420" spans="1:4">
      <c r="A420" s="58" t="s">
        <v>1250</v>
      </c>
      <c r="B420" s="58">
        <v>500027</v>
      </c>
      <c r="C420" s="58" t="s">
        <v>1251</v>
      </c>
      <c r="D420" s="58" t="s">
        <v>732</v>
      </c>
    </row>
    <row r="421" spans="1:4">
      <c r="A421" s="58" t="s">
        <v>1252</v>
      </c>
      <c r="B421" s="58">
        <v>500028</v>
      </c>
      <c r="C421" s="58" t="s">
        <v>588</v>
      </c>
      <c r="D421" s="58" t="s">
        <v>986</v>
      </c>
    </row>
    <row r="422" spans="1:4">
      <c r="A422" s="58" t="s">
        <v>1253</v>
      </c>
      <c r="B422" s="58">
        <v>500028</v>
      </c>
      <c r="C422" s="58" t="s">
        <v>588</v>
      </c>
      <c r="D422" s="58" t="s">
        <v>986</v>
      </c>
    </row>
    <row r="423" spans="1:4">
      <c r="A423" s="58" t="s">
        <v>1254</v>
      </c>
      <c r="B423" s="58">
        <v>540611</v>
      </c>
      <c r="C423" s="58" t="s">
        <v>1255</v>
      </c>
      <c r="D423" s="58" t="s">
        <v>906</v>
      </c>
    </row>
    <row r="424" spans="1:4">
      <c r="A424" s="58" t="s">
        <v>1256</v>
      </c>
      <c r="B424" s="58">
        <v>532459</v>
      </c>
      <c r="C424" s="58" t="s">
        <v>588</v>
      </c>
      <c r="D424" s="58" t="s">
        <v>603</v>
      </c>
    </row>
    <row r="425" spans="1:4">
      <c r="A425" s="58" t="s">
        <v>1257</v>
      </c>
      <c r="B425" s="58" t="s">
        <v>588</v>
      </c>
      <c r="C425" s="58" t="s">
        <v>1258</v>
      </c>
      <c r="D425" s="58" t="s">
        <v>599</v>
      </c>
    </row>
    <row r="426" spans="1:4">
      <c r="A426" s="58" t="s">
        <v>1259</v>
      </c>
      <c r="B426" s="58">
        <v>532668</v>
      </c>
      <c r="C426" s="58" t="s">
        <v>1260</v>
      </c>
      <c r="D426" s="58" t="s">
        <v>681</v>
      </c>
    </row>
    <row r="427" spans="1:4">
      <c r="A427" s="58" t="s">
        <v>1261</v>
      </c>
      <c r="B427" s="58">
        <v>530233</v>
      </c>
      <c r="C427" s="58" t="s">
        <v>588</v>
      </c>
      <c r="D427" s="58" t="s">
        <v>626</v>
      </c>
    </row>
    <row r="428" spans="1:4">
      <c r="A428" s="58" t="s">
        <v>1262</v>
      </c>
      <c r="B428" s="58">
        <v>524804</v>
      </c>
      <c r="C428" s="58" t="s">
        <v>1263</v>
      </c>
      <c r="D428" s="58" t="s">
        <v>626</v>
      </c>
    </row>
    <row r="429" spans="1:4">
      <c r="A429" s="58" t="s">
        <v>1264</v>
      </c>
      <c r="B429" s="58">
        <v>531336</v>
      </c>
      <c r="C429" s="58" t="s">
        <v>588</v>
      </c>
      <c r="D429" s="58" t="s">
        <v>1265</v>
      </c>
    </row>
    <row r="430" spans="1:4">
      <c r="A430" s="58" t="s">
        <v>1266</v>
      </c>
      <c r="B430" s="58">
        <v>509009</v>
      </c>
      <c r="C430" s="58" t="s">
        <v>1267</v>
      </c>
      <c r="D430" s="58" t="s">
        <v>610</v>
      </c>
    </row>
    <row r="431" spans="1:4">
      <c r="A431" s="58" t="s">
        <v>1268</v>
      </c>
      <c r="B431" s="58">
        <v>522005</v>
      </c>
      <c r="C431" s="58" t="s">
        <v>588</v>
      </c>
      <c r="D431" s="58" t="s">
        <v>596</v>
      </c>
    </row>
    <row r="432" spans="1:4">
      <c r="A432" s="58" t="s">
        <v>1269</v>
      </c>
      <c r="B432" s="58">
        <v>539177</v>
      </c>
      <c r="C432" s="58" t="s">
        <v>588</v>
      </c>
      <c r="D432" s="58" t="s">
        <v>605</v>
      </c>
    </row>
    <row r="433" spans="1:4">
      <c r="A433" s="58" t="s">
        <v>1270</v>
      </c>
      <c r="B433" s="58">
        <v>531994</v>
      </c>
      <c r="C433" s="58" t="s">
        <v>588</v>
      </c>
      <c r="D433" s="58" t="s">
        <v>943</v>
      </c>
    </row>
    <row r="434" spans="1:4">
      <c r="A434" s="58" t="s">
        <v>1271</v>
      </c>
      <c r="B434" s="58">
        <v>531994</v>
      </c>
      <c r="C434" s="58" t="s">
        <v>588</v>
      </c>
      <c r="D434" s="58" t="s">
        <v>943</v>
      </c>
    </row>
    <row r="435" spans="1:4">
      <c r="A435" s="58" t="s">
        <v>1272</v>
      </c>
      <c r="B435" s="58">
        <v>532797</v>
      </c>
      <c r="C435" s="58" t="s">
        <v>1273</v>
      </c>
      <c r="D435" s="58" t="s">
        <v>943</v>
      </c>
    </row>
    <row r="436" spans="1:4">
      <c r="A436" s="58" t="s">
        <v>1274</v>
      </c>
      <c r="B436" s="58">
        <v>500029</v>
      </c>
      <c r="C436" s="58" t="s">
        <v>1275</v>
      </c>
      <c r="D436" s="58" t="s">
        <v>943</v>
      </c>
    </row>
    <row r="437" spans="1:4">
      <c r="A437" s="58" t="s">
        <v>1276</v>
      </c>
      <c r="B437" s="58">
        <v>500029</v>
      </c>
      <c r="C437" s="58" t="s">
        <v>1275</v>
      </c>
      <c r="D437" s="58" t="s">
        <v>943</v>
      </c>
    </row>
    <row r="438" spans="1:4">
      <c r="A438" s="58" t="s">
        <v>1277</v>
      </c>
      <c r="B438" s="58">
        <v>505036</v>
      </c>
      <c r="C438" s="58" t="s">
        <v>588</v>
      </c>
      <c r="D438" s="58" t="s">
        <v>943</v>
      </c>
    </row>
    <row r="439" spans="1:4">
      <c r="A439" s="58" t="s">
        <v>1278</v>
      </c>
      <c r="B439" s="58">
        <v>505010</v>
      </c>
      <c r="C439" s="58" t="s">
        <v>1279</v>
      </c>
      <c r="D439" s="58" t="s">
        <v>943</v>
      </c>
    </row>
    <row r="440" spans="1:4">
      <c r="A440" s="58" t="s">
        <v>1280</v>
      </c>
      <c r="B440" s="58">
        <v>520119</v>
      </c>
      <c r="C440" s="58" t="s">
        <v>1281</v>
      </c>
      <c r="D440" s="58" t="s">
        <v>943</v>
      </c>
    </row>
    <row r="441" spans="1:4">
      <c r="A441" s="58" t="s">
        <v>1282</v>
      </c>
      <c r="B441" s="58">
        <v>512277</v>
      </c>
      <c r="C441" s="58" t="s">
        <v>588</v>
      </c>
      <c r="D441" s="58" t="s">
        <v>909</v>
      </c>
    </row>
    <row r="442" spans="1:4">
      <c r="A442" s="58" t="s">
        <v>1283</v>
      </c>
      <c r="B442" s="58">
        <v>780004</v>
      </c>
      <c r="C442" s="58" t="s">
        <v>588</v>
      </c>
      <c r="D442" s="58" t="s">
        <v>679</v>
      </c>
    </row>
    <row r="443" spans="1:4">
      <c r="A443" s="58" t="s">
        <v>1284</v>
      </c>
      <c r="B443" s="58">
        <v>540649</v>
      </c>
      <c r="C443" s="58" t="s">
        <v>1285</v>
      </c>
      <c r="D443" s="58" t="s">
        <v>1286</v>
      </c>
    </row>
    <row r="444" spans="1:4">
      <c r="A444" s="58" t="s">
        <v>1287</v>
      </c>
      <c r="B444" s="58">
        <v>531310</v>
      </c>
      <c r="C444" s="58" t="s">
        <v>588</v>
      </c>
      <c r="D444" s="58" t="s">
        <v>571</v>
      </c>
    </row>
    <row r="445" spans="1:4">
      <c r="A445" s="58" t="s">
        <v>1288</v>
      </c>
      <c r="B445" s="58">
        <v>512149</v>
      </c>
      <c r="C445" s="58" t="s">
        <v>588</v>
      </c>
      <c r="D445" s="58" t="s">
        <v>681</v>
      </c>
    </row>
    <row r="446" spans="1:4">
      <c r="A446" s="58" t="s">
        <v>1289</v>
      </c>
      <c r="B446" s="58">
        <v>532406</v>
      </c>
      <c r="C446" s="58" t="s">
        <v>588</v>
      </c>
      <c r="D446" s="58" t="s">
        <v>734</v>
      </c>
    </row>
    <row r="447" spans="1:4">
      <c r="A447" s="58" t="s">
        <v>1290</v>
      </c>
      <c r="B447" s="58">
        <v>512573</v>
      </c>
      <c r="C447" s="58" t="s">
        <v>1291</v>
      </c>
      <c r="D447" s="58" t="s">
        <v>668</v>
      </c>
    </row>
    <row r="448" spans="1:4">
      <c r="A448" s="58" t="s">
        <v>1292</v>
      </c>
      <c r="B448" s="58">
        <v>540376</v>
      </c>
      <c r="C448" s="58" t="s">
        <v>143</v>
      </c>
      <c r="D448" s="58" t="s">
        <v>757</v>
      </c>
    </row>
    <row r="449" spans="1:4">
      <c r="A449" s="58" t="s">
        <v>1293</v>
      </c>
      <c r="B449" s="58" t="s">
        <v>588</v>
      </c>
      <c r="C449" s="58" t="s">
        <v>1294</v>
      </c>
      <c r="D449" s="58" t="s">
        <v>599</v>
      </c>
    </row>
    <row r="450" spans="1:4">
      <c r="A450" s="58" t="s">
        <v>1295</v>
      </c>
      <c r="B450" s="58">
        <v>539288</v>
      </c>
      <c r="C450" s="58" t="s">
        <v>588</v>
      </c>
      <c r="D450" s="58" t="s">
        <v>748</v>
      </c>
    </row>
    <row r="451" spans="1:4">
      <c r="A451" s="58" t="s">
        <v>1296</v>
      </c>
      <c r="B451" s="58">
        <v>523896</v>
      </c>
      <c r="C451" s="58" t="s">
        <v>588</v>
      </c>
      <c r="D451" s="58" t="s">
        <v>610</v>
      </c>
    </row>
    <row r="452" spans="1:4">
      <c r="A452" s="58" t="s">
        <v>1297</v>
      </c>
      <c r="B452" s="58">
        <v>523896</v>
      </c>
      <c r="C452" s="58" t="s">
        <v>588</v>
      </c>
      <c r="D452" s="58" t="s">
        <v>610</v>
      </c>
    </row>
    <row r="453" spans="1:4">
      <c r="A453" s="58" t="s">
        <v>1298</v>
      </c>
      <c r="B453" s="58">
        <v>512109</v>
      </c>
      <c r="C453" s="58" t="s">
        <v>588</v>
      </c>
      <c r="D453" s="58" t="s">
        <v>610</v>
      </c>
    </row>
    <row r="454" spans="1:4">
      <c r="A454" s="58" t="s">
        <v>1299</v>
      </c>
      <c r="B454" s="58">
        <v>531541</v>
      </c>
      <c r="C454" s="58" t="s">
        <v>588</v>
      </c>
      <c r="D454" s="58" t="s">
        <v>636</v>
      </c>
    </row>
    <row r="455" spans="1:4">
      <c r="A455" s="58" t="s">
        <v>1300</v>
      </c>
      <c r="B455" s="58" t="s">
        <v>588</v>
      </c>
      <c r="C455" s="58" t="s">
        <v>1301</v>
      </c>
      <c r="D455" s="58" t="s">
        <v>599</v>
      </c>
    </row>
    <row r="456" spans="1:4">
      <c r="A456" s="58" t="s">
        <v>1302</v>
      </c>
      <c r="B456" s="58">
        <v>511589</v>
      </c>
      <c r="C456" s="58" t="s">
        <v>588</v>
      </c>
      <c r="D456" s="58" t="s">
        <v>605</v>
      </c>
    </row>
    <row r="457" spans="1:4">
      <c r="A457" s="58" t="s">
        <v>1303</v>
      </c>
      <c r="B457" s="58" t="s">
        <v>588</v>
      </c>
      <c r="C457" s="58" t="s">
        <v>1304</v>
      </c>
      <c r="D457" s="58" t="s">
        <v>599</v>
      </c>
    </row>
    <row r="458" spans="1:4">
      <c r="A458" s="58" t="s">
        <v>1305</v>
      </c>
      <c r="B458" s="58">
        <v>519105</v>
      </c>
      <c r="C458" s="58" t="s">
        <v>1306</v>
      </c>
      <c r="D458" s="58" t="s">
        <v>786</v>
      </c>
    </row>
    <row r="459" spans="1:4">
      <c r="A459" s="58" t="s">
        <v>1307</v>
      </c>
      <c r="B459" s="58">
        <v>504390</v>
      </c>
      <c r="C459" s="58" t="s">
        <v>588</v>
      </c>
      <c r="D459" s="58" t="s">
        <v>571</v>
      </c>
    </row>
    <row r="460" spans="1:4">
      <c r="A460" s="58" t="s">
        <v>1308</v>
      </c>
      <c r="B460" s="58">
        <v>513642</v>
      </c>
      <c r="C460" s="58" t="s">
        <v>588</v>
      </c>
      <c r="D460" s="58" t="s">
        <v>708</v>
      </c>
    </row>
    <row r="461" spans="1:4">
      <c r="A461" s="58" t="s">
        <v>1309</v>
      </c>
      <c r="B461" s="58">
        <v>532215</v>
      </c>
      <c r="C461" s="58" t="s">
        <v>1310</v>
      </c>
      <c r="D461" s="58" t="s">
        <v>906</v>
      </c>
    </row>
    <row r="462" spans="1:4">
      <c r="A462" s="58" t="s">
        <v>1311</v>
      </c>
      <c r="B462" s="58">
        <v>532395</v>
      </c>
      <c r="C462" s="58" t="s">
        <v>1312</v>
      </c>
      <c r="D462" s="58" t="s">
        <v>918</v>
      </c>
    </row>
    <row r="463" spans="1:4">
      <c r="A463" s="58" t="s">
        <v>1313</v>
      </c>
      <c r="B463" s="58">
        <v>542285</v>
      </c>
      <c r="C463" s="58" t="s">
        <v>1314</v>
      </c>
      <c r="D463" s="58" t="s">
        <v>603</v>
      </c>
    </row>
    <row r="464" spans="1:4">
      <c r="A464" s="58" t="s">
        <v>1315</v>
      </c>
      <c r="B464" s="58">
        <v>505506</v>
      </c>
      <c r="C464" s="58" t="s">
        <v>588</v>
      </c>
      <c r="D464" s="58" t="s">
        <v>681</v>
      </c>
    </row>
    <row r="465" spans="1:4">
      <c r="A465" s="58" t="s">
        <v>1316</v>
      </c>
      <c r="B465" s="58">
        <v>523850</v>
      </c>
      <c r="C465" s="58" t="s">
        <v>588</v>
      </c>
      <c r="D465" s="58" t="s">
        <v>596</v>
      </c>
    </row>
    <row r="466" spans="1:4">
      <c r="A466" s="58" t="s">
        <v>1317</v>
      </c>
      <c r="B466" s="58">
        <v>523168</v>
      </c>
      <c r="C466" s="58" t="s">
        <v>588</v>
      </c>
      <c r="D466" s="58" t="s">
        <v>802</v>
      </c>
    </row>
    <row r="467" spans="1:4">
      <c r="A467" s="58" t="s">
        <v>1318</v>
      </c>
      <c r="B467" s="58">
        <v>508933</v>
      </c>
      <c r="C467" s="58" t="s">
        <v>1319</v>
      </c>
      <c r="D467" s="58" t="s">
        <v>603</v>
      </c>
    </row>
    <row r="468" spans="1:4">
      <c r="A468" s="58" t="s">
        <v>1320</v>
      </c>
      <c r="B468" s="58">
        <v>512063</v>
      </c>
      <c r="C468" s="58" t="s">
        <v>588</v>
      </c>
      <c r="D468" s="58" t="s">
        <v>610</v>
      </c>
    </row>
    <row r="469" spans="1:4">
      <c r="A469" s="58" t="s">
        <v>1321</v>
      </c>
      <c r="B469" s="58">
        <v>536965</v>
      </c>
      <c r="C469" s="58" t="s">
        <v>588</v>
      </c>
      <c r="D469" s="58" t="s">
        <v>605</v>
      </c>
    </row>
    <row r="470" spans="1:4">
      <c r="A470" s="58" t="s">
        <v>1322</v>
      </c>
      <c r="B470" s="58">
        <v>508136</v>
      </c>
      <c r="C470" s="58" t="s">
        <v>588</v>
      </c>
      <c r="D470" s="58" t="s">
        <v>995</v>
      </c>
    </row>
    <row r="471" spans="1:4">
      <c r="A471" s="58" t="s">
        <v>1323</v>
      </c>
      <c r="B471" s="58">
        <v>532507</v>
      </c>
      <c r="C471" s="58" t="s">
        <v>1324</v>
      </c>
      <c r="D471" s="58" t="s">
        <v>1325</v>
      </c>
    </row>
    <row r="472" spans="1:4">
      <c r="A472" s="58" t="s">
        <v>1326</v>
      </c>
      <c r="B472" s="58">
        <v>537766</v>
      </c>
      <c r="C472" s="58" t="s">
        <v>588</v>
      </c>
      <c r="D472" s="58" t="s">
        <v>886</v>
      </c>
    </row>
    <row r="473" spans="1:4">
      <c r="A473" s="58" t="s">
        <v>1327</v>
      </c>
      <c r="B473" s="58">
        <v>532719</v>
      </c>
      <c r="C473" s="58" t="s">
        <v>1328</v>
      </c>
      <c r="D473" s="58" t="s">
        <v>674</v>
      </c>
    </row>
    <row r="474" spans="1:4">
      <c r="A474" s="58" t="s">
        <v>1329</v>
      </c>
      <c r="B474" s="58">
        <v>523019</v>
      </c>
      <c r="C474" s="58" t="s">
        <v>588</v>
      </c>
      <c r="D474" s="58" t="s">
        <v>571</v>
      </c>
    </row>
    <row r="475" spans="1:4">
      <c r="A475" s="58" t="s">
        <v>1330</v>
      </c>
      <c r="B475" s="58">
        <v>523186</v>
      </c>
      <c r="C475" s="58" t="s">
        <v>588</v>
      </c>
      <c r="D475" s="58" t="s">
        <v>582</v>
      </c>
    </row>
    <row r="476" spans="1:4">
      <c r="A476" s="58" t="s">
        <v>1331</v>
      </c>
      <c r="B476" s="58">
        <v>523186</v>
      </c>
      <c r="C476" s="58" t="s">
        <v>588</v>
      </c>
      <c r="D476" s="58" t="s">
        <v>582</v>
      </c>
    </row>
    <row r="477" spans="1:4">
      <c r="A477" s="58" t="s">
        <v>1332</v>
      </c>
      <c r="B477" s="58" t="s">
        <v>588</v>
      </c>
      <c r="C477" s="58" t="s">
        <v>1333</v>
      </c>
      <c r="D477" s="58" t="s">
        <v>599</v>
      </c>
    </row>
    <row r="478" spans="1:4">
      <c r="A478" s="58" t="s">
        <v>1334</v>
      </c>
      <c r="B478" s="58">
        <v>542206</v>
      </c>
      <c r="C478" s="58" t="s">
        <v>1335</v>
      </c>
      <c r="D478" s="58" t="s">
        <v>954</v>
      </c>
    </row>
    <row r="479" spans="1:4">
      <c r="A479" s="58" t="s">
        <v>1336</v>
      </c>
      <c r="B479" s="58">
        <v>531268</v>
      </c>
      <c r="C479" s="58" t="s">
        <v>588</v>
      </c>
      <c r="D479" s="58" t="s">
        <v>681</v>
      </c>
    </row>
    <row r="480" spans="1:4">
      <c r="A480" s="58" t="s">
        <v>1337</v>
      </c>
      <c r="B480" s="58">
        <v>532380</v>
      </c>
      <c r="C480" s="58" t="s">
        <v>588</v>
      </c>
      <c r="D480" s="58" t="s">
        <v>591</v>
      </c>
    </row>
    <row r="481" spans="1:4">
      <c r="A481" s="58" t="s">
        <v>1338</v>
      </c>
      <c r="B481" s="58">
        <v>524516</v>
      </c>
      <c r="C481" s="58" t="s">
        <v>588</v>
      </c>
      <c r="D481" s="58" t="s">
        <v>626</v>
      </c>
    </row>
    <row r="482" spans="1:4">
      <c r="A482" s="58" t="s">
        <v>1339</v>
      </c>
      <c r="B482" s="58">
        <v>532989</v>
      </c>
      <c r="C482" s="58" t="s">
        <v>1340</v>
      </c>
      <c r="D482" s="58" t="s">
        <v>626</v>
      </c>
    </row>
    <row r="483" spans="1:4">
      <c r="A483" s="58" t="s">
        <v>1341</v>
      </c>
      <c r="B483" s="58">
        <v>530197</v>
      </c>
      <c r="C483" s="58" t="s">
        <v>588</v>
      </c>
      <c r="D483" s="58" t="s">
        <v>748</v>
      </c>
    </row>
    <row r="484" spans="1:4">
      <c r="A484" s="58" t="s">
        <v>1342</v>
      </c>
      <c r="B484" s="58">
        <v>511724</v>
      </c>
      <c r="C484" s="58" t="s">
        <v>588</v>
      </c>
      <c r="D484" s="58" t="s">
        <v>605</v>
      </c>
    </row>
    <row r="485" spans="1:4">
      <c r="A485" s="58" t="s">
        <v>1343</v>
      </c>
      <c r="B485" s="58">
        <v>532977</v>
      </c>
      <c r="C485" s="58" t="s">
        <v>1344</v>
      </c>
      <c r="D485" s="58" t="s">
        <v>1245</v>
      </c>
    </row>
    <row r="486" spans="1:4">
      <c r="A486" s="58" t="s">
        <v>1345</v>
      </c>
      <c r="B486" s="58" t="s">
        <v>588</v>
      </c>
      <c r="C486" s="58" t="s">
        <v>1346</v>
      </c>
      <c r="D486" s="58" t="s">
        <v>770</v>
      </c>
    </row>
    <row r="487" spans="1:4">
      <c r="A487" s="58" t="s">
        <v>1347</v>
      </c>
      <c r="B487" s="58">
        <v>533229</v>
      </c>
      <c r="C487" s="58" t="s">
        <v>1348</v>
      </c>
      <c r="D487" s="58" t="s">
        <v>770</v>
      </c>
    </row>
    <row r="488" spans="1:4">
      <c r="A488" s="58" t="s">
        <v>1349</v>
      </c>
      <c r="B488" s="58">
        <v>500031</v>
      </c>
      <c r="C488" s="58" t="s">
        <v>1350</v>
      </c>
      <c r="D488" s="58" t="s">
        <v>1351</v>
      </c>
    </row>
    <row r="489" spans="1:4">
      <c r="A489" s="58" t="s">
        <v>1352</v>
      </c>
      <c r="B489" s="58">
        <v>500034</v>
      </c>
      <c r="C489" s="58" t="s">
        <v>1353</v>
      </c>
      <c r="D489" s="58" t="s">
        <v>605</v>
      </c>
    </row>
    <row r="490" spans="1:4">
      <c r="A490" s="58" t="s">
        <v>1354</v>
      </c>
      <c r="B490" s="58">
        <v>532978</v>
      </c>
      <c r="C490" s="58" t="s">
        <v>1355</v>
      </c>
      <c r="D490" s="58" t="s">
        <v>754</v>
      </c>
    </row>
    <row r="491" spans="1:4">
      <c r="A491" s="58" t="s">
        <v>1356</v>
      </c>
      <c r="B491" s="58">
        <v>512261</v>
      </c>
      <c r="C491" s="58" t="s">
        <v>588</v>
      </c>
      <c r="D491" s="58" t="s">
        <v>610</v>
      </c>
    </row>
    <row r="492" spans="1:4">
      <c r="A492" s="58" t="s">
        <v>1357</v>
      </c>
      <c r="B492" s="58">
        <v>539872</v>
      </c>
      <c r="C492" s="58" t="s">
        <v>588</v>
      </c>
      <c r="D492" s="58" t="s">
        <v>626</v>
      </c>
    </row>
    <row r="493" spans="1:4">
      <c r="A493" s="58" t="s">
        <v>1358</v>
      </c>
      <c r="B493" s="58">
        <v>500032</v>
      </c>
      <c r="C493" s="58" t="s">
        <v>1359</v>
      </c>
      <c r="D493" s="58" t="s">
        <v>1286</v>
      </c>
    </row>
    <row r="494" spans="1:4">
      <c r="A494" s="58" t="s">
        <v>1360</v>
      </c>
      <c r="B494" s="58">
        <v>500490</v>
      </c>
      <c r="C494" s="58" t="s">
        <v>1361</v>
      </c>
      <c r="D494" s="58" t="s">
        <v>754</v>
      </c>
    </row>
    <row r="495" spans="1:4">
      <c r="A495" s="58" t="s">
        <v>1362</v>
      </c>
      <c r="B495" s="58">
        <v>507944</v>
      </c>
      <c r="C495" s="58" t="s">
        <v>588</v>
      </c>
      <c r="D495" s="58" t="s">
        <v>596</v>
      </c>
    </row>
    <row r="496" spans="1:4">
      <c r="A496" s="58" t="s">
        <v>1363</v>
      </c>
      <c r="B496" s="58">
        <v>511139</v>
      </c>
      <c r="C496" s="58" t="s">
        <v>588</v>
      </c>
      <c r="D496" s="58" t="s">
        <v>1009</v>
      </c>
    </row>
    <row r="497" spans="1:4">
      <c r="A497" s="58" t="s">
        <v>1364</v>
      </c>
      <c r="B497" s="58">
        <v>524824</v>
      </c>
      <c r="C497" s="58" t="s">
        <v>1365</v>
      </c>
      <c r="D497" s="58" t="s">
        <v>626</v>
      </c>
    </row>
    <row r="498" spans="1:4">
      <c r="A498" s="58" t="s">
        <v>1366</v>
      </c>
      <c r="B498" s="58">
        <v>530999</v>
      </c>
      <c r="C498" s="58" t="s">
        <v>1367</v>
      </c>
      <c r="D498" s="58" t="s">
        <v>636</v>
      </c>
    </row>
    <row r="499" spans="1:4">
      <c r="A499" s="58" t="s">
        <v>1368</v>
      </c>
      <c r="B499" s="58">
        <v>532382</v>
      </c>
      <c r="C499" s="58" t="s">
        <v>1369</v>
      </c>
      <c r="D499" s="58" t="s">
        <v>1325</v>
      </c>
    </row>
    <row r="500" spans="1:4">
      <c r="A500" s="58" t="s">
        <v>1370</v>
      </c>
      <c r="B500" s="58">
        <v>513142</v>
      </c>
      <c r="C500" s="58" t="s">
        <v>588</v>
      </c>
      <c r="D500" s="58" t="s">
        <v>620</v>
      </c>
    </row>
    <row r="501" spans="1:4">
      <c r="A501" s="58" t="s">
        <v>1371</v>
      </c>
      <c r="B501" s="58" t="s">
        <v>588</v>
      </c>
      <c r="C501" s="58" t="s">
        <v>1372</v>
      </c>
      <c r="D501" s="58" t="s">
        <v>1373</v>
      </c>
    </row>
    <row r="502" spans="1:4">
      <c r="A502" s="58" t="s">
        <v>1374</v>
      </c>
      <c r="B502" s="58">
        <v>539834</v>
      </c>
      <c r="C502" s="58" t="s">
        <v>588</v>
      </c>
      <c r="D502" s="58" t="s">
        <v>610</v>
      </c>
    </row>
    <row r="503" spans="1:4">
      <c r="A503" s="58" t="s">
        <v>1375</v>
      </c>
      <c r="B503" s="58">
        <v>502355</v>
      </c>
      <c r="C503" s="58" t="s">
        <v>1376</v>
      </c>
      <c r="D503" s="58" t="s">
        <v>1068</v>
      </c>
    </row>
    <row r="504" spans="1:4">
      <c r="A504" s="58" t="s">
        <v>1377</v>
      </c>
      <c r="B504" s="58">
        <v>539251</v>
      </c>
      <c r="C504" s="58" t="s">
        <v>1378</v>
      </c>
      <c r="D504" s="58" t="s">
        <v>783</v>
      </c>
    </row>
    <row r="505" spans="1:4">
      <c r="A505" s="58" t="s">
        <v>1379</v>
      </c>
      <c r="B505" s="58">
        <v>500102</v>
      </c>
      <c r="C505" s="58" t="s">
        <v>1380</v>
      </c>
      <c r="D505" s="58" t="s">
        <v>582</v>
      </c>
    </row>
    <row r="506" spans="1:4">
      <c r="A506" s="58" t="s">
        <v>1381</v>
      </c>
      <c r="B506" s="58">
        <v>523319</v>
      </c>
      <c r="C506" s="58" t="s">
        <v>1382</v>
      </c>
      <c r="D506" s="58" t="s">
        <v>577</v>
      </c>
    </row>
    <row r="507" spans="1:4">
      <c r="A507" s="58" t="s">
        <v>1383</v>
      </c>
      <c r="B507" s="58">
        <v>532485</v>
      </c>
      <c r="C507" s="58" t="s">
        <v>588</v>
      </c>
      <c r="D507" s="58" t="s">
        <v>605</v>
      </c>
    </row>
    <row r="508" spans="1:4">
      <c r="A508" s="58" t="s">
        <v>1384</v>
      </c>
      <c r="B508" s="58">
        <v>500038</v>
      </c>
      <c r="C508" s="58" t="s">
        <v>1385</v>
      </c>
      <c r="D508" s="58" t="s">
        <v>1286</v>
      </c>
    </row>
    <row r="509" spans="1:4">
      <c r="A509" s="58" t="s">
        <v>1386</v>
      </c>
      <c r="B509" s="58">
        <v>520127</v>
      </c>
      <c r="C509" s="58" t="s">
        <v>588</v>
      </c>
      <c r="D509" s="58" t="s">
        <v>660</v>
      </c>
    </row>
    <row r="510" spans="1:4">
      <c r="A510" s="58" t="s">
        <v>1387</v>
      </c>
      <c r="B510" s="58">
        <v>519295</v>
      </c>
      <c r="C510" s="58" t="s">
        <v>588</v>
      </c>
      <c r="D510" s="58" t="s">
        <v>648</v>
      </c>
    </row>
    <row r="511" spans="1:4">
      <c r="A511" s="58" t="s">
        <v>1388</v>
      </c>
      <c r="B511" s="58">
        <v>531591</v>
      </c>
      <c r="C511" s="58" t="s">
        <v>588</v>
      </c>
      <c r="D511" s="58" t="s">
        <v>605</v>
      </c>
    </row>
    <row r="512" spans="1:4">
      <c r="A512" s="58" t="s">
        <v>1389</v>
      </c>
      <c r="B512" s="58">
        <v>526849</v>
      </c>
      <c r="C512" s="58" t="s">
        <v>1390</v>
      </c>
      <c r="D512" s="58" t="s">
        <v>702</v>
      </c>
    </row>
    <row r="513" spans="1:4">
      <c r="A513" s="58" t="s">
        <v>1391</v>
      </c>
      <c r="B513" s="58">
        <v>509053</v>
      </c>
      <c r="C513" s="58" t="s">
        <v>588</v>
      </c>
      <c r="D513" s="58" t="s">
        <v>1009</v>
      </c>
    </row>
    <row r="514" spans="1:4">
      <c r="A514" s="58" t="s">
        <v>1392</v>
      </c>
      <c r="B514" s="58">
        <v>500039</v>
      </c>
      <c r="C514" s="58" t="s">
        <v>1393</v>
      </c>
      <c r="D514" s="58" t="s">
        <v>943</v>
      </c>
    </row>
    <row r="515" spans="1:4">
      <c r="A515" s="58" t="s">
        <v>1394</v>
      </c>
      <c r="B515" s="58">
        <v>541153</v>
      </c>
      <c r="C515" s="58" t="s">
        <v>1395</v>
      </c>
      <c r="D515" s="58" t="s">
        <v>906</v>
      </c>
    </row>
    <row r="516" spans="1:4">
      <c r="A516" s="58" t="s">
        <v>1396</v>
      </c>
      <c r="B516" s="58">
        <v>532946</v>
      </c>
      <c r="C516" s="58" t="s">
        <v>1397</v>
      </c>
      <c r="D516" s="58" t="s">
        <v>702</v>
      </c>
    </row>
    <row r="517" spans="1:4">
      <c r="A517" s="58" t="s">
        <v>1398</v>
      </c>
      <c r="B517" s="58">
        <v>539120</v>
      </c>
      <c r="C517" s="58" t="s">
        <v>588</v>
      </c>
      <c r="D517" s="58" t="s">
        <v>825</v>
      </c>
    </row>
    <row r="518" spans="1:4">
      <c r="A518" s="58" t="s">
        <v>1399</v>
      </c>
      <c r="B518" s="58">
        <v>532134</v>
      </c>
      <c r="C518" s="58" t="s">
        <v>1400</v>
      </c>
      <c r="D518" s="58" t="s">
        <v>906</v>
      </c>
    </row>
    <row r="519" spans="1:4">
      <c r="A519" s="58" t="s">
        <v>1401</v>
      </c>
      <c r="B519" s="58">
        <v>532149</v>
      </c>
      <c r="C519" s="58" t="s">
        <v>1402</v>
      </c>
      <c r="D519" s="58" t="s">
        <v>906</v>
      </c>
    </row>
    <row r="520" spans="1:4">
      <c r="A520" s="58" t="s">
        <v>1403</v>
      </c>
      <c r="B520" s="58">
        <v>532525</v>
      </c>
      <c r="C520" s="58" t="s">
        <v>1404</v>
      </c>
      <c r="D520" s="58" t="s">
        <v>906</v>
      </c>
    </row>
    <row r="521" spans="1:4">
      <c r="A521" s="58" t="s">
        <v>1405</v>
      </c>
      <c r="B521" s="58" t="s">
        <v>588</v>
      </c>
      <c r="C521" s="58" t="s">
        <v>1406</v>
      </c>
      <c r="D521" s="58" t="s">
        <v>599</v>
      </c>
    </row>
    <row r="522" spans="1:4">
      <c r="A522" s="58" t="s">
        <v>1407</v>
      </c>
      <c r="B522" s="58">
        <v>532674</v>
      </c>
      <c r="C522" s="58" t="s">
        <v>1408</v>
      </c>
      <c r="D522" s="58" t="s">
        <v>603</v>
      </c>
    </row>
    <row r="523" spans="1:4">
      <c r="A523" s="58" t="s">
        <v>1409</v>
      </c>
      <c r="B523" s="58">
        <v>500041</v>
      </c>
      <c r="C523" s="58" t="s">
        <v>1410</v>
      </c>
      <c r="D523" s="58" t="s">
        <v>1286</v>
      </c>
    </row>
    <row r="524" spans="1:4">
      <c r="A524" s="58" t="s">
        <v>1411</v>
      </c>
      <c r="B524" s="58" t="s">
        <v>588</v>
      </c>
      <c r="C524" s="58" t="s">
        <v>1412</v>
      </c>
      <c r="D524" s="58" t="s">
        <v>599</v>
      </c>
    </row>
    <row r="525" spans="1:4">
      <c r="A525" s="58" t="s">
        <v>1413</v>
      </c>
      <c r="B525" s="58">
        <v>538546</v>
      </c>
      <c r="C525" s="58" t="s">
        <v>588</v>
      </c>
      <c r="D525" s="58" t="s">
        <v>911</v>
      </c>
    </row>
    <row r="526" spans="1:4">
      <c r="A526" s="58" t="s">
        <v>1414</v>
      </c>
      <c r="B526" s="58">
        <v>519353</v>
      </c>
      <c r="C526" s="58" t="s">
        <v>588</v>
      </c>
      <c r="D526" s="58" t="s">
        <v>995</v>
      </c>
    </row>
    <row r="527" spans="1:4">
      <c r="A527" s="58" t="s">
        <v>1415</v>
      </c>
      <c r="B527" s="58">
        <v>503722</v>
      </c>
      <c r="C527" s="58" t="s">
        <v>1416</v>
      </c>
      <c r="D527" s="58" t="s">
        <v>603</v>
      </c>
    </row>
    <row r="528" spans="1:4">
      <c r="A528" s="58" t="s">
        <v>1417</v>
      </c>
      <c r="B528" s="58">
        <v>532916</v>
      </c>
      <c r="C528" s="58" t="s">
        <v>1418</v>
      </c>
      <c r="D528" s="58" t="s">
        <v>601</v>
      </c>
    </row>
    <row r="529" spans="1:4">
      <c r="A529" s="58" t="s">
        <v>1419</v>
      </c>
      <c r="B529" s="58">
        <v>513502</v>
      </c>
      <c r="C529" s="58" t="s">
        <v>588</v>
      </c>
      <c r="D529" s="58" t="s">
        <v>662</v>
      </c>
    </row>
    <row r="530" spans="1:4">
      <c r="A530" s="58" t="s">
        <v>1420</v>
      </c>
      <c r="B530" s="58">
        <v>532336</v>
      </c>
      <c r="C530" s="58" t="s">
        <v>588</v>
      </c>
      <c r="D530" s="58" t="s">
        <v>681</v>
      </c>
    </row>
    <row r="531" spans="1:4">
      <c r="A531" s="58" t="s">
        <v>1421</v>
      </c>
      <c r="B531" s="58">
        <v>532694</v>
      </c>
      <c r="C531" s="58" t="s">
        <v>1422</v>
      </c>
      <c r="D531" s="58" t="s">
        <v>1009</v>
      </c>
    </row>
    <row r="532" spans="1:4">
      <c r="A532" s="58" t="s">
        <v>1423</v>
      </c>
      <c r="B532" s="58">
        <v>532694</v>
      </c>
      <c r="C532" s="58" t="s">
        <v>1422</v>
      </c>
      <c r="D532" s="58" t="s">
        <v>1009</v>
      </c>
    </row>
    <row r="533" spans="1:4">
      <c r="A533" s="58" t="s">
        <v>1424</v>
      </c>
      <c r="B533" s="58">
        <v>524687</v>
      </c>
      <c r="C533" s="58" t="s">
        <v>588</v>
      </c>
      <c r="D533" s="58" t="s">
        <v>1096</v>
      </c>
    </row>
    <row r="534" spans="1:4">
      <c r="A534" s="58" t="s">
        <v>1425</v>
      </c>
      <c r="B534" s="58">
        <v>524687</v>
      </c>
      <c r="C534" s="58" t="s">
        <v>588</v>
      </c>
      <c r="D534" s="58" t="s">
        <v>1096</v>
      </c>
    </row>
    <row r="535" spans="1:4">
      <c r="A535" s="58" t="s">
        <v>1426</v>
      </c>
      <c r="B535" s="58">
        <v>500042</v>
      </c>
      <c r="C535" s="58" t="s">
        <v>1427</v>
      </c>
      <c r="D535" s="58" t="s">
        <v>748</v>
      </c>
    </row>
    <row r="536" spans="1:4">
      <c r="A536" s="58" t="s">
        <v>1428</v>
      </c>
      <c r="B536" s="58">
        <v>500042</v>
      </c>
      <c r="C536" s="58" t="s">
        <v>1427</v>
      </c>
      <c r="D536" s="58" t="s">
        <v>748</v>
      </c>
    </row>
    <row r="537" spans="1:4">
      <c r="A537" s="58" t="s">
        <v>1429</v>
      </c>
      <c r="B537" s="58">
        <v>500043</v>
      </c>
      <c r="C537" s="58" t="s">
        <v>1430</v>
      </c>
      <c r="D537" s="58" t="s">
        <v>1014</v>
      </c>
    </row>
    <row r="538" spans="1:4">
      <c r="A538" s="58" t="s">
        <v>1431</v>
      </c>
      <c r="B538" s="58">
        <v>500043</v>
      </c>
      <c r="C538" s="58" t="s">
        <v>1432</v>
      </c>
      <c r="D538" s="58" t="s">
        <v>1014</v>
      </c>
    </row>
    <row r="539" spans="1:4">
      <c r="A539" s="58" t="s">
        <v>1433</v>
      </c>
      <c r="B539" s="58">
        <v>522004</v>
      </c>
      <c r="C539" s="58" t="s">
        <v>588</v>
      </c>
      <c r="D539" s="58" t="s">
        <v>596</v>
      </c>
    </row>
    <row r="540" spans="1:4">
      <c r="A540" s="58" t="s">
        <v>1434</v>
      </c>
      <c r="B540" s="58">
        <v>506285</v>
      </c>
      <c r="C540" s="58" t="s">
        <v>1435</v>
      </c>
      <c r="D540" s="58" t="s">
        <v>732</v>
      </c>
    </row>
    <row r="541" spans="1:4">
      <c r="A541" s="58" t="s">
        <v>1436</v>
      </c>
      <c r="B541" s="58">
        <v>539946</v>
      </c>
      <c r="C541" s="58" t="s">
        <v>588</v>
      </c>
      <c r="D541" s="58" t="s">
        <v>605</v>
      </c>
    </row>
    <row r="542" spans="1:4">
      <c r="A542" s="58" t="s">
        <v>1437</v>
      </c>
      <c r="B542" s="58">
        <v>517246</v>
      </c>
      <c r="C542" s="58" t="s">
        <v>588</v>
      </c>
      <c r="D542" s="58" t="s">
        <v>1130</v>
      </c>
    </row>
    <row r="543" spans="1:4">
      <c r="A543" s="58" t="s">
        <v>1438</v>
      </c>
      <c r="B543" s="58">
        <v>517246</v>
      </c>
      <c r="C543" s="58" t="s">
        <v>588</v>
      </c>
      <c r="D543" s="58" t="s">
        <v>1130</v>
      </c>
    </row>
    <row r="544" spans="1:4">
      <c r="A544" s="58" t="s">
        <v>1439</v>
      </c>
      <c r="B544" s="58">
        <v>539621</v>
      </c>
      <c r="C544" s="58" t="s">
        <v>588</v>
      </c>
      <c r="D544" s="58" t="s">
        <v>605</v>
      </c>
    </row>
    <row r="545" spans="1:4">
      <c r="A545" s="58" t="s">
        <v>1440</v>
      </c>
      <c r="B545" s="58">
        <v>524332</v>
      </c>
      <c r="C545" s="58" t="s">
        <v>588</v>
      </c>
      <c r="D545" s="58" t="s">
        <v>837</v>
      </c>
    </row>
    <row r="546" spans="1:4">
      <c r="A546" s="58" t="s">
        <v>1441</v>
      </c>
      <c r="B546" s="58">
        <v>542057</v>
      </c>
      <c r="C546" s="58" t="s">
        <v>588</v>
      </c>
      <c r="D546" s="58" t="s">
        <v>986</v>
      </c>
    </row>
    <row r="547" spans="1:4">
      <c r="A547" s="58" t="s">
        <v>1442</v>
      </c>
      <c r="B547" s="58">
        <v>524828</v>
      </c>
      <c r="C547" s="58" t="s">
        <v>588</v>
      </c>
      <c r="D547" s="58" t="s">
        <v>626</v>
      </c>
    </row>
    <row r="548" spans="1:4">
      <c r="A548" s="58" t="s">
        <v>1443</v>
      </c>
      <c r="B548" s="58">
        <v>539447</v>
      </c>
      <c r="C548" s="58" t="s">
        <v>1444</v>
      </c>
      <c r="D548" s="58" t="s">
        <v>783</v>
      </c>
    </row>
    <row r="549" spans="1:4">
      <c r="A549" s="58" t="s">
        <v>1445</v>
      </c>
      <c r="B549" s="58">
        <v>533270</v>
      </c>
      <c r="C549" s="58" t="s">
        <v>1446</v>
      </c>
      <c r="D549" s="58" t="s">
        <v>911</v>
      </c>
    </row>
    <row r="550" spans="1:4">
      <c r="A550" s="58" t="s">
        <v>1447</v>
      </c>
      <c r="B550" s="58">
        <v>539546</v>
      </c>
      <c r="C550" s="58" t="s">
        <v>588</v>
      </c>
      <c r="D550" s="58" t="s">
        <v>610</v>
      </c>
    </row>
    <row r="551" spans="1:4">
      <c r="A551" s="58" t="s">
        <v>1448</v>
      </c>
      <c r="B551" s="58">
        <v>539018</v>
      </c>
      <c r="C551" s="58" t="s">
        <v>588</v>
      </c>
      <c r="D551" s="58" t="s">
        <v>620</v>
      </c>
    </row>
    <row r="552" spans="1:4">
      <c r="A552" s="58" t="s">
        <v>1449</v>
      </c>
      <c r="B552" s="58">
        <v>532645</v>
      </c>
      <c r="C552" s="58" t="s">
        <v>588</v>
      </c>
      <c r="D552" s="58" t="s">
        <v>610</v>
      </c>
    </row>
    <row r="553" spans="1:4">
      <c r="A553" s="58" t="s">
        <v>1450</v>
      </c>
      <c r="B553" s="58">
        <v>539399</v>
      </c>
      <c r="C553" s="58" t="s">
        <v>588</v>
      </c>
      <c r="D553" s="58" t="s">
        <v>603</v>
      </c>
    </row>
    <row r="554" spans="1:4">
      <c r="A554" s="58" t="s">
        <v>1451</v>
      </c>
      <c r="B554" s="58">
        <v>522650</v>
      </c>
      <c r="C554" s="58" t="s">
        <v>588</v>
      </c>
      <c r="D554" s="58" t="s">
        <v>773</v>
      </c>
    </row>
    <row r="555" spans="1:4">
      <c r="A555" s="58" t="s">
        <v>1452</v>
      </c>
      <c r="B555" s="58">
        <v>500048</v>
      </c>
      <c r="C555" s="58" t="s">
        <v>1453</v>
      </c>
      <c r="D555" s="58" t="s">
        <v>666</v>
      </c>
    </row>
    <row r="556" spans="1:4">
      <c r="A556" s="58" t="s">
        <v>1454</v>
      </c>
      <c r="B556" s="58">
        <v>541178</v>
      </c>
      <c r="C556" s="58" t="s">
        <v>588</v>
      </c>
      <c r="D556" s="58" t="s">
        <v>773</v>
      </c>
    </row>
    <row r="557" spans="1:4">
      <c r="A557" s="58" t="s">
        <v>1455</v>
      </c>
      <c r="B557" s="58">
        <v>509438</v>
      </c>
      <c r="C557" s="58" t="s">
        <v>588</v>
      </c>
      <c r="D557" s="58" t="s">
        <v>789</v>
      </c>
    </row>
    <row r="558" spans="1:4">
      <c r="A558" s="58" t="s">
        <v>1456</v>
      </c>
      <c r="B558" s="58">
        <v>533095</v>
      </c>
      <c r="C558" s="58" t="s">
        <v>588</v>
      </c>
      <c r="D558" s="58" t="s">
        <v>605</v>
      </c>
    </row>
    <row r="559" spans="1:4">
      <c r="A559" s="58" t="s">
        <v>1457</v>
      </c>
      <c r="B559" s="58">
        <v>512404</v>
      </c>
      <c r="C559" s="58" t="s">
        <v>588</v>
      </c>
      <c r="D559" s="58" t="s">
        <v>620</v>
      </c>
    </row>
    <row r="560" spans="1:4">
      <c r="A560" s="58" t="s">
        <v>1458</v>
      </c>
      <c r="B560" s="58">
        <v>532230</v>
      </c>
      <c r="C560" s="58" t="s">
        <v>588</v>
      </c>
      <c r="D560" s="58" t="s">
        <v>603</v>
      </c>
    </row>
    <row r="561" spans="1:4">
      <c r="A561" s="58" t="s">
        <v>1459</v>
      </c>
      <c r="B561" s="58">
        <v>512195</v>
      </c>
      <c r="C561" s="58" t="s">
        <v>588</v>
      </c>
      <c r="D561" s="58" t="s">
        <v>1009</v>
      </c>
    </row>
    <row r="562" spans="1:4">
      <c r="A562" s="58" t="s">
        <v>1460</v>
      </c>
      <c r="B562" s="58">
        <v>509480</v>
      </c>
      <c r="C562" s="58" t="s">
        <v>1461</v>
      </c>
      <c r="D562" s="58" t="s">
        <v>865</v>
      </c>
    </row>
    <row r="563" spans="1:4">
      <c r="A563" s="58" t="s">
        <v>1462</v>
      </c>
      <c r="B563" s="58">
        <v>531340</v>
      </c>
      <c r="C563" s="58" t="s">
        <v>588</v>
      </c>
      <c r="D563" s="58" t="s">
        <v>571</v>
      </c>
    </row>
    <row r="564" spans="1:4">
      <c r="A564" s="58" t="s">
        <v>1463</v>
      </c>
      <c r="B564" s="58">
        <v>524606</v>
      </c>
      <c r="C564" s="58" t="s">
        <v>588</v>
      </c>
      <c r="D564" s="58" t="s">
        <v>626</v>
      </c>
    </row>
    <row r="565" spans="1:4">
      <c r="A565" s="58" t="s">
        <v>1464</v>
      </c>
      <c r="B565" s="58">
        <v>531582</v>
      </c>
      <c r="C565" s="58" t="s">
        <v>588</v>
      </c>
      <c r="D565" s="58" t="s">
        <v>605</v>
      </c>
    </row>
    <row r="566" spans="1:4">
      <c r="A566" s="58" t="s">
        <v>1465</v>
      </c>
      <c r="B566" s="58">
        <v>508664</v>
      </c>
      <c r="C566" s="58" t="s">
        <v>588</v>
      </c>
      <c r="D566" s="58" t="s">
        <v>789</v>
      </c>
    </row>
    <row r="567" spans="1:4">
      <c r="A567" s="58" t="s">
        <v>1466</v>
      </c>
      <c r="B567" s="58" t="s">
        <v>588</v>
      </c>
      <c r="C567" s="58" t="s">
        <v>1467</v>
      </c>
      <c r="D567" s="58" t="s">
        <v>599</v>
      </c>
    </row>
    <row r="568" spans="1:4">
      <c r="A568" s="58" t="s">
        <v>1468</v>
      </c>
      <c r="B568" s="58">
        <v>512477</v>
      </c>
      <c r="C568" s="58" t="s">
        <v>588</v>
      </c>
      <c r="D568" s="58" t="s">
        <v>603</v>
      </c>
    </row>
    <row r="569" spans="1:4">
      <c r="A569" s="58" t="s">
        <v>1469</v>
      </c>
      <c r="B569" s="58">
        <v>512477</v>
      </c>
      <c r="C569" s="58" t="s">
        <v>588</v>
      </c>
      <c r="D569" s="58" t="s">
        <v>603</v>
      </c>
    </row>
    <row r="570" spans="1:4">
      <c r="A570" s="58" t="s">
        <v>1470</v>
      </c>
      <c r="B570" s="58">
        <v>533303</v>
      </c>
      <c r="C570" s="58" t="s">
        <v>1471</v>
      </c>
      <c r="D570" s="58" t="s">
        <v>754</v>
      </c>
    </row>
    <row r="571" spans="1:4">
      <c r="A571" s="58" t="s">
        <v>1472</v>
      </c>
      <c r="B571" s="58">
        <v>532430</v>
      </c>
      <c r="C571" s="58" t="s">
        <v>1473</v>
      </c>
      <c r="D571" s="58" t="s">
        <v>727</v>
      </c>
    </row>
    <row r="572" spans="1:4">
      <c r="A572" s="58" t="s">
        <v>1474</v>
      </c>
      <c r="B572" s="58">
        <v>539662</v>
      </c>
      <c r="C572" s="58" t="s">
        <v>588</v>
      </c>
      <c r="D572" s="58" t="s">
        <v>605</v>
      </c>
    </row>
    <row r="573" spans="1:4">
      <c r="A573" s="58" t="s">
        <v>1475</v>
      </c>
      <c r="B573" s="58">
        <v>511664</v>
      </c>
      <c r="C573" s="58" t="s">
        <v>588</v>
      </c>
      <c r="D573" s="58" t="s">
        <v>591</v>
      </c>
    </row>
    <row r="574" spans="1:4">
      <c r="A574" s="58" t="s">
        <v>1476</v>
      </c>
      <c r="B574" s="58">
        <v>532930</v>
      </c>
      <c r="C574" s="58" t="s">
        <v>1477</v>
      </c>
      <c r="D574" s="58" t="s">
        <v>631</v>
      </c>
    </row>
    <row r="575" spans="1:4">
      <c r="A575" s="58" t="s">
        <v>1478</v>
      </c>
      <c r="B575" s="58">
        <v>530803</v>
      </c>
      <c r="C575" s="58" t="s">
        <v>1479</v>
      </c>
      <c r="D575" s="58" t="s">
        <v>636</v>
      </c>
    </row>
    <row r="576" spans="1:4">
      <c r="A576" s="58" t="s">
        <v>1480</v>
      </c>
      <c r="B576" s="58">
        <v>531719</v>
      </c>
      <c r="C576" s="58" t="s">
        <v>588</v>
      </c>
      <c r="D576" s="58" t="s">
        <v>732</v>
      </c>
    </row>
    <row r="577" spans="1:4">
      <c r="A577" s="58" t="s">
        <v>1481</v>
      </c>
      <c r="B577" s="58">
        <v>504646</v>
      </c>
      <c r="C577" s="58" t="s">
        <v>588</v>
      </c>
      <c r="D577" s="58" t="s">
        <v>943</v>
      </c>
    </row>
    <row r="578" spans="1:4">
      <c r="A578" s="58" t="s">
        <v>1482</v>
      </c>
      <c r="B578" s="58">
        <v>509449</v>
      </c>
      <c r="C578" s="58" t="s">
        <v>588</v>
      </c>
      <c r="D578" s="58" t="s">
        <v>636</v>
      </c>
    </row>
    <row r="579" spans="1:4">
      <c r="A579" s="58" t="s">
        <v>1483</v>
      </c>
      <c r="B579" s="58">
        <v>512296</v>
      </c>
      <c r="C579" s="58" t="s">
        <v>1484</v>
      </c>
      <c r="D579" s="58" t="s">
        <v>662</v>
      </c>
    </row>
    <row r="580" spans="1:4">
      <c r="A580" s="58" t="s">
        <v>1485</v>
      </c>
      <c r="B580" s="58">
        <v>512296</v>
      </c>
      <c r="C580" s="58" t="s">
        <v>1484</v>
      </c>
      <c r="D580" s="58" t="s">
        <v>662</v>
      </c>
    </row>
    <row r="581" spans="1:4">
      <c r="A581" s="58" t="s">
        <v>1486</v>
      </c>
      <c r="B581" s="58">
        <v>540621</v>
      </c>
      <c r="C581" s="58" t="s">
        <v>1487</v>
      </c>
      <c r="D581" s="58" t="s">
        <v>674</v>
      </c>
    </row>
    <row r="582" spans="1:4">
      <c r="A582" s="58" t="s">
        <v>1488</v>
      </c>
      <c r="B582" s="58">
        <v>540545</v>
      </c>
      <c r="C582" s="58" t="s">
        <v>588</v>
      </c>
      <c r="D582" s="58" t="s">
        <v>702</v>
      </c>
    </row>
    <row r="583" spans="1:4">
      <c r="A583" s="58" t="s">
        <v>1489</v>
      </c>
      <c r="B583" s="58">
        <v>512608</v>
      </c>
      <c r="C583" s="58" t="s">
        <v>1490</v>
      </c>
      <c r="D583" s="58" t="s">
        <v>702</v>
      </c>
    </row>
    <row r="584" spans="1:4">
      <c r="A584" s="58" t="s">
        <v>1491</v>
      </c>
      <c r="B584" s="58">
        <v>538576</v>
      </c>
      <c r="C584" s="58" t="s">
        <v>588</v>
      </c>
      <c r="D584" s="58" t="s">
        <v>674</v>
      </c>
    </row>
    <row r="585" spans="1:4">
      <c r="A585" s="58" t="s">
        <v>1492</v>
      </c>
      <c r="B585" s="58">
        <v>500052</v>
      </c>
      <c r="C585" s="58" t="s">
        <v>1493</v>
      </c>
      <c r="D585" s="58" t="s">
        <v>748</v>
      </c>
    </row>
    <row r="586" spans="1:4">
      <c r="A586" s="58" t="s">
        <v>1494</v>
      </c>
      <c r="B586" s="58">
        <v>531862</v>
      </c>
      <c r="C586" s="58" t="s">
        <v>588</v>
      </c>
      <c r="D586" s="58" t="s">
        <v>1096</v>
      </c>
    </row>
    <row r="587" spans="1:4">
      <c r="A587" s="58" t="s">
        <v>1495</v>
      </c>
      <c r="B587" s="58">
        <v>511501</v>
      </c>
      <c r="C587" s="58" t="s">
        <v>588</v>
      </c>
      <c r="D587" s="58" t="s">
        <v>571</v>
      </c>
    </row>
    <row r="588" spans="1:4">
      <c r="A588" s="58" t="s">
        <v>1496</v>
      </c>
      <c r="B588" s="58">
        <v>503960</v>
      </c>
      <c r="C588" s="58" t="s">
        <v>1497</v>
      </c>
      <c r="D588" s="58" t="s">
        <v>886</v>
      </c>
    </row>
    <row r="589" spans="1:4">
      <c r="A589" s="58" t="s">
        <v>1498</v>
      </c>
      <c r="B589" s="58">
        <v>541143</v>
      </c>
      <c r="C589" s="58" t="s">
        <v>1499</v>
      </c>
      <c r="D589" s="58" t="s">
        <v>1061</v>
      </c>
    </row>
    <row r="590" spans="1:4">
      <c r="A590" s="58" t="s">
        <v>1500</v>
      </c>
      <c r="B590" s="58">
        <v>500049</v>
      </c>
      <c r="C590" s="58" t="s">
        <v>1501</v>
      </c>
      <c r="D590" s="58" t="s">
        <v>1061</v>
      </c>
    </row>
    <row r="591" spans="1:4">
      <c r="A591" s="58" t="s">
        <v>1502</v>
      </c>
      <c r="B591" s="58">
        <v>533228</v>
      </c>
      <c r="C591" s="58" t="s">
        <v>1503</v>
      </c>
      <c r="D591" s="58" t="s">
        <v>605</v>
      </c>
    </row>
    <row r="592" spans="1:4">
      <c r="A592" s="58" t="s">
        <v>1504</v>
      </c>
      <c r="B592" s="58">
        <v>500493</v>
      </c>
      <c r="C592" s="58" t="s">
        <v>1505</v>
      </c>
      <c r="D592" s="58" t="s">
        <v>1506</v>
      </c>
    </row>
    <row r="593" spans="1:4">
      <c r="A593" s="58" t="s">
        <v>1507</v>
      </c>
      <c r="B593" s="58">
        <v>505688</v>
      </c>
      <c r="C593" s="58" t="s">
        <v>1508</v>
      </c>
      <c r="D593" s="58" t="s">
        <v>943</v>
      </c>
    </row>
    <row r="594" spans="1:4">
      <c r="A594" s="58" t="s">
        <v>1509</v>
      </c>
      <c r="B594" s="58">
        <v>500103</v>
      </c>
      <c r="C594" s="58" t="s">
        <v>1510</v>
      </c>
      <c r="D594" s="58" t="s">
        <v>631</v>
      </c>
    </row>
    <row r="595" spans="1:4">
      <c r="A595" s="58" t="s">
        <v>1511</v>
      </c>
      <c r="B595" s="58">
        <v>524663</v>
      </c>
      <c r="C595" s="58" t="s">
        <v>588</v>
      </c>
      <c r="D595" s="58" t="s">
        <v>626</v>
      </c>
    </row>
    <row r="596" spans="1:4">
      <c r="A596" s="58" t="s">
        <v>1512</v>
      </c>
      <c r="B596" s="58">
        <v>541096</v>
      </c>
      <c r="C596" s="58" t="s">
        <v>588</v>
      </c>
      <c r="D596" s="58" t="s">
        <v>626</v>
      </c>
    </row>
    <row r="597" spans="1:4">
      <c r="A597" s="58" t="s">
        <v>1513</v>
      </c>
      <c r="B597" s="58">
        <v>500547</v>
      </c>
      <c r="C597" s="58" t="s">
        <v>1514</v>
      </c>
      <c r="D597" s="58" t="s">
        <v>1515</v>
      </c>
    </row>
    <row r="598" spans="1:4">
      <c r="A598" s="58" t="s">
        <v>1516</v>
      </c>
      <c r="B598" s="58">
        <v>590021</v>
      </c>
      <c r="C598" s="58" t="s">
        <v>1517</v>
      </c>
      <c r="D598" s="58" t="s">
        <v>732</v>
      </c>
    </row>
    <row r="599" spans="1:4">
      <c r="A599" s="58" t="s">
        <v>1518</v>
      </c>
      <c r="B599" s="58">
        <v>540700</v>
      </c>
      <c r="C599" s="58" t="s">
        <v>1519</v>
      </c>
      <c r="D599" s="58" t="s">
        <v>1183</v>
      </c>
    </row>
    <row r="600" spans="1:4">
      <c r="A600" s="58" t="s">
        <v>1520</v>
      </c>
      <c r="B600" s="58">
        <v>523229</v>
      </c>
      <c r="C600" s="58" t="s">
        <v>588</v>
      </c>
      <c r="D600" s="58" t="s">
        <v>943</v>
      </c>
    </row>
    <row r="601" spans="1:4">
      <c r="A601" s="58" t="s">
        <v>1521</v>
      </c>
      <c r="B601" s="58">
        <v>531029</v>
      </c>
      <c r="C601" s="58" t="s">
        <v>588</v>
      </c>
      <c r="D601" s="58" t="s">
        <v>610</v>
      </c>
    </row>
    <row r="602" spans="1:4">
      <c r="A602" s="58" t="s">
        <v>1522</v>
      </c>
      <c r="B602" s="58">
        <v>539799</v>
      </c>
      <c r="C602" s="58" t="s">
        <v>1523</v>
      </c>
      <c r="D602" s="58" t="s">
        <v>911</v>
      </c>
    </row>
    <row r="603" spans="1:4">
      <c r="A603" s="58" t="s">
        <v>1524</v>
      </c>
      <c r="B603" s="58">
        <v>532609</v>
      </c>
      <c r="C603" s="58" t="s">
        <v>1525</v>
      </c>
      <c r="D603" s="58" t="s">
        <v>666</v>
      </c>
    </row>
    <row r="604" spans="1:4">
      <c r="A604" s="58" t="s">
        <v>1526</v>
      </c>
      <c r="B604" s="58">
        <v>533499</v>
      </c>
      <c r="C604" s="58" t="s">
        <v>1527</v>
      </c>
      <c r="D604" s="58" t="s">
        <v>574</v>
      </c>
    </row>
    <row r="605" spans="1:4">
      <c r="A605" s="58" t="s">
        <v>1528</v>
      </c>
      <c r="B605" s="58">
        <v>532454</v>
      </c>
      <c r="C605" s="58" t="s">
        <v>1529</v>
      </c>
      <c r="D605" s="58" t="s">
        <v>1530</v>
      </c>
    </row>
    <row r="606" spans="1:4">
      <c r="A606" s="58" t="s">
        <v>1531</v>
      </c>
      <c r="B606" s="58">
        <v>534816</v>
      </c>
      <c r="C606" s="58" t="s">
        <v>1532</v>
      </c>
      <c r="D606" s="58" t="s">
        <v>1533</v>
      </c>
    </row>
    <row r="607" spans="1:4">
      <c r="A607" s="58" t="s">
        <v>1534</v>
      </c>
      <c r="B607" s="58">
        <v>526666</v>
      </c>
      <c r="C607" s="58" t="s">
        <v>1535</v>
      </c>
      <c r="D607" s="58" t="s">
        <v>702</v>
      </c>
    </row>
    <row r="608" spans="1:4">
      <c r="A608" s="58" t="s">
        <v>1536</v>
      </c>
      <c r="B608" s="58">
        <v>524534</v>
      </c>
      <c r="C608" s="58" t="s">
        <v>588</v>
      </c>
      <c r="D608" s="58" t="s">
        <v>732</v>
      </c>
    </row>
    <row r="609" spans="1:4">
      <c r="A609" s="58" t="s">
        <v>1537</v>
      </c>
      <c r="B609" s="58">
        <v>540956</v>
      </c>
      <c r="C609" s="58" t="s">
        <v>588</v>
      </c>
      <c r="D609" s="58" t="s">
        <v>589</v>
      </c>
    </row>
    <row r="610" spans="1:4">
      <c r="A610" s="58" t="s">
        <v>1538</v>
      </c>
      <c r="B610" s="58">
        <v>540956</v>
      </c>
      <c r="C610" s="58" t="s">
        <v>588</v>
      </c>
      <c r="D610" s="58" t="s">
        <v>589</v>
      </c>
    </row>
    <row r="611" spans="1:4">
      <c r="A611" s="58" t="s">
        <v>1539</v>
      </c>
      <c r="B611" s="58">
        <v>514272</v>
      </c>
      <c r="C611" s="58" t="s">
        <v>588</v>
      </c>
      <c r="D611" s="58" t="s">
        <v>603</v>
      </c>
    </row>
    <row r="612" spans="1:4">
      <c r="A612" s="58" t="s">
        <v>1540</v>
      </c>
      <c r="B612" s="58">
        <v>533108</v>
      </c>
      <c r="C612" s="58" t="s">
        <v>588</v>
      </c>
      <c r="D612" s="58" t="s">
        <v>603</v>
      </c>
    </row>
    <row r="613" spans="1:4">
      <c r="A613" s="58" t="s">
        <v>1541</v>
      </c>
      <c r="B613" s="58">
        <v>506027</v>
      </c>
      <c r="C613" s="58" t="s">
        <v>588</v>
      </c>
      <c r="D613" s="58" t="s">
        <v>893</v>
      </c>
    </row>
    <row r="614" spans="1:4">
      <c r="A614" s="58" t="s">
        <v>1542</v>
      </c>
      <c r="B614" s="58">
        <v>500055</v>
      </c>
      <c r="C614" s="58" t="s">
        <v>1543</v>
      </c>
      <c r="D614" s="58" t="s">
        <v>620</v>
      </c>
    </row>
    <row r="615" spans="1:4">
      <c r="A615" s="58" t="s">
        <v>1544</v>
      </c>
      <c r="B615" s="58">
        <v>540061</v>
      </c>
      <c r="C615" s="58" t="s">
        <v>1545</v>
      </c>
      <c r="D615" s="58" t="s">
        <v>601</v>
      </c>
    </row>
    <row r="616" spans="1:4">
      <c r="A616" s="58" t="s">
        <v>1546</v>
      </c>
      <c r="B616" s="58">
        <v>500058</v>
      </c>
      <c r="C616" s="58" t="s">
        <v>588</v>
      </c>
      <c r="D616" s="58" t="s">
        <v>620</v>
      </c>
    </row>
    <row r="617" spans="1:4">
      <c r="A617" s="58" t="s">
        <v>1547</v>
      </c>
      <c r="B617" s="58">
        <v>524723</v>
      </c>
      <c r="C617" s="58" t="s">
        <v>588</v>
      </c>
      <c r="D617" s="58" t="s">
        <v>610</v>
      </c>
    </row>
    <row r="618" spans="1:4">
      <c r="A618" s="58" t="s">
        <v>1548</v>
      </c>
      <c r="B618" s="58">
        <v>533321</v>
      </c>
      <c r="C618" s="58" t="s">
        <v>1549</v>
      </c>
      <c r="D618" s="58" t="s">
        <v>886</v>
      </c>
    </row>
    <row r="619" spans="1:4">
      <c r="A619" s="58" t="s">
        <v>1550</v>
      </c>
      <c r="B619" s="58">
        <v>526853</v>
      </c>
      <c r="C619" s="58" t="s">
        <v>588</v>
      </c>
      <c r="D619" s="58" t="s">
        <v>1551</v>
      </c>
    </row>
    <row r="620" spans="1:4">
      <c r="A620" s="58" t="s">
        <v>1552</v>
      </c>
      <c r="B620" s="58">
        <v>505681</v>
      </c>
      <c r="C620" s="58" t="s">
        <v>588</v>
      </c>
      <c r="D620" s="58" t="s">
        <v>943</v>
      </c>
    </row>
    <row r="621" spans="1:4">
      <c r="A621" s="58" t="s">
        <v>1553</v>
      </c>
      <c r="B621" s="58">
        <v>500059</v>
      </c>
      <c r="C621" s="58" t="s">
        <v>1554</v>
      </c>
      <c r="D621" s="58" t="s">
        <v>754</v>
      </c>
    </row>
    <row r="622" spans="1:4">
      <c r="A622" s="58" t="s">
        <v>1555</v>
      </c>
      <c r="B622" s="58">
        <v>523054</v>
      </c>
      <c r="C622" s="58" t="s">
        <v>588</v>
      </c>
      <c r="D622" s="58" t="s">
        <v>603</v>
      </c>
    </row>
    <row r="623" spans="1:4">
      <c r="A623" s="58" t="s">
        <v>1556</v>
      </c>
      <c r="B623" s="58">
        <v>540148</v>
      </c>
      <c r="C623" s="58" t="s">
        <v>588</v>
      </c>
      <c r="D623" s="58" t="s">
        <v>702</v>
      </c>
    </row>
    <row r="624" spans="1:4">
      <c r="A624" s="58" t="s">
        <v>1557</v>
      </c>
      <c r="B624" s="58">
        <v>514215</v>
      </c>
      <c r="C624" s="58" t="s">
        <v>588</v>
      </c>
      <c r="D624" s="58" t="s">
        <v>603</v>
      </c>
    </row>
    <row r="625" spans="1:4">
      <c r="A625" s="58" t="s">
        <v>1558</v>
      </c>
      <c r="B625" s="58">
        <v>535620</v>
      </c>
      <c r="C625" s="58" t="s">
        <v>588</v>
      </c>
      <c r="D625" s="58" t="s">
        <v>610</v>
      </c>
    </row>
    <row r="626" spans="1:4">
      <c r="A626" s="58" t="s">
        <v>1559</v>
      </c>
      <c r="B626" s="58">
        <v>534535</v>
      </c>
      <c r="C626" s="58" t="s">
        <v>588</v>
      </c>
      <c r="D626" s="58" t="s">
        <v>582</v>
      </c>
    </row>
    <row r="627" spans="1:4">
      <c r="A627" s="58" t="s">
        <v>1560</v>
      </c>
      <c r="B627" s="58">
        <v>532523</v>
      </c>
      <c r="C627" s="58" t="s">
        <v>1561</v>
      </c>
      <c r="D627" s="58" t="s">
        <v>926</v>
      </c>
    </row>
    <row r="628" spans="1:4">
      <c r="A628" s="58" t="s">
        <v>1562</v>
      </c>
      <c r="B628" s="58">
        <v>524396</v>
      </c>
      <c r="C628" s="58" t="s">
        <v>1563</v>
      </c>
      <c r="D628" s="58" t="s">
        <v>626</v>
      </c>
    </row>
    <row r="629" spans="1:4">
      <c r="A629" s="58" t="s">
        <v>1564</v>
      </c>
      <c r="B629" s="58">
        <v>532330</v>
      </c>
      <c r="C629" s="58" t="s">
        <v>588</v>
      </c>
      <c r="D629" s="58" t="s">
        <v>708</v>
      </c>
    </row>
    <row r="630" spans="1:4">
      <c r="A630" s="58" t="s">
        <v>1565</v>
      </c>
      <c r="B630" s="58">
        <v>538364</v>
      </c>
      <c r="C630" s="58" t="s">
        <v>588</v>
      </c>
      <c r="D630" s="58" t="s">
        <v>603</v>
      </c>
    </row>
    <row r="631" spans="1:4">
      <c r="A631" s="58" t="s">
        <v>1566</v>
      </c>
      <c r="B631" s="58">
        <v>500060</v>
      </c>
      <c r="C631" s="58" t="s">
        <v>1567</v>
      </c>
      <c r="D631" s="58" t="s">
        <v>886</v>
      </c>
    </row>
    <row r="632" spans="1:4">
      <c r="A632" s="58" t="s">
        <v>1568</v>
      </c>
      <c r="B632" s="58">
        <v>500335</v>
      </c>
      <c r="C632" s="58" t="s">
        <v>1569</v>
      </c>
      <c r="D632" s="58" t="s">
        <v>601</v>
      </c>
    </row>
    <row r="633" spans="1:4">
      <c r="A633" s="58" t="s">
        <v>1570</v>
      </c>
      <c r="B633" s="58">
        <v>533006</v>
      </c>
      <c r="C633" s="58" t="s">
        <v>588</v>
      </c>
      <c r="D633" s="58" t="s">
        <v>603</v>
      </c>
    </row>
    <row r="634" spans="1:4">
      <c r="A634" s="58" t="s">
        <v>1571</v>
      </c>
      <c r="B634" s="58">
        <v>533006</v>
      </c>
      <c r="C634" s="58" t="s">
        <v>588</v>
      </c>
      <c r="D634" s="58" t="s">
        <v>603</v>
      </c>
    </row>
    <row r="635" spans="1:4">
      <c r="A635" s="58" t="s">
        <v>1572</v>
      </c>
      <c r="B635" s="58">
        <v>522105</v>
      </c>
      <c r="C635" s="58" t="s">
        <v>588</v>
      </c>
      <c r="D635" s="58" t="s">
        <v>596</v>
      </c>
    </row>
    <row r="636" spans="1:4">
      <c r="A636" s="58" t="s">
        <v>1573</v>
      </c>
      <c r="B636" s="58">
        <v>533408</v>
      </c>
      <c r="C636" s="58" t="s">
        <v>1574</v>
      </c>
      <c r="D636" s="58" t="s">
        <v>571</v>
      </c>
    </row>
    <row r="637" spans="1:4">
      <c r="A637" s="58" t="s">
        <v>1575</v>
      </c>
      <c r="B637" s="58" t="s">
        <v>588</v>
      </c>
      <c r="C637" s="58" t="s">
        <v>1576</v>
      </c>
      <c r="D637" s="58" t="s">
        <v>574</v>
      </c>
    </row>
    <row r="638" spans="1:4">
      <c r="A638" s="58" t="s">
        <v>1577</v>
      </c>
      <c r="B638" s="58">
        <v>539043</v>
      </c>
      <c r="C638" s="58" t="s">
        <v>1578</v>
      </c>
      <c r="D638" s="58" t="s">
        <v>783</v>
      </c>
    </row>
    <row r="639" spans="1:4">
      <c r="A639" s="58" t="s">
        <v>1579</v>
      </c>
      <c r="B639" s="58">
        <v>514183</v>
      </c>
      <c r="C639" s="58" t="s">
        <v>588</v>
      </c>
      <c r="D639" s="58" t="s">
        <v>748</v>
      </c>
    </row>
    <row r="640" spans="1:4">
      <c r="A640" s="58" t="s">
        <v>1580</v>
      </c>
      <c r="B640" s="58">
        <v>532290</v>
      </c>
      <c r="C640" s="58" t="s">
        <v>1581</v>
      </c>
      <c r="D640" s="58" t="s">
        <v>571</v>
      </c>
    </row>
    <row r="641" spans="1:4">
      <c r="A641" s="58" t="s">
        <v>1582</v>
      </c>
      <c r="B641" s="58">
        <v>506197</v>
      </c>
      <c r="C641" s="58" t="s">
        <v>1583</v>
      </c>
      <c r="D641" s="58" t="s">
        <v>626</v>
      </c>
    </row>
    <row r="642" spans="1:4">
      <c r="A642" s="58" t="s">
        <v>1584</v>
      </c>
      <c r="B642" s="58">
        <v>526225</v>
      </c>
      <c r="C642" s="58" t="s">
        <v>588</v>
      </c>
      <c r="D642" s="58" t="s">
        <v>708</v>
      </c>
    </row>
    <row r="643" spans="1:4">
      <c r="A643" s="58" t="s">
        <v>1585</v>
      </c>
      <c r="B643" s="58">
        <v>513422</v>
      </c>
      <c r="C643" s="58" t="s">
        <v>588</v>
      </c>
      <c r="D643" s="58" t="s">
        <v>620</v>
      </c>
    </row>
    <row r="644" spans="1:4">
      <c r="A644" s="58" t="s">
        <v>1586</v>
      </c>
      <c r="B644" s="58">
        <v>531175</v>
      </c>
      <c r="C644" s="58" t="s">
        <v>588</v>
      </c>
      <c r="D644" s="58" t="s">
        <v>681</v>
      </c>
    </row>
    <row r="645" spans="1:4">
      <c r="A645" s="58" t="s">
        <v>1587</v>
      </c>
      <c r="B645" s="58">
        <v>540073</v>
      </c>
      <c r="C645" s="58" t="s">
        <v>1588</v>
      </c>
      <c r="D645" s="58" t="s">
        <v>1589</v>
      </c>
    </row>
    <row r="646" spans="1:4">
      <c r="A646" s="58" t="s">
        <v>1590</v>
      </c>
      <c r="B646" s="58">
        <v>502761</v>
      </c>
      <c r="C646" s="58" t="s">
        <v>588</v>
      </c>
      <c r="D646" s="58" t="s">
        <v>603</v>
      </c>
    </row>
    <row r="647" spans="1:4">
      <c r="A647" s="58" t="s">
        <v>1591</v>
      </c>
      <c r="B647" s="58" t="s">
        <v>588</v>
      </c>
      <c r="C647" s="58" t="s">
        <v>1592</v>
      </c>
      <c r="D647" s="58" t="s">
        <v>679</v>
      </c>
    </row>
    <row r="648" spans="1:4">
      <c r="A648" s="58" t="s">
        <v>1593</v>
      </c>
      <c r="B648" s="58">
        <v>502761</v>
      </c>
      <c r="C648" s="58" t="s">
        <v>588</v>
      </c>
      <c r="D648" s="58" t="s">
        <v>603</v>
      </c>
    </row>
    <row r="649" spans="1:4">
      <c r="A649" s="58" t="s">
        <v>1594</v>
      </c>
      <c r="B649" s="58">
        <v>506981</v>
      </c>
      <c r="C649" s="58" t="s">
        <v>588</v>
      </c>
      <c r="D649" s="58" t="s">
        <v>603</v>
      </c>
    </row>
    <row r="650" spans="1:4">
      <c r="A650" s="58" t="s">
        <v>1595</v>
      </c>
      <c r="B650" s="58">
        <v>508939</v>
      </c>
      <c r="C650" s="58" t="s">
        <v>588</v>
      </c>
      <c r="D650" s="58" t="s">
        <v>605</v>
      </c>
    </row>
    <row r="651" spans="1:4">
      <c r="A651" s="58" t="s">
        <v>1596</v>
      </c>
      <c r="B651" s="58">
        <v>539607</v>
      </c>
      <c r="C651" s="58" t="s">
        <v>588</v>
      </c>
      <c r="D651" s="58" t="s">
        <v>681</v>
      </c>
    </row>
    <row r="652" spans="1:4">
      <c r="A652" s="58" t="s">
        <v>1597</v>
      </c>
      <c r="B652" s="58">
        <v>531495</v>
      </c>
      <c r="C652" s="58" t="s">
        <v>1598</v>
      </c>
      <c r="D652" s="58" t="s">
        <v>789</v>
      </c>
    </row>
    <row r="653" spans="1:4">
      <c r="A653" s="58" t="s">
        <v>1599</v>
      </c>
      <c r="B653" s="58">
        <v>526612</v>
      </c>
      <c r="C653" s="58" t="s">
        <v>1600</v>
      </c>
      <c r="D653" s="58" t="s">
        <v>909</v>
      </c>
    </row>
    <row r="654" spans="1:4">
      <c r="A654" s="58" t="s">
        <v>1601</v>
      </c>
      <c r="B654" s="58">
        <v>514440</v>
      </c>
      <c r="C654" s="58" t="s">
        <v>588</v>
      </c>
      <c r="D654" s="58" t="s">
        <v>636</v>
      </c>
    </row>
    <row r="655" spans="1:4">
      <c r="A655" s="58" t="s">
        <v>1602</v>
      </c>
      <c r="B655" s="58">
        <v>500067</v>
      </c>
      <c r="C655" s="58" t="s">
        <v>1603</v>
      </c>
      <c r="D655" s="58" t="s">
        <v>957</v>
      </c>
    </row>
    <row r="656" spans="1:4">
      <c r="A656" s="58" t="s">
        <v>1604</v>
      </c>
      <c r="B656" s="58">
        <v>539637</v>
      </c>
      <c r="C656" s="58" t="s">
        <v>588</v>
      </c>
      <c r="D656" s="58" t="s">
        <v>571</v>
      </c>
    </row>
    <row r="657" spans="1:4">
      <c r="A657" s="58" t="s">
        <v>1605</v>
      </c>
      <c r="B657" s="58">
        <v>531713</v>
      </c>
      <c r="C657" s="58" t="s">
        <v>588</v>
      </c>
      <c r="D657" s="58" t="s">
        <v>1009</v>
      </c>
    </row>
    <row r="658" spans="1:4">
      <c r="A658" s="58" t="s">
        <v>1606</v>
      </c>
      <c r="B658" s="58">
        <v>531420</v>
      </c>
      <c r="C658" s="58" t="s">
        <v>588</v>
      </c>
      <c r="D658" s="58" t="s">
        <v>591</v>
      </c>
    </row>
    <row r="659" spans="1:4">
      <c r="A659" s="58" t="s">
        <v>1607</v>
      </c>
      <c r="B659" s="58">
        <v>542669</v>
      </c>
      <c r="C659" s="58" t="s">
        <v>1608</v>
      </c>
      <c r="D659" s="58" t="s">
        <v>706</v>
      </c>
    </row>
    <row r="660" spans="1:4">
      <c r="A660" s="58" t="s">
        <v>1609</v>
      </c>
      <c r="B660" s="58">
        <v>500069</v>
      </c>
      <c r="C660" s="58" t="s">
        <v>588</v>
      </c>
      <c r="D660" s="58" t="s">
        <v>571</v>
      </c>
    </row>
    <row r="661" spans="1:4">
      <c r="A661" s="58" t="s">
        <v>1610</v>
      </c>
      <c r="B661" s="58">
        <v>530809</v>
      </c>
      <c r="C661" s="58" t="s">
        <v>588</v>
      </c>
      <c r="D661" s="58" t="s">
        <v>918</v>
      </c>
    </row>
    <row r="662" spans="1:4">
      <c r="A662" s="58" t="s">
        <v>1611</v>
      </c>
      <c r="B662" s="58">
        <v>524370</v>
      </c>
      <c r="C662" s="58" t="s">
        <v>1612</v>
      </c>
      <c r="D662" s="58" t="s">
        <v>748</v>
      </c>
    </row>
    <row r="663" spans="1:4">
      <c r="A663" s="58" t="s">
        <v>1613</v>
      </c>
      <c r="B663" s="58">
        <v>539122</v>
      </c>
      <c r="C663" s="58" t="s">
        <v>588</v>
      </c>
      <c r="D663" s="58" t="s">
        <v>574</v>
      </c>
    </row>
    <row r="664" spans="1:4">
      <c r="A664" s="58" t="s">
        <v>1614</v>
      </c>
      <c r="B664" s="58" t="s">
        <v>588</v>
      </c>
      <c r="C664" s="58" t="s">
        <v>1615</v>
      </c>
      <c r="D664" s="58" t="s">
        <v>599</v>
      </c>
    </row>
    <row r="665" spans="1:4">
      <c r="A665" s="58" t="s">
        <v>1616</v>
      </c>
      <c r="B665" s="58">
        <v>501425</v>
      </c>
      <c r="C665" s="58" t="s">
        <v>1617</v>
      </c>
      <c r="D665" s="58" t="s">
        <v>995</v>
      </c>
    </row>
    <row r="666" spans="1:4">
      <c r="A666" s="58" t="s">
        <v>1618</v>
      </c>
      <c r="B666" s="58">
        <v>501430</v>
      </c>
      <c r="C666" s="58" t="s">
        <v>588</v>
      </c>
      <c r="D666" s="58" t="s">
        <v>610</v>
      </c>
    </row>
    <row r="667" spans="1:4">
      <c r="A667" s="58" t="s">
        <v>1619</v>
      </c>
      <c r="B667" s="58">
        <v>500020</v>
      </c>
      <c r="C667" s="58" t="s">
        <v>1620</v>
      </c>
      <c r="D667" s="58" t="s">
        <v>603</v>
      </c>
    </row>
    <row r="668" spans="1:4">
      <c r="A668" s="58" t="s">
        <v>1621</v>
      </c>
      <c r="B668" s="58">
        <v>509470</v>
      </c>
      <c r="C668" s="58" t="s">
        <v>588</v>
      </c>
      <c r="D668" s="58" t="s">
        <v>1622</v>
      </c>
    </row>
    <row r="669" spans="1:4">
      <c r="A669" s="58" t="s">
        <v>1623</v>
      </c>
      <c r="B669" s="58">
        <v>502216</v>
      </c>
      <c r="C669" s="58" t="s">
        <v>588</v>
      </c>
      <c r="D669" s="58" t="s">
        <v>674</v>
      </c>
    </row>
    <row r="670" spans="1:4">
      <c r="A670" s="58" t="s">
        <v>1624</v>
      </c>
      <c r="B670" s="58">
        <v>532678</v>
      </c>
      <c r="C670" s="58" t="s">
        <v>1625</v>
      </c>
      <c r="D670" s="58" t="s">
        <v>603</v>
      </c>
    </row>
    <row r="671" spans="1:4">
      <c r="A671" s="58" t="s">
        <v>1626</v>
      </c>
      <c r="B671" s="58" t="s">
        <v>588</v>
      </c>
      <c r="C671" s="58" t="s">
        <v>1627</v>
      </c>
      <c r="D671" s="58" t="s">
        <v>599</v>
      </c>
    </row>
    <row r="672" spans="1:4">
      <c r="A672" s="58" t="s">
        <v>1628</v>
      </c>
      <c r="B672" s="58">
        <v>504648</v>
      </c>
      <c r="C672" s="58" t="s">
        <v>588</v>
      </c>
      <c r="D672" s="58" t="s">
        <v>911</v>
      </c>
    </row>
    <row r="673" spans="1:4">
      <c r="A673" s="58" t="s">
        <v>1629</v>
      </c>
      <c r="B673" s="58">
        <v>523133</v>
      </c>
      <c r="C673" s="58" t="s">
        <v>588</v>
      </c>
      <c r="D673" s="58" t="s">
        <v>603</v>
      </c>
    </row>
    <row r="674" spans="1:4">
      <c r="A674" s="58" t="s">
        <v>1630</v>
      </c>
      <c r="B674" s="58">
        <v>502219</v>
      </c>
      <c r="C674" s="58" t="s">
        <v>1631</v>
      </c>
      <c r="D674" s="58" t="s">
        <v>1632</v>
      </c>
    </row>
    <row r="675" spans="1:4">
      <c r="A675" s="58" t="s">
        <v>1633</v>
      </c>
      <c r="B675" s="58">
        <v>500530</v>
      </c>
      <c r="C675" s="58" t="s">
        <v>1634</v>
      </c>
      <c r="D675" s="58" t="s">
        <v>943</v>
      </c>
    </row>
    <row r="676" spans="1:4">
      <c r="A676" s="58" t="s">
        <v>1635</v>
      </c>
      <c r="B676" s="58">
        <v>536820</v>
      </c>
      <c r="C676" s="58" t="s">
        <v>588</v>
      </c>
      <c r="D676" s="58" t="s">
        <v>681</v>
      </c>
    </row>
    <row r="677" spans="1:4">
      <c r="A677" s="58" t="s">
        <v>1636</v>
      </c>
      <c r="B677" s="58">
        <v>536820</v>
      </c>
      <c r="C677" s="58" t="s">
        <v>588</v>
      </c>
      <c r="D677" s="58" t="s">
        <v>681</v>
      </c>
    </row>
    <row r="678" spans="1:4">
      <c r="A678" s="58" t="s">
        <v>1637</v>
      </c>
      <c r="B678" s="58">
        <v>535279</v>
      </c>
      <c r="C678" s="58" t="s">
        <v>588</v>
      </c>
      <c r="D678" s="58" t="s">
        <v>893</v>
      </c>
    </row>
    <row r="679" spans="1:4">
      <c r="A679" s="58" t="s">
        <v>1638</v>
      </c>
      <c r="B679" s="58">
        <v>500074</v>
      </c>
      <c r="C679" s="58" t="s">
        <v>1639</v>
      </c>
      <c r="D679" s="58" t="s">
        <v>957</v>
      </c>
    </row>
    <row r="680" spans="1:4">
      <c r="A680" s="58" t="s">
        <v>1640</v>
      </c>
      <c r="B680" s="58">
        <v>505690</v>
      </c>
      <c r="C680" s="58" t="s">
        <v>588</v>
      </c>
      <c r="D680" s="58" t="s">
        <v>666</v>
      </c>
    </row>
    <row r="681" spans="1:4">
      <c r="A681" s="58" t="s">
        <v>1641</v>
      </c>
      <c r="B681" s="58">
        <v>535693</v>
      </c>
      <c r="C681" s="58" t="s">
        <v>588</v>
      </c>
      <c r="D681" s="58" t="s">
        <v>986</v>
      </c>
    </row>
    <row r="682" spans="1:4">
      <c r="A682" s="58" t="s">
        <v>1642</v>
      </c>
      <c r="B682" s="58" t="s">
        <v>588</v>
      </c>
      <c r="C682" s="58" t="s">
        <v>1643</v>
      </c>
      <c r="D682" s="58" t="s">
        <v>599</v>
      </c>
    </row>
    <row r="683" spans="1:4">
      <c r="A683" s="58" t="s">
        <v>1644</v>
      </c>
      <c r="B683" s="58">
        <v>531203</v>
      </c>
      <c r="C683" s="58" t="s">
        <v>588</v>
      </c>
      <c r="D683" s="58" t="s">
        <v>672</v>
      </c>
    </row>
    <row r="684" spans="1:4">
      <c r="A684" s="58" t="s">
        <v>1645</v>
      </c>
      <c r="B684" s="58">
        <v>530207</v>
      </c>
      <c r="C684" s="58" t="s">
        <v>588</v>
      </c>
      <c r="D684" s="58" t="s">
        <v>626</v>
      </c>
    </row>
    <row r="685" spans="1:4">
      <c r="A685" s="58" t="s">
        <v>1646</v>
      </c>
      <c r="B685" s="58">
        <v>530249</v>
      </c>
      <c r="C685" s="58" t="s">
        <v>588</v>
      </c>
      <c r="D685" s="58" t="s">
        <v>571</v>
      </c>
    </row>
    <row r="686" spans="1:4">
      <c r="A686" s="58" t="s">
        <v>1647</v>
      </c>
      <c r="B686" s="58">
        <v>532929</v>
      </c>
      <c r="C686" s="58" t="s">
        <v>1648</v>
      </c>
      <c r="D686" s="58" t="s">
        <v>674</v>
      </c>
    </row>
    <row r="687" spans="1:4">
      <c r="A687" s="58" t="s">
        <v>1649</v>
      </c>
      <c r="B687" s="58">
        <v>526731</v>
      </c>
      <c r="C687" s="58" t="s">
        <v>588</v>
      </c>
      <c r="D687" s="58" t="s">
        <v>783</v>
      </c>
    </row>
    <row r="688" spans="1:4">
      <c r="A688" s="58" t="s">
        <v>1650</v>
      </c>
      <c r="B688" s="58" t="s">
        <v>588</v>
      </c>
      <c r="C688" s="58" t="s">
        <v>1651</v>
      </c>
      <c r="D688" s="58" t="s">
        <v>599</v>
      </c>
    </row>
    <row r="689" spans="1:4">
      <c r="A689" s="58" t="s">
        <v>1652</v>
      </c>
      <c r="B689" s="58">
        <v>532368</v>
      </c>
      <c r="C689" s="58" t="s">
        <v>1653</v>
      </c>
      <c r="D689" s="58" t="s">
        <v>681</v>
      </c>
    </row>
    <row r="690" spans="1:4">
      <c r="A690" s="58" t="s">
        <v>1654</v>
      </c>
      <c r="B690" s="58">
        <v>532113</v>
      </c>
      <c r="C690" s="58" t="s">
        <v>1655</v>
      </c>
      <c r="D690" s="58" t="s">
        <v>605</v>
      </c>
    </row>
    <row r="691" spans="1:4">
      <c r="A691" s="58" t="s">
        <v>1656</v>
      </c>
      <c r="B691" s="58">
        <v>539434</v>
      </c>
      <c r="C691" s="58" t="s">
        <v>588</v>
      </c>
      <c r="D691" s="58" t="s">
        <v>605</v>
      </c>
    </row>
    <row r="692" spans="1:4">
      <c r="A692" s="58" t="s">
        <v>1657</v>
      </c>
      <c r="B692" s="58">
        <v>500825</v>
      </c>
      <c r="C692" s="58" t="s">
        <v>341</v>
      </c>
      <c r="D692" s="58" t="s">
        <v>648</v>
      </c>
    </row>
    <row r="693" spans="1:4">
      <c r="A693" s="58" t="s">
        <v>1658</v>
      </c>
      <c r="B693" s="58">
        <v>534731</v>
      </c>
      <c r="C693" s="58" t="s">
        <v>588</v>
      </c>
      <c r="D693" s="58" t="s">
        <v>986</v>
      </c>
    </row>
    <row r="694" spans="1:4">
      <c r="A694" s="58" t="s">
        <v>1659</v>
      </c>
      <c r="B694" s="58">
        <v>533543</v>
      </c>
      <c r="C694" s="58" t="s">
        <v>1660</v>
      </c>
      <c r="D694" s="58" t="s">
        <v>626</v>
      </c>
    </row>
    <row r="695" spans="1:4">
      <c r="A695" s="58" t="s">
        <v>1661</v>
      </c>
      <c r="B695" s="58" t="s">
        <v>588</v>
      </c>
      <c r="C695" s="58" t="s">
        <v>563</v>
      </c>
      <c r="D695" s="58" t="s">
        <v>679</v>
      </c>
    </row>
    <row r="696" spans="1:4">
      <c r="A696" s="58" t="s">
        <v>1662</v>
      </c>
      <c r="B696" s="58">
        <v>532123</v>
      </c>
      <c r="C696" s="58" t="s">
        <v>1663</v>
      </c>
      <c r="D696" s="58" t="s">
        <v>674</v>
      </c>
    </row>
    <row r="697" spans="1:4">
      <c r="A697" s="58" t="s">
        <v>1664</v>
      </c>
      <c r="B697" s="58">
        <v>514045</v>
      </c>
      <c r="C697" s="58" t="s">
        <v>1665</v>
      </c>
      <c r="D697" s="58" t="s">
        <v>603</v>
      </c>
    </row>
    <row r="698" spans="1:4">
      <c r="A698" s="58" t="s">
        <v>1666</v>
      </c>
      <c r="B698" s="58">
        <v>538789</v>
      </c>
      <c r="C698" s="58" t="s">
        <v>588</v>
      </c>
      <c r="D698" s="58" t="s">
        <v>825</v>
      </c>
    </row>
    <row r="699" spans="1:4">
      <c r="A699" s="58" t="s">
        <v>1667</v>
      </c>
      <c r="B699" s="58">
        <v>540006</v>
      </c>
      <c r="C699" s="58" t="s">
        <v>588</v>
      </c>
      <c r="D699" s="58" t="s">
        <v>571</v>
      </c>
    </row>
    <row r="700" spans="1:4">
      <c r="A700" s="58" t="s">
        <v>1668</v>
      </c>
      <c r="B700" s="58">
        <v>532931</v>
      </c>
      <c r="C700" s="58" t="s">
        <v>1669</v>
      </c>
      <c r="D700" s="58" t="s">
        <v>601</v>
      </c>
    </row>
    <row r="701" spans="1:4">
      <c r="A701" s="58" t="s">
        <v>1670</v>
      </c>
      <c r="B701" s="58">
        <v>517421</v>
      </c>
      <c r="C701" s="58" t="s">
        <v>1671</v>
      </c>
      <c r="D701" s="58" t="s">
        <v>1351</v>
      </c>
    </row>
    <row r="702" spans="1:4">
      <c r="A702" s="58" t="s">
        <v>1672</v>
      </c>
      <c r="B702" s="58">
        <v>504643</v>
      </c>
      <c r="C702" s="58" t="s">
        <v>588</v>
      </c>
      <c r="D702" s="58" t="s">
        <v>911</v>
      </c>
    </row>
    <row r="703" spans="1:4">
      <c r="A703" s="58" t="s">
        <v>1673</v>
      </c>
      <c r="B703" s="58">
        <v>532813</v>
      </c>
      <c r="C703" s="58" t="s">
        <v>1674</v>
      </c>
      <c r="D703" s="58" t="s">
        <v>986</v>
      </c>
    </row>
    <row r="704" spans="1:4">
      <c r="A704" s="58" t="s">
        <v>1675</v>
      </c>
      <c r="B704" s="58">
        <v>507515</v>
      </c>
      <c r="C704" s="58" t="s">
        <v>588</v>
      </c>
      <c r="D704" s="58" t="s">
        <v>748</v>
      </c>
    </row>
    <row r="705" spans="1:4">
      <c r="A705" s="58" t="s">
        <v>1676</v>
      </c>
      <c r="B705" s="58">
        <v>532321</v>
      </c>
      <c r="C705" s="58" t="s">
        <v>1677</v>
      </c>
      <c r="D705" s="58" t="s">
        <v>626</v>
      </c>
    </row>
    <row r="706" spans="1:4">
      <c r="A706" s="58" t="s">
        <v>1678</v>
      </c>
      <c r="B706" s="58" t="s">
        <v>588</v>
      </c>
      <c r="C706" s="58" t="s">
        <v>1679</v>
      </c>
      <c r="D706" s="58" t="s">
        <v>599</v>
      </c>
    </row>
    <row r="707" spans="1:4">
      <c r="A707" s="58" t="s">
        <v>1680</v>
      </c>
      <c r="B707" s="58" t="s">
        <v>588</v>
      </c>
      <c r="C707" s="58" t="s">
        <v>1679</v>
      </c>
      <c r="D707" s="58" t="s">
        <v>599</v>
      </c>
    </row>
    <row r="708" spans="1:4">
      <c r="A708" s="58" t="s">
        <v>1681</v>
      </c>
      <c r="B708" s="58">
        <v>517236</v>
      </c>
      <c r="C708" s="58" t="s">
        <v>588</v>
      </c>
      <c r="D708" s="58" t="s">
        <v>957</v>
      </c>
    </row>
    <row r="709" spans="1:4">
      <c r="A709" s="58" t="s">
        <v>1682</v>
      </c>
      <c r="B709" s="58">
        <v>532386</v>
      </c>
      <c r="C709" s="58" t="s">
        <v>1683</v>
      </c>
      <c r="D709" s="58" t="s">
        <v>681</v>
      </c>
    </row>
    <row r="710" spans="1:4">
      <c r="A710" s="58" t="s">
        <v>1684</v>
      </c>
      <c r="B710" s="58">
        <v>532801</v>
      </c>
      <c r="C710" s="58" t="s">
        <v>1685</v>
      </c>
      <c r="D710" s="58" t="s">
        <v>681</v>
      </c>
    </row>
    <row r="711" spans="1:4">
      <c r="A711" s="58" t="s">
        <v>1686</v>
      </c>
      <c r="B711" s="58">
        <v>524440</v>
      </c>
      <c r="C711" s="58" t="s">
        <v>588</v>
      </c>
      <c r="D711" s="58" t="s">
        <v>636</v>
      </c>
    </row>
    <row r="712" spans="1:4">
      <c r="A712" s="58" t="s">
        <v>1687</v>
      </c>
      <c r="B712" s="58">
        <v>532834</v>
      </c>
      <c r="C712" s="58" t="s">
        <v>1688</v>
      </c>
      <c r="D712" s="58" t="s">
        <v>748</v>
      </c>
    </row>
    <row r="713" spans="1:4">
      <c r="A713" s="58" t="s">
        <v>1689</v>
      </c>
      <c r="B713" s="58">
        <v>538858</v>
      </c>
      <c r="C713" s="58" t="s">
        <v>588</v>
      </c>
      <c r="D713" s="58" t="s">
        <v>926</v>
      </c>
    </row>
    <row r="714" spans="1:4">
      <c r="A714" s="58" t="s">
        <v>1690</v>
      </c>
      <c r="B714" s="58">
        <v>540071</v>
      </c>
      <c r="C714" s="58" t="s">
        <v>588</v>
      </c>
      <c r="D714" s="58" t="s">
        <v>786</v>
      </c>
    </row>
    <row r="715" spans="1:4">
      <c r="A715" s="58" t="s">
        <v>1691</v>
      </c>
      <c r="B715" s="58">
        <v>511196</v>
      </c>
      <c r="C715" s="58" t="s">
        <v>1692</v>
      </c>
      <c r="D715" s="58" t="s">
        <v>646</v>
      </c>
    </row>
    <row r="716" spans="1:4">
      <c r="A716" s="58" t="s">
        <v>1693</v>
      </c>
      <c r="B716" s="58">
        <v>532483</v>
      </c>
      <c r="C716" s="58" t="s">
        <v>1694</v>
      </c>
      <c r="D716" s="58" t="s">
        <v>906</v>
      </c>
    </row>
    <row r="717" spans="1:4">
      <c r="A717" s="58" t="s">
        <v>1695</v>
      </c>
      <c r="B717" s="58">
        <v>539304</v>
      </c>
      <c r="C717" s="58" t="s">
        <v>588</v>
      </c>
      <c r="D717" s="58" t="s">
        <v>571</v>
      </c>
    </row>
    <row r="718" spans="1:4">
      <c r="A718" s="58" t="s">
        <v>1696</v>
      </c>
      <c r="B718" s="58">
        <v>533267</v>
      </c>
      <c r="C718" s="58" t="s">
        <v>1697</v>
      </c>
      <c r="D718" s="58" t="s">
        <v>702</v>
      </c>
    </row>
    <row r="719" spans="1:4">
      <c r="A719" s="58" t="s">
        <v>1698</v>
      </c>
      <c r="B719" s="58">
        <v>533267</v>
      </c>
      <c r="C719" s="58" t="s">
        <v>1697</v>
      </c>
      <c r="D719" s="58" t="s">
        <v>702</v>
      </c>
    </row>
    <row r="720" spans="1:4">
      <c r="A720" s="58" t="s">
        <v>1699</v>
      </c>
      <c r="B720" s="58">
        <v>540710</v>
      </c>
      <c r="C720" s="58" t="s">
        <v>1700</v>
      </c>
      <c r="D720" s="58" t="s">
        <v>674</v>
      </c>
    </row>
    <row r="721" spans="1:4">
      <c r="A721" s="58" t="s">
        <v>1701</v>
      </c>
      <c r="B721" s="58">
        <v>539198</v>
      </c>
      <c r="C721" s="58" t="s">
        <v>588</v>
      </c>
      <c r="D721" s="58" t="s">
        <v>571</v>
      </c>
    </row>
    <row r="722" spans="1:4">
      <c r="A722" s="58" t="s">
        <v>1702</v>
      </c>
      <c r="B722" s="58">
        <v>539198</v>
      </c>
      <c r="C722" s="58" t="s">
        <v>588</v>
      </c>
      <c r="D722" s="58" t="s">
        <v>571</v>
      </c>
    </row>
    <row r="723" spans="1:4">
      <c r="A723" s="58" t="s">
        <v>1703</v>
      </c>
      <c r="B723" s="58">
        <v>532938</v>
      </c>
      <c r="C723" s="58" t="s">
        <v>1704</v>
      </c>
      <c r="D723" s="58" t="s">
        <v>571</v>
      </c>
    </row>
    <row r="724" spans="1:4">
      <c r="A724" s="58" t="s">
        <v>1705</v>
      </c>
      <c r="B724" s="58">
        <v>530879</v>
      </c>
      <c r="C724" s="58" t="s">
        <v>588</v>
      </c>
      <c r="D724" s="58" t="s">
        <v>571</v>
      </c>
    </row>
    <row r="725" spans="1:4">
      <c r="A725" s="58" t="s">
        <v>1706</v>
      </c>
      <c r="B725" s="58">
        <v>538476</v>
      </c>
      <c r="C725" s="58" t="s">
        <v>588</v>
      </c>
      <c r="D725" s="58" t="s">
        <v>605</v>
      </c>
    </row>
    <row r="726" spans="1:4">
      <c r="A726" s="58" t="s">
        <v>1707</v>
      </c>
      <c r="B726" s="58">
        <v>511505</v>
      </c>
      <c r="C726" s="58" t="s">
        <v>1708</v>
      </c>
      <c r="D726" s="58" t="s">
        <v>605</v>
      </c>
    </row>
    <row r="727" spans="1:4">
      <c r="A727" s="58" t="s">
        <v>1709</v>
      </c>
      <c r="B727" s="58">
        <v>524742</v>
      </c>
      <c r="C727" s="58" t="s">
        <v>1710</v>
      </c>
      <c r="D727" s="58" t="s">
        <v>626</v>
      </c>
    </row>
    <row r="728" spans="1:4">
      <c r="A728" s="58" t="s">
        <v>1711</v>
      </c>
      <c r="B728" s="58">
        <v>531595</v>
      </c>
      <c r="C728" s="58" t="s">
        <v>1712</v>
      </c>
      <c r="D728" s="58" t="s">
        <v>605</v>
      </c>
    </row>
    <row r="729" spans="1:4">
      <c r="A729" s="58" t="s">
        <v>1713</v>
      </c>
      <c r="B729" s="58">
        <v>512169</v>
      </c>
      <c r="C729" s="58" t="s">
        <v>588</v>
      </c>
      <c r="D729" s="58" t="s">
        <v>1009</v>
      </c>
    </row>
    <row r="730" spans="1:4">
      <c r="A730" s="58" t="s">
        <v>1714</v>
      </c>
      <c r="B730" s="58">
        <v>509486</v>
      </c>
      <c r="C730" s="58" t="s">
        <v>588</v>
      </c>
      <c r="D730" s="58" t="s">
        <v>708</v>
      </c>
    </row>
    <row r="731" spans="1:4">
      <c r="A731" s="58" t="s">
        <v>1715</v>
      </c>
      <c r="B731" s="58">
        <v>509486</v>
      </c>
      <c r="C731" s="58" t="s">
        <v>588</v>
      </c>
      <c r="D731" s="58" t="s">
        <v>708</v>
      </c>
    </row>
    <row r="732" spans="1:4">
      <c r="A732" s="58" t="s">
        <v>1716</v>
      </c>
      <c r="B732" s="58">
        <v>507486</v>
      </c>
      <c r="C732" s="58" t="s">
        <v>588</v>
      </c>
      <c r="D732" s="58" t="s">
        <v>636</v>
      </c>
    </row>
    <row r="733" spans="1:4">
      <c r="A733" s="58" t="s">
        <v>1717</v>
      </c>
      <c r="B733" s="58">
        <v>538817</v>
      </c>
      <c r="C733" s="58" t="s">
        <v>588</v>
      </c>
      <c r="D733" s="58" t="s">
        <v>708</v>
      </c>
    </row>
    <row r="734" spans="1:4">
      <c r="A734" s="58" t="s">
        <v>1718</v>
      </c>
      <c r="B734" s="58">
        <v>536974</v>
      </c>
      <c r="C734" s="58" t="s">
        <v>588</v>
      </c>
      <c r="D734" s="58" t="s">
        <v>708</v>
      </c>
    </row>
    <row r="735" spans="1:4">
      <c r="A735" s="58" t="s">
        <v>1719</v>
      </c>
      <c r="B735" s="58">
        <v>540652</v>
      </c>
      <c r="C735" s="58" t="s">
        <v>588</v>
      </c>
      <c r="D735" s="58" t="s">
        <v>773</v>
      </c>
    </row>
    <row r="736" spans="1:4">
      <c r="A736" s="58" t="s">
        <v>1720</v>
      </c>
      <c r="B736" s="58">
        <v>513375</v>
      </c>
      <c r="C736" s="58" t="s">
        <v>1721</v>
      </c>
      <c r="D736" s="58" t="s">
        <v>1506</v>
      </c>
    </row>
    <row r="737" spans="1:4">
      <c r="A737" s="58" t="s">
        <v>1722</v>
      </c>
      <c r="B737" s="58">
        <v>534804</v>
      </c>
      <c r="C737" s="58" t="s">
        <v>1723</v>
      </c>
      <c r="D737" s="58" t="s">
        <v>571</v>
      </c>
    </row>
    <row r="738" spans="1:4">
      <c r="A738" s="58" t="s">
        <v>1724</v>
      </c>
      <c r="B738" s="58">
        <v>533260</v>
      </c>
      <c r="C738" s="58" t="s">
        <v>1725</v>
      </c>
      <c r="D738" s="58" t="s">
        <v>693</v>
      </c>
    </row>
    <row r="739" spans="1:4">
      <c r="A739" s="58" t="s">
        <v>1726</v>
      </c>
      <c r="B739" s="58">
        <v>530609</v>
      </c>
      <c r="C739" s="58" t="s">
        <v>588</v>
      </c>
      <c r="D739" s="58" t="s">
        <v>1506</v>
      </c>
    </row>
    <row r="740" spans="1:4">
      <c r="A740" s="58" t="s">
        <v>1727</v>
      </c>
      <c r="B740" s="58">
        <v>532282</v>
      </c>
      <c r="C740" s="58" t="s">
        <v>1728</v>
      </c>
      <c r="D740" s="58" t="s">
        <v>943</v>
      </c>
    </row>
    <row r="741" spans="1:4">
      <c r="A741" s="58" t="s">
        <v>1729</v>
      </c>
      <c r="B741" s="58">
        <v>500870</v>
      </c>
      <c r="C741" s="58" t="s">
        <v>1730</v>
      </c>
      <c r="D741" s="58" t="s">
        <v>798</v>
      </c>
    </row>
    <row r="742" spans="1:4">
      <c r="A742" s="58" t="s">
        <v>1731</v>
      </c>
      <c r="B742" s="58">
        <v>500870</v>
      </c>
      <c r="C742" s="58" t="s">
        <v>1730</v>
      </c>
      <c r="D742" s="58" t="s">
        <v>798</v>
      </c>
    </row>
    <row r="743" spans="1:4">
      <c r="A743" s="58" t="s">
        <v>1732</v>
      </c>
      <c r="B743" s="58">
        <v>531682</v>
      </c>
      <c r="C743" s="58" t="s">
        <v>588</v>
      </c>
      <c r="D743" s="58" t="s">
        <v>574</v>
      </c>
    </row>
    <row r="744" spans="1:4">
      <c r="A744" s="58" t="s">
        <v>1733</v>
      </c>
      <c r="B744" s="58">
        <v>531158</v>
      </c>
      <c r="C744" s="58" t="s">
        <v>588</v>
      </c>
      <c r="D744" s="58" t="s">
        <v>610</v>
      </c>
    </row>
    <row r="745" spans="1:4">
      <c r="A745" s="58" t="s">
        <v>1734</v>
      </c>
      <c r="B745" s="58">
        <v>531900</v>
      </c>
      <c r="C745" s="58" t="s">
        <v>588</v>
      </c>
      <c r="D745" s="58" t="s">
        <v>610</v>
      </c>
    </row>
    <row r="746" spans="1:4">
      <c r="A746" s="58" t="s">
        <v>1735</v>
      </c>
      <c r="B746" s="58">
        <v>519600</v>
      </c>
      <c r="C746" s="58" t="s">
        <v>1736</v>
      </c>
      <c r="D746" s="58" t="s">
        <v>995</v>
      </c>
    </row>
    <row r="747" spans="1:4">
      <c r="A747" s="58" t="s">
        <v>1737</v>
      </c>
      <c r="B747" s="58">
        <v>519600</v>
      </c>
      <c r="C747" s="58" t="s">
        <v>1736</v>
      </c>
      <c r="D747" s="58" t="s">
        <v>995</v>
      </c>
    </row>
    <row r="748" spans="1:4">
      <c r="A748" s="58" t="s">
        <v>1738</v>
      </c>
      <c r="B748" s="58">
        <v>500878</v>
      </c>
      <c r="C748" s="58" t="s">
        <v>1739</v>
      </c>
      <c r="D748" s="58" t="s">
        <v>1068</v>
      </c>
    </row>
    <row r="749" spans="1:4">
      <c r="A749" s="58" t="s">
        <v>1740</v>
      </c>
      <c r="B749" s="58">
        <v>530789</v>
      </c>
      <c r="C749" s="58" t="s">
        <v>588</v>
      </c>
      <c r="D749" s="58" t="s">
        <v>708</v>
      </c>
    </row>
    <row r="750" spans="1:4">
      <c r="A750" s="58" t="s">
        <v>1741</v>
      </c>
      <c r="B750" s="58">
        <v>531119</v>
      </c>
      <c r="C750" s="58" t="s">
        <v>588</v>
      </c>
      <c r="D750" s="58" t="s">
        <v>702</v>
      </c>
    </row>
    <row r="751" spans="1:4">
      <c r="A751" s="58" t="s">
        <v>1742</v>
      </c>
      <c r="B751" s="58">
        <v>531119</v>
      </c>
      <c r="C751" s="58" t="s">
        <v>588</v>
      </c>
      <c r="D751" s="58" t="s">
        <v>702</v>
      </c>
    </row>
    <row r="752" spans="1:4">
      <c r="A752" s="58" t="s">
        <v>1743</v>
      </c>
      <c r="B752" s="58">
        <v>514171</v>
      </c>
      <c r="C752" s="58" t="s">
        <v>588</v>
      </c>
      <c r="D752" s="58" t="s">
        <v>1116</v>
      </c>
    </row>
    <row r="753" spans="1:4">
      <c r="A753" s="58" t="s">
        <v>1744</v>
      </c>
      <c r="B753" s="58">
        <v>538734</v>
      </c>
      <c r="C753" s="58" t="s">
        <v>588</v>
      </c>
      <c r="D753" s="58" t="s">
        <v>574</v>
      </c>
    </row>
    <row r="754" spans="1:4">
      <c r="A754" s="58" t="s">
        <v>1745</v>
      </c>
      <c r="B754" s="58">
        <v>532695</v>
      </c>
      <c r="C754" s="58" t="s">
        <v>1746</v>
      </c>
      <c r="D754" s="58" t="s">
        <v>702</v>
      </c>
    </row>
    <row r="755" spans="1:4">
      <c r="A755" s="58" t="s">
        <v>1747</v>
      </c>
      <c r="B755" s="58">
        <v>532871</v>
      </c>
      <c r="C755" s="58" t="s">
        <v>1748</v>
      </c>
      <c r="D755" s="58" t="s">
        <v>926</v>
      </c>
    </row>
    <row r="756" spans="1:4">
      <c r="A756" s="58" t="s">
        <v>1749</v>
      </c>
      <c r="B756" s="58">
        <v>532701</v>
      </c>
      <c r="C756" s="58" t="s">
        <v>588</v>
      </c>
      <c r="D756" s="58" t="s">
        <v>582</v>
      </c>
    </row>
    <row r="757" spans="1:4">
      <c r="A757" s="58" t="s">
        <v>1750</v>
      </c>
      <c r="B757" s="58">
        <v>522251</v>
      </c>
      <c r="C757" s="58" t="s">
        <v>588</v>
      </c>
      <c r="D757" s="58" t="s">
        <v>596</v>
      </c>
    </row>
    <row r="758" spans="1:4">
      <c r="A758" s="58" t="s">
        <v>1751</v>
      </c>
      <c r="B758" s="58">
        <v>531380</v>
      </c>
      <c r="C758" s="58" t="s">
        <v>588</v>
      </c>
      <c r="D758" s="58" t="s">
        <v>1752</v>
      </c>
    </row>
    <row r="759" spans="1:4">
      <c r="A759" s="58" t="s">
        <v>1753</v>
      </c>
      <c r="B759" s="58">
        <v>532885</v>
      </c>
      <c r="C759" s="58" t="s">
        <v>1754</v>
      </c>
      <c r="D759" s="58" t="s">
        <v>906</v>
      </c>
    </row>
    <row r="760" spans="1:4">
      <c r="A760" s="58" t="s">
        <v>1755</v>
      </c>
      <c r="B760" s="58" t="s">
        <v>588</v>
      </c>
      <c r="C760" s="58" t="s">
        <v>1756</v>
      </c>
      <c r="D760" s="58" t="s">
        <v>679</v>
      </c>
    </row>
    <row r="761" spans="1:4">
      <c r="A761" s="58" t="s">
        <v>1757</v>
      </c>
      <c r="B761" s="58" t="s">
        <v>588</v>
      </c>
      <c r="C761" s="58" t="s">
        <v>1756</v>
      </c>
      <c r="D761" s="58" t="s">
        <v>679</v>
      </c>
    </row>
    <row r="762" spans="1:4">
      <c r="A762" s="58" t="s">
        <v>1758</v>
      </c>
      <c r="B762" s="58">
        <v>501827</v>
      </c>
      <c r="C762" s="58" t="s">
        <v>588</v>
      </c>
      <c r="D762" s="58" t="s">
        <v>660</v>
      </c>
    </row>
    <row r="763" spans="1:4">
      <c r="A763" s="58" t="s">
        <v>1759</v>
      </c>
      <c r="B763" s="58">
        <v>501150</v>
      </c>
      <c r="C763" s="58" t="s">
        <v>1760</v>
      </c>
      <c r="D763" s="58" t="s">
        <v>571</v>
      </c>
    </row>
    <row r="764" spans="1:4">
      <c r="A764" s="58" t="s">
        <v>1761</v>
      </c>
      <c r="B764" s="58">
        <v>517544</v>
      </c>
      <c r="C764" s="58" t="s">
        <v>1762</v>
      </c>
      <c r="D764" s="58" t="s">
        <v>1009</v>
      </c>
    </row>
    <row r="765" spans="1:4">
      <c r="A765" s="58" t="s">
        <v>1763</v>
      </c>
      <c r="B765" s="58">
        <v>500280</v>
      </c>
      <c r="C765" s="58" t="s">
        <v>1764</v>
      </c>
      <c r="D765" s="58" t="s">
        <v>603</v>
      </c>
    </row>
    <row r="766" spans="1:4">
      <c r="A766" s="58" t="s">
        <v>1765</v>
      </c>
      <c r="B766" s="58">
        <v>500083</v>
      </c>
      <c r="C766" s="58" t="s">
        <v>1766</v>
      </c>
      <c r="D766" s="58" t="s">
        <v>893</v>
      </c>
    </row>
    <row r="767" spans="1:4">
      <c r="A767" s="58" t="s">
        <v>1767</v>
      </c>
      <c r="B767" s="58">
        <v>532548</v>
      </c>
      <c r="C767" s="58" t="s">
        <v>1768</v>
      </c>
      <c r="D767" s="58" t="s">
        <v>1083</v>
      </c>
    </row>
    <row r="768" spans="1:4">
      <c r="A768" s="58" t="s">
        <v>1769</v>
      </c>
      <c r="B768" s="58">
        <v>532548</v>
      </c>
      <c r="C768" s="58" t="s">
        <v>1768</v>
      </c>
      <c r="D768" s="58" t="s">
        <v>1083</v>
      </c>
    </row>
    <row r="769" spans="1:4">
      <c r="A769" s="58" t="s">
        <v>1770</v>
      </c>
      <c r="B769" s="58">
        <v>500040</v>
      </c>
      <c r="C769" s="58" t="s">
        <v>1771</v>
      </c>
      <c r="D769" s="58" t="s">
        <v>601</v>
      </c>
    </row>
    <row r="770" spans="1:4">
      <c r="A770" s="58" t="s">
        <v>1772</v>
      </c>
      <c r="B770" s="58">
        <v>530881</v>
      </c>
      <c r="C770" s="58" t="s">
        <v>588</v>
      </c>
      <c r="D770" s="58" t="s">
        <v>571</v>
      </c>
    </row>
    <row r="771" spans="1:4">
      <c r="A771" s="58" t="s">
        <v>1773</v>
      </c>
      <c r="B771" s="58">
        <v>532443</v>
      </c>
      <c r="C771" s="58" t="s">
        <v>1774</v>
      </c>
      <c r="D771" s="58" t="s">
        <v>865</v>
      </c>
    </row>
    <row r="772" spans="1:4">
      <c r="A772" s="58" t="s">
        <v>1775</v>
      </c>
      <c r="B772" s="58">
        <v>532413</v>
      </c>
      <c r="C772" s="58" t="s">
        <v>1776</v>
      </c>
      <c r="D772" s="58" t="s">
        <v>913</v>
      </c>
    </row>
    <row r="773" spans="1:4">
      <c r="A773" s="58" t="s">
        <v>1777</v>
      </c>
      <c r="B773" s="58">
        <v>512341</v>
      </c>
      <c r="C773" s="58" t="s">
        <v>588</v>
      </c>
      <c r="D773" s="58" t="s">
        <v>918</v>
      </c>
    </row>
    <row r="774" spans="1:4">
      <c r="A774" s="58" t="s">
        <v>1778</v>
      </c>
      <c r="B774" s="58">
        <v>500084</v>
      </c>
      <c r="C774" s="58" t="s">
        <v>1779</v>
      </c>
      <c r="D774" s="58" t="s">
        <v>727</v>
      </c>
    </row>
    <row r="775" spans="1:4">
      <c r="A775" s="58" t="s">
        <v>1780</v>
      </c>
      <c r="B775" s="58" t="s">
        <v>588</v>
      </c>
      <c r="C775" s="58" t="s">
        <v>1781</v>
      </c>
      <c r="D775" s="58" t="s">
        <v>1782</v>
      </c>
    </row>
    <row r="776" spans="1:4">
      <c r="A776" s="58" t="s">
        <v>1783</v>
      </c>
      <c r="B776" s="58">
        <v>542333</v>
      </c>
      <c r="C776" s="58" t="s">
        <v>1784</v>
      </c>
      <c r="D776" s="58" t="s">
        <v>1782</v>
      </c>
    </row>
    <row r="777" spans="1:4">
      <c r="A777" s="58" t="s">
        <v>1785</v>
      </c>
      <c r="B777" s="58">
        <v>500093</v>
      </c>
      <c r="C777" s="58" t="s">
        <v>1786</v>
      </c>
      <c r="D777" s="58" t="s">
        <v>631</v>
      </c>
    </row>
    <row r="778" spans="1:4">
      <c r="A778" s="58" t="s">
        <v>1787</v>
      </c>
      <c r="B778" s="58">
        <v>531489</v>
      </c>
      <c r="C778" s="58" t="s">
        <v>588</v>
      </c>
      <c r="D778" s="58" t="s">
        <v>681</v>
      </c>
    </row>
    <row r="779" spans="1:4">
      <c r="A779" s="58" t="s">
        <v>1788</v>
      </c>
      <c r="B779" s="58">
        <v>531946</v>
      </c>
      <c r="C779" s="58" t="s">
        <v>588</v>
      </c>
      <c r="D779" s="58" t="s">
        <v>582</v>
      </c>
    </row>
    <row r="780" spans="1:4">
      <c r="A780" s="58" t="s">
        <v>1789</v>
      </c>
      <c r="B780" s="58">
        <v>542399</v>
      </c>
      <c r="C780" s="58" t="s">
        <v>1790</v>
      </c>
      <c r="D780" s="58" t="s">
        <v>789</v>
      </c>
    </row>
    <row r="781" spans="1:4">
      <c r="A781" s="58" t="s">
        <v>1791</v>
      </c>
      <c r="B781" s="58">
        <v>539600</v>
      </c>
      <c r="C781" s="58" t="s">
        <v>588</v>
      </c>
      <c r="D781" s="58" t="s">
        <v>610</v>
      </c>
    </row>
    <row r="782" spans="1:4">
      <c r="A782" s="58" t="s">
        <v>1792</v>
      </c>
      <c r="B782" s="58">
        <v>530307</v>
      </c>
      <c r="C782" s="58" t="s">
        <v>588</v>
      </c>
      <c r="D782" s="58" t="s">
        <v>786</v>
      </c>
    </row>
    <row r="783" spans="1:4">
      <c r="A783" s="58" t="s">
        <v>1793</v>
      </c>
      <c r="B783" s="58">
        <v>512301</v>
      </c>
      <c r="C783" s="58" t="s">
        <v>588</v>
      </c>
      <c r="D783" s="58" t="s">
        <v>610</v>
      </c>
    </row>
    <row r="784" spans="1:4">
      <c r="A784" s="58" t="s">
        <v>1794</v>
      </c>
      <c r="B784" s="58">
        <v>500085</v>
      </c>
      <c r="C784" s="58" t="s">
        <v>1795</v>
      </c>
      <c r="D784" s="58" t="s">
        <v>1096</v>
      </c>
    </row>
    <row r="785" spans="1:4">
      <c r="A785" s="58" t="s">
        <v>1796</v>
      </c>
      <c r="B785" s="58">
        <v>542627</v>
      </c>
      <c r="C785" s="58" t="s">
        <v>1797</v>
      </c>
      <c r="D785" s="58" t="s">
        <v>954</v>
      </c>
    </row>
    <row r="786" spans="1:4">
      <c r="A786" s="58" t="s">
        <v>1798</v>
      </c>
      <c r="B786" s="58">
        <v>522292</v>
      </c>
      <c r="C786" s="58" t="s">
        <v>588</v>
      </c>
      <c r="D786" s="58" t="s">
        <v>603</v>
      </c>
    </row>
    <row r="787" spans="1:4">
      <c r="A787" s="58" t="s">
        <v>1799</v>
      </c>
      <c r="B787" s="58">
        <v>530309</v>
      </c>
      <c r="C787" s="58" t="s">
        <v>588</v>
      </c>
      <c r="D787" s="58" t="s">
        <v>610</v>
      </c>
    </row>
    <row r="788" spans="1:4">
      <c r="A788" s="58" t="s">
        <v>1800</v>
      </c>
      <c r="B788" s="58">
        <v>540829</v>
      </c>
      <c r="C788" s="58" t="s">
        <v>588</v>
      </c>
      <c r="D788" s="58" t="s">
        <v>610</v>
      </c>
    </row>
    <row r="789" spans="1:4">
      <c r="A789" s="58" t="s">
        <v>1801</v>
      </c>
      <c r="B789" s="58">
        <v>535142</v>
      </c>
      <c r="C789" s="58" t="s">
        <v>588</v>
      </c>
      <c r="D789" s="58" t="s">
        <v>591</v>
      </c>
    </row>
    <row r="790" spans="1:4">
      <c r="A790" s="58" t="s">
        <v>1802</v>
      </c>
      <c r="B790" s="58">
        <v>531327</v>
      </c>
      <c r="C790" s="58" t="s">
        <v>588</v>
      </c>
      <c r="D790" s="58" t="s">
        <v>571</v>
      </c>
    </row>
    <row r="791" spans="1:4">
      <c r="A791" s="58" t="s">
        <v>1803</v>
      </c>
      <c r="B791" s="58">
        <v>511696</v>
      </c>
      <c r="C791" s="58" t="s">
        <v>588</v>
      </c>
      <c r="D791" s="58" t="s">
        <v>571</v>
      </c>
    </row>
    <row r="792" spans="1:4">
      <c r="A792" s="58" t="s">
        <v>1804</v>
      </c>
      <c r="B792" s="58">
        <v>531977</v>
      </c>
      <c r="C792" s="58" t="s">
        <v>588</v>
      </c>
      <c r="D792" s="58" t="s">
        <v>660</v>
      </c>
    </row>
    <row r="793" spans="1:4">
      <c r="A793" s="58" t="s">
        <v>1805</v>
      </c>
      <c r="B793" s="58">
        <v>504671</v>
      </c>
      <c r="C793" s="58" t="s">
        <v>588</v>
      </c>
      <c r="D793" s="58" t="s">
        <v>620</v>
      </c>
    </row>
    <row r="794" spans="1:4">
      <c r="A794" s="58" t="s">
        <v>1806</v>
      </c>
      <c r="B794" s="58">
        <v>539800</v>
      </c>
      <c r="C794" s="58" t="s">
        <v>588</v>
      </c>
      <c r="D794" s="58" t="s">
        <v>610</v>
      </c>
    </row>
    <row r="795" spans="1:4">
      <c r="A795" s="58" t="s">
        <v>1807</v>
      </c>
      <c r="B795" s="58">
        <v>526917</v>
      </c>
      <c r="C795" s="58" t="s">
        <v>588</v>
      </c>
      <c r="D795" s="58" t="s">
        <v>674</v>
      </c>
    </row>
    <row r="796" spans="1:4">
      <c r="A796" s="58" t="s">
        <v>1808</v>
      </c>
      <c r="B796" s="58">
        <v>530871</v>
      </c>
      <c r="C796" s="58" t="s">
        <v>588</v>
      </c>
      <c r="D796" s="58" t="s">
        <v>748</v>
      </c>
    </row>
    <row r="797" spans="1:4">
      <c r="A797" s="58" t="s">
        <v>1809</v>
      </c>
      <c r="B797" s="58">
        <v>540395</v>
      </c>
      <c r="C797" s="58" t="s">
        <v>588</v>
      </c>
      <c r="D797" s="58" t="s">
        <v>748</v>
      </c>
    </row>
    <row r="798" spans="1:4">
      <c r="A798" s="58" t="s">
        <v>1810</v>
      </c>
      <c r="B798" s="58">
        <v>541269</v>
      </c>
      <c r="C798" s="58" t="s">
        <v>1811</v>
      </c>
      <c r="D798" s="58" t="s">
        <v>636</v>
      </c>
    </row>
    <row r="799" spans="1:4">
      <c r="A799" s="58" t="s">
        <v>1812</v>
      </c>
      <c r="B799" s="58">
        <v>539230</v>
      </c>
      <c r="C799" s="58" t="s">
        <v>588</v>
      </c>
      <c r="D799" s="58" t="s">
        <v>748</v>
      </c>
    </row>
    <row r="800" spans="1:4">
      <c r="A800" s="58" t="s">
        <v>1813</v>
      </c>
      <c r="B800" s="58">
        <v>506365</v>
      </c>
      <c r="C800" s="58" t="s">
        <v>588</v>
      </c>
      <c r="D800" s="58" t="s">
        <v>626</v>
      </c>
    </row>
    <row r="801" spans="1:4">
      <c r="A801" s="58" t="s">
        <v>1814</v>
      </c>
      <c r="B801" s="58">
        <v>537326</v>
      </c>
      <c r="C801" s="58" t="s">
        <v>588</v>
      </c>
      <c r="D801" s="58" t="s">
        <v>596</v>
      </c>
    </row>
    <row r="802" spans="1:4">
      <c r="A802" s="58" t="s">
        <v>1815</v>
      </c>
      <c r="B802" s="58">
        <v>539011</v>
      </c>
      <c r="C802" s="58" t="s">
        <v>588</v>
      </c>
      <c r="D802" s="58" t="s">
        <v>620</v>
      </c>
    </row>
    <row r="803" spans="1:4">
      <c r="A803" s="58" t="s">
        <v>1816</v>
      </c>
      <c r="B803" s="58">
        <v>523489</v>
      </c>
      <c r="C803" s="58" t="s">
        <v>588</v>
      </c>
      <c r="D803" s="58" t="s">
        <v>777</v>
      </c>
    </row>
    <row r="804" spans="1:4">
      <c r="A804" s="58" t="s">
        <v>1817</v>
      </c>
      <c r="B804" s="58">
        <v>500110</v>
      </c>
      <c r="C804" s="58" t="s">
        <v>1818</v>
      </c>
      <c r="D804" s="58" t="s">
        <v>1515</v>
      </c>
    </row>
    <row r="805" spans="1:4">
      <c r="A805" s="58" t="s">
        <v>1819</v>
      </c>
      <c r="B805" s="58">
        <v>526817</v>
      </c>
      <c r="C805" s="58" t="s">
        <v>588</v>
      </c>
      <c r="D805" s="58" t="s">
        <v>825</v>
      </c>
    </row>
    <row r="806" spans="1:4">
      <c r="A806" s="58" t="s">
        <v>1820</v>
      </c>
      <c r="B806" s="58">
        <v>521244</v>
      </c>
      <c r="C806" s="58" t="s">
        <v>588</v>
      </c>
      <c r="D806" s="58" t="s">
        <v>603</v>
      </c>
    </row>
    <row r="807" spans="1:4">
      <c r="A807" s="58" t="s">
        <v>1821</v>
      </c>
      <c r="B807" s="58">
        <v>532992</v>
      </c>
      <c r="C807" s="58" t="s">
        <v>588</v>
      </c>
      <c r="D807" s="58" t="s">
        <v>789</v>
      </c>
    </row>
    <row r="808" spans="1:4">
      <c r="A808" s="58" t="s">
        <v>1822</v>
      </c>
      <c r="B808" s="58">
        <v>531358</v>
      </c>
      <c r="C808" s="58" t="s">
        <v>588</v>
      </c>
      <c r="D808" s="58" t="s">
        <v>605</v>
      </c>
    </row>
    <row r="809" spans="1:4">
      <c r="A809" s="58" t="s">
        <v>1823</v>
      </c>
      <c r="B809" s="58">
        <v>530427</v>
      </c>
      <c r="C809" s="58" t="s">
        <v>588</v>
      </c>
      <c r="D809" s="58" t="s">
        <v>1824</v>
      </c>
    </row>
    <row r="810" spans="1:4">
      <c r="A810" s="58" t="s">
        <v>1825</v>
      </c>
      <c r="B810" s="58">
        <v>526546</v>
      </c>
      <c r="C810" s="58" t="s">
        <v>588</v>
      </c>
      <c r="D810" s="58" t="s">
        <v>777</v>
      </c>
    </row>
    <row r="811" spans="1:4">
      <c r="A811" s="58" t="s">
        <v>1826</v>
      </c>
      <c r="B811" s="58">
        <v>511243</v>
      </c>
      <c r="C811" s="58" t="s">
        <v>1827</v>
      </c>
      <c r="D811" s="58" t="s">
        <v>605</v>
      </c>
    </row>
    <row r="812" spans="1:4">
      <c r="A812" s="58" t="s">
        <v>1828</v>
      </c>
      <c r="B812" s="58">
        <v>511243</v>
      </c>
      <c r="C812" s="58" t="s">
        <v>1829</v>
      </c>
      <c r="D812" s="58" t="s">
        <v>605</v>
      </c>
    </row>
    <row r="813" spans="1:4">
      <c r="A813" s="58" t="s">
        <v>1830</v>
      </c>
      <c r="B813" s="58">
        <v>519475</v>
      </c>
      <c r="C813" s="58" t="s">
        <v>588</v>
      </c>
      <c r="D813" s="58" t="s">
        <v>668</v>
      </c>
    </row>
    <row r="814" spans="1:4">
      <c r="A814" s="58" t="s">
        <v>1831</v>
      </c>
      <c r="B814" s="58">
        <v>540681</v>
      </c>
      <c r="C814" s="58" t="s">
        <v>588</v>
      </c>
      <c r="D814" s="58" t="s">
        <v>648</v>
      </c>
    </row>
    <row r="815" spans="1:4">
      <c r="A815" s="58" t="s">
        <v>1832</v>
      </c>
      <c r="B815" s="58">
        <v>501833</v>
      </c>
      <c r="C815" s="58" t="s">
        <v>588</v>
      </c>
      <c r="D815" s="58" t="s">
        <v>1833</v>
      </c>
    </row>
    <row r="816" spans="1:4">
      <c r="A816" s="58" t="s">
        <v>1834</v>
      </c>
      <c r="B816" s="58">
        <v>539335</v>
      </c>
      <c r="C816" s="58" t="s">
        <v>588</v>
      </c>
      <c r="D816" s="58" t="s">
        <v>610</v>
      </c>
    </row>
    <row r="817" spans="1:4">
      <c r="A817" s="58" t="s">
        <v>1835</v>
      </c>
      <c r="B817" s="58">
        <v>530191</v>
      </c>
      <c r="C817" s="58" t="s">
        <v>1836</v>
      </c>
      <c r="D817" s="58" t="s">
        <v>748</v>
      </c>
    </row>
    <row r="818" spans="1:4">
      <c r="A818" s="58" t="s">
        <v>1837</v>
      </c>
      <c r="B818" s="58">
        <v>530191</v>
      </c>
      <c r="C818" s="58" t="s">
        <v>1836</v>
      </c>
      <c r="D818" s="58" t="s">
        <v>748</v>
      </c>
    </row>
    <row r="819" spans="1:4">
      <c r="A819" s="58" t="s">
        <v>1838</v>
      </c>
      <c r="B819" s="58">
        <v>519477</v>
      </c>
      <c r="C819" s="58" t="s">
        <v>588</v>
      </c>
      <c r="D819" s="58" t="s">
        <v>837</v>
      </c>
    </row>
    <row r="820" spans="1:4">
      <c r="A820" s="58" t="s">
        <v>1839</v>
      </c>
      <c r="B820" s="58">
        <v>542678</v>
      </c>
      <c r="C820" s="58" t="s">
        <v>1840</v>
      </c>
      <c r="D820" s="58" t="s">
        <v>626</v>
      </c>
    </row>
    <row r="821" spans="1:4">
      <c r="A821" s="58" t="s">
        <v>1841</v>
      </c>
      <c r="B821" s="58">
        <v>534758</v>
      </c>
      <c r="C821" s="58" t="s">
        <v>1842</v>
      </c>
      <c r="D821" s="58" t="s">
        <v>574</v>
      </c>
    </row>
    <row r="822" spans="1:4">
      <c r="A822" s="58" t="s">
        <v>1843</v>
      </c>
      <c r="B822" s="58">
        <v>533407</v>
      </c>
      <c r="C822" s="58" t="s">
        <v>1844</v>
      </c>
      <c r="D822" s="58" t="s">
        <v>603</v>
      </c>
    </row>
    <row r="823" spans="1:4">
      <c r="A823" s="58" t="s">
        <v>1845</v>
      </c>
      <c r="B823" s="58">
        <v>530829</v>
      </c>
      <c r="C823" s="58" t="s">
        <v>588</v>
      </c>
      <c r="D823" s="58" t="s">
        <v>605</v>
      </c>
    </row>
    <row r="824" spans="1:4">
      <c r="A824" s="58" t="s">
        <v>1846</v>
      </c>
      <c r="B824" s="58">
        <v>505230</v>
      </c>
      <c r="C824" s="58" t="s">
        <v>1847</v>
      </c>
      <c r="D824" s="58" t="s">
        <v>577</v>
      </c>
    </row>
    <row r="825" spans="1:4">
      <c r="A825" s="58" t="s">
        <v>1848</v>
      </c>
      <c r="B825" s="58">
        <v>531283</v>
      </c>
      <c r="C825" s="58" t="s">
        <v>588</v>
      </c>
      <c r="D825" s="58" t="s">
        <v>605</v>
      </c>
    </row>
    <row r="826" spans="1:4">
      <c r="A826" s="58" t="s">
        <v>1849</v>
      </c>
      <c r="B826" s="58">
        <v>526373</v>
      </c>
      <c r="C826" s="58" t="s">
        <v>588</v>
      </c>
      <c r="D826" s="58" t="s">
        <v>789</v>
      </c>
    </row>
    <row r="827" spans="1:4">
      <c r="A827" s="58" t="s">
        <v>1850</v>
      </c>
      <c r="B827" s="58">
        <v>532807</v>
      </c>
      <c r="C827" s="58" t="s">
        <v>1851</v>
      </c>
      <c r="D827" s="58" t="s">
        <v>589</v>
      </c>
    </row>
    <row r="828" spans="1:4">
      <c r="A828" s="58" t="s">
        <v>1852</v>
      </c>
      <c r="B828" s="58">
        <v>532807</v>
      </c>
      <c r="C828" s="58" t="s">
        <v>1851</v>
      </c>
      <c r="D828" s="58" t="s">
        <v>589</v>
      </c>
    </row>
    <row r="829" spans="1:4">
      <c r="A829" s="58" t="s">
        <v>1853</v>
      </c>
      <c r="B829" s="58">
        <v>530457</v>
      </c>
      <c r="C829" s="58" t="s">
        <v>588</v>
      </c>
      <c r="D829" s="58" t="s">
        <v>591</v>
      </c>
    </row>
    <row r="830" spans="1:4">
      <c r="A830" s="58" t="s">
        <v>1854</v>
      </c>
      <c r="B830" s="58">
        <v>532324</v>
      </c>
      <c r="C830" s="58" t="s">
        <v>1855</v>
      </c>
      <c r="D830" s="58" t="s">
        <v>591</v>
      </c>
    </row>
    <row r="831" spans="1:4">
      <c r="A831" s="58" t="s">
        <v>1856</v>
      </c>
      <c r="B831" s="58">
        <v>500087</v>
      </c>
      <c r="C831" s="58" t="s">
        <v>1857</v>
      </c>
      <c r="D831" s="58" t="s">
        <v>626</v>
      </c>
    </row>
    <row r="832" spans="1:4">
      <c r="A832" s="58" t="s">
        <v>1858</v>
      </c>
      <c r="B832" s="58">
        <v>531775</v>
      </c>
      <c r="C832" s="58" t="s">
        <v>588</v>
      </c>
      <c r="D832" s="58" t="s">
        <v>610</v>
      </c>
    </row>
    <row r="833" spans="1:4">
      <c r="A833" s="58" t="s">
        <v>1859</v>
      </c>
      <c r="B833" s="58">
        <v>502445</v>
      </c>
      <c r="C833" s="58" t="s">
        <v>588</v>
      </c>
      <c r="D833" s="58" t="s">
        <v>674</v>
      </c>
    </row>
    <row r="834" spans="1:4">
      <c r="A834" s="58" t="s">
        <v>1860</v>
      </c>
      <c r="B834" s="58">
        <v>531235</v>
      </c>
      <c r="C834" s="58" t="s">
        <v>588</v>
      </c>
      <c r="D834" s="58" t="s">
        <v>605</v>
      </c>
    </row>
    <row r="835" spans="1:4">
      <c r="A835" s="58" t="s">
        <v>1861</v>
      </c>
      <c r="B835" s="58">
        <v>538786</v>
      </c>
      <c r="C835" s="58" t="s">
        <v>588</v>
      </c>
      <c r="D835" s="58" t="s">
        <v>1112</v>
      </c>
    </row>
    <row r="836" spans="1:4">
      <c r="A836" s="58" t="s">
        <v>1862</v>
      </c>
      <c r="B836" s="58">
        <v>538674</v>
      </c>
      <c r="C836" s="58" t="s">
        <v>588</v>
      </c>
      <c r="D836" s="58" t="s">
        <v>1530</v>
      </c>
    </row>
    <row r="837" spans="1:4">
      <c r="A837" s="58" t="s">
        <v>1863</v>
      </c>
      <c r="B837" s="58">
        <v>532210</v>
      </c>
      <c r="C837" s="58" t="s">
        <v>1864</v>
      </c>
      <c r="D837" s="58" t="s">
        <v>906</v>
      </c>
    </row>
    <row r="838" spans="1:4">
      <c r="A838" s="58" t="s">
        <v>1865</v>
      </c>
      <c r="B838" s="58">
        <v>521210</v>
      </c>
      <c r="C838" s="58" t="s">
        <v>588</v>
      </c>
      <c r="D838" s="58" t="s">
        <v>702</v>
      </c>
    </row>
    <row r="839" spans="1:4">
      <c r="A839" s="58" t="s">
        <v>1866</v>
      </c>
      <c r="B839" s="58">
        <v>780013</v>
      </c>
      <c r="C839" s="58" t="s">
        <v>588</v>
      </c>
      <c r="D839" s="58" t="s">
        <v>679</v>
      </c>
    </row>
    <row r="840" spans="1:4">
      <c r="A840" s="58" t="s">
        <v>1867</v>
      </c>
      <c r="B840" s="58">
        <v>780013</v>
      </c>
      <c r="C840" s="58" t="s">
        <v>588</v>
      </c>
      <c r="D840" s="58" t="s">
        <v>679</v>
      </c>
    </row>
    <row r="841" spans="1:4">
      <c r="A841" s="58" t="s">
        <v>1868</v>
      </c>
      <c r="B841" s="58" t="s">
        <v>588</v>
      </c>
      <c r="C841" s="58" t="s">
        <v>1869</v>
      </c>
      <c r="D841" s="58" t="s">
        <v>599</v>
      </c>
    </row>
    <row r="842" spans="1:4">
      <c r="A842" s="58" t="s">
        <v>1870</v>
      </c>
      <c r="B842" s="58" t="s">
        <v>588</v>
      </c>
      <c r="C842" s="58" t="s">
        <v>1871</v>
      </c>
      <c r="D842" s="58" t="s">
        <v>599</v>
      </c>
    </row>
    <row r="843" spans="1:4">
      <c r="A843" s="58" t="s">
        <v>1872</v>
      </c>
      <c r="B843" s="58">
        <v>540403</v>
      </c>
      <c r="C843" s="58" t="s">
        <v>1873</v>
      </c>
      <c r="D843" s="58" t="s">
        <v>693</v>
      </c>
    </row>
    <row r="844" spans="1:4">
      <c r="A844" s="58" t="s">
        <v>1874</v>
      </c>
      <c r="B844" s="58">
        <v>506390</v>
      </c>
      <c r="C844" s="58" t="s">
        <v>1875</v>
      </c>
      <c r="D844" s="58" t="s">
        <v>748</v>
      </c>
    </row>
    <row r="845" spans="1:4">
      <c r="A845" s="58" t="s">
        <v>1876</v>
      </c>
      <c r="B845" s="58">
        <v>506390</v>
      </c>
      <c r="C845" s="58" t="s">
        <v>1877</v>
      </c>
      <c r="D845" s="58" t="s">
        <v>748</v>
      </c>
    </row>
    <row r="846" spans="1:4">
      <c r="A846" s="58" t="s">
        <v>1878</v>
      </c>
      <c r="B846" s="58">
        <v>512213</v>
      </c>
      <c r="C846" s="58" t="s">
        <v>588</v>
      </c>
      <c r="D846" s="58" t="s">
        <v>610</v>
      </c>
    </row>
    <row r="847" spans="1:4">
      <c r="A847" s="58" t="s">
        <v>1879</v>
      </c>
      <c r="B847" s="58">
        <v>540310</v>
      </c>
      <c r="C847" s="58" t="s">
        <v>588</v>
      </c>
      <c r="D847" s="58" t="s">
        <v>603</v>
      </c>
    </row>
    <row r="848" spans="1:4">
      <c r="A848" s="58" t="s">
        <v>1880</v>
      </c>
      <c r="B848" s="58">
        <v>538433</v>
      </c>
      <c r="C848" s="58" t="s">
        <v>588</v>
      </c>
      <c r="D848" s="58" t="s">
        <v>571</v>
      </c>
    </row>
    <row r="849" spans="1:4">
      <c r="A849" s="58" t="s">
        <v>1881</v>
      </c>
      <c r="B849" s="58">
        <v>540481</v>
      </c>
      <c r="C849" s="58" t="s">
        <v>588</v>
      </c>
      <c r="D849" s="58" t="s">
        <v>571</v>
      </c>
    </row>
    <row r="850" spans="1:4">
      <c r="A850" s="58" t="s">
        <v>1882</v>
      </c>
      <c r="B850" s="58">
        <v>530839</v>
      </c>
      <c r="C850" s="58" t="s">
        <v>588</v>
      </c>
      <c r="D850" s="58" t="s">
        <v>681</v>
      </c>
    </row>
    <row r="851" spans="1:4">
      <c r="A851" s="58" t="s">
        <v>1883</v>
      </c>
      <c r="B851" s="58">
        <v>500147</v>
      </c>
      <c r="C851" s="58" t="s">
        <v>588</v>
      </c>
      <c r="D851" s="58" t="s">
        <v>596</v>
      </c>
    </row>
    <row r="852" spans="1:4">
      <c r="A852" s="58" t="s">
        <v>1884</v>
      </c>
      <c r="B852" s="58">
        <v>517330</v>
      </c>
      <c r="C852" s="58" t="s">
        <v>1885</v>
      </c>
      <c r="D852" s="58" t="s">
        <v>886</v>
      </c>
    </row>
    <row r="853" spans="1:4">
      <c r="A853" s="58" t="s">
        <v>1886</v>
      </c>
      <c r="B853" s="58" t="s">
        <v>588</v>
      </c>
      <c r="C853" s="58" t="s">
        <v>1887</v>
      </c>
      <c r="D853" s="58" t="s">
        <v>599</v>
      </c>
    </row>
    <row r="854" spans="1:4">
      <c r="A854" s="58" t="s">
        <v>1888</v>
      </c>
      <c r="B854" s="58">
        <v>512018</v>
      </c>
      <c r="C854" s="58" t="s">
        <v>588</v>
      </c>
      <c r="D854" s="58" t="s">
        <v>594</v>
      </c>
    </row>
    <row r="855" spans="1:4">
      <c r="A855" s="58" t="s">
        <v>1889</v>
      </c>
      <c r="B855" s="58">
        <v>533278</v>
      </c>
      <c r="C855" s="58" t="s">
        <v>1890</v>
      </c>
      <c r="D855" s="58" t="s">
        <v>1265</v>
      </c>
    </row>
    <row r="856" spans="1:4">
      <c r="A856" s="58" t="s">
        <v>1891</v>
      </c>
      <c r="B856" s="58">
        <v>533278</v>
      </c>
      <c r="C856" s="58" t="s">
        <v>1892</v>
      </c>
      <c r="D856" s="58" t="s">
        <v>1265</v>
      </c>
    </row>
    <row r="857" spans="1:4">
      <c r="A857" s="58" t="s">
        <v>1893</v>
      </c>
      <c r="B857" s="58">
        <v>501831</v>
      </c>
      <c r="C857" s="58" t="s">
        <v>588</v>
      </c>
      <c r="D857" s="58" t="s">
        <v>648</v>
      </c>
    </row>
    <row r="858" spans="1:4">
      <c r="A858" s="58" t="s">
        <v>1894</v>
      </c>
      <c r="B858" s="58">
        <v>520131</v>
      </c>
      <c r="C858" s="58" t="s">
        <v>588</v>
      </c>
      <c r="D858" s="58" t="s">
        <v>660</v>
      </c>
    </row>
    <row r="859" spans="1:4">
      <c r="A859" s="58" t="s">
        <v>1895</v>
      </c>
      <c r="B859" s="58">
        <v>508571</v>
      </c>
      <c r="C859" s="58" t="s">
        <v>588</v>
      </c>
      <c r="D859" s="58" t="s">
        <v>1068</v>
      </c>
    </row>
    <row r="860" spans="1:4">
      <c r="A860" s="58" t="s">
        <v>1896</v>
      </c>
      <c r="B860" s="58">
        <v>513353</v>
      </c>
      <c r="C860" s="58" t="s">
        <v>588</v>
      </c>
      <c r="D860" s="58" t="s">
        <v>748</v>
      </c>
    </row>
    <row r="861" spans="1:4">
      <c r="A861" s="58" t="s">
        <v>1897</v>
      </c>
      <c r="B861" s="58">
        <v>540678</v>
      </c>
      <c r="C861" s="58" t="s">
        <v>1898</v>
      </c>
      <c r="D861" s="58" t="s">
        <v>1833</v>
      </c>
    </row>
    <row r="862" spans="1:4">
      <c r="A862" s="58" t="s">
        <v>1899</v>
      </c>
      <c r="B862" s="58">
        <v>539436</v>
      </c>
      <c r="C862" s="58" t="s">
        <v>1900</v>
      </c>
      <c r="D862" s="58" t="s">
        <v>1077</v>
      </c>
    </row>
    <row r="863" spans="1:4">
      <c r="A863" s="58" t="s">
        <v>1901</v>
      </c>
      <c r="B863" s="58">
        <v>500830</v>
      </c>
      <c r="C863" s="58" t="s">
        <v>1902</v>
      </c>
      <c r="D863" s="58" t="s">
        <v>770</v>
      </c>
    </row>
    <row r="864" spans="1:4">
      <c r="A864" s="58" t="s">
        <v>1903</v>
      </c>
      <c r="B864" s="58">
        <v>500830</v>
      </c>
      <c r="C864" s="58" t="s">
        <v>1902</v>
      </c>
      <c r="D864" s="58" t="s">
        <v>770</v>
      </c>
    </row>
    <row r="865" spans="1:4">
      <c r="A865" s="58" t="s">
        <v>1904</v>
      </c>
      <c r="B865" s="58">
        <v>531210</v>
      </c>
      <c r="C865" s="58" t="s">
        <v>588</v>
      </c>
      <c r="D865" s="58" t="s">
        <v>626</v>
      </c>
    </row>
    <row r="866" spans="1:4">
      <c r="A866" s="58" t="s">
        <v>1905</v>
      </c>
      <c r="B866" s="58">
        <v>540023</v>
      </c>
      <c r="C866" s="58" t="s">
        <v>588</v>
      </c>
      <c r="D866" s="58" t="s">
        <v>1325</v>
      </c>
    </row>
    <row r="867" spans="1:4">
      <c r="A867" s="58" t="s">
        <v>1906</v>
      </c>
      <c r="B867" s="58">
        <v>524752</v>
      </c>
      <c r="C867" s="58" t="s">
        <v>588</v>
      </c>
      <c r="D867" s="58" t="s">
        <v>626</v>
      </c>
    </row>
    <row r="868" spans="1:4">
      <c r="A868" s="58" t="s">
        <v>1907</v>
      </c>
      <c r="B868" s="58">
        <v>534691</v>
      </c>
      <c r="C868" s="58" t="s">
        <v>588</v>
      </c>
      <c r="D868" s="58" t="s">
        <v>571</v>
      </c>
    </row>
    <row r="869" spans="1:4">
      <c r="A869" s="58" t="s">
        <v>1908</v>
      </c>
      <c r="B869" s="58">
        <v>535267</v>
      </c>
      <c r="C869" s="58" t="s">
        <v>588</v>
      </c>
      <c r="D869" s="58" t="s">
        <v>605</v>
      </c>
    </row>
    <row r="870" spans="1:4">
      <c r="A870" s="58" t="s">
        <v>1909</v>
      </c>
      <c r="B870" s="58">
        <v>531216</v>
      </c>
      <c r="C870" s="58" t="s">
        <v>588</v>
      </c>
      <c r="D870" s="58" t="s">
        <v>605</v>
      </c>
    </row>
    <row r="871" spans="1:4">
      <c r="A871" s="58" t="s">
        <v>1910</v>
      </c>
      <c r="B871" s="58">
        <v>533272</v>
      </c>
      <c r="C871" s="58" t="s">
        <v>1911</v>
      </c>
      <c r="D871" s="58" t="s">
        <v>666</v>
      </c>
    </row>
    <row r="872" spans="1:4">
      <c r="A872" s="58" t="s">
        <v>1912</v>
      </c>
      <c r="B872" s="58">
        <v>539986</v>
      </c>
      <c r="C872" s="58" t="s">
        <v>588</v>
      </c>
      <c r="D872" s="58" t="s">
        <v>783</v>
      </c>
    </row>
    <row r="873" spans="1:4">
      <c r="A873" s="58" t="s">
        <v>1913</v>
      </c>
      <c r="B873" s="58">
        <v>532342</v>
      </c>
      <c r="C873" s="58" t="s">
        <v>588</v>
      </c>
      <c r="D873" s="58" t="s">
        <v>574</v>
      </c>
    </row>
    <row r="874" spans="1:4">
      <c r="A874" s="58" t="s">
        <v>1914</v>
      </c>
      <c r="B874" s="58">
        <v>531041</v>
      </c>
      <c r="C874" s="58" t="s">
        <v>588</v>
      </c>
      <c r="D874" s="58" t="s">
        <v>610</v>
      </c>
    </row>
    <row r="875" spans="1:4">
      <c r="A875" s="58" t="s">
        <v>1915</v>
      </c>
      <c r="B875" s="58">
        <v>532456</v>
      </c>
      <c r="C875" s="58" t="s">
        <v>1916</v>
      </c>
      <c r="D875" s="58" t="s">
        <v>685</v>
      </c>
    </row>
    <row r="876" spans="1:4">
      <c r="A876" s="58" t="s">
        <v>1917</v>
      </c>
      <c r="B876" s="58">
        <v>532339</v>
      </c>
      <c r="C876" s="58" t="s">
        <v>1918</v>
      </c>
      <c r="D876" s="58" t="s">
        <v>1073</v>
      </c>
    </row>
    <row r="877" spans="1:4">
      <c r="A877" s="58" t="s">
        <v>1919</v>
      </c>
      <c r="B877" s="58">
        <v>507833</v>
      </c>
      <c r="C877" s="58" t="s">
        <v>588</v>
      </c>
      <c r="D877" s="58" t="s">
        <v>913</v>
      </c>
    </row>
    <row r="878" spans="1:4">
      <c r="A878" s="58" t="s">
        <v>1920</v>
      </c>
      <c r="B878" s="58">
        <v>522231</v>
      </c>
      <c r="C878" s="58" t="s">
        <v>588</v>
      </c>
      <c r="D878" s="58" t="s">
        <v>986</v>
      </c>
    </row>
    <row r="879" spans="1:4">
      <c r="A879" s="58" t="s">
        <v>1921</v>
      </c>
      <c r="B879" s="58">
        <v>538965</v>
      </c>
      <c r="C879" s="58" t="s">
        <v>588</v>
      </c>
      <c r="D879" s="58" t="s">
        <v>626</v>
      </c>
    </row>
    <row r="880" spans="1:4">
      <c r="A880" s="58" t="s">
        <v>1922</v>
      </c>
      <c r="B880" s="58">
        <v>539266</v>
      </c>
      <c r="C880" s="58" t="s">
        <v>588</v>
      </c>
      <c r="D880" s="58" t="s">
        <v>608</v>
      </c>
    </row>
    <row r="881" spans="1:4">
      <c r="A881" s="58" t="s">
        <v>1923</v>
      </c>
      <c r="B881" s="58">
        <v>504340</v>
      </c>
      <c r="C881" s="58" t="s">
        <v>588</v>
      </c>
      <c r="D881" s="58" t="s">
        <v>571</v>
      </c>
    </row>
    <row r="882" spans="1:4">
      <c r="A882" s="58" t="s">
        <v>1924</v>
      </c>
      <c r="B882" s="58">
        <v>539991</v>
      </c>
      <c r="C882" s="58" t="s">
        <v>1925</v>
      </c>
      <c r="D882" s="58" t="s">
        <v>954</v>
      </c>
    </row>
    <row r="883" spans="1:4">
      <c r="A883" s="58" t="s">
        <v>1926</v>
      </c>
      <c r="B883" s="58">
        <v>526829</v>
      </c>
      <c r="C883" s="58" t="s">
        <v>588</v>
      </c>
      <c r="D883" s="58" t="s">
        <v>798</v>
      </c>
    </row>
    <row r="884" spans="1:4">
      <c r="A884" s="58" t="s">
        <v>1927</v>
      </c>
      <c r="B884" s="58">
        <v>526829</v>
      </c>
      <c r="C884" s="58" t="s">
        <v>1928</v>
      </c>
      <c r="D884" s="58" t="s">
        <v>798</v>
      </c>
    </row>
    <row r="885" spans="1:4">
      <c r="A885" s="58" t="s">
        <v>1929</v>
      </c>
      <c r="B885" s="58">
        <v>526829</v>
      </c>
      <c r="C885" s="58" t="s">
        <v>588</v>
      </c>
      <c r="D885" s="58" t="s">
        <v>798</v>
      </c>
    </row>
    <row r="886" spans="1:4">
      <c r="A886" s="58" t="s">
        <v>1930</v>
      </c>
      <c r="B886" s="58">
        <v>539091</v>
      </c>
      <c r="C886" s="58" t="s">
        <v>588</v>
      </c>
      <c r="D886" s="58" t="s">
        <v>608</v>
      </c>
    </row>
    <row r="887" spans="1:4">
      <c r="A887" s="58" t="s">
        <v>1931</v>
      </c>
      <c r="B887" s="58">
        <v>532902</v>
      </c>
      <c r="C887" s="58" t="s">
        <v>1932</v>
      </c>
      <c r="D887" s="58" t="s">
        <v>674</v>
      </c>
    </row>
    <row r="888" spans="1:4">
      <c r="A888" s="58" t="s">
        <v>1933</v>
      </c>
      <c r="B888" s="58" t="s">
        <v>588</v>
      </c>
      <c r="C888" s="58" t="s">
        <v>1934</v>
      </c>
      <c r="D888" s="58" t="s">
        <v>679</v>
      </c>
    </row>
    <row r="889" spans="1:4">
      <c r="A889" s="58" t="s">
        <v>1935</v>
      </c>
      <c r="B889" s="58">
        <v>531344</v>
      </c>
      <c r="C889" s="58" t="s">
        <v>1936</v>
      </c>
      <c r="D889" s="58" t="s">
        <v>711</v>
      </c>
    </row>
    <row r="890" spans="1:4">
      <c r="A890" s="58" t="s">
        <v>1937</v>
      </c>
      <c r="B890" s="58">
        <v>531344</v>
      </c>
      <c r="C890" s="58" t="s">
        <v>1936</v>
      </c>
      <c r="D890" s="58" t="s">
        <v>711</v>
      </c>
    </row>
    <row r="891" spans="1:4">
      <c r="A891" s="58" t="s">
        <v>1938</v>
      </c>
      <c r="B891" s="58">
        <v>540597</v>
      </c>
      <c r="C891" s="58" t="s">
        <v>588</v>
      </c>
      <c r="D891" s="58" t="s">
        <v>909</v>
      </c>
    </row>
    <row r="892" spans="1:4">
      <c r="A892" s="58" t="s">
        <v>1939</v>
      </c>
      <c r="B892" s="58">
        <v>531067</v>
      </c>
      <c r="C892" s="58" t="s">
        <v>588</v>
      </c>
      <c r="D892" s="58" t="s">
        <v>605</v>
      </c>
    </row>
    <row r="893" spans="1:4">
      <c r="A893" s="58" t="s">
        <v>1940</v>
      </c>
      <c r="B893" s="58">
        <v>531067</v>
      </c>
      <c r="C893" s="58" t="s">
        <v>588</v>
      </c>
      <c r="D893" s="58" t="s">
        <v>605</v>
      </c>
    </row>
    <row r="894" spans="1:4">
      <c r="A894" s="58" t="s">
        <v>1941</v>
      </c>
      <c r="B894" s="58">
        <v>506935</v>
      </c>
      <c r="C894" s="58" t="s">
        <v>588</v>
      </c>
      <c r="D894" s="58" t="s">
        <v>681</v>
      </c>
    </row>
    <row r="895" spans="1:4">
      <c r="A895" s="58" t="s">
        <v>1942</v>
      </c>
      <c r="B895" s="58">
        <v>531460</v>
      </c>
      <c r="C895" s="58" t="s">
        <v>588</v>
      </c>
      <c r="D895" s="58" t="s">
        <v>886</v>
      </c>
    </row>
    <row r="896" spans="1:4">
      <c r="A896" s="58" t="s">
        <v>1943</v>
      </c>
      <c r="B896" s="58">
        <v>523232</v>
      </c>
      <c r="C896" s="58" t="s">
        <v>588</v>
      </c>
      <c r="D896" s="58" t="s">
        <v>798</v>
      </c>
    </row>
    <row r="897" spans="1:4">
      <c r="A897" s="58" t="s">
        <v>1944</v>
      </c>
      <c r="B897" s="58">
        <v>538868</v>
      </c>
      <c r="C897" s="58" t="s">
        <v>588</v>
      </c>
      <c r="D897" s="58" t="s">
        <v>605</v>
      </c>
    </row>
    <row r="898" spans="1:4">
      <c r="A898" s="58" t="s">
        <v>1945</v>
      </c>
      <c r="B898" s="58" t="s">
        <v>588</v>
      </c>
      <c r="C898" s="58" t="s">
        <v>1946</v>
      </c>
      <c r="D898" s="58" t="s">
        <v>599</v>
      </c>
    </row>
    <row r="899" spans="1:4">
      <c r="A899" s="58" t="s">
        <v>1947</v>
      </c>
      <c r="B899" s="58">
        <v>522295</v>
      </c>
      <c r="C899" s="58" t="s">
        <v>1948</v>
      </c>
      <c r="D899" s="58" t="s">
        <v>783</v>
      </c>
    </row>
    <row r="900" spans="1:4">
      <c r="A900" s="58" t="s">
        <v>1949</v>
      </c>
      <c r="B900" s="58">
        <v>531556</v>
      </c>
      <c r="C900" s="58" t="s">
        <v>1950</v>
      </c>
      <c r="D900" s="58" t="s">
        <v>646</v>
      </c>
    </row>
    <row r="901" spans="1:4">
      <c r="A901" s="58" t="s">
        <v>1951</v>
      </c>
      <c r="B901" s="58">
        <v>524506</v>
      </c>
      <c r="C901" s="58" t="s">
        <v>588</v>
      </c>
      <c r="D901" s="58" t="s">
        <v>626</v>
      </c>
    </row>
    <row r="902" spans="1:4">
      <c r="A902" s="58" t="s">
        <v>1952</v>
      </c>
      <c r="B902" s="58">
        <v>530755</v>
      </c>
      <c r="C902" s="58" t="s">
        <v>1953</v>
      </c>
      <c r="D902" s="58" t="s">
        <v>1954</v>
      </c>
    </row>
    <row r="903" spans="1:4">
      <c r="A903" s="58" t="s">
        <v>1955</v>
      </c>
      <c r="B903" s="58">
        <v>532941</v>
      </c>
      <c r="C903" s="58" t="s">
        <v>1956</v>
      </c>
      <c r="D903" s="58" t="s">
        <v>886</v>
      </c>
    </row>
    <row r="904" spans="1:4">
      <c r="A904" s="58" t="s">
        <v>1957</v>
      </c>
      <c r="B904" s="58">
        <v>507543</v>
      </c>
      <c r="C904" s="58" t="s">
        <v>588</v>
      </c>
      <c r="D904" s="58" t="s">
        <v>837</v>
      </c>
    </row>
    <row r="905" spans="1:4">
      <c r="A905" s="58" t="s">
        <v>1958</v>
      </c>
      <c r="B905" s="58">
        <v>533167</v>
      </c>
      <c r="C905" s="58" t="s">
        <v>588</v>
      </c>
      <c r="D905" s="58" t="s">
        <v>986</v>
      </c>
    </row>
    <row r="906" spans="1:4">
      <c r="A906" s="58" t="s">
        <v>1959</v>
      </c>
      <c r="B906" s="58">
        <v>506395</v>
      </c>
      <c r="C906" s="58" t="s">
        <v>1960</v>
      </c>
      <c r="D906" s="58" t="s">
        <v>1096</v>
      </c>
    </row>
    <row r="907" spans="1:4">
      <c r="A907" s="58" t="s">
        <v>1961</v>
      </c>
      <c r="B907" s="58">
        <v>526737</v>
      </c>
      <c r="C907" s="58" t="s">
        <v>588</v>
      </c>
      <c r="D907" s="58" t="s">
        <v>909</v>
      </c>
    </row>
    <row r="908" spans="1:4">
      <c r="A908" s="58" t="s">
        <v>1962</v>
      </c>
      <c r="B908" s="58">
        <v>540199</v>
      </c>
      <c r="C908" s="58" t="s">
        <v>588</v>
      </c>
      <c r="D908" s="58" t="s">
        <v>571</v>
      </c>
    </row>
    <row r="909" spans="1:4">
      <c r="A909" s="58" t="s">
        <v>1963</v>
      </c>
      <c r="B909" s="58">
        <v>532179</v>
      </c>
      <c r="C909" s="58" t="s">
        <v>1964</v>
      </c>
      <c r="D909" s="58" t="s">
        <v>906</v>
      </c>
    </row>
    <row r="910" spans="1:4">
      <c r="A910" s="58" t="s">
        <v>1965</v>
      </c>
      <c r="B910" s="58">
        <v>530859</v>
      </c>
      <c r="C910" s="58" t="s">
        <v>588</v>
      </c>
      <c r="D910" s="58" t="s">
        <v>582</v>
      </c>
    </row>
    <row r="911" spans="1:4">
      <c r="A911" s="58" t="s">
        <v>1966</v>
      </c>
      <c r="B911" s="58">
        <v>530545</v>
      </c>
      <c r="C911" s="58" t="s">
        <v>588</v>
      </c>
      <c r="D911" s="58" t="s">
        <v>577</v>
      </c>
    </row>
    <row r="912" spans="1:4">
      <c r="A912" s="58" t="s">
        <v>1967</v>
      </c>
      <c r="B912" s="58">
        <v>530545</v>
      </c>
      <c r="C912" s="58" t="s">
        <v>588</v>
      </c>
      <c r="D912" s="58" t="s">
        <v>577</v>
      </c>
    </row>
    <row r="913" spans="1:4">
      <c r="A913" s="58" t="s">
        <v>1968</v>
      </c>
      <c r="B913" s="58">
        <v>523100</v>
      </c>
      <c r="C913" s="58" t="s">
        <v>588</v>
      </c>
      <c r="D913" s="58" t="s">
        <v>620</v>
      </c>
    </row>
    <row r="914" spans="1:4">
      <c r="A914" s="58" t="s">
        <v>1969</v>
      </c>
      <c r="B914" s="58">
        <v>508814</v>
      </c>
      <c r="C914" s="58" t="s">
        <v>1970</v>
      </c>
      <c r="D914" s="58" t="s">
        <v>636</v>
      </c>
    </row>
    <row r="915" spans="1:4">
      <c r="A915" s="58" t="s">
        <v>1971</v>
      </c>
      <c r="B915" s="58">
        <v>538922</v>
      </c>
      <c r="C915" s="58" t="s">
        <v>588</v>
      </c>
      <c r="D915" s="58" t="s">
        <v>681</v>
      </c>
    </row>
    <row r="916" spans="1:4">
      <c r="A916" s="58" t="s">
        <v>1972</v>
      </c>
      <c r="B916" s="58">
        <v>526550</v>
      </c>
      <c r="C916" s="58" t="s">
        <v>1973</v>
      </c>
      <c r="D916" s="58" t="s">
        <v>789</v>
      </c>
    </row>
    <row r="917" spans="1:4">
      <c r="A917" s="58" t="s">
        <v>1974</v>
      </c>
      <c r="B917" s="58">
        <v>531624</v>
      </c>
      <c r="C917" s="58" t="s">
        <v>1975</v>
      </c>
      <c r="D917" s="58" t="s">
        <v>674</v>
      </c>
    </row>
    <row r="918" spans="1:4">
      <c r="A918" s="58" t="s">
        <v>1976</v>
      </c>
      <c r="B918" s="58">
        <v>523415</v>
      </c>
      <c r="C918" s="58" t="s">
        <v>588</v>
      </c>
      <c r="D918" s="58" t="s">
        <v>620</v>
      </c>
    </row>
    <row r="919" spans="1:4">
      <c r="A919" s="58" t="s">
        <v>1977</v>
      </c>
      <c r="B919" s="58">
        <v>534920</v>
      </c>
      <c r="C919" s="58" t="s">
        <v>588</v>
      </c>
      <c r="D919" s="58" t="s">
        <v>574</v>
      </c>
    </row>
    <row r="920" spans="1:4">
      <c r="A920" s="58" t="s">
        <v>1978</v>
      </c>
      <c r="B920" s="58">
        <v>533144</v>
      </c>
      <c r="C920" s="58" t="s">
        <v>1979</v>
      </c>
      <c r="D920" s="58" t="s">
        <v>1589</v>
      </c>
    </row>
    <row r="921" spans="1:4">
      <c r="A921" s="58" t="s">
        <v>1980</v>
      </c>
      <c r="B921" s="58">
        <v>542641</v>
      </c>
      <c r="C921" s="58" t="s">
        <v>1981</v>
      </c>
      <c r="D921" s="58" t="s">
        <v>605</v>
      </c>
    </row>
    <row r="922" spans="1:4">
      <c r="A922" s="58" t="s">
        <v>1982</v>
      </c>
      <c r="B922" s="58">
        <v>538770</v>
      </c>
      <c r="C922" s="58" t="s">
        <v>588</v>
      </c>
      <c r="D922" s="58" t="s">
        <v>674</v>
      </c>
    </row>
    <row r="923" spans="1:4">
      <c r="A923" s="58" t="s">
        <v>1983</v>
      </c>
      <c r="B923" s="58">
        <v>512093</v>
      </c>
      <c r="C923" s="58" t="s">
        <v>588</v>
      </c>
      <c r="D923" s="58" t="s">
        <v>681</v>
      </c>
    </row>
    <row r="924" spans="1:4">
      <c r="A924" s="58" t="s">
        <v>1984</v>
      </c>
      <c r="B924" s="58">
        <v>522001</v>
      </c>
      <c r="C924" s="58" t="s">
        <v>588</v>
      </c>
      <c r="D924" s="58" t="s">
        <v>666</v>
      </c>
    </row>
    <row r="925" spans="1:4">
      <c r="A925" s="58" t="s">
        <v>1985</v>
      </c>
      <c r="B925" s="58">
        <v>509472</v>
      </c>
      <c r="C925" s="58" t="s">
        <v>588</v>
      </c>
      <c r="D925" s="58" t="s">
        <v>610</v>
      </c>
    </row>
    <row r="926" spans="1:4">
      <c r="A926" s="58" t="s">
        <v>1986</v>
      </c>
      <c r="B926" s="58">
        <v>524388</v>
      </c>
      <c r="C926" s="58" t="s">
        <v>588</v>
      </c>
      <c r="D926" s="58" t="s">
        <v>913</v>
      </c>
    </row>
    <row r="927" spans="1:4">
      <c r="A927" s="58" t="s">
        <v>1987</v>
      </c>
      <c r="B927" s="58">
        <v>539527</v>
      </c>
      <c r="C927" s="58" t="s">
        <v>588</v>
      </c>
      <c r="D927" s="58" t="s">
        <v>1506</v>
      </c>
    </row>
    <row r="928" spans="1:4">
      <c r="A928" s="58" t="s">
        <v>1988</v>
      </c>
      <c r="B928" s="58">
        <v>532392</v>
      </c>
      <c r="C928" s="58" t="s">
        <v>1989</v>
      </c>
      <c r="D928" s="58" t="s">
        <v>591</v>
      </c>
    </row>
    <row r="929" spans="1:4">
      <c r="A929" s="58" t="s">
        <v>1990</v>
      </c>
      <c r="B929" s="58" t="s">
        <v>588</v>
      </c>
      <c r="C929" s="58" t="s">
        <v>1991</v>
      </c>
      <c r="D929" s="58" t="s">
        <v>599</v>
      </c>
    </row>
    <row r="930" spans="1:4">
      <c r="A930" s="58" t="s">
        <v>1992</v>
      </c>
      <c r="B930" s="58">
        <v>541770</v>
      </c>
      <c r="C930" s="58" t="s">
        <v>1993</v>
      </c>
      <c r="D930" s="58" t="s">
        <v>605</v>
      </c>
    </row>
    <row r="931" spans="1:4">
      <c r="A931" s="58" t="s">
        <v>1994</v>
      </c>
      <c r="B931" s="58">
        <v>539131</v>
      </c>
      <c r="C931" s="58" t="s">
        <v>588</v>
      </c>
      <c r="D931" s="58" t="s">
        <v>608</v>
      </c>
    </row>
    <row r="932" spans="1:4">
      <c r="A932" s="58" t="s">
        <v>1995</v>
      </c>
      <c r="B932" s="58">
        <v>512379</v>
      </c>
      <c r="C932" s="58" t="s">
        <v>588</v>
      </c>
      <c r="D932" s="58" t="s">
        <v>681</v>
      </c>
    </row>
    <row r="933" spans="1:4">
      <c r="A933" s="58" t="s">
        <v>1996</v>
      </c>
      <c r="B933" s="58">
        <v>511413</v>
      </c>
      <c r="C933" s="58" t="s">
        <v>1997</v>
      </c>
      <c r="D933" s="58" t="s">
        <v>605</v>
      </c>
    </row>
    <row r="934" spans="1:4">
      <c r="A934" s="58" t="s">
        <v>1998</v>
      </c>
      <c r="B934" s="58">
        <v>526269</v>
      </c>
      <c r="C934" s="58" t="s">
        <v>588</v>
      </c>
      <c r="D934" s="58" t="s">
        <v>748</v>
      </c>
    </row>
    <row r="935" spans="1:4">
      <c r="A935" s="58" t="s">
        <v>1999</v>
      </c>
      <c r="B935" s="58">
        <v>526977</v>
      </c>
      <c r="C935" s="58" t="s">
        <v>588</v>
      </c>
      <c r="D935" s="58" t="s">
        <v>911</v>
      </c>
    </row>
    <row r="936" spans="1:4">
      <c r="A936" s="58" t="s">
        <v>2000</v>
      </c>
      <c r="B936" s="58">
        <v>500092</v>
      </c>
      <c r="C936" s="58" t="s">
        <v>2001</v>
      </c>
      <c r="D936" s="58" t="s">
        <v>571</v>
      </c>
    </row>
    <row r="937" spans="1:4">
      <c r="A937" s="58" t="s">
        <v>2002</v>
      </c>
      <c r="B937" s="58">
        <v>539876</v>
      </c>
      <c r="C937" s="58" t="s">
        <v>2003</v>
      </c>
      <c r="D937" s="58" t="s">
        <v>1351</v>
      </c>
    </row>
    <row r="938" spans="1:4">
      <c r="A938" s="58" t="s">
        <v>2004</v>
      </c>
      <c r="B938" s="58" t="s">
        <v>588</v>
      </c>
      <c r="C938" s="58" t="s">
        <v>2005</v>
      </c>
      <c r="D938" s="58" t="s">
        <v>599</v>
      </c>
    </row>
    <row r="939" spans="1:4">
      <c r="A939" s="58" t="s">
        <v>2006</v>
      </c>
      <c r="B939" s="58">
        <v>538521</v>
      </c>
      <c r="C939" s="58" t="s">
        <v>588</v>
      </c>
      <c r="D939" s="58" t="s">
        <v>1589</v>
      </c>
    </row>
    <row r="940" spans="1:4">
      <c r="A940" s="58" t="s">
        <v>2007</v>
      </c>
      <c r="B940" s="58">
        <v>540903</v>
      </c>
      <c r="C940" s="58" t="s">
        <v>588</v>
      </c>
      <c r="D940" s="58" t="s">
        <v>672</v>
      </c>
    </row>
    <row r="941" spans="1:4">
      <c r="A941" s="58" t="s">
        <v>2008</v>
      </c>
      <c r="B941" s="58">
        <v>530067</v>
      </c>
      <c r="C941" s="58" t="s">
        <v>588</v>
      </c>
      <c r="D941" s="58" t="s">
        <v>605</v>
      </c>
    </row>
    <row r="942" spans="1:4">
      <c r="A942" s="58" t="s">
        <v>2009</v>
      </c>
      <c r="B942" s="58">
        <v>526027</v>
      </c>
      <c r="C942" s="58" t="s">
        <v>2010</v>
      </c>
      <c r="D942" s="58" t="s">
        <v>662</v>
      </c>
    </row>
    <row r="943" spans="1:4">
      <c r="A943" s="58" t="s">
        <v>2011</v>
      </c>
      <c r="B943" s="58">
        <v>511710</v>
      </c>
      <c r="C943" s="58" t="s">
        <v>588</v>
      </c>
      <c r="D943" s="58" t="s">
        <v>605</v>
      </c>
    </row>
    <row r="944" spans="1:4">
      <c r="A944" s="58" t="s">
        <v>2012</v>
      </c>
      <c r="B944" s="58">
        <v>500480</v>
      </c>
      <c r="C944" s="58" t="s">
        <v>2013</v>
      </c>
      <c r="D944" s="58" t="s">
        <v>596</v>
      </c>
    </row>
    <row r="945" spans="1:4">
      <c r="A945" s="58" t="s">
        <v>2014</v>
      </c>
      <c r="B945" s="58">
        <v>500480</v>
      </c>
      <c r="C945" s="58" t="s">
        <v>2013</v>
      </c>
      <c r="D945" s="58" t="s">
        <v>596</v>
      </c>
    </row>
    <row r="946" spans="1:4">
      <c r="A946" s="58" t="s">
        <v>2015</v>
      </c>
      <c r="B946" s="58">
        <v>530843</v>
      </c>
      <c r="C946" s="58" t="s">
        <v>2016</v>
      </c>
      <c r="D946" s="58" t="s">
        <v>770</v>
      </c>
    </row>
    <row r="947" spans="1:4">
      <c r="A947" s="58" t="s">
        <v>2017</v>
      </c>
      <c r="B947" s="58">
        <v>532332</v>
      </c>
      <c r="C947" s="58" t="s">
        <v>2018</v>
      </c>
      <c r="D947" s="58" t="s">
        <v>681</v>
      </c>
    </row>
    <row r="948" spans="1:4">
      <c r="A948" s="58" t="s">
        <v>2019</v>
      </c>
      <c r="B948" s="58">
        <v>531472</v>
      </c>
      <c r="C948" s="58" t="s">
        <v>588</v>
      </c>
      <c r="D948" s="58" t="s">
        <v>886</v>
      </c>
    </row>
    <row r="949" spans="1:4">
      <c r="A949" s="58" t="s">
        <v>2020</v>
      </c>
      <c r="B949" s="58">
        <v>532640</v>
      </c>
      <c r="C949" s="58" t="s">
        <v>2021</v>
      </c>
      <c r="D949" s="58" t="s">
        <v>1112</v>
      </c>
    </row>
    <row r="950" spans="1:4">
      <c r="A950" s="58" t="s">
        <v>2022</v>
      </c>
      <c r="B950" s="58">
        <v>532640</v>
      </c>
      <c r="C950" s="58" t="s">
        <v>2021</v>
      </c>
      <c r="D950" s="58" t="s">
        <v>1112</v>
      </c>
    </row>
    <row r="951" spans="1:4">
      <c r="A951" s="58" t="s">
        <v>2023</v>
      </c>
      <c r="B951" s="58">
        <v>532271</v>
      </c>
      <c r="C951" s="58" t="s">
        <v>588</v>
      </c>
      <c r="D951" s="58" t="s">
        <v>681</v>
      </c>
    </row>
    <row r="952" spans="1:4">
      <c r="A952" s="58" t="s">
        <v>2024</v>
      </c>
      <c r="B952" s="58">
        <v>532173</v>
      </c>
      <c r="C952" s="58" t="s">
        <v>2025</v>
      </c>
      <c r="D952" s="58" t="s">
        <v>681</v>
      </c>
    </row>
    <row r="953" spans="1:4">
      <c r="A953" s="58" t="s">
        <v>2026</v>
      </c>
      <c r="B953" s="58">
        <v>532175</v>
      </c>
      <c r="C953" s="58" t="s">
        <v>2027</v>
      </c>
      <c r="D953" s="58" t="s">
        <v>574</v>
      </c>
    </row>
    <row r="954" spans="1:4">
      <c r="A954" s="58" t="s">
        <v>2028</v>
      </c>
      <c r="B954" s="58">
        <v>533151</v>
      </c>
      <c r="C954" s="58" t="s">
        <v>2029</v>
      </c>
      <c r="D954" s="58" t="s">
        <v>1112</v>
      </c>
    </row>
    <row r="955" spans="1:4">
      <c r="A955" s="58" t="s">
        <v>2030</v>
      </c>
      <c r="B955" s="58">
        <v>533160</v>
      </c>
      <c r="C955" s="58" t="s">
        <v>2031</v>
      </c>
      <c r="D955" s="58" t="s">
        <v>674</v>
      </c>
    </row>
    <row r="956" spans="1:4">
      <c r="A956" s="58" t="s">
        <v>2032</v>
      </c>
      <c r="B956" s="58" t="s">
        <v>588</v>
      </c>
      <c r="C956" s="58" t="s">
        <v>2033</v>
      </c>
      <c r="D956" s="58" t="s">
        <v>599</v>
      </c>
    </row>
    <row r="957" spans="1:4">
      <c r="A957" s="58" t="s">
        <v>2034</v>
      </c>
      <c r="B957" s="58" t="s">
        <v>588</v>
      </c>
      <c r="C957" s="58" t="s">
        <v>2035</v>
      </c>
      <c r="D957" s="58" t="s">
        <v>599</v>
      </c>
    </row>
    <row r="958" spans="1:4">
      <c r="A958" s="58" t="s">
        <v>2036</v>
      </c>
      <c r="B958" s="58">
        <v>517514</v>
      </c>
      <c r="C958" s="58" t="s">
        <v>588</v>
      </c>
      <c r="D958" s="58" t="s">
        <v>773</v>
      </c>
    </row>
    <row r="959" spans="1:4">
      <c r="A959" s="58" t="s">
        <v>2037</v>
      </c>
      <c r="B959" s="58">
        <v>517514</v>
      </c>
      <c r="C959" s="58" t="s">
        <v>588</v>
      </c>
      <c r="D959" s="58" t="s">
        <v>773</v>
      </c>
    </row>
    <row r="960" spans="1:4">
      <c r="A960" s="58" t="s">
        <v>2038</v>
      </c>
      <c r="B960" s="58">
        <v>500096</v>
      </c>
      <c r="C960" s="58" t="s">
        <v>2039</v>
      </c>
      <c r="D960" s="58" t="s">
        <v>770</v>
      </c>
    </row>
    <row r="961" spans="1:4">
      <c r="A961" s="58" t="s">
        <v>2040</v>
      </c>
      <c r="B961" s="58">
        <v>500096</v>
      </c>
      <c r="C961" s="58" t="s">
        <v>2039</v>
      </c>
      <c r="D961" s="58" t="s">
        <v>770</v>
      </c>
    </row>
    <row r="962" spans="1:4">
      <c r="A962" s="58" t="s">
        <v>2041</v>
      </c>
      <c r="B962" s="58">
        <v>526821</v>
      </c>
      <c r="C962" s="58" t="s">
        <v>588</v>
      </c>
      <c r="D962" s="58" t="s">
        <v>748</v>
      </c>
    </row>
    <row r="963" spans="1:4">
      <c r="A963" s="58" t="s">
        <v>2042</v>
      </c>
      <c r="B963" s="58">
        <v>530825</v>
      </c>
      <c r="C963" s="58" t="s">
        <v>588</v>
      </c>
      <c r="D963" s="58" t="s">
        <v>748</v>
      </c>
    </row>
    <row r="964" spans="1:4">
      <c r="A964" s="58" t="s">
        <v>2043</v>
      </c>
      <c r="B964" s="58">
        <v>530825</v>
      </c>
      <c r="C964" s="58" t="s">
        <v>588</v>
      </c>
      <c r="D964" s="58" t="s">
        <v>748</v>
      </c>
    </row>
    <row r="965" spans="1:4">
      <c r="A965" s="58" t="s">
        <v>2044</v>
      </c>
      <c r="B965" s="58">
        <v>501148</v>
      </c>
      <c r="C965" s="58" t="s">
        <v>588</v>
      </c>
      <c r="D965" s="58" t="s">
        <v>608</v>
      </c>
    </row>
    <row r="966" spans="1:4">
      <c r="A966" s="58" t="s">
        <v>2045</v>
      </c>
      <c r="B966" s="58">
        <v>542216</v>
      </c>
      <c r="C966" s="58" t="s">
        <v>2046</v>
      </c>
      <c r="D966" s="58" t="s">
        <v>2047</v>
      </c>
    </row>
    <row r="967" spans="1:4">
      <c r="A967" s="58" t="s">
        <v>2048</v>
      </c>
      <c r="B967" s="58">
        <v>500097</v>
      </c>
      <c r="C967" s="58" t="s">
        <v>2049</v>
      </c>
      <c r="D967" s="58" t="s">
        <v>1286</v>
      </c>
    </row>
    <row r="968" spans="1:4">
      <c r="A968" s="58" t="s">
        <v>2050</v>
      </c>
      <c r="B968" s="58">
        <v>539900</v>
      </c>
      <c r="C968" s="58" t="s">
        <v>588</v>
      </c>
      <c r="D968" s="58" t="s">
        <v>610</v>
      </c>
    </row>
    <row r="969" spans="1:4">
      <c r="A969" s="58" t="s">
        <v>2051</v>
      </c>
      <c r="B969" s="58">
        <v>521220</v>
      </c>
      <c r="C969" s="58" t="s">
        <v>2052</v>
      </c>
      <c r="D969" s="58" t="s">
        <v>603</v>
      </c>
    </row>
    <row r="970" spans="1:4">
      <c r="A970" s="58" t="s">
        <v>2053</v>
      </c>
      <c r="B970" s="58" t="s">
        <v>588</v>
      </c>
      <c r="C970" s="58" t="s">
        <v>2054</v>
      </c>
      <c r="D970" s="58" t="s">
        <v>599</v>
      </c>
    </row>
    <row r="971" spans="1:4">
      <c r="A971" s="58" t="s">
        <v>2055</v>
      </c>
      <c r="B971" s="58">
        <v>532329</v>
      </c>
      <c r="C971" s="58" t="s">
        <v>588</v>
      </c>
      <c r="D971" s="58" t="s">
        <v>681</v>
      </c>
    </row>
    <row r="972" spans="1:4">
      <c r="A972" s="58" t="s">
        <v>2056</v>
      </c>
      <c r="B972" s="58">
        <v>532329</v>
      </c>
      <c r="C972" s="58" t="s">
        <v>588</v>
      </c>
      <c r="D972" s="58" t="s">
        <v>681</v>
      </c>
    </row>
    <row r="973" spans="1:4">
      <c r="A973" s="58" t="s">
        <v>2057</v>
      </c>
      <c r="B973" s="58">
        <v>540361</v>
      </c>
      <c r="C973" s="58" t="s">
        <v>588</v>
      </c>
      <c r="D973" s="58" t="s">
        <v>610</v>
      </c>
    </row>
    <row r="974" spans="1:4">
      <c r="A974" s="58" t="s">
        <v>2058</v>
      </c>
      <c r="B974" s="58">
        <v>539770</v>
      </c>
      <c r="C974" s="58" t="s">
        <v>588</v>
      </c>
      <c r="D974" s="58" t="s">
        <v>571</v>
      </c>
    </row>
    <row r="975" spans="1:4">
      <c r="A975" s="58" t="s">
        <v>2059</v>
      </c>
      <c r="B975" s="58">
        <v>539884</v>
      </c>
      <c r="C975" s="58" t="s">
        <v>588</v>
      </c>
      <c r="D975" s="58" t="s">
        <v>702</v>
      </c>
    </row>
    <row r="976" spans="1:4">
      <c r="A976" s="58" t="s">
        <v>2060</v>
      </c>
      <c r="B976" s="58">
        <v>532528</v>
      </c>
      <c r="C976" s="58" t="s">
        <v>2061</v>
      </c>
      <c r="D976" s="58" t="s">
        <v>681</v>
      </c>
    </row>
    <row r="977" spans="1:4">
      <c r="A977" s="58" t="s">
        <v>2062</v>
      </c>
      <c r="B977" s="58">
        <v>530171</v>
      </c>
      <c r="C977" s="58" t="s">
        <v>588</v>
      </c>
      <c r="D977" s="58" t="s">
        <v>571</v>
      </c>
    </row>
    <row r="978" spans="1:4">
      <c r="A978" s="58" t="s">
        <v>2063</v>
      </c>
      <c r="B978" s="58">
        <v>530393</v>
      </c>
      <c r="C978" s="58" t="s">
        <v>2064</v>
      </c>
      <c r="D978" s="58" t="s">
        <v>571</v>
      </c>
    </row>
    <row r="979" spans="1:4">
      <c r="A979" s="58" t="s">
        <v>2065</v>
      </c>
      <c r="B979" s="58">
        <v>532772</v>
      </c>
      <c r="C979" s="58" t="s">
        <v>2066</v>
      </c>
      <c r="D979" s="58" t="s">
        <v>906</v>
      </c>
    </row>
    <row r="980" spans="1:4">
      <c r="A980" s="58" t="s">
        <v>2067</v>
      </c>
      <c r="B980" s="58">
        <v>511611</v>
      </c>
      <c r="C980" s="58" t="s">
        <v>2068</v>
      </c>
      <c r="D980" s="58" t="s">
        <v>605</v>
      </c>
    </row>
    <row r="981" spans="1:4">
      <c r="A981" s="58" t="s">
        <v>2069</v>
      </c>
      <c r="B981" s="58">
        <v>502820</v>
      </c>
      <c r="C981" s="58" t="s">
        <v>2070</v>
      </c>
      <c r="D981" s="58" t="s">
        <v>603</v>
      </c>
    </row>
    <row r="982" spans="1:4">
      <c r="A982" s="58" t="s">
        <v>2071</v>
      </c>
      <c r="B982" s="58">
        <v>523369</v>
      </c>
      <c r="C982" s="58" t="s">
        <v>588</v>
      </c>
      <c r="D982" s="58" t="s">
        <v>1286</v>
      </c>
    </row>
    <row r="983" spans="1:4">
      <c r="A983" s="58" t="s">
        <v>2072</v>
      </c>
      <c r="B983" s="58">
        <v>523367</v>
      </c>
      <c r="C983" s="58" t="s">
        <v>2073</v>
      </c>
      <c r="D983" s="58" t="s">
        <v>577</v>
      </c>
    </row>
    <row r="984" spans="1:4">
      <c r="A984" s="58" t="s">
        <v>2074</v>
      </c>
      <c r="B984" s="58">
        <v>500117</v>
      </c>
      <c r="C984" s="58" t="s">
        <v>2075</v>
      </c>
      <c r="D984" s="58" t="s">
        <v>802</v>
      </c>
    </row>
    <row r="985" spans="1:4">
      <c r="A985" s="58" t="s">
        <v>2076</v>
      </c>
      <c r="B985" s="58">
        <v>590031</v>
      </c>
      <c r="C985" s="58" t="s">
        <v>2077</v>
      </c>
      <c r="D985" s="58" t="s">
        <v>773</v>
      </c>
    </row>
    <row r="986" spans="1:4">
      <c r="A986" s="58" t="s">
        <v>2078</v>
      </c>
      <c r="B986" s="58">
        <v>590031</v>
      </c>
      <c r="C986" s="58" t="s">
        <v>2077</v>
      </c>
      <c r="D986" s="58" t="s">
        <v>773</v>
      </c>
    </row>
    <row r="987" spans="1:4">
      <c r="A987" s="58" t="s">
        <v>2079</v>
      </c>
      <c r="B987" s="58" t="s">
        <v>588</v>
      </c>
      <c r="C987" s="58" t="s">
        <v>2080</v>
      </c>
      <c r="D987" s="58" t="s">
        <v>599</v>
      </c>
    </row>
    <row r="988" spans="1:4">
      <c r="A988" s="58" t="s">
        <v>2081</v>
      </c>
      <c r="B988" s="58">
        <v>505703</v>
      </c>
      <c r="C988" s="58" t="s">
        <v>588</v>
      </c>
      <c r="D988" s="58" t="s">
        <v>596</v>
      </c>
    </row>
    <row r="989" spans="1:4">
      <c r="A989" s="58" t="s">
        <v>2082</v>
      </c>
      <c r="B989" s="58">
        <v>502137</v>
      </c>
      <c r="C989" s="58" t="s">
        <v>2083</v>
      </c>
      <c r="D989" s="58" t="s">
        <v>601</v>
      </c>
    </row>
    <row r="990" spans="1:4">
      <c r="A990" s="58" t="s">
        <v>2084</v>
      </c>
      <c r="B990" s="58">
        <v>512068</v>
      </c>
      <c r="C990" s="58" t="s">
        <v>588</v>
      </c>
      <c r="D990" s="58" t="s">
        <v>568</v>
      </c>
    </row>
    <row r="991" spans="1:4">
      <c r="A991" s="58" t="s">
        <v>2085</v>
      </c>
      <c r="B991" s="58">
        <v>542248</v>
      </c>
      <c r="C991" s="58" t="s">
        <v>2086</v>
      </c>
      <c r="D991" s="58" t="s">
        <v>777</v>
      </c>
    </row>
    <row r="992" spans="1:4">
      <c r="A992" s="58" t="s">
        <v>2087</v>
      </c>
      <c r="B992" s="58">
        <v>531989</v>
      </c>
      <c r="C992" s="58" t="s">
        <v>588</v>
      </c>
      <c r="D992" s="58" t="s">
        <v>783</v>
      </c>
    </row>
    <row r="993" spans="1:4">
      <c r="A993" s="58" t="s">
        <v>2088</v>
      </c>
      <c r="B993" s="58">
        <v>539190</v>
      </c>
      <c r="C993" s="58" t="s">
        <v>588</v>
      </c>
      <c r="D993" s="58" t="s">
        <v>605</v>
      </c>
    </row>
    <row r="994" spans="1:4">
      <c r="A994" s="58" t="s">
        <v>2089</v>
      </c>
      <c r="B994" s="58">
        <v>531227</v>
      </c>
      <c r="C994" s="58" t="s">
        <v>588</v>
      </c>
      <c r="D994" s="58" t="s">
        <v>636</v>
      </c>
    </row>
    <row r="995" spans="1:4">
      <c r="A995" s="58" t="s">
        <v>2090</v>
      </c>
      <c r="B995" s="58">
        <v>539405</v>
      </c>
      <c r="C995" s="58" t="s">
        <v>588</v>
      </c>
      <c r="D995" s="58" t="s">
        <v>702</v>
      </c>
    </row>
    <row r="996" spans="1:4">
      <c r="A996" s="58" t="s">
        <v>2091</v>
      </c>
      <c r="B996" s="58">
        <v>539559</v>
      </c>
      <c r="C996" s="58" t="s">
        <v>588</v>
      </c>
      <c r="D996" s="58" t="s">
        <v>702</v>
      </c>
    </row>
    <row r="997" spans="1:4">
      <c r="A997" s="58" t="s">
        <v>2092</v>
      </c>
      <c r="B997" s="58">
        <v>539559</v>
      </c>
      <c r="C997" s="58" t="s">
        <v>588</v>
      </c>
      <c r="D997" s="58" t="s">
        <v>702</v>
      </c>
    </row>
    <row r="998" spans="1:4">
      <c r="A998" s="58" t="s">
        <v>2093</v>
      </c>
      <c r="B998" s="58">
        <v>532760</v>
      </c>
      <c r="C998" s="58" t="s">
        <v>2094</v>
      </c>
      <c r="D998" s="58" t="s">
        <v>719</v>
      </c>
    </row>
    <row r="999" spans="1:4">
      <c r="A999" s="58" t="s">
        <v>2095</v>
      </c>
      <c r="B999" s="58">
        <v>541778</v>
      </c>
      <c r="C999" s="58" t="s">
        <v>588</v>
      </c>
      <c r="D999" s="58" t="s">
        <v>748</v>
      </c>
    </row>
    <row r="1000" spans="1:4">
      <c r="A1000" s="58" t="s">
        <v>2096</v>
      </c>
      <c r="B1000" s="58">
        <v>500645</v>
      </c>
      <c r="C1000" s="58" t="s">
        <v>2097</v>
      </c>
      <c r="D1000" s="58" t="s">
        <v>636</v>
      </c>
    </row>
    <row r="1001" spans="1:4">
      <c r="A1001" s="58" t="s">
        <v>2098</v>
      </c>
      <c r="B1001" s="58">
        <v>506401</v>
      </c>
      <c r="C1001" s="58" t="s">
        <v>2099</v>
      </c>
      <c r="D1001" s="58" t="s">
        <v>636</v>
      </c>
    </row>
    <row r="1002" spans="1:4">
      <c r="A1002" s="58" t="s">
        <v>2100</v>
      </c>
      <c r="B1002" s="58">
        <v>514030</v>
      </c>
      <c r="C1002" s="58" t="s">
        <v>588</v>
      </c>
      <c r="D1002" s="58" t="s">
        <v>603</v>
      </c>
    </row>
    <row r="1003" spans="1:4">
      <c r="A1003" s="58" t="s">
        <v>2101</v>
      </c>
      <c r="B1003" s="58">
        <v>539455</v>
      </c>
      <c r="C1003" s="58" t="s">
        <v>588</v>
      </c>
      <c r="D1003" s="58" t="s">
        <v>620</v>
      </c>
    </row>
    <row r="1004" spans="1:4">
      <c r="A1004" s="58" t="s">
        <v>2102</v>
      </c>
      <c r="B1004" s="58">
        <v>780006</v>
      </c>
      <c r="C1004" s="58" t="s">
        <v>588</v>
      </c>
      <c r="D1004" s="58" t="s">
        <v>679</v>
      </c>
    </row>
    <row r="1005" spans="1:4">
      <c r="A1005" s="58" t="s">
        <v>2103</v>
      </c>
      <c r="B1005" s="58">
        <v>532848</v>
      </c>
      <c r="C1005" s="58" t="s">
        <v>2104</v>
      </c>
      <c r="D1005" s="58" t="s">
        <v>1009</v>
      </c>
    </row>
    <row r="1006" spans="1:4">
      <c r="A1006" s="58" t="s">
        <v>2105</v>
      </c>
      <c r="B1006" s="58">
        <v>539596</v>
      </c>
      <c r="C1006" s="58" t="s">
        <v>588</v>
      </c>
      <c r="D1006" s="58" t="s">
        <v>571</v>
      </c>
    </row>
    <row r="1007" spans="1:4">
      <c r="A1007" s="58" t="s">
        <v>2106</v>
      </c>
      <c r="B1007" s="58">
        <v>504286</v>
      </c>
      <c r="C1007" s="58" t="s">
        <v>2107</v>
      </c>
      <c r="D1007" s="58" t="s">
        <v>886</v>
      </c>
    </row>
    <row r="1008" spans="1:4">
      <c r="A1008" s="58" t="s">
        <v>2108</v>
      </c>
      <c r="B1008" s="58">
        <v>504240</v>
      </c>
      <c r="C1008" s="58" t="s">
        <v>588</v>
      </c>
      <c r="D1008" s="58" t="s">
        <v>886</v>
      </c>
    </row>
    <row r="1009" spans="1:4">
      <c r="A1009" s="58" t="s">
        <v>2109</v>
      </c>
      <c r="B1009" s="58">
        <v>504256</v>
      </c>
      <c r="C1009" s="58" t="s">
        <v>588</v>
      </c>
      <c r="D1009" s="58" t="s">
        <v>1130</v>
      </c>
    </row>
    <row r="1010" spans="1:4">
      <c r="A1010" s="58" t="s">
        <v>2110</v>
      </c>
      <c r="B1010" s="58">
        <v>533137</v>
      </c>
      <c r="C1010" s="58" t="s">
        <v>2111</v>
      </c>
      <c r="D1010" s="58" t="s">
        <v>1325</v>
      </c>
    </row>
    <row r="1011" spans="1:4">
      <c r="A1011" s="58" t="s">
        <v>2112</v>
      </c>
      <c r="B1011" s="58">
        <v>532121</v>
      </c>
      <c r="C1011" s="58" t="s">
        <v>2113</v>
      </c>
      <c r="D1011" s="58" t="s">
        <v>906</v>
      </c>
    </row>
    <row r="1012" spans="1:4">
      <c r="A1012" s="58" t="s">
        <v>2114</v>
      </c>
      <c r="B1012" s="58">
        <v>537536</v>
      </c>
      <c r="C1012" s="58" t="s">
        <v>588</v>
      </c>
      <c r="D1012" s="58" t="s">
        <v>626</v>
      </c>
    </row>
    <row r="1013" spans="1:4">
      <c r="A1013" s="58" t="s">
        <v>2115</v>
      </c>
      <c r="B1013" s="58">
        <v>531521</v>
      </c>
      <c r="C1013" s="58" t="s">
        <v>588</v>
      </c>
      <c r="D1013" s="58" t="s">
        <v>626</v>
      </c>
    </row>
    <row r="1014" spans="1:4">
      <c r="A1014" s="58" t="s">
        <v>2116</v>
      </c>
      <c r="B1014" s="58" t="s">
        <v>588</v>
      </c>
      <c r="C1014" s="58" t="s">
        <v>2117</v>
      </c>
      <c r="D1014" s="58" t="s">
        <v>599</v>
      </c>
    </row>
    <row r="1015" spans="1:4">
      <c r="A1015" s="58" t="s">
        <v>2118</v>
      </c>
      <c r="B1015" s="58">
        <v>539197</v>
      </c>
      <c r="C1015" s="58" t="s">
        <v>588</v>
      </c>
      <c r="D1015" s="58" t="s">
        <v>610</v>
      </c>
    </row>
    <row r="1016" spans="1:4">
      <c r="A1016" s="58" t="s">
        <v>2119</v>
      </c>
      <c r="B1016" s="58">
        <v>539197</v>
      </c>
      <c r="C1016" s="58" t="s">
        <v>588</v>
      </c>
      <c r="D1016" s="58" t="s">
        <v>610</v>
      </c>
    </row>
    <row r="1017" spans="1:4">
      <c r="A1017" s="58" t="s">
        <v>2120</v>
      </c>
      <c r="B1017" s="58">
        <v>531585</v>
      </c>
      <c r="C1017" s="58" t="s">
        <v>588</v>
      </c>
      <c r="D1017" s="58" t="s">
        <v>610</v>
      </c>
    </row>
    <row r="1018" spans="1:4">
      <c r="A1018" s="58" t="s">
        <v>2121</v>
      </c>
      <c r="B1018" s="58">
        <v>512445</v>
      </c>
      <c r="C1018" s="58" t="s">
        <v>588</v>
      </c>
      <c r="D1018" s="58" t="s">
        <v>571</v>
      </c>
    </row>
    <row r="1019" spans="1:4">
      <c r="A1019" s="58" t="s">
        <v>2122</v>
      </c>
      <c r="B1019" s="58">
        <v>530765</v>
      </c>
      <c r="C1019" s="58" t="s">
        <v>588</v>
      </c>
      <c r="D1019" s="58" t="s">
        <v>605</v>
      </c>
    </row>
    <row r="1020" spans="1:4">
      <c r="A1020" s="58" t="s">
        <v>2123</v>
      </c>
      <c r="B1020" s="58">
        <v>542002</v>
      </c>
      <c r="C1020" s="58" t="s">
        <v>588</v>
      </c>
      <c r="D1020" s="58" t="s">
        <v>674</v>
      </c>
    </row>
    <row r="1021" spans="1:4">
      <c r="A1021" s="58" t="s">
        <v>2124</v>
      </c>
      <c r="B1021" s="58">
        <v>511072</v>
      </c>
      <c r="C1021" s="58" t="s">
        <v>2125</v>
      </c>
      <c r="D1021" s="58" t="s">
        <v>646</v>
      </c>
    </row>
    <row r="1022" spans="1:4">
      <c r="A1022" s="58" t="s">
        <v>2126</v>
      </c>
      <c r="B1022" s="58">
        <v>519588</v>
      </c>
      <c r="C1022" s="58" t="s">
        <v>2127</v>
      </c>
      <c r="D1022" s="58" t="s">
        <v>648</v>
      </c>
    </row>
    <row r="1023" spans="1:4">
      <c r="A1023" s="58" t="s">
        <v>2128</v>
      </c>
      <c r="B1023" s="58">
        <v>538715</v>
      </c>
      <c r="C1023" s="58" t="s">
        <v>588</v>
      </c>
      <c r="D1023" s="58" t="s">
        <v>708</v>
      </c>
    </row>
    <row r="1024" spans="1:4">
      <c r="A1024" s="58" t="s">
        <v>2129</v>
      </c>
      <c r="B1024" s="58">
        <v>500119</v>
      </c>
      <c r="C1024" s="58" t="s">
        <v>2130</v>
      </c>
      <c r="D1024" s="58" t="s">
        <v>1286</v>
      </c>
    </row>
    <row r="1025" spans="1:4">
      <c r="A1025" s="58" t="s">
        <v>2131</v>
      </c>
      <c r="B1025" s="58">
        <v>531923</v>
      </c>
      <c r="C1025" s="58" t="s">
        <v>588</v>
      </c>
      <c r="D1025" s="58" t="s">
        <v>1286</v>
      </c>
    </row>
    <row r="1026" spans="1:4">
      <c r="A1026" s="58" t="s">
        <v>2132</v>
      </c>
      <c r="B1026" s="58">
        <v>531198</v>
      </c>
      <c r="C1026" s="58" t="s">
        <v>588</v>
      </c>
      <c r="D1026" s="58" t="s">
        <v>789</v>
      </c>
    </row>
    <row r="1027" spans="1:4">
      <c r="A1027" s="58" t="s">
        <v>2133</v>
      </c>
      <c r="B1027" s="58">
        <v>521216</v>
      </c>
      <c r="C1027" s="58" t="s">
        <v>588</v>
      </c>
      <c r="D1027" s="58" t="s">
        <v>603</v>
      </c>
    </row>
    <row r="1028" spans="1:4">
      <c r="A1028" s="58" t="s">
        <v>2134</v>
      </c>
      <c r="B1028" s="58">
        <v>542679</v>
      </c>
      <c r="C1028" s="58" t="s">
        <v>2135</v>
      </c>
      <c r="D1028" s="58" t="s">
        <v>886</v>
      </c>
    </row>
    <row r="1029" spans="1:4">
      <c r="A1029" s="58" t="s">
        <v>2136</v>
      </c>
      <c r="B1029" s="58">
        <v>532180</v>
      </c>
      <c r="C1029" s="58" t="s">
        <v>2137</v>
      </c>
      <c r="D1029" s="58" t="s">
        <v>906</v>
      </c>
    </row>
    <row r="1030" spans="1:4">
      <c r="A1030" s="58" t="s">
        <v>2138</v>
      </c>
      <c r="B1030" s="58">
        <v>512485</v>
      </c>
      <c r="C1030" s="58" t="s">
        <v>588</v>
      </c>
      <c r="D1030" s="58" t="s">
        <v>610</v>
      </c>
    </row>
    <row r="1031" spans="1:4">
      <c r="A1031" s="58" t="s">
        <v>2139</v>
      </c>
      <c r="B1031" s="58">
        <v>521151</v>
      </c>
      <c r="C1031" s="58" t="s">
        <v>588</v>
      </c>
      <c r="D1031" s="58" t="s">
        <v>603</v>
      </c>
    </row>
    <row r="1032" spans="1:4">
      <c r="A1032" s="58" t="s">
        <v>2140</v>
      </c>
      <c r="B1032" s="58">
        <v>503637</v>
      </c>
      <c r="C1032" s="58" t="s">
        <v>588</v>
      </c>
      <c r="D1032" s="58" t="s">
        <v>571</v>
      </c>
    </row>
    <row r="1033" spans="1:4">
      <c r="A1033" s="58" t="s">
        <v>2141</v>
      </c>
      <c r="B1033" s="58">
        <v>507717</v>
      </c>
      <c r="C1033" s="58" t="s">
        <v>2142</v>
      </c>
      <c r="D1033" s="58" t="s">
        <v>732</v>
      </c>
    </row>
    <row r="1034" spans="1:4">
      <c r="A1034" s="58" t="s">
        <v>2143</v>
      </c>
      <c r="B1034" s="58">
        <v>538446</v>
      </c>
      <c r="C1034" s="58" t="s">
        <v>588</v>
      </c>
      <c r="D1034" s="58" t="s">
        <v>571</v>
      </c>
    </row>
    <row r="1035" spans="1:4">
      <c r="A1035" s="58" t="s">
        <v>2144</v>
      </c>
      <c r="B1035" s="58" t="s">
        <v>588</v>
      </c>
      <c r="C1035" s="58" t="s">
        <v>2145</v>
      </c>
      <c r="D1035" s="58" t="s">
        <v>599</v>
      </c>
    </row>
    <row r="1036" spans="1:4">
      <c r="A1036" s="58" t="s">
        <v>2146</v>
      </c>
      <c r="B1036" s="58">
        <v>531043</v>
      </c>
      <c r="C1036" s="58" t="s">
        <v>588</v>
      </c>
      <c r="D1036" s="58" t="s">
        <v>777</v>
      </c>
    </row>
    <row r="1037" spans="1:4">
      <c r="A1037" s="58" t="s">
        <v>2147</v>
      </c>
      <c r="B1037" s="58">
        <v>540268</v>
      </c>
      <c r="C1037" s="58" t="s">
        <v>588</v>
      </c>
      <c r="D1037" s="58" t="s">
        <v>571</v>
      </c>
    </row>
    <row r="1038" spans="1:4">
      <c r="A1038" s="58" t="s">
        <v>2148</v>
      </c>
      <c r="B1038" s="58">
        <v>506405</v>
      </c>
      <c r="C1038" s="58" t="s">
        <v>588</v>
      </c>
      <c r="D1038" s="58" t="s">
        <v>748</v>
      </c>
    </row>
    <row r="1039" spans="1:4">
      <c r="A1039" s="58" t="s">
        <v>2149</v>
      </c>
      <c r="B1039" s="58">
        <v>511451</v>
      </c>
      <c r="C1039" s="58" t="s">
        <v>588</v>
      </c>
      <c r="D1039" s="58" t="s">
        <v>605</v>
      </c>
    </row>
    <row r="1040" spans="1:4">
      <c r="A1040" s="58" t="s">
        <v>2150</v>
      </c>
      <c r="B1040" s="58">
        <v>507442</v>
      </c>
      <c r="C1040" s="58" t="s">
        <v>2151</v>
      </c>
      <c r="D1040" s="58" t="s">
        <v>1286</v>
      </c>
    </row>
    <row r="1041" spans="1:4">
      <c r="A1041" s="58" t="s">
        <v>2152</v>
      </c>
      <c r="B1041" s="58">
        <v>501945</v>
      </c>
      <c r="C1041" s="58" t="s">
        <v>588</v>
      </c>
      <c r="D1041" s="58" t="s">
        <v>605</v>
      </c>
    </row>
    <row r="1042" spans="1:4">
      <c r="A1042" s="58" t="s">
        <v>2153</v>
      </c>
      <c r="B1042" s="58">
        <v>526971</v>
      </c>
      <c r="C1042" s="58" t="s">
        <v>588</v>
      </c>
      <c r="D1042" s="58" t="s">
        <v>610</v>
      </c>
    </row>
    <row r="1043" spans="1:4">
      <c r="A1043" s="58" t="s">
        <v>2154</v>
      </c>
      <c r="B1043" s="58">
        <v>531306</v>
      </c>
      <c r="C1043" s="58" t="s">
        <v>588</v>
      </c>
      <c r="D1043" s="58" t="s">
        <v>596</v>
      </c>
    </row>
    <row r="1044" spans="1:4">
      <c r="A1044" s="58" t="s">
        <v>2155</v>
      </c>
      <c r="B1044" s="58">
        <v>531306</v>
      </c>
      <c r="C1044" s="58" t="s">
        <v>588</v>
      </c>
      <c r="D1044" s="58" t="s">
        <v>596</v>
      </c>
    </row>
    <row r="1045" spans="1:4">
      <c r="A1045" s="58" t="s">
        <v>2156</v>
      </c>
      <c r="B1045" s="58">
        <v>541302</v>
      </c>
      <c r="C1045" s="58" t="s">
        <v>588</v>
      </c>
      <c r="D1045" s="58" t="s">
        <v>986</v>
      </c>
    </row>
    <row r="1046" spans="1:4">
      <c r="A1046" s="58" t="s">
        <v>2157</v>
      </c>
      <c r="B1046" s="58">
        <v>507886</v>
      </c>
      <c r="C1046" s="58" t="s">
        <v>588</v>
      </c>
      <c r="D1046" s="58" t="s">
        <v>674</v>
      </c>
    </row>
    <row r="1047" spans="1:4">
      <c r="A1047" s="58" t="s">
        <v>2158</v>
      </c>
      <c r="B1047" s="58">
        <v>540695</v>
      </c>
      <c r="C1047" s="58" t="s">
        <v>588</v>
      </c>
      <c r="D1047" s="58" t="s">
        <v>610</v>
      </c>
    </row>
    <row r="1048" spans="1:4">
      <c r="A1048" s="58" t="s">
        <v>2159</v>
      </c>
      <c r="B1048" s="58">
        <v>531237</v>
      </c>
      <c r="C1048" s="58" t="s">
        <v>588</v>
      </c>
      <c r="D1048" s="58" t="s">
        <v>605</v>
      </c>
    </row>
    <row r="1049" spans="1:4">
      <c r="A1049" s="58" t="s">
        <v>2160</v>
      </c>
      <c r="B1049" s="58">
        <v>533336</v>
      </c>
      <c r="C1049" s="58" t="s">
        <v>2161</v>
      </c>
      <c r="D1049" s="58" t="s">
        <v>608</v>
      </c>
    </row>
    <row r="1050" spans="1:4">
      <c r="A1050" s="58" t="s">
        <v>2162</v>
      </c>
      <c r="B1050" s="58">
        <v>523736</v>
      </c>
      <c r="C1050" s="58" t="s">
        <v>2163</v>
      </c>
      <c r="D1050" s="58" t="s">
        <v>965</v>
      </c>
    </row>
    <row r="1051" spans="1:4">
      <c r="A1051" s="58" t="s">
        <v>2164</v>
      </c>
      <c r="B1051" s="58">
        <v>538902</v>
      </c>
      <c r="C1051" s="58" t="s">
        <v>2165</v>
      </c>
      <c r="D1051" s="58" t="s">
        <v>995</v>
      </c>
    </row>
    <row r="1052" spans="1:4">
      <c r="A1052" s="58" t="s">
        <v>2166</v>
      </c>
      <c r="B1052" s="58" t="s">
        <v>588</v>
      </c>
      <c r="C1052" s="58" t="s">
        <v>2167</v>
      </c>
      <c r="D1052" s="58" t="s">
        <v>995</v>
      </c>
    </row>
    <row r="1053" spans="1:4">
      <c r="A1053" s="58" t="s">
        <v>2168</v>
      </c>
      <c r="B1053" s="58">
        <v>508860</v>
      </c>
      <c r="C1053" s="58" t="s">
        <v>588</v>
      </c>
      <c r="D1053" s="58" t="s">
        <v>986</v>
      </c>
    </row>
    <row r="1054" spans="1:4">
      <c r="A1054" s="58" t="s">
        <v>2169</v>
      </c>
      <c r="B1054" s="58">
        <v>500120</v>
      </c>
      <c r="C1054" s="58" t="s">
        <v>588</v>
      </c>
      <c r="D1054" s="58" t="s">
        <v>636</v>
      </c>
    </row>
    <row r="1055" spans="1:4">
      <c r="A1055" s="58" t="s">
        <v>2170</v>
      </c>
      <c r="B1055" s="58">
        <v>522163</v>
      </c>
      <c r="C1055" s="58" t="s">
        <v>2171</v>
      </c>
      <c r="D1055" s="58" t="s">
        <v>886</v>
      </c>
    </row>
    <row r="1056" spans="1:4">
      <c r="A1056" s="58" t="s">
        <v>2172</v>
      </c>
      <c r="B1056" s="58">
        <v>530959</v>
      </c>
      <c r="C1056" s="58" t="s">
        <v>588</v>
      </c>
      <c r="D1056" s="58" t="s">
        <v>995</v>
      </c>
    </row>
    <row r="1057" spans="1:4">
      <c r="A1057" s="58" t="s">
        <v>2173</v>
      </c>
      <c r="B1057" s="58">
        <v>500089</v>
      </c>
      <c r="C1057" s="58" t="s">
        <v>2174</v>
      </c>
      <c r="D1057" s="58" t="s">
        <v>748</v>
      </c>
    </row>
    <row r="1058" spans="1:4">
      <c r="A1058" s="58" t="s">
        <v>2175</v>
      </c>
      <c r="B1058" s="58">
        <v>500089</v>
      </c>
      <c r="C1058" s="58" t="s">
        <v>2174</v>
      </c>
      <c r="D1058" s="58" t="s">
        <v>748</v>
      </c>
    </row>
    <row r="1059" spans="1:4">
      <c r="A1059" s="58" t="s">
        <v>2176</v>
      </c>
      <c r="B1059" s="58">
        <v>540811</v>
      </c>
      <c r="C1059" s="58" t="s">
        <v>588</v>
      </c>
      <c r="D1059" s="58" t="s">
        <v>610</v>
      </c>
    </row>
    <row r="1060" spans="1:4">
      <c r="A1060" s="58" t="s">
        <v>2177</v>
      </c>
      <c r="B1060" s="58">
        <v>542685</v>
      </c>
      <c r="C1060" s="58" t="s">
        <v>2178</v>
      </c>
      <c r="D1060" s="58" t="s">
        <v>1112</v>
      </c>
    </row>
    <row r="1061" spans="1:4">
      <c r="A1061" s="58" t="s">
        <v>2179</v>
      </c>
      <c r="B1061" s="58">
        <v>539979</v>
      </c>
      <c r="C1061" s="58" t="s">
        <v>2180</v>
      </c>
      <c r="D1061" s="58" t="s">
        <v>603</v>
      </c>
    </row>
    <row r="1062" spans="1:4">
      <c r="A1062" s="58" t="s">
        <v>2181</v>
      </c>
      <c r="B1062" s="58">
        <v>540151</v>
      </c>
      <c r="C1062" s="58" t="s">
        <v>588</v>
      </c>
      <c r="D1062" s="58" t="s">
        <v>591</v>
      </c>
    </row>
    <row r="1063" spans="1:4">
      <c r="A1063" s="58" t="s">
        <v>2182</v>
      </c>
      <c r="B1063" s="58">
        <v>542155</v>
      </c>
      <c r="C1063" s="58" t="s">
        <v>2183</v>
      </c>
      <c r="D1063" s="58" t="s">
        <v>954</v>
      </c>
    </row>
    <row r="1064" spans="1:4">
      <c r="A1064" s="58" t="s">
        <v>2184</v>
      </c>
      <c r="B1064" s="58">
        <v>506414</v>
      </c>
      <c r="C1064" s="58" t="s">
        <v>588</v>
      </c>
      <c r="D1064" s="58" t="s">
        <v>626</v>
      </c>
    </row>
    <row r="1065" spans="1:4">
      <c r="A1065" s="58" t="s">
        <v>2185</v>
      </c>
      <c r="B1065" s="58">
        <v>531153</v>
      </c>
      <c r="C1065" s="58" t="s">
        <v>588</v>
      </c>
      <c r="D1065" s="58" t="s">
        <v>837</v>
      </c>
    </row>
    <row r="1066" spans="1:4">
      <c r="A1066" s="58" t="s">
        <v>2186</v>
      </c>
      <c r="B1066" s="58">
        <v>540789</v>
      </c>
      <c r="C1066" s="58" t="s">
        <v>2187</v>
      </c>
      <c r="D1066" s="58" t="s">
        <v>2188</v>
      </c>
    </row>
    <row r="1067" spans="1:4">
      <c r="A1067" s="58" t="s">
        <v>2189</v>
      </c>
      <c r="B1067" s="58">
        <v>540047</v>
      </c>
      <c r="C1067" s="58" t="s">
        <v>2190</v>
      </c>
      <c r="D1067" s="58" t="s">
        <v>1183</v>
      </c>
    </row>
    <row r="1068" spans="1:4">
      <c r="A1068" s="58" t="s">
        <v>2191</v>
      </c>
      <c r="B1068" s="58">
        <v>526927</v>
      </c>
      <c r="C1068" s="58" t="s">
        <v>588</v>
      </c>
      <c r="D1068" s="58" t="s">
        <v>681</v>
      </c>
    </row>
    <row r="1069" spans="1:4">
      <c r="A1069" s="58" t="s">
        <v>2192</v>
      </c>
      <c r="B1069" s="58">
        <v>500068</v>
      </c>
      <c r="C1069" s="58" t="s">
        <v>588</v>
      </c>
      <c r="D1069" s="58" t="s">
        <v>596</v>
      </c>
    </row>
    <row r="1070" spans="1:4">
      <c r="A1070" s="58" t="s">
        <v>2193</v>
      </c>
      <c r="B1070" s="58">
        <v>500068</v>
      </c>
      <c r="C1070" s="58" t="s">
        <v>588</v>
      </c>
      <c r="D1070" s="58" t="s">
        <v>596</v>
      </c>
    </row>
    <row r="1071" spans="1:4">
      <c r="A1071" s="58" t="s">
        <v>2194</v>
      </c>
      <c r="B1071" s="58">
        <v>532839</v>
      </c>
      <c r="C1071" s="58" t="s">
        <v>2195</v>
      </c>
      <c r="D1071" s="58" t="s">
        <v>1325</v>
      </c>
    </row>
    <row r="1072" spans="1:4">
      <c r="A1072" s="58" t="s">
        <v>2196</v>
      </c>
      <c r="B1072" s="58">
        <v>532839</v>
      </c>
      <c r="C1072" s="58" t="s">
        <v>2195</v>
      </c>
      <c r="D1072" s="58" t="s">
        <v>1325</v>
      </c>
    </row>
    <row r="1073" spans="1:4">
      <c r="A1073" s="58" t="s">
        <v>2197</v>
      </c>
      <c r="B1073" s="58">
        <v>531553</v>
      </c>
      <c r="C1073" s="58" t="s">
        <v>588</v>
      </c>
      <c r="D1073" s="58" t="s">
        <v>1009</v>
      </c>
    </row>
    <row r="1074" spans="1:4">
      <c r="A1074" s="58" t="s">
        <v>2198</v>
      </c>
      <c r="B1074" s="58">
        <v>540701</v>
      </c>
      <c r="C1074" s="58" t="s">
        <v>2199</v>
      </c>
      <c r="D1074" s="58" t="s">
        <v>626</v>
      </c>
    </row>
    <row r="1075" spans="1:4">
      <c r="A1075" s="58" t="s">
        <v>2200</v>
      </c>
      <c r="B1075" s="58">
        <v>538432</v>
      </c>
      <c r="C1075" s="58" t="s">
        <v>588</v>
      </c>
      <c r="D1075" s="58" t="s">
        <v>610</v>
      </c>
    </row>
    <row r="1076" spans="1:4">
      <c r="A1076" s="58" t="s">
        <v>2201</v>
      </c>
      <c r="B1076" s="58">
        <v>532488</v>
      </c>
      <c r="C1076" s="58" t="s">
        <v>2202</v>
      </c>
      <c r="D1076" s="58" t="s">
        <v>626</v>
      </c>
    </row>
    <row r="1077" spans="1:4">
      <c r="A1077" s="58" t="s">
        <v>2203</v>
      </c>
      <c r="B1077" s="58">
        <v>526285</v>
      </c>
      <c r="C1077" s="58" t="s">
        <v>588</v>
      </c>
      <c r="D1077" s="58" t="s">
        <v>837</v>
      </c>
    </row>
    <row r="1078" spans="1:4">
      <c r="A1078" s="58" t="s">
        <v>2204</v>
      </c>
      <c r="B1078" s="58">
        <v>526315</v>
      </c>
      <c r="C1078" s="58" t="s">
        <v>588</v>
      </c>
      <c r="D1078" s="58" t="s">
        <v>1116</v>
      </c>
    </row>
    <row r="1079" spans="1:4">
      <c r="A1079" s="58" t="s">
        <v>2205</v>
      </c>
      <c r="B1079" s="58">
        <v>540699</v>
      </c>
      <c r="C1079" s="58" t="s">
        <v>2206</v>
      </c>
      <c r="D1079" s="58" t="s">
        <v>957</v>
      </c>
    </row>
    <row r="1080" spans="1:4">
      <c r="A1080" s="58" t="s">
        <v>2207</v>
      </c>
      <c r="B1080" s="58">
        <v>540699</v>
      </c>
      <c r="C1080" s="58" t="s">
        <v>2206</v>
      </c>
      <c r="D1080" s="58" t="s">
        <v>957</v>
      </c>
    </row>
    <row r="1081" spans="1:4">
      <c r="A1081" s="58" t="s">
        <v>2208</v>
      </c>
      <c r="B1081" s="58">
        <v>532868</v>
      </c>
      <c r="C1081" s="58" t="s">
        <v>2209</v>
      </c>
      <c r="D1081" s="58" t="s">
        <v>674</v>
      </c>
    </row>
    <row r="1082" spans="1:4">
      <c r="A1082" s="58" t="s">
        <v>2210</v>
      </c>
      <c r="B1082" s="58">
        <v>533146</v>
      </c>
      <c r="C1082" s="58" t="s">
        <v>2211</v>
      </c>
      <c r="D1082" s="58" t="s">
        <v>2212</v>
      </c>
    </row>
    <row r="1083" spans="1:4">
      <c r="A1083" s="58" t="s">
        <v>2213</v>
      </c>
      <c r="B1083" s="58">
        <v>533146</v>
      </c>
      <c r="C1083" s="58" t="s">
        <v>2214</v>
      </c>
      <c r="D1083" s="58" t="s">
        <v>2212</v>
      </c>
    </row>
    <row r="1084" spans="1:4">
      <c r="A1084" s="58" t="s">
        <v>2215</v>
      </c>
      <c r="B1084" s="58">
        <v>505526</v>
      </c>
      <c r="C1084" s="58" t="s">
        <v>588</v>
      </c>
      <c r="D1084" s="58" t="s">
        <v>608</v>
      </c>
    </row>
    <row r="1085" spans="1:4">
      <c r="A1085" s="58" t="s">
        <v>2216</v>
      </c>
      <c r="B1085" s="58">
        <v>542013</v>
      </c>
      <c r="C1085" s="58" t="s">
        <v>588</v>
      </c>
      <c r="D1085" s="58" t="s">
        <v>1068</v>
      </c>
    </row>
    <row r="1086" spans="1:4">
      <c r="A1086" s="58" t="s">
        <v>2217</v>
      </c>
      <c r="B1086" s="58">
        <v>541403</v>
      </c>
      <c r="C1086" s="58" t="s">
        <v>2218</v>
      </c>
      <c r="D1086" s="58" t="s">
        <v>702</v>
      </c>
    </row>
    <row r="1087" spans="1:4">
      <c r="A1087" s="58" t="s">
        <v>2219</v>
      </c>
      <c r="B1087" s="58">
        <v>526504</v>
      </c>
      <c r="C1087" s="58" t="s">
        <v>588</v>
      </c>
      <c r="D1087" s="58" t="s">
        <v>777</v>
      </c>
    </row>
    <row r="1088" spans="1:4">
      <c r="A1088" s="58" t="s">
        <v>2220</v>
      </c>
      <c r="B1088" s="58">
        <v>522261</v>
      </c>
      <c r="C1088" s="58" t="s">
        <v>2221</v>
      </c>
      <c r="D1088" s="58" t="s">
        <v>929</v>
      </c>
    </row>
    <row r="1089" spans="1:4">
      <c r="A1089" s="58" t="s">
        <v>2222</v>
      </c>
      <c r="B1089" s="58">
        <v>522261</v>
      </c>
      <c r="C1089" s="58" t="s">
        <v>2221</v>
      </c>
      <c r="D1089" s="58" t="s">
        <v>929</v>
      </c>
    </row>
    <row r="1090" spans="1:4">
      <c r="A1090" s="58" t="s">
        <v>2223</v>
      </c>
      <c r="B1090" s="58">
        <v>512519</v>
      </c>
      <c r="C1090" s="58" t="s">
        <v>2224</v>
      </c>
      <c r="D1090" s="58" t="s">
        <v>603</v>
      </c>
    </row>
    <row r="1091" spans="1:4">
      <c r="A1091" s="58" t="s">
        <v>2225</v>
      </c>
      <c r="B1091" s="58" t="s">
        <v>588</v>
      </c>
      <c r="C1091" s="58" t="s">
        <v>2226</v>
      </c>
      <c r="D1091" s="58" t="s">
        <v>679</v>
      </c>
    </row>
    <row r="1092" spans="1:4">
      <c r="A1092" s="58" t="s">
        <v>2227</v>
      </c>
      <c r="B1092" s="58">
        <v>533176</v>
      </c>
      <c r="C1092" s="58" t="s">
        <v>2228</v>
      </c>
      <c r="D1092" s="58" t="s">
        <v>591</v>
      </c>
    </row>
    <row r="1093" spans="1:4">
      <c r="A1093" s="58" t="s">
        <v>2229</v>
      </c>
      <c r="B1093" s="58">
        <v>526783</v>
      </c>
      <c r="C1093" s="58" t="s">
        <v>588</v>
      </c>
      <c r="D1093" s="58" t="s">
        <v>777</v>
      </c>
    </row>
    <row r="1094" spans="1:4">
      <c r="A1094" s="58" t="s">
        <v>2230</v>
      </c>
      <c r="B1094" s="58">
        <v>539267</v>
      </c>
      <c r="C1094" s="58" t="s">
        <v>588</v>
      </c>
      <c r="D1094" s="58" t="s">
        <v>610</v>
      </c>
    </row>
    <row r="1095" spans="1:4">
      <c r="A1095" s="58" t="s">
        <v>2231</v>
      </c>
      <c r="B1095" s="58">
        <v>539524</v>
      </c>
      <c r="C1095" s="58" t="s">
        <v>2232</v>
      </c>
      <c r="D1095" s="58" t="s">
        <v>777</v>
      </c>
    </row>
    <row r="1096" spans="1:4">
      <c r="A1096" s="58" t="s">
        <v>2233</v>
      </c>
      <c r="B1096" s="58">
        <v>541299</v>
      </c>
      <c r="C1096" s="58" t="s">
        <v>588</v>
      </c>
      <c r="D1096" s="58" t="s">
        <v>777</v>
      </c>
    </row>
    <row r="1097" spans="1:4">
      <c r="A1097" s="58" t="s">
        <v>2234</v>
      </c>
      <c r="B1097" s="58">
        <v>500124</v>
      </c>
      <c r="C1097" s="58" t="s">
        <v>2235</v>
      </c>
      <c r="D1097" s="58" t="s">
        <v>626</v>
      </c>
    </row>
    <row r="1098" spans="1:4">
      <c r="A1098" s="58" t="s">
        <v>2236</v>
      </c>
      <c r="B1098" s="58">
        <v>540144</v>
      </c>
      <c r="C1098" s="58" t="s">
        <v>588</v>
      </c>
      <c r="D1098" s="58" t="s">
        <v>672</v>
      </c>
    </row>
    <row r="1099" spans="1:4">
      <c r="A1099" s="58" t="s">
        <v>2237</v>
      </c>
      <c r="B1099" s="58">
        <v>523618</v>
      </c>
      <c r="C1099" s="58" t="s">
        <v>2238</v>
      </c>
      <c r="D1099" s="58" t="s">
        <v>1833</v>
      </c>
    </row>
    <row r="1100" spans="1:4">
      <c r="A1100" s="58" t="s">
        <v>2239</v>
      </c>
      <c r="B1100" s="58">
        <v>523618</v>
      </c>
      <c r="C1100" s="58" t="s">
        <v>2238</v>
      </c>
      <c r="D1100" s="58" t="s">
        <v>1833</v>
      </c>
    </row>
    <row r="1101" spans="1:4">
      <c r="A1101" s="58" t="s">
        <v>2240</v>
      </c>
      <c r="B1101" s="58">
        <v>534674</v>
      </c>
      <c r="C1101" s="58" t="s">
        <v>2241</v>
      </c>
      <c r="D1101" s="58" t="s">
        <v>610</v>
      </c>
    </row>
    <row r="1102" spans="1:4">
      <c r="A1102" s="58" t="s">
        <v>2242</v>
      </c>
      <c r="B1102" s="58">
        <v>511634</v>
      </c>
      <c r="C1102" s="58" t="s">
        <v>588</v>
      </c>
      <c r="D1102" s="58" t="s">
        <v>986</v>
      </c>
    </row>
    <row r="1103" spans="1:4">
      <c r="A1103" s="58" t="s">
        <v>2243</v>
      </c>
      <c r="B1103" s="58">
        <v>531471</v>
      </c>
      <c r="C1103" s="58" t="s">
        <v>588</v>
      </c>
      <c r="D1103" s="58" t="s">
        <v>929</v>
      </c>
    </row>
    <row r="1104" spans="1:4">
      <c r="A1104" s="58" t="s">
        <v>2244</v>
      </c>
      <c r="B1104" s="58">
        <v>504908</v>
      </c>
      <c r="C1104" s="58" t="s">
        <v>588</v>
      </c>
      <c r="D1104" s="58" t="s">
        <v>943</v>
      </c>
    </row>
    <row r="1105" spans="1:4">
      <c r="A1105" s="58" t="s">
        <v>2245</v>
      </c>
      <c r="B1105" s="58">
        <v>526355</v>
      </c>
      <c r="C1105" s="58" t="s">
        <v>588</v>
      </c>
      <c r="D1105" s="58" t="s">
        <v>708</v>
      </c>
    </row>
    <row r="1106" spans="1:4">
      <c r="A1106" s="58" t="s">
        <v>2246</v>
      </c>
      <c r="B1106" s="58">
        <v>517437</v>
      </c>
      <c r="C1106" s="58" t="s">
        <v>588</v>
      </c>
      <c r="D1106" s="58" t="s">
        <v>708</v>
      </c>
    </row>
    <row r="1107" spans="1:4">
      <c r="A1107" s="58" t="s">
        <v>2247</v>
      </c>
      <c r="B1107" s="58">
        <v>532610</v>
      </c>
      <c r="C1107" s="58" t="s">
        <v>2248</v>
      </c>
      <c r="D1107" s="58" t="s">
        <v>1286</v>
      </c>
    </row>
    <row r="1108" spans="1:4">
      <c r="A1108" s="58" t="s">
        <v>2249</v>
      </c>
      <c r="B1108" s="58">
        <v>538608</v>
      </c>
      <c r="C1108" s="58" t="s">
        <v>2250</v>
      </c>
      <c r="D1108" s="58" t="s">
        <v>954</v>
      </c>
    </row>
    <row r="1109" spans="1:4">
      <c r="A1109" s="58" t="s">
        <v>2251</v>
      </c>
      <c r="B1109" s="58">
        <v>532365</v>
      </c>
      <c r="C1109" s="58" t="s">
        <v>2252</v>
      </c>
      <c r="D1109" s="58" t="s">
        <v>574</v>
      </c>
    </row>
    <row r="1110" spans="1:4">
      <c r="A1110" s="58" t="s">
        <v>2253</v>
      </c>
      <c r="B1110" s="58">
        <v>505242</v>
      </c>
      <c r="C1110" s="58" t="s">
        <v>2254</v>
      </c>
      <c r="D1110" s="58" t="s">
        <v>596</v>
      </c>
    </row>
    <row r="1111" spans="1:4">
      <c r="A1111" s="58" t="s">
        <v>2255</v>
      </c>
      <c r="B1111" s="58">
        <v>539681</v>
      </c>
      <c r="C1111" s="58" t="s">
        <v>588</v>
      </c>
      <c r="D1111" s="58" t="s">
        <v>605</v>
      </c>
    </row>
    <row r="1112" spans="1:4">
      <c r="A1112" s="58" t="s">
        <v>2256</v>
      </c>
      <c r="B1112" s="58">
        <v>540795</v>
      </c>
      <c r="C1112" s="58" t="s">
        <v>588</v>
      </c>
      <c r="D1112" s="58" t="s">
        <v>886</v>
      </c>
    </row>
    <row r="1113" spans="1:4">
      <c r="A1113" s="58" t="s">
        <v>2257</v>
      </c>
      <c r="B1113" s="58">
        <v>524818</v>
      </c>
      <c r="C1113" s="58" t="s">
        <v>588</v>
      </c>
      <c r="D1113" s="58" t="s">
        <v>748</v>
      </c>
    </row>
    <row r="1114" spans="1:4">
      <c r="A1114" s="58" t="s">
        <v>2258</v>
      </c>
      <c r="B1114" s="58">
        <v>530779</v>
      </c>
      <c r="C1114" s="58" t="s">
        <v>588</v>
      </c>
      <c r="D1114" s="58" t="s">
        <v>605</v>
      </c>
    </row>
    <row r="1115" spans="1:4">
      <c r="A1115" s="58" t="s">
        <v>2259</v>
      </c>
      <c r="B1115" s="58">
        <v>517238</v>
      </c>
      <c r="C1115" s="58" t="s">
        <v>588</v>
      </c>
      <c r="D1115" s="58" t="s">
        <v>1130</v>
      </c>
    </row>
    <row r="1116" spans="1:4">
      <c r="A1116" s="58" t="s">
        <v>2260</v>
      </c>
      <c r="B1116" s="58">
        <v>532707</v>
      </c>
      <c r="C1116" s="58" t="s">
        <v>2261</v>
      </c>
      <c r="D1116" s="58" t="s">
        <v>748</v>
      </c>
    </row>
    <row r="1117" spans="1:4">
      <c r="A1117" s="58" t="s">
        <v>2262</v>
      </c>
      <c r="B1117" s="58">
        <v>531533</v>
      </c>
      <c r="C1117" s="58" t="s">
        <v>588</v>
      </c>
      <c r="D1117" s="58" t="s">
        <v>574</v>
      </c>
    </row>
    <row r="1118" spans="1:4">
      <c r="A1118" s="58" t="s">
        <v>2263</v>
      </c>
      <c r="B1118" s="58" t="s">
        <v>588</v>
      </c>
      <c r="C1118" s="58" t="s">
        <v>2264</v>
      </c>
      <c r="D1118" s="58" t="s">
        <v>599</v>
      </c>
    </row>
    <row r="1119" spans="1:4">
      <c r="A1119" s="58" t="s">
        <v>2265</v>
      </c>
      <c r="B1119" s="58">
        <v>507917</v>
      </c>
      <c r="C1119" s="58" t="s">
        <v>588</v>
      </c>
      <c r="D1119" s="58" t="s">
        <v>674</v>
      </c>
    </row>
    <row r="1120" spans="1:4">
      <c r="A1120" s="58" t="s">
        <v>2266</v>
      </c>
      <c r="B1120" s="58">
        <v>520081</v>
      </c>
      <c r="C1120" s="58" t="s">
        <v>588</v>
      </c>
      <c r="D1120" s="58" t="s">
        <v>620</v>
      </c>
    </row>
    <row r="1121" spans="1:4">
      <c r="A1121" s="58" t="s">
        <v>2267</v>
      </c>
      <c r="B1121" s="58">
        <v>541053</v>
      </c>
      <c r="C1121" s="58" t="s">
        <v>588</v>
      </c>
      <c r="D1121" s="58" t="s">
        <v>571</v>
      </c>
    </row>
    <row r="1122" spans="1:4">
      <c r="A1122" s="58" t="s">
        <v>2268</v>
      </c>
      <c r="B1122" s="58">
        <v>590022</v>
      </c>
      <c r="C1122" s="58" t="s">
        <v>2269</v>
      </c>
      <c r="D1122" s="58" t="s">
        <v>603</v>
      </c>
    </row>
    <row r="1123" spans="1:4">
      <c r="A1123" s="58" t="s">
        <v>2270</v>
      </c>
      <c r="B1123" s="58">
        <v>531346</v>
      </c>
      <c r="C1123" s="58" t="s">
        <v>588</v>
      </c>
      <c r="D1123" s="58" t="s">
        <v>1068</v>
      </c>
    </row>
    <row r="1124" spans="1:4">
      <c r="A1124" s="58" t="s">
        <v>2271</v>
      </c>
      <c r="B1124" s="58">
        <v>532751</v>
      </c>
      <c r="C1124" s="58" t="s">
        <v>2272</v>
      </c>
      <c r="D1124" s="58" t="s">
        <v>886</v>
      </c>
    </row>
    <row r="1125" spans="1:4">
      <c r="A1125" s="58" t="s">
        <v>2273</v>
      </c>
      <c r="B1125" s="58" t="s">
        <v>588</v>
      </c>
      <c r="C1125" s="58" t="s">
        <v>2274</v>
      </c>
      <c r="D1125" s="58" t="s">
        <v>679</v>
      </c>
    </row>
    <row r="1126" spans="1:4">
      <c r="A1126" s="58" t="s">
        <v>2275</v>
      </c>
      <c r="B1126" s="58">
        <v>532927</v>
      </c>
      <c r="C1126" s="58" t="s">
        <v>2276</v>
      </c>
      <c r="D1126" s="58" t="s">
        <v>918</v>
      </c>
    </row>
    <row r="1127" spans="1:4">
      <c r="A1127" s="58" t="s">
        <v>2277</v>
      </c>
      <c r="B1127" s="58">
        <v>534839</v>
      </c>
      <c r="C1127" s="58" t="s">
        <v>588</v>
      </c>
      <c r="D1127" s="58" t="s">
        <v>786</v>
      </c>
    </row>
    <row r="1128" spans="1:4">
      <c r="A1128" s="58" t="s">
        <v>2278</v>
      </c>
      <c r="B1128" s="58">
        <v>530643</v>
      </c>
      <c r="C1128" s="58" t="s">
        <v>588</v>
      </c>
      <c r="D1128" s="58" t="s">
        <v>1130</v>
      </c>
    </row>
    <row r="1129" spans="1:4">
      <c r="A1129" s="58" t="s">
        <v>2279</v>
      </c>
      <c r="B1129" s="58">
        <v>523732</v>
      </c>
      <c r="C1129" s="58" t="s">
        <v>588</v>
      </c>
      <c r="D1129" s="58" t="s">
        <v>1083</v>
      </c>
    </row>
    <row r="1130" spans="1:4">
      <c r="A1130" s="58" t="s">
        <v>2280</v>
      </c>
      <c r="B1130" s="58">
        <v>538708</v>
      </c>
      <c r="C1130" s="58" t="s">
        <v>588</v>
      </c>
      <c r="D1130" s="58" t="s">
        <v>605</v>
      </c>
    </row>
    <row r="1131" spans="1:4">
      <c r="A1131" s="58" t="s">
        <v>2281</v>
      </c>
      <c r="B1131" s="58">
        <v>538708</v>
      </c>
      <c r="C1131" s="58" t="s">
        <v>588</v>
      </c>
      <c r="D1131" s="58" t="s">
        <v>605</v>
      </c>
    </row>
    <row r="1132" spans="1:4">
      <c r="A1132" s="58" t="s">
        <v>2282</v>
      </c>
      <c r="B1132" s="58">
        <v>526703</v>
      </c>
      <c r="C1132" s="58" t="s">
        <v>588</v>
      </c>
      <c r="D1132" s="58" t="s">
        <v>708</v>
      </c>
    </row>
    <row r="1133" spans="1:4">
      <c r="A1133" s="58" t="s">
        <v>2283</v>
      </c>
      <c r="B1133" s="58">
        <v>540063</v>
      </c>
      <c r="C1133" s="58" t="s">
        <v>588</v>
      </c>
      <c r="D1133" s="58" t="s">
        <v>574</v>
      </c>
    </row>
    <row r="1134" spans="1:4">
      <c r="A1134" s="58" t="s">
        <v>2284</v>
      </c>
      <c r="B1134" s="58">
        <v>532922</v>
      </c>
      <c r="C1134" s="58" t="s">
        <v>2285</v>
      </c>
      <c r="D1134" s="58" t="s">
        <v>571</v>
      </c>
    </row>
    <row r="1135" spans="1:4">
      <c r="A1135" s="58" t="s">
        <v>2286</v>
      </c>
      <c r="B1135" s="58">
        <v>532696</v>
      </c>
      <c r="C1135" s="58" t="s">
        <v>2287</v>
      </c>
      <c r="D1135" s="58" t="s">
        <v>693</v>
      </c>
    </row>
    <row r="1136" spans="1:4">
      <c r="A1136" s="58" t="s">
        <v>2288</v>
      </c>
      <c r="B1136" s="58">
        <v>526483</v>
      </c>
      <c r="C1136" s="58" t="s">
        <v>588</v>
      </c>
      <c r="D1136" s="58" t="s">
        <v>1824</v>
      </c>
    </row>
    <row r="1137" spans="1:4">
      <c r="A1137" s="58" t="s">
        <v>2289</v>
      </c>
      <c r="B1137" s="58">
        <v>535694</v>
      </c>
      <c r="C1137" s="58" t="s">
        <v>588</v>
      </c>
      <c r="D1137" s="58" t="s">
        <v>610</v>
      </c>
    </row>
    <row r="1138" spans="1:4">
      <c r="A1138" s="58" t="s">
        <v>2290</v>
      </c>
      <c r="B1138" s="58">
        <v>505200</v>
      </c>
      <c r="C1138" s="58" t="s">
        <v>2291</v>
      </c>
      <c r="D1138" s="58" t="s">
        <v>1245</v>
      </c>
    </row>
    <row r="1139" spans="1:4">
      <c r="A1139" s="58" t="s">
        <v>2292</v>
      </c>
      <c r="B1139" s="58">
        <v>500125</v>
      </c>
      <c r="C1139" s="58" t="s">
        <v>2293</v>
      </c>
      <c r="D1139" s="58" t="s">
        <v>1286</v>
      </c>
    </row>
    <row r="1140" spans="1:4">
      <c r="A1140" s="58" t="s">
        <v>2294</v>
      </c>
      <c r="B1140" s="58">
        <v>500125</v>
      </c>
      <c r="C1140" s="58" t="s">
        <v>2293</v>
      </c>
      <c r="D1140" s="58" t="s">
        <v>1286</v>
      </c>
    </row>
    <row r="1141" spans="1:4">
      <c r="A1141" s="58" t="s">
        <v>2295</v>
      </c>
      <c r="B1141" s="58">
        <v>523127</v>
      </c>
      <c r="C1141" s="58" t="s">
        <v>2296</v>
      </c>
      <c r="D1141" s="58" t="s">
        <v>789</v>
      </c>
    </row>
    <row r="1142" spans="1:4">
      <c r="A1142" s="58" t="s">
        <v>2297</v>
      </c>
      <c r="B1142" s="58">
        <v>500840</v>
      </c>
      <c r="C1142" s="58" t="s">
        <v>2298</v>
      </c>
      <c r="D1142" s="58" t="s">
        <v>789</v>
      </c>
    </row>
    <row r="1143" spans="1:4">
      <c r="A1143" s="58" t="s">
        <v>2299</v>
      </c>
      <c r="B1143" s="58">
        <v>523708</v>
      </c>
      <c r="C1143" s="58" t="s">
        <v>2300</v>
      </c>
      <c r="D1143" s="58" t="s">
        <v>596</v>
      </c>
    </row>
    <row r="1144" spans="1:4">
      <c r="A1144" s="58" t="s">
        <v>2301</v>
      </c>
      <c r="B1144" s="58">
        <v>523708</v>
      </c>
      <c r="C1144" s="58" t="s">
        <v>2300</v>
      </c>
      <c r="D1144" s="58" t="s">
        <v>596</v>
      </c>
    </row>
    <row r="1145" spans="1:4">
      <c r="A1145" s="58" t="s">
        <v>2302</v>
      </c>
      <c r="B1145" s="58">
        <v>538653</v>
      </c>
      <c r="C1145" s="58" t="s">
        <v>2303</v>
      </c>
      <c r="D1145" s="58" t="s">
        <v>954</v>
      </c>
    </row>
    <row r="1146" spans="1:4">
      <c r="A1146" s="58" t="s">
        <v>2304</v>
      </c>
      <c r="B1146" s="58">
        <v>530581</v>
      </c>
      <c r="C1146" s="58" t="s">
        <v>588</v>
      </c>
      <c r="D1146" s="58" t="s">
        <v>1009</v>
      </c>
    </row>
    <row r="1147" spans="1:4">
      <c r="A1147" s="58" t="s">
        <v>2305</v>
      </c>
      <c r="B1147" s="58">
        <v>532820</v>
      </c>
      <c r="C1147" s="58" t="s">
        <v>2306</v>
      </c>
      <c r="D1147" s="58" t="s">
        <v>603</v>
      </c>
    </row>
    <row r="1148" spans="1:4">
      <c r="A1148" s="58" t="s">
        <v>2307</v>
      </c>
      <c r="B1148" s="58">
        <v>513452</v>
      </c>
      <c r="C1148" s="58" t="s">
        <v>588</v>
      </c>
      <c r="D1148" s="58" t="s">
        <v>620</v>
      </c>
    </row>
    <row r="1149" spans="1:4">
      <c r="A1149" s="58" t="s">
        <v>2308</v>
      </c>
      <c r="B1149" s="58">
        <v>500123</v>
      </c>
      <c r="C1149" s="58" t="s">
        <v>588</v>
      </c>
      <c r="D1149" s="58" t="s">
        <v>636</v>
      </c>
    </row>
    <row r="1150" spans="1:4">
      <c r="A1150" s="58" t="s">
        <v>2309</v>
      </c>
      <c r="B1150" s="58">
        <v>500123</v>
      </c>
      <c r="C1150" s="58" t="s">
        <v>588</v>
      </c>
      <c r="D1150" s="58" t="s">
        <v>636</v>
      </c>
    </row>
    <row r="1151" spans="1:4">
      <c r="A1151" s="58" t="s">
        <v>2310</v>
      </c>
      <c r="B1151" s="58">
        <v>503681</v>
      </c>
      <c r="C1151" s="58" t="s">
        <v>588</v>
      </c>
      <c r="D1151" s="58" t="s">
        <v>1009</v>
      </c>
    </row>
    <row r="1152" spans="1:4">
      <c r="A1152" s="58" t="s">
        <v>2311</v>
      </c>
      <c r="B1152" s="58">
        <v>523329</v>
      </c>
      <c r="C1152" s="58" t="s">
        <v>588</v>
      </c>
      <c r="D1152" s="58" t="s">
        <v>674</v>
      </c>
    </row>
    <row r="1153" spans="1:4">
      <c r="A1153" s="58" t="s">
        <v>2312</v>
      </c>
      <c r="B1153" s="58">
        <v>505700</v>
      </c>
      <c r="C1153" s="58" t="s">
        <v>2313</v>
      </c>
      <c r="D1153" s="58" t="s">
        <v>596</v>
      </c>
    </row>
    <row r="1154" spans="1:4">
      <c r="A1154" s="58" t="s">
        <v>2314</v>
      </c>
      <c r="B1154" s="58">
        <v>500128</v>
      </c>
      <c r="C1154" s="58" t="s">
        <v>2315</v>
      </c>
      <c r="D1154" s="58" t="s">
        <v>986</v>
      </c>
    </row>
    <row r="1155" spans="1:4">
      <c r="A1155" s="58" t="s">
        <v>2316</v>
      </c>
      <c r="B1155" s="58">
        <v>533264</v>
      </c>
      <c r="C1155" s="58" t="s">
        <v>2317</v>
      </c>
      <c r="D1155" s="58" t="s">
        <v>986</v>
      </c>
    </row>
    <row r="1156" spans="1:4">
      <c r="A1156" s="58" t="s">
        <v>2318</v>
      </c>
      <c r="B1156" s="58">
        <v>526608</v>
      </c>
      <c r="C1156" s="58" t="s">
        <v>2319</v>
      </c>
      <c r="D1156" s="58" t="s">
        <v>911</v>
      </c>
    </row>
    <row r="1157" spans="1:4">
      <c r="A1157" s="58" t="s">
        <v>2320</v>
      </c>
      <c r="B1157" s="58">
        <v>526608</v>
      </c>
      <c r="C1157" s="58" t="s">
        <v>2319</v>
      </c>
      <c r="D1157" s="58" t="s">
        <v>911</v>
      </c>
    </row>
    <row r="1158" spans="1:4">
      <c r="A1158" s="58" t="s">
        <v>2321</v>
      </c>
      <c r="B1158" s="58">
        <v>526473</v>
      </c>
      <c r="C1158" s="58" t="s">
        <v>588</v>
      </c>
      <c r="D1158" s="58" t="s">
        <v>786</v>
      </c>
    </row>
    <row r="1159" spans="1:4">
      <c r="A1159" s="58" t="s">
        <v>2322</v>
      </c>
      <c r="B1159" s="58">
        <v>526473</v>
      </c>
      <c r="C1159" s="58" t="s">
        <v>588</v>
      </c>
      <c r="D1159" s="58" t="s">
        <v>786</v>
      </c>
    </row>
    <row r="1160" spans="1:4">
      <c r="A1160" s="58" t="s">
        <v>2323</v>
      </c>
      <c r="B1160" s="58">
        <v>526705</v>
      </c>
      <c r="C1160" s="58" t="s">
        <v>588</v>
      </c>
      <c r="D1160" s="58" t="s">
        <v>610</v>
      </c>
    </row>
    <row r="1161" spans="1:4">
      <c r="A1161" s="58" t="s">
        <v>2324</v>
      </c>
      <c r="B1161" s="58">
        <v>522074</v>
      </c>
      <c r="C1161" s="58" t="s">
        <v>2325</v>
      </c>
      <c r="D1161" s="58" t="s">
        <v>596</v>
      </c>
    </row>
    <row r="1162" spans="1:4">
      <c r="A1162" s="58" t="s">
        <v>2326</v>
      </c>
      <c r="B1162" s="58" t="s">
        <v>588</v>
      </c>
      <c r="C1162" s="58" t="s">
        <v>2327</v>
      </c>
      <c r="D1162" s="58" t="s">
        <v>679</v>
      </c>
    </row>
    <row r="1163" spans="1:4">
      <c r="A1163" s="58" t="s">
        <v>2328</v>
      </c>
      <c r="B1163" s="58">
        <v>531278</v>
      </c>
      <c r="C1163" s="58" t="s">
        <v>588</v>
      </c>
      <c r="D1163" s="58" t="s">
        <v>571</v>
      </c>
    </row>
    <row r="1164" spans="1:4">
      <c r="A1164" s="58" t="s">
        <v>2329</v>
      </c>
      <c r="B1164" s="58">
        <v>517477</v>
      </c>
      <c r="C1164" s="58" t="s">
        <v>588</v>
      </c>
      <c r="D1164" s="58" t="s">
        <v>681</v>
      </c>
    </row>
    <row r="1165" spans="1:4">
      <c r="A1165" s="58" t="s">
        <v>2330</v>
      </c>
      <c r="B1165" s="58">
        <v>504000</v>
      </c>
      <c r="C1165" s="58" t="s">
        <v>588</v>
      </c>
      <c r="D1165" s="58" t="s">
        <v>886</v>
      </c>
    </row>
    <row r="1166" spans="1:4">
      <c r="A1166" s="58" t="s">
        <v>2331</v>
      </c>
      <c r="B1166" s="58">
        <v>522027</v>
      </c>
      <c r="C1166" s="58" t="s">
        <v>588</v>
      </c>
      <c r="D1166" s="58" t="s">
        <v>596</v>
      </c>
    </row>
    <row r="1167" spans="1:4">
      <c r="A1167" s="58" t="s">
        <v>2332</v>
      </c>
      <c r="B1167" s="58">
        <v>522027</v>
      </c>
      <c r="C1167" s="58" t="s">
        <v>588</v>
      </c>
      <c r="D1167" s="58" t="s">
        <v>596</v>
      </c>
    </row>
    <row r="1168" spans="1:4">
      <c r="A1168" s="58" t="s">
        <v>2333</v>
      </c>
      <c r="B1168" s="58">
        <v>531162</v>
      </c>
      <c r="C1168" s="58" t="s">
        <v>2334</v>
      </c>
      <c r="D1168" s="58" t="s">
        <v>770</v>
      </c>
    </row>
    <row r="1169" spans="1:4">
      <c r="A1169" s="58" t="s">
        <v>2335</v>
      </c>
      <c r="B1169" s="58" t="s">
        <v>588</v>
      </c>
      <c r="C1169" s="58" t="s">
        <v>2336</v>
      </c>
      <c r="D1169" s="58" t="s">
        <v>770</v>
      </c>
    </row>
    <row r="1170" spans="1:4">
      <c r="A1170" s="58" t="s">
        <v>2337</v>
      </c>
      <c r="B1170" s="58">
        <v>533208</v>
      </c>
      <c r="C1170" s="58" t="s">
        <v>588</v>
      </c>
      <c r="D1170" s="58" t="s">
        <v>582</v>
      </c>
    </row>
    <row r="1171" spans="1:4">
      <c r="A1171" s="58" t="s">
        <v>2338</v>
      </c>
      <c r="B1171" s="58">
        <v>533218</v>
      </c>
      <c r="C1171" s="58" t="s">
        <v>2339</v>
      </c>
      <c r="D1171" s="58" t="s">
        <v>674</v>
      </c>
    </row>
    <row r="1172" spans="1:4">
      <c r="A1172" s="58" t="s">
        <v>2340</v>
      </c>
      <c r="B1172" s="58">
        <v>542602</v>
      </c>
      <c r="C1172" s="58" t="s">
        <v>2341</v>
      </c>
      <c r="D1172" s="58" t="s">
        <v>608</v>
      </c>
    </row>
    <row r="1173" spans="1:4">
      <c r="A1173" s="58" t="s">
        <v>2342</v>
      </c>
      <c r="B1173" s="58">
        <v>504008</v>
      </c>
      <c r="C1173" s="58" t="s">
        <v>2343</v>
      </c>
      <c r="D1173" s="58" t="s">
        <v>631</v>
      </c>
    </row>
    <row r="1174" spans="1:4">
      <c r="A1174" s="58" t="s">
        <v>2344</v>
      </c>
      <c r="B1174" s="58">
        <v>538882</v>
      </c>
      <c r="C1174" s="58" t="s">
        <v>588</v>
      </c>
      <c r="D1174" s="58" t="s">
        <v>571</v>
      </c>
    </row>
    <row r="1175" spans="1:4">
      <c r="A1175" s="58" t="s">
        <v>2345</v>
      </c>
      <c r="B1175" s="58">
        <v>507265</v>
      </c>
      <c r="C1175" s="58" t="s">
        <v>588</v>
      </c>
      <c r="D1175" s="58" t="s">
        <v>766</v>
      </c>
    </row>
    <row r="1176" spans="1:4">
      <c r="A1176" s="58" t="s">
        <v>2346</v>
      </c>
      <c r="B1176" s="58">
        <v>530333</v>
      </c>
      <c r="C1176" s="58" t="s">
        <v>588</v>
      </c>
      <c r="D1176" s="58" t="s">
        <v>886</v>
      </c>
    </row>
    <row r="1177" spans="1:4">
      <c r="A1177" s="58" t="s">
        <v>2347</v>
      </c>
      <c r="B1177" s="58">
        <v>532737</v>
      </c>
      <c r="C1177" s="58" t="s">
        <v>2348</v>
      </c>
      <c r="D1177" s="58" t="s">
        <v>571</v>
      </c>
    </row>
    <row r="1178" spans="1:4">
      <c r="A1178" s="58" t="s">
        <v>2349</v>
      </c>
      <c r="B1178" s="58" t="s">
        <v>588</v>
      </c>
      <c r="C1178" s="58" t="s">
        <v>2350</v>
      </c>
      <c r="D1178" s="58" t="s">
        <v>599</v>
      </c>
    </row>
    <row r="1179" spans="1:4">
      <c r="A1179" s="58" t="s">
        <v>2351</v>
      </c>
      <c r="B1179" s="58">
        <v>533161</v>
      </c>
      <c r="C1179" s="58" t="s">
        <v>2352</v>
      </c>
      <c r="D1179" s="58" t="s">
        <v>783</v>
      </c>
    </row>
    <row r="1180" spans="1:4">
      <c r="A1180" s="58" t="s">
        <v>2353</v>
      </c>
      <c r="B1180" s="58">
        <v>524768</v>
      </c>
      <c r="C1180" s="58" t="s">
        <v>588</v>
      </c>
      <c r="D1180" s="58" t="s">
        <v>636</v>
      </c>
    </row>
    <row r="1181" spans="1:4">
      <c r="A1181" s="58" t="s">
        <v>2354</v>
      </c>
      <c r="B1181" s="58">
        <v>532038</v>
      </c>
      <c r="C1181" s="58" t="s">
        <v>588</v>
      </c>
      <c r="D1181" s="58" t="s">
        <v>610</v>
      </c>
    </row>
    <row r="1182" spans="1:4">
      <c r="A1182" s="58" t="s">
        <v>2355</v>
      </c>
      <c r="B1182" s="58">
        <v>532920</v>
      </c>
      <c r="C1182" s="58" t="s">
        <v>2356</v>
      </c>
      <c r="D1182" s="58" t="s">
        <v>1219</v>
      </c>
    </row>
    <row r="1183" spans="1:4">
      <c r="A1183" s="58" t="s">
        <v>2357</v>
      </c>
      <c r="B1183" s="58">
        <v>500132</v>
      </c>
      <c r="C1183" s="58" t="s">
        <v>588</v>
      </c>
      <c r="D1183" s="58" t="s">
        <v>1286</v>
      </c>
    </row>
    <row r="1184" spans="1:4">
      <c r="A1184" s="58" t="s">
        <v>2358</v>
      </c>
      <c r="B1184" s="58">
        <v>509525</v>
      </c>
      <c r="C1184" s="58" t="s">
        <v>588</v>
      </c>
      <c r="D1184" s="58" t="s">
        <v>577</v>
      </c>
    </row>
    <row r="1185" spans="1:4">
      <c r="A1185" s="58" t="s">
        <v>2359</v>
      </c>
      <c r="B1185" s="58">
        <v>504351</v>
      </c>
      <c r="C1185" s="58" t="s">
        <v>588</v>
      </c>
      <c r="D1185" s="58" t="s">
        <v>574</v>
      </c>
    </row>
    <row r="1186" spans="1:4">
      <c r="A1186" s="58" t="s">
        <v>2360</v>
      </c>
      <c r="B1186" s="58">
        <v>504351</v>
      </c>
      <c r="C1186" s="58" t="s">
        <v>588</v>
      </c>
      <c r="D1186" s="58" t="s">
        <v>574</v>
      </c>
    </row>
    <row r="1187" spans="1:4">
      <c r="A1187" s="58" t="s">
        <v>2361</v>
      </c>
      <c r="B1187" s="58">
        <v>512441</v>
      </c>
      <c r="C1187" s="58" t="s">
        <v>588</v>
      </c>
      <c r="D1187" s="58" t="s">
        <v>1009</v>
      </c>
    </row>
    <row r="1188" spans="1:4">
      <c r="A1188" s="58" t="s">
        <v>2362</v>
      </c>
      <c r="B1188" s="58">
        <v>538684</v>
      </c>
      <c r="C1188" s="58" t="s">
        <v>588</v>
      </c>
      <c r="D1188" s="58" t="s">
        <v>591</v>
      </c>
    </row>
    <row r="1189" spans="1:4">
      <c r="A1189" s="58" t="s">
        <v>2363</v>
      </c>
      <c r="B1189" s="58">
        <v>540153</v>
      </c>
      <c r="C1189" s="58" t="s">
        <v>2364</v>
      </c>
      <c r="D1189" s="58" t="s">
        <v>1245</v>
      </c>
    </row>
    <row r="1190" spans="1:4">
      <c r="A1190" s="58" t="s">
        <v>2365</v>
      </c>
      <c r="B1190" s="58">
        <v>532219</v>
      </c>
      <c r="C1190" s="58" t="s">
        <v>2366</v>
      </c>
      <c r="D1190" s="58" t="s">
        <v>727</v>
      </c>
    </row>
    <row r="1191" spans="1:4">
      <c r="A1191" s="58" t="s">
        <v>2367</v>
      </c>
      <c r="B1191" s="58">
        <v>532178</v>
      </c>
      <c r="C1191" s="58" t="s">
        <v>2368</v>
      </c>
      <c r="D1191" s="58" t="s">
        <v>672</v>
      </c>
    </row>
    <row r="1192" spans="1:4">
      <c r="A1192" s="58" t="s">
        <v>2369</v>
      </c>
      <c r="B1192" s="58">
        <v>532178</v>
      </c>
      <c r="C1192" s="58" t="s">
        <v>2368</v>
      </c>
      <c r="D1192" s="58" t="s">
        <v>672</v>
      </c>
    </row>
    <row r="1193" spans="1:4">
      <c r="A1193" s="58" t="s">
        <v>2370</v>
      </c>
      <c r="B1193" s="58">
        <v>533477</v>
      </c>
      <c r="C1193" s="58" t="s">
        <v>588</v>
      </c>
      <c r="D1193" s="58" t="s">
        <v>943</v>
      </c>
    </row>
    <row r="1194" spans="1:4">
      <c r="A1194" s="58" t="s">
        <v>2371</v>
      </c>
      <c r="B1194" s="58">
        <v>533477</v>
      </c>
      <c r="C1194" s="58" t="s">
        <v>588</v>
      </c>
      <c r="D1194" s="58" t="s">
        <v>943</v>
      </c>
    </row>
    <row r="1195" spans="1:4">
      <c r="A1195" s="58" t="s">
        <v>2372</v>
      </c>
      <c r="B1195" s="58">
        <v>526574</v>
      </c>
      <c r="C1195" s="58" t="s">
        <v>588</v>
      </c>
      <c r="D1195" s="58" t="s">
        <v>610</v>
      </c>
    </row>
    <row r="1196" spans="1:4">
      <c r="A1196" s="58" t="s">
        <v>2373</v>
      </c>
      <c r="B1196" s="58">
        <v>532700</v>
      </c>
      <c r="C1196" s="58" t="s">
        <v>2374</v>
      </c>
      <c r="D1196" s="58" t="s">
        <v>1325</v>
      </c>
    </row>
    <row r="1197" spans="1:4">
      <c r="A1197" s="58" t="s">
        <v>2375</v>
      </c>
      <c r="B1197" s="58">
        <v>532700</v>
      </c>
      <c r="C1197" s="58" t="s">
        <v>2374</v>
      </c>
      <c r="D1197" s="58" t="s">
        <v>1325</v>
      </c>
    </row>
    <row r="1198" spans="1:4">
      <c r="A1198" s="58" t="s">
        <v>2376</v>
      </c>
      <c r="B1198" s="58">
        <v>500246</v>
      </c>
      <c r="C1198" s="58" t="s">
        <v>588</v>
      </c>
      <c r="D1198" s="58" t="s">
        <v>596</v>
      </c>
    </row>
    <row r="1199" spans="1:4">
      <c r="A1199" s="58" t="s">
        <v>2377</v>
      </c>
      <c r="B1199" s="58">
        <v>532658</v>
      </c>
      <c r="C1199" s="58" t="s">
        <v>2378</v>
      </c>
      <c r="D1199" s="58" t="s">
        <v>886</v>
      </c>
    </row>
    <row r="1200" spans="1:4">
      <c r="A1200" s="58" t="s">
        <v>2379</v>
      </c>
      <c r="B1200" s="58">
        <v>523754</v>
      </c>
      <c r="C1200" s="58" t="s">
        <v>588</v>
      </c>
      <c r="D1200" s="58" t="s">
        <v>708</v>
      </c>
    </row>
    <row r="1201" spans="1:4">
      <c r="A1201" s="58" t="s">
        <v>2380</v>
      </c>
      <c r="B1201" s="58">
        <v>530407</v>
      </c>
      <c r="C1201" s="58" t="s">
        <v>588</v>
      </c>
      <c r="D1201" s="58" t="s">
        <v>605</v>
      </c>
    </row>
    <row r="1202" spans="1:4">
      <c r="A1202" s="58" t="s">
        <v>2381</v>
      </c>
      <c r="B1202" s="58">
        <v>531155</v>
      </c>
      <c r="C1202" s="58" t="s">
        <v>588</v>
      </c>
      <c r="D1202" s="58" t="s">
        <v>626</v>
      </c>
    </row>
    <row r="1203" spans="1:4">
      <c r="A1203" s="58" t="s">
        <v>2382</v>
      </c>
      <c r="B1203" s="58">
        <v>539844</v>
      </c>
      <c r="C1203" s="58" t="s">
        <v>2383</v>
      </c>
      <c r="D1203" s="58" t="s">
        <v>754</v>
      </c>
    </row>
    <row r="1204" spans="1:4">
      <c r="A1204" s="58" t="s">
        <v>2384</v>
      </c>
      <c r="B1204" s="58">
        <v>540596</v>
      </c>
      <c r="C1204" s="58" t="s">
        <v>2385</v>
      </c>
      <c r="D1204" s="58" t="s">
        <v>626</v>
      </c>
    </row>
    <row r="1205" spans="1:4">
      <c r="A1205" s="58" t="s">
        <v>2386</v>
      </c>
      <c r="B1205" s="58">
        <v>533261</v>
      </c>
      <c r="C1205" s="58" t="s">
        <v>2387</v>
      </c>
      <c r="D1205" s="58" t="s">
        <v>591</v>
      </c>
    </row>
    <row r="1206" spans="1:4">
      <c r="A1206" s="58" t="s">
        <v>2388</v>
      </c>
      <c r="B1206" s="58">
        <v>530909</v>
      </c>
      <c r="C1206" s="58" t="s">
        <v>588</v>
      </c>
      <c r="D1206" s="58" t="s">
        <v>1009</v>
      </c>
    </row>
    <row r="1207" spans="1:4">
      <c r="A1207" s="58" t="s">
        <v>2389</v>
      </c>
      <c r="B1207" s="58">
        <v>531502</v>
      </c>
      <c r="C1207" s="58" t="s">
        <v>588</v>
      </c>
      <c r="D1207" s="58" t="s">
        <v>1009</v>
      </c>
    </row>
    <row r="1208" spans="1:4">
      <c r="A1208" s="58" t="s">
        <v>2390</v>
      </c>
      <c r="B1208" s="58">
        <v>531502</v>
      </c>
      <c r="C1208" s="58" t="s">
        <v>588</v>
      </c>
      <c r="D1208" s="58" t="s">
        <v>1009</v>
      </c>
    </row>
    <row r="1209" spans="1:4">
      <c r="A1209" s="58" t="s">
        <v>2391</v>
      </c>
      <c r="B1209" s="58">
        <v>500133</v>
      </c>
      <c r="C1209" s="58" t="s">
        <v>2392</v>
      </c>
      <c r="D1209" s="58" t="s">
        <v>773</v>
      </c>
    </row>
    <row r="1210" spans="1:4">
      <c r="A1210" s="58" t="s">
        <v>2393</v>
      </c>
      <c r="B1210" s="58">
        <v>500133</v>
      </c>
      <c r="C1210" s="58" t="s">
        <v>2394</v>
      </c>
      <c r="D1210" s="58" t="s">
        <v>773</v>
      </c>
    </row>
    <row r="1211" spans="1:4">
      <c r="A1211" s="58" t="s">
        <v>2395</v>
      </c>
      <c r="B1211" s="58">
        <v>540455</v>
      </c>
      <c r="C1211" s="58" t="s">
        <v>588</v>
      </c>
      <c r="D1211" s="58" t="s">
        <v>571</v>
      </c>
    </row>
    <row r="1212" spans="1:4">
      <c r="A1212" s="58" t="s">
        <v>2396</v>
      </c>
      <c r="B1212" s="58">
        <v>511716</v>
      </c>
      <c r="C1212" s="58" t="s">
        <v>588</v>
      </c>
      <c r="D1212" s="58" t="s">
        <v>605</v>
      </c>
    </row>
    <row r="1213" spans="1:4">
      <c r="A1213" s="58" t="s">
        <v>2397</v>
      </c>
      <c r="B1213" s="58">
        <v>500495</v>
      </c>
      <c r="C1213" s="58" t="s">
        <v>2398</v>
      </c>
      <c r="D1213" s="58" t="s">
        <v>666</v>
      </c>
    </row>
    <row r="1214" spans="1:4">
      <c r="A1214" s="58" t="s">
        <v>2399</v>
      </c>
      <c r="B1214" s="58">
        <v>531259</v>
      </c>
      <c r="C1214" s="58" t="s">
        <v>588</v>
      </c>
      <c r="D1214" s="58" t="s">
        <v>2188</v>
      </c>
    </row>
    <row r="1215" spans="1:4">
      <c r="A1215" s="58" t="s">
        <v>2400</v>
      </c>
      <c r="B1215" s="58">
        <v>514118</v>
      </c>
      <c r="C1215" s="58" t="s">
        <v>588</v>
      </c>
      <c r="D1215" s="58" t="s">
        <v>603</v>
      </c>
    </row>
    <row r="1216" spans="1:4">
      <c r="A1216" s="58" t="s">
        <v>2401</v>
      </c>
      <c r="B1216" s="58">
        <v>514118</v>
      </c>
      <c r="C1216" s="58" t="s">
        <v>588</v>
      </c>
      <c r="D1216" s="58" t="s">
        <v>603</v>
      </c>
    </row>
    <row r="1217" spans="1:4">
      <c r="A1217" s="58" t="s">
        <v>2402</v>
      </c>
      <c r="B1217" s="58">
        <v>532787</v>
      </c>
      <c r="C1217" s="58" t="s">
        <v>2403</v>
      </c>
      <c r="D1217" s="58" t="s">
        <v>2404</v>
      </c>
    </row>
    <row r="1218" spans="1:4">
      <c r="A1218" s="58" t="s">
        <v>2405</v>
      </c>
      <c r="B1218" s="58">
        <v>533149</v>
      </c>
      <c r="C1218" s="58" t="s">
        <v>588</v>
      </c>
      <c r="D1218" s="58" t="s">
        <v>571</v>
      </c>
    </row>
    <row r="1219" spans="1:4">
      <c r="A1219" s="58" t="s">
        <v>2406</v>
      </c>
      <c r="B1219" s="58">
        <v>533704</v>
      </c>
      <c r="C1219" s="58" t="s">
        <v>2407</v>
      </c>
      <c r="D1219" s="58" t="s">
        <v>1833</v>
      </c>
    </row>
    <row r="1220" spans="1:4">
      <c r="A1220" s="58" t="s">
        <v>2408</v>
      </c>
      <c r="B1220" s="58">
        <v>500135</v>
      </c>
      <c r="C1220" s="58" t="s">
        <v>2409</v>
      </c>
      <c r="D1220" s="58" t="s">
        <v>783</v>
      </c>
    </row>
    <row r="1221" spans="1:4">
      <c r="A1221" s="58" t="s">
        <v>2410</v>
      </c>
      <c r="B1221" s="58">
        <v>534927</v>
      </c>
      <c r="C1221" s="58" t="s">
        <v>588</v>
      </c>
      <c r="D1221" s="58" t="s">
        <v>786</v>
      </c>
    </row>
    <row r="1222" spans="1:4">
      <c r="A1222" s="58" t="s">
        <v>2411</v>
      </c>
      <c r="B1222" s="58">
        <v>500136</v>
      </c>
      <c r="C1222" s="58" t="s">
        <v>2412</v>
      </c>
      <c r="D1222" s="58" t="s">
        <v>636</v>
      </c>
    </row>
    <row r="1223" spans="1:4">
      <c r="A1223" s="58" t="s">
        <v>2413</v>
      </c>
      <c r="B1223" s="58">
        <v>537707</v>
      </c>
      <c r="C1223" s="58" t="s">
        <v>588</v>
      </c>
      <c r="D1223" s="58" t="s">
        <v>674</v>
      </c>
    </row>
    <row r="1224" spans="1:4">
      <c r="A1224" s="58" t="s">
        <v>2414</v>
      </c>
      <c r="B1224" s="58">
        <v>521137</v>
      </c>
      <c r="C1224" s="58" t="s">
        <v>588</v>
      </c>
      <c r="D1224" s="58" t="s">
        <v>603</v>
      </c>
    </row>
    <row r="1225" spans="1:4">
      <c r="A1225" s="58" t="s">
        <v>2415</v>
      </c>
      <c r="B1225" s="58">
        <v>530929</v>
      </c>
      <c r="C1225" s="58" t="s">
        <v>588</v>
      </c>
      <c r="D1225" s="58" t="s">
        <v>610</v>
      </c>
    </row>
    <row r="1226" spans="1:4">
      <c r="A1226" s="58" t="s">
        <v>2416</v>
      </c>
      <c r="B1226" s="58">
        <v>532823</v>
      </c>
      <c r="C1226" s="58" t="s">
        <v>2417</v>
      </c>
      <c r="D1226" s="58" t="s">
        <v>865</v>
      </c>
    </row>
    <row r="1227" spans="1:4">
      <c r="A1227" s="58" t="s">
        <v>2418</v>
      </c>
      <c r="B1227" s="58" t="s">
        <v>588</v>
      </c>
      <c r="C1227" s="58" t="s">
        <v>2419</v>
      </c>
      <c r="D1227" s="58" t="s">
        <v>599</v>
      </c>
    </row>
    <row r="1228" spans="1:4">
      <c r="A1228" s="58" t="s">
        <v>2420</v>
      </c>
      <c r="B1228" s="58">
        <v>533109</v>
      </c>
      <c r="C1228" s="58" t="s">
        <v>2421</v>
      </c>
      <c r="D1228" s="58" t="s">
        <v>685</v>
      </c>
    </row>
    <row r="1229" spans="1:4">
      <c r="A1229" s="58" t="s">
        <v>2422</v>
      </c>
      <c r="B1229" s="58">
        <v>521014</v>
      </c>
      <c r="C1229" s="58" t="s">
        <v>588</v>
      </c>
      <c r="D1229" s="58" t="s">
        <v>603</v>
      </c>
    </row>
    <row r="1230" spans="1:4">
      <c r="A1230" s="58" t="s">
        <v>2423</v>
      </c>
      <c r="B1230" s="58" t="s">
        <v>588</v>
      </c>
      <c r="C1230" s="58" t="s">
        <v>2424</v>
      </c>
      <c r="D1230" s="58" t="s">
        <v>603</v>
      </c>
    </row>
    <row r="1231" spans="1:4">
      <c r="A1231" s="58" t="s">
        <v>2425</v>
      </c>
      <c r="B1231" s="58">
        <v>542668</v>
      </c>
      <c r="C1231" s="58" t="s">
        <v>2426</v>
      </c>
      <c r="D1231" s="58" t="s">
        <v>1009</v>
      </c>
    </row>
    <row r="1232" spans="1:4">
      <c r="A1232" s="58" t="s">
        <v>2427</v>
      </c>
      <c r="B1232" s="58">
        <v>531508</v>
      </c>
      <c r="C1232" s="58" t="s">
        <v>2428</v>
      </c>
      <c r="D1232" s="58" t="s">
        <v>1134</v>
      </c>
    </row>
    <row r="1233" spans="1:4">
      <c r="A1233" s="58" t="s">
        <v>2429</v>
      </c>
      <c r="B1233" s="58">
        <v>531508</v>
      </c>
      <c r="C1233" s="58" t="s">
        <v>2428</v>
      </c>
      <c r="D1233" s="58" t="s">
        <v>1134</v>
      </c>
    </row>
    <row r="1234" spans="1:4">
      <c r="A1234" s="58" t="s">
        <v>2430</v>
      </c>
      <c r="B1234" s="58">
        <v>508906</v>
      </c>
      <c r="C1234" s="58" t="s">
        <v>2431</v>
      </c>
      <c r="D1234" s="58" t="s">
        <v>601</v>
      </c>
    </row>
    <row r="1235" spans="1:4">
      <c r="A1235" s="58" t="s">
        <v>2432</v>
      </c>
      <c r="B1235" s="58">
        <v>532684</v>
      </c>
      <c r="C1235" s="58" t="s">
        <v>2433</v>
      </c>
      <c r="D1235" s="58" t="s">
        <v>1506</v>
      </c>
    </row>
    <row r="1236" spans="1:4">
      <c r="A1236" s="58" t="s">
        <v>2434</v>
      </c>
      <c r="B1236" s="58">
        <v>524790</v>
      </c>
      <c r="C1236" s="58" t="s">
        <v>588</v>
      </c>
      <c r="D1236" s="58" t="s">
        <v>626</v>
      </c>
    </row>
    <row r="1237" spans="1:4">
      <c r="A1237" s="58" t="s">
        <v>2435</v>
      </c>
      <c r="B1237" s="58">
        <v>514060</v>
      </c>
      <c r="C1237" s="58" t="s">
        <v>588</v>
      </c>
      <c r="D1237" s="58" t="s">
        <v>603</v>
      </c>
    </row>
    <row r="1238" spans="1:4">
      <c r="A1238" s="58" t="s">
        <v>2436</v>
      </c>
      <c r="B1238" s="58">
        <v>514358</v>
      </c>
      <c r="C1238" s="58" t="s">
        <v>588</v>
      </c>
      <c r="D1238" s="58" t="s">
        <v>603</v>
      </c>
    </row>
    <row r="1239" spans="1:4">
      <c r="A1239" s="58" t="s">
        <v>2437</v>
      </c>
      <c r="B1239" s="58">
        <v>532511</v>
      </c>
      <c r="C1239" s="58" t="s">
        <v>2438</v>
      </c>
      <c r="D1239" s="58" t="s">
        <v>732</v>
      </c>
    </row>
    <row r="1240" spans="1:4">
      <c r="A1240" s="58" t="s">
        <v>2439</v>
      </c>
      <c r="B1240" s="58">
        <v>500650</v>
      </c>
      <c r="C1240" s="58" t="s">
        <v>2440</v>
      </c>
      <c r="D1240" s="58" t="s">
        <v>748</v>
      </c>
    </row>
    <row r="1241" spans="1:4">
      <c r="A1241" s="58" t="s">
        <v>2441</v>
      </c>
      <c r="B1241" s="58">
        <v>533090</v>
      </c>
      <c r="C1241" s="58" t="s">
        <v>2442</v>
      </c>
      <c r="D1241" s="58" t="s">
        <v>918</v>
      </c>
    </row>
    <row r="1242" spans="1:4">
      <c r="A1242" s="58" t="s">
        <v>2443</v>
      </c>
      <c r="B1242" s="58">
        <v>500086</v>
      </c>
      <c r="C1242" s="58" t="s">
        <v>2444</v>
      </c>
      <c r="D1242" s="58" t="s">
        <v>943</v>
      </c>
    </row>
    <row r="1243" spans="1:4">
      <c r="A1243" s="58" t="s">
        <v>2445</v>
      </c>
      <c r="B1243" s="58" t="s">
        <v>588</v>
      </c>
      <c r="C1243" s="58" t="s">
        <v>2446</v>
      </c>
      <c r="D1243" s="58" t="s">
        <v>943</v>
      </c>
    </row>
    <row r="1244" spans="1:4">
      <c r="A1244" s="58" t="s">
        <v>2447</v>
      </c>
      <c r="B1244" s="58">
        <v>530571</v>
      </c>
      <c r="C1244" s="58" t="s">
        <v>588</v>
      </c>
      <c r="D1244" s="58" t="s">
        <v>1009</v>
      </c>
    </row>
    <row r="1245" spans="1:4">
      <c r="A1245" s="58" t="s">
        <v>2448</v>
      </c>
      <c r="B1245" s="58">
        <v>526614</v>
      </c>
      <c r="C1245" s="58" t="s">
        <v>588</v>
      </c>
      <c r="D1245" s="58" t="s">
        <v>1506</v>
      </c>
    </row>
    <row r="1246" spans="1:4">
      <c r="A1246" s="58" t="s">
        <v>2449</v>
      </c>
      <c r="B1246" s="58">
        <v>539552</v>
      </c>
      <c r="C1246" s="58" t="s">
        <v>588</v>
      </c>
      <c r="D1246" s="58" t="s">
        <v>605</v>
      </c>
    </row>
    <row r="1247" spans="1:4">
      <c r="A1247" s="58" t="s">
        <v>2450</v>
      </c>
      <c r="B1247" s="58">
        <v>532656</v>
      </c>
      <c r="C1247" s="58" t="s">
        <v>588</v>
      </c>
      <c r="D1247" s="58" t="s">
        <v>620</v>
      </c>
    </row>
    <row r="1248" spans="1:4">
      <c r="A1248" s="58" t="s">
        <v>2451</v>
      </c>
      <c r="B1248" s="58">
        <v>514474</v>
      </c>
      <c r="C1248" s="58" t="s">
        <v>588</v>
      </c>
      <c r="D1248" s="58" t="s">
        <v>603</v>
      </c>
    </row>
    <row r="1249" spans="1:4">
      <c r="A1249" s="58" t="s">
        <v>2452</v>
      </c>
      <c r="B1249" s="58">
        <v>530117</v>
      </c>
      <c r="C1249" s="58" t="s">
        <v>2453</v>
      </c>
      <c r="D1249" s="58" t="s">
        <v>748</v>
      </c>
    </row>
    <row r="1250" spans="1:4">
      <c r="A1250" s="58" t="s">
        <v>2454</v>
      </c>
      <c r="B1250" s="58">
        <v>530079</v>
      </c>
      <c r="C1250" s="58" t="s">
        <v>588</v>
      </c>
      <c r="D1250" s="58" t="s">
        <v>603</v>
      </c>
    </row>
    <row r="1251" spans="1:4">
      <c r="A1251" s="58" t="s">
        <v>2455</v>
      </c>
      <c r="B1251" s="58">
        <v>532666</v>
      </c>
      <c r="C1251" s="58" t="s">
        <v>2456</v>
      </c>
      <c r="D1251" s="58" t="s">
        <v>574</v>
      </c>
    </row>
    <row r="1252" spans="1:4">
      <c r="A1252" s="58" t="s">
        <v>2457</v>
      </c>
      <c r="B1252" s="58">
        <v>531599</v>
      </c>
      <c r="C1252" s="58" t="s">
        <v>2458</v>
      </c>
      <c r="D1252" s="58" t="s">
        <v>626</v>
      </c>
    </row>
    <row r="1253" spans="1:4">
      <c r="A1253" s="58" t="s">
        <v>2459</v>
      </c>
      <c r="B1253" s="58">
        <v>505744</v>
      </c>
      <c r="C1253" s="58" t="s">
        <v>2460</v>
      </c>
      <c r="D1253" s="58" t="s">
        <v>943</v>
      </c>
    </row>
    <row r="1254" spans="1:4">
      <c r="A1254" s="58" t="s">
        <v>2461</v>
      </c>
      <c r="B1254" s="58">
        <v>505744</v>
      </c>
      <c r="C1254" s="58" t="s">
        <v>2460</v>
      </c>
      <c r="D1254" s="58" t="s">
        <v>943</v>
      </c>
    </row>
    <row r="1255" spans="1:4">
      <c r="A1255" s="58" t="s">
        <v>2462</v>
      </c>
      <c r="B1255" s="58" t="s">
        <v>588</v>
      </c>
      <c r="C1255" s="58" t="s">
        <v>2463</v>
      </c>
      <c r="D1255" s="58" t="s">
        <v>599</v>
      </c>
    </row>
    <row r="1256" spans="1:4">
      <c r="A1256" s="58" t="s">
        <v>2464</v>
      </c>
      <c r="B1256" s="58">
        <v>526689</v>
      </c>
      <c r="C1256" s="58" t="s">
        <v>588</v>
      </c>
      <c r="D1256" s="58" t="s">
        <v>708</v>
      </c>
    </row>
    <row r="1257" spans="1:4">
      <c r="A1257" s="58" t="s">
        <v>2465</v>
      </c>
      <c r="B1257" s="58">
        <v>500141</v>
      </c>
      <c r="C1257" s="58" t="s">
        <v>588</v>
      </c>
      <c r="D1257" s="58" t="s">
        <v>620</v>
      </c>
    </row>
    <row r="1258" spans="1:4">
      <c r="A1258" s="58" t="s">
        <v>2466</v>
      </c>
      <c r="B1258" s="58">
        <v>590024</v>
      </c>
      <c r="C1258" s="58" t="s">
        <v>2467</v>
      </c>
      <c r="D1258" s="58" t="s">
        <v>1096</v>
      </c>
    </row>
    <row r="1259" spans="1:4">
      <c r="A1259" s="58" t="s">
        <v>2468</v>
      </c>
      <c r="B1259" s="58">
        <v>533896</v>
      </c>
      <c r="C1259" s="58" t="s">
        <v>588</v>
      </c>
      <c r="D1259" s="58" t="s">
        <v>626</v>
      </c>
    </row>
    <row r="1260" spans="1:4">
      <c r="A1260" s="58" t="s">
        <v>2469</v>
      </c>
      <c r="B1260" s="58">
        <v>500142</v>
      </c>
      <c r="C1260" s="58" t="s">
        <v>588</v>
      </c>
      <c r="D1260" s="58" t="s">
        <v>605</v>
      </c>
    </row>
    <row r="1261" spans="1:4">
      <c r="A1261" s="58" t="s">
        <v>2470</v>
      </c>
      <c r="B1261" s="58">
        <v>507910</v>
      </c>
      <c r="C1261" s="58" t="s">
        <v>588</v>
      </c>
      <c r="D1261" s="58" t="s">
        <v>708</v>
      </c>
    </row>
    <row r="1262" spans="1:4">
      <c r="A1262" s="58" t="s">
        <v>2471</v>
      </c>
      <c r="B1262" s="58">
        <v>507910</v>
      </c>
      <c r="C1262" s="58" t="s">
        <v>588</v>
      </c>
      <c r="D1262" s="58" t="s">
        <v>708</v>
      </c>
    </row>
    <row r="1263" spans="1:4">
      <c r="A1263" s="58" t="s">
        <v>2472</v>
      </c>
      <c r="B1263" s="58">
        <v>532768</v>
      </c>
      <c r="C1263" s="58" t="s">
        <v>2473</v>
      </c>
      <c r="D1263" s="58" t="s">
        <v>943</v>
      </c>
    </row>
    <row r="1264" spans="1:4">
      <c r="A1264" s="58" t="s">
        <v>2474</v>
      </c>
      <c r="B1264" s="58">
        <v>526227</v>
      </c>
      <c r="C1264" s="58" t="s">
        <v>2475</v>
      </c>
      <c r="D1264" s="58" t="s">
        <v>603</v>
      </c>
    </row>
    <row r="1265" spans="1:4">
      <c r="A1265" s="58" t="s">
        <v>2476</v>
      </c>
      <c r="B1265" s="58">
        <v>532022</v>
      </c>
      <c r="C1265" s="58" t="s">
        <v>588</v>
      </c>
      <c r="D1265" s="58" t="s">
        <v>603</v>
      </c>
    </row>
    <row r="1266" spans="1:4">
      <c r="A1266" s="58" t="s">
        <v>2477</v>
      </c>
      <c r="B1266" s="58">
        <v>526227</v>
      </c>
      <c r="C1266" s="58" t="s">
        <v>2475</v>
      </c>
      <c r="D1266" s="58" t="s">
        <v>603</v>
      </c>
    </row>
    <row r="1267" spans="1:4">
      <c r="A1267" s="58" t="s">
        <v>2478</v>
      </c>
      <c r="B1267" s="58">
        <v>539098</v>
      </c>
      <c r="C1267" s="58" t="s">
        <v>588</v>
      </c>
      <c r="D1267" s="58" t="s">
        <v>613</v>
      </c>
    </row>
    <row r="1268" spans="1:4">
      <c r="A1268" s="58" t="s">
        <v>2479</v>
      </c>
      <c r="B1268" s="58">
        <v>541557</v>
      </c>
      <c r="C1268" s="58" t="s">
        <v>2480</v>
      </c>
      <c r="D1268" s="58" t="s">
        <v>748</v>
      </c>
    </row>
    <row r="1269" spans="1:4">
      <c r="A1269" s="58" t="s">
        <v>2481</v>
      </c>
      <c r="B1269" s="58">
        <v>517264</v>
      </c>
      <c r="C1269" s="58" t="s">
        <v>2482</v>
      </c>
      <c r="D1269" s="58" t="s">
        <v>1130</v>
      </c>
    </row>
    <row r="1270" spans="1:4">
      <c r="A1270" s="58" t="s">
        <v>2483</v>
      </c>
      <c r="B1270" s="58">
        <v>533333</v>
      </c>
      <c r="C1270" s="58" t="s">
        <v>2484</v>
      </c>
      <c r="D1270" s="58" t="s">
        <v>748</v>
      </c>
    </row>
    <row r="1271" spans="1:4">
      <c r="A1271" s="58" t="s">
        <v>2485</v>
      </c>
      <c r="B1271" s="58">
        <v>508954</v>
      </c>
      <c r="C1271" s="58" t="s">
        <v>588</v>
      </c>
      <c r="D1271" s="58" t="s">
        <v>605</v>
      </c>
    </row>
    <row r="1272" spans="1:4">
      <c r="A1272" s="58" t="s">
        <v>2486</v>
      </c>
      <c r="B1272" s="58">
        <v>500144</v>
      </c>
      <c r="C1272" s="58" t="s">
        <v>2487</v>
      </c>
      <c r="D1272" s="58" t="s">
        <v>886</v>
      </c>
    </row>
    <row r="1273" spans="1:4">
      <c r="A1273" s="58" t="s">
        <v>2488</v>
      </c>
      <c r="B1273" s="58">
        <v>500940</v>
      </c>
      <c r="C1273" s="58" t="s">
        <v>2489</v>
      </c>
      <c r="D1273" s="58" t="s">
        <v>708</v>
      </c>
    </row>
    <row r="1274" spans="1:4">
      <c r="A1274" s="58" t="s">
        <v>2490</v>
      </c>
      <c r="B1274" s="58">
        <v>511122</v>
      </c>
      <c r="C1274" s="58" t="s">
        <v>588</v>
      </c>
      <c r="D1274" s="58" t="s">
        <v>605</v>
      </c>
    </row>
    <row r="1275" spans="1:4">
      <c r="A1275" s="58" t="s">
        <v>2491</v>
      </c>
      <c r="B1275" s="58">
        <v>511122</v>
      </c>
      <c r="C1275" s="58" t="s">
        <v>588</v>
      </c>
      <c r="D1275" s="58" t="s">
        <v>605</v>
      </c>
    </row>
    <row r="1276" spans="1:4">
      <c r="A1276" s="58" t="s">
        <v>2492</v>
      </c>
      <c r="B1276" s="58">
        <v>532379</v>
      </c>
      <c r="C1276" s="58" t="s">
        <v>588</v>
      </c>
      <c r="D1276" s="58" t="s">
        <v>681</v>
      </c>
    </row>
    <row r="1277" spans="1:4">
      <c r="A1277" s="58" t="s">
        <v>2493</v>
      </c>
      <c r="B1277" s="58">
        <v>532809</v>
      </c>
      <c r="C1277" s="58" t="s">
        <v>2494</v>
      </c>
      <c r="D1277" s="58" t="s">
        <v>918</v>
      </c>
    </row>
    <row r="1278" spans="1:4">
      <c r="A1278" s="58" t="s">
        <v>2495</v>
      </c>
      <c r="B1278" s="58">
        <v>524743</v>
      </c>
      <c r="C1278" s="58" t="s">
        <v>588</v>
      </c>
      <c r="D1278" s="58" t="s">
        <v>636</v>
      </c>
    </row>
    <row r="1279" spans="1:4">
      <c r="A1279" s="58" t="s">
        <v>2496</v>
      </c>
      <c r="B1279" s="58" t="s">
        <v>588</v>
      </c>
      <c r="C1279" s="58" t="s">
        <v>2497</v>
      </c>
      <c r="D1279" s="58" t="s">
        <v>599</v>
      </c>
    </row>
    <row r="1280" spans="1:4">
      <c r="A1280" s="58" t="s">
        <v>2498</v>
      </c>
      <c r="B1280" s="58">
        <v>530885</v>
      </c>
      <c r="C1280" s="58" t="s">
        <v>588</v>
      </c>
      <c r="D1280" s="58" t="s">
        <v>574</v>
      </c>
    </row>
    <row r="1281" spans="1:4">
      <c r="A1281" s="58" t="s">
        <v>2499</v>
      </c>
      <c r="B1281" s="58">
        <v>536751</v>
      </c>
      <c r="C1281" s="58" t="s">
        <v>588</v>
      </c>
      <c r="D1281" s="58" t="s">
        <v>571</v>
      </c>
    </row>
    <row r="1282" spans="1:4">
      <c r="A1282" s="58" t="s">
        <v>2500</v>
      </c>
      <c r="B1282" s="58">
        <v>523672</v>
      </c>
      <c r="C1282" s="58" t="s">
        <v>588</v>
      </c>
      <c r="D1282" s="58" t="s">
        <v>786</v>
      </c>
    </row>
    <row r="1283" spans="1:4">
      <c r="A1283" s="58" t="s">
        <v>2501</v>
      </c>
      <c r="B1283" s="58">
        <v>533638</v>
      </c>
      <c r="C1283" s="58" t="s">
        <v>2502</v>
      </c>
      <c r="D1283" s="58" t="s">
        <v>708</v>
      </c>
    </row>
    <row r="1284" spans="1:4">
      <c r="A1284" s="58" t="s">
        <v>2503</v>
      </c>
      <c r="B1284" s="58">
        <v>540267</v>
      </c>
      <c r="C1284" s="58" t="s">
        <v>588</v>
      </c>
      <c r="D1284" s="58" t="s">
        <v>610</v>
      </c>
    </row>
    <row r="1285" spans="1:4">
      <c r="A1285" s="58" t="s">
        <v>2504</v>
      </c>
      <c r="B1285" s="58">
        <v>530705</v>
      </c>
      <c r="C1285" s="58" t="s">
        <v>588</v>
      </c>
      <c r="D1285" s="58" t="s">
        <v>603</v>
      </c>
    </row>
    <row r="1286" spans="1:4">
      <c r="A1286" s="58" t="s">
        <v>2505</v>
      </c>
      <c r="B1286" s="58">
        <v>532518</v>
      </c>
      <c r="C1286" s="58" t="s">
        <v>588</v>
      </c>
      <c r="D1286" s="58" t="s">
        <v>608</v>
      </c>
    </row>
    <row r="1287" spans="1:4">
      <c r="A1287" s="58" t="s">
        <v>2506</v>
      </c>
      <c r="B1287" s="58">
        <v>522017</v>
      </c>
      <c r="C1287" s="58" t="s">
        <v>588</v>
      </c>
      <c r="D1287" s="58" t="s">
        <v>886</v>
      </c>
    </row>
    <row r="1288" spans="1:4">
      <c r="A1288" s="58" t="s">
        <v>2507</v>
      </c>
      <c r="B1288" s="58">
        <v>534757</v>
      </c>
      <c r="C1288" s="58" t="s">
        <v>588</v>
      </c>
      <c r="D1288" s="58" t="s">
        <v>605</v>
      </c>
    </row>
    <row r="1289" spans="1:4">
      <c r="A1289" s="58" t="s">
        <v>2508</v>
      </c>
      <c r="B1289" s="58" t="s">
        <v>588</v>
      </c>
      <c r="C1289" s="58" t="s">
        <v>2509</v>
      </c>
      <c r="D1289" s="58" t="s">
        <v>599</v>
      </c>
    </row>
    <row r="1290" spans="1:4">
      <c r="A1290" s="58" t="s">
        <v>2510</v>
      </c>
      <c r="B1290" s="58">
        <v>540945</v>
      </c>
      <c r="C1290" s="58" t="s">
        <v>588</v>
      </c>
      <c r="D1290" s="58" t="s">
        <v>672</v>
      </c>
    </row>
    <row r="1291" spans="1:4">
      <c r="A1291" s="58" t="s">
        <v>2511</v>
      </c>
      <c r="B1291" s="58">
        <v>503831</v>
      </c>
      <c r="C1291" s="58" t="s">
        <v>588</v>
      </c>
      <c r="D1291" s="58" t="s">
        <v>789</v>
      </c>
    </row>
    <row r="1292" spans="1:4">
      <c r="A1292" s="58" t="s">
        <v>2512</v>
      </c>
      <c r="B1292" s="58">
        <v>507552</v>
      </c>
      <c r="C1292" s="58" t="s">
        <v>588</v>
      </c>
      <c r="D1292" s="58" t="s">
        <v>668</v>
      </c>
    </row>
    <row r="1293" spans="1:4">
      <c r="A1293" s="58" t="s">
        <v>2513</v>
      </c>
      <c r="B1293" s="58">
        <v>502865</v>
      </c>
      <c r="C1293" s="58" t="s">
        <v>588</v>
      </c>
      <c r="D1293" s="58" t="s">
        <v>596</v>
      </c>
    </row>
    <row r="1294" spans="1:4">
      <c r="A1294" s="58" t="s">
        <v>2514</v>
      </c>
      <c r="B1294" s="58">
        <v>500033</v>
      </c>
      <c r="C1294" s="58" t="s">
        <v>588</v>
      </c>
      <c r="D1294" s="58" t="s">
        <v>2515</v>
      </c>
    </row>
    <row r="1295" spans="1:4">
      <c r="A1295" s="58" t="s">
        <v>2516</v>
      </c>
      <c r="B1295" s="58">
        <v>532843</v>
      </c>
      <c r="C1295" s="58" t="s">
        <v>2517</v>
      </c>
      <c r="D1295" s="58" t="s">
        <v>1058</v>
      </c>
    </row>
    <row r="1296" spans="1:4">
      <c r="A1296" s="58" t="s">
        <v>2518</v>
      </c>
      <c r="B1296" s="58">
        <v>523696</v>
      </c>
      <c r="C1296" s="58" t="s">
        <v>588</v>
      </c>
      <c r="D1296" s="58" t="s">
        <v>777</v>
      </c>
    </row>
    <row r="1297" spans="1:4">
      <c r="A1297" s="58" t="s">
        <v>2519</v>
      </c>
      <c r="B1297" s="58">
        <v>530213</v>
      </c>
      <c r="C1297" s="58" t="s">
        <v>588</v>
      </c>
      <c r="D1297" s="58" t="s">
        <v>610</v>
      </c>
    </row>
    <row r="1298" spans="1:4">
      <c r="A1298" s="58" t="s">
        <v>2520</v>
      </c>
      <c r="B1298" s="58">
        <v>500150</v>
      </c>
      <c r="C1298" s="58" t="s">
        <v>2521</v>
      </c>
      <c r="D1298" s="58" t="s">
        <v>636</v>
      </c>
    </row>
    <row r="1299" spans="1:4">
      <c r="A1299" s="58" t="s">
        <v>2522</v>
      </c>
      <c r="B1299" s="58">
        <v>500150</v>
      </c>
      <c r="C1299" s="58" t="s">
        <v>2521</v>
      </c>
      <c r="D1299" s="58" t="s">
        <v>636</v>
      </c>
    </row>
    <row r="1300" spans="1:4">
      <c r="A1300" s="58" t="s">
        <v>2523</v>
      </c>
      <c r="B1300" s="58">
        <v>513579</v>
      </c>
      <c r="C1300" s="58" t="s">
        <v>588</v>
      </c>
      <c r="D1300" s="58" t="s">
        <v>1265</v>
      </c>
    </row>
    <row r="1301" spans="1:4">
      <c r="A1301" s="58" t="s">
        <v>2524</v>
      </c>
      <c r="B1301" s="58" t="s">
        <v>588</v>
      </c>
      <c r="C1301" s="58" t="s">
        <v>2525</v>
      </c>
      <c r="D1301" s="58" t="s">
        <v>599</v>
      </c>
    </row>
    <row r="1302" spans="1:4">
      <c r="A1302" s="58" t="s">
        <v>2526</v>
      </c>
      <c r="B1302" s="58">
        <v>532403</v>
      </c>
      <c r="C1302" s="58" t="s">
        <v>588</v>
      </c>
      <c r="D1302" s="58" t="s">
        <v>681</v>
      </c>
    </row>
    <row r="1303" spans="1:4">
      <c r="A1303" s="58" t="s">
        <v>2527</v>
      </c>
      <c r="B1303" s="58">
        <v>540190</v>
      </c>
      <c r="C1303" s="58" t="s">
        <v>588</v>
      </c>
      <c r="D1303" s="58" t="s">
        <v>610</v>
      </c>
    </row>
    <row r="1304" spans="1:4">
      <c r="A1304" s="58" t="s">
        <v>2528</v>
      </c>
      <c r="B1304" s="58">
        <v>539839</v>
      </c>
      <c r="C1304" s="58" t="s">
        <v>588</v>
      </c>
      <c r="D1304" s="58" t="s">
        <v>605</v>
      </c>
    </row>
    <row r="1305" spans="1:4">
      <c r="A1305" s="58" t="s">
        <v>2529</v>
      </c>
      <c r="B1305" s="58">
        <v>539032</v>
      </c>
      <c r="C1305" s="58" t="s">
        <v>2530</v>
      </c>
      <c r="D1305" s="58" t="s">
        <v>954</v>
      </c>
    </row>
    <row r="1306" spans="1:4">
      <c r="A1306" s="58" t="s">
        <v>2531</v>
      </c>
      <c r="B1306" s="58">
        <v>539730</v>
      </c>
      <c r="C1306" s="58" t="s">
        <v>588</v>
      </c>
      <c r="D1306" s="58" t="s">
        <v>626</v>
      </c>
    </row>
    <row r="1307" spans="1:4">
      <c r="A1307" s="58" t="s">
        <v>2532</v>
      </c>
      <c r="B1307" s="58">
        <v>530077</v>
      </c>
      <c r="C1307" s="58" t="s">
        <v>588</v>
      </c>
      <c r="D1307" s="58" t="s">
        <v>786</v>
      </c>
    </row>
    <row r="1308" spans="1:4">
      <c r="A1308" s="58" t="s">
        <v>2533</v>
      </c>
      <c r="B1308" s="58">
        <v>508980</v>
      </c>
      <c r="C1308" s="58" t="s">
        <v>588</v>
      </c>
      <c r="D1308" s="58" t="s">
        <v>1009</v>
      </c>
    </row>
    <row r="1309" spans="1:4">
      <c r="A1309" s="58" t="s">
        <v>2534</v>
      </c>
      <c r="B1309" s="58">
        <v>522195</v>
      </c>
      <c r="C1309" s="58" t="s">
        <v>588</v>
      </c>
      <c r="D1309" s="58" t="s">
        <v>943</v>
      </c>
    </row>
    <row r="1310" spans="1:4">
      <c r="A1310" s="58" t="s">
        <v>2535</v>
      </c>
      <c r="B1310" s="58">
        <v>521167</v>
      </c>
      <c r="C1310" s="58" t="s">
        <v>2536</v>
      </c>
      <c r="D1310" s="58" t="s">
        <v>1144</v>
      </c>
    </row>
    <row r="1311" spans="1:4">
      <c r="A1311" s="58" t="s">
        <v>2537</v>
      </c>
      <c r="B1311" s="58">
        <v>532042</v>
      </c>
      <c r="C1311" s="58" t="s">
        <v>588</v>
      </c>
      <c r="D1311" s="58" t="s">
        <v>660</v>
      </c>
    </row>
    <row r="1312" spans="1:4">
      <c r="A1312" s="58" t="s">
        <v>2538</v>
      </c>
      <c r="B1312" s="58">
        <v>533213</v>
      </c>
      <c r="C1312" s="58" t="s">
        <v>588</v>
      </c>
      <c r="D1312" s="58" t="s">
        <v>571</v>
      </c>
    </row>
    <row r="1313" spans="1:4">
      <c r="A1313" s="58" t="s">
        <v>2539</v>
      </c>
      <c r="B1313" s="58">
        <v>538568</v>
      </c>
      <c r="C1313" s="58" t="s">
        <v>588</v>
      </c>
      <c r="D1313" s="58" t="s">
        <v>610</v>
      </c>
    </row>
    <row r="1314" spans="1:4">
      <c r="A1314" s="58" t="s">
        <v>2540</v>
      </c>
      <c r="B1314" s="58">
        <v>539169</v>
      </c>
      <c r="C1314" s="58" t="s">
        <v>588</v>
      </c>
      <c r="D1314" s="58" t="s">
        <v>574</v>
      </c>
    </row>
    <row r="1315" spans="1:4">
      <c r="A1315" s="58" t="s">
        <v>2541</v>
      </c>
      <c r="B1315" s="58">
        <v>533400</v>
      </c>
      <c r="C1315" s="58" t="s">
        <v>2542</v>
      </c>
      <c r="D1315" s="58" t="s">
        <v>648</v>
      </c>
    </row>
    <row r="1316" spans="1:4">
      <c r="A1316" s="58" t="s">
        <v>2543</v>
      </c>
      <c r="B1316" s="58">
        <v>523574</v>
      </c>
      <c r="C1316" s="58" t="s">
        <v>2544</v>
      </c>
      <c r="D1316" s="58" t="s">
        <v>757</v>
      </c>
    </row>
    <row r="1317" spans="1:4">
      <c r="A1317" s="58" t="s">
        <v>2543</v>
      </c>
      <c r="B1317" s="58">
        <v>570002</v>
      </c>
      <c r="C1317" s="58" t="s">
        <v>2545</v>
      </c>
      <c r="D1317" s="58" t="s">
        <v>757</v>
      </c>
    </row>
    <row r="1318" spans="1:4">
      <c r="A1318" s="58" t="s">
        <v>2546</v>
      </c>
      <c r="B1318" s="58">
        <v>536507</v>
      </c>
      <c r="C1318" s="58" t="s">
        <v>2547</v>
      </c>
      <c r="D1318" s="58" t="s">
        <v>757</v>
      </c>
    </row>
    <row r="1319" spans="1:4">
      <c r="A1319" s="58" t="s">
        <v>2548</v>
      </c>
      <c r="B1319" s="58">
        <v>533296</v>
      </c>
      <c r="C1319" s="58" t="s">
        <v>2549</v>
      </c>
      <c r="D1319" s="58" t="s">
        <v>757</v>
      </c>
    </row>
    <row r="1320" spans="1:4">
      <c r="A1320" s="58" t="s">
        <v>2550</v>
      </c>
      <c r="B1320" s="58">
        <v>540064</v>
      </c>
      <c r="C1320" s="58" t="s">
        <v>2551</v>
      </c>
      <c r="D1320" s="58" t="s">
        <v>757</v>
      </c>
    </row>
    <row r="1321" spans="1:4">
      <c r="A1321" s="58" t="s">
        <v>2552</v>
      </c>
      <c r="B1321" s="58">
        <v>540798</v>
      </c>
      <c r="C1321" s="58" t="s">
        <v>2553</v>
      </c>
      <c r="D1321" s="58" t="s">
        <v>909</v>
      </c>
    </row>
    <row r="1322" spans="1:4">
      <c r="A1322" s="58" t="s">
        <v>2554</v>
      </c>
      <c r="B1322" s="58">
        <v>523113</v>
      </c>
      <c r="C1322" s="58" t="s">
        <v>588</v>
      </c>
      <c r="D1322" s="58" t="s">
        <v>605</v>
      </c>
    </row>
    <row r="1323" spans="1:4">
      <c r="A1323" s="58" t="s">
        <v>2555</v>
      </c>
      <c r="B1323" s="58">
        <v>534063</v>
      </c>
      <c r="C1323" s="58" t="s">
        <v>588</v>
      </c>
      <c r="D1323" s="58" t="s">
        <v>571</v>
      </c>
    </row>
    <row r="1324" spans="1:4">
      <c r="A1324" s="58" t="s">
        <v>2556</v>
      </c>
      <c r="B1324" s="58">
        <v>504346</v>
      </c>
      <c r="C1324" s="58" t="s">
        <v>588</v>
      </c>
      <c r="D1324" s="58" t="s">
        <v>571</v>
      </c>
    </row>
    <row r="1325" spans="1:4">
      <c r="A1325" s="58" t="s">
        <v>2557</v>
      </c>
      <c r="B1325" s="58">
        <v>505250</v>
      </c>
      <c r="C1325" s="58" t="s">
        <v>588</v>
      </c>
      <c r="D1325" s="58" t="s">
        <v>596</v>
      </c>
    </row>
    <row r="1326" spans="1:4">
      <c r="A1326" s="58" t="s">
        <v>2558</v>
      </c>
      <c r="B1326" s="58">
        <v>540614</v>
      </c>
      <c r="C1326" s="58" t="s">
        <v>588</v>
      </c>
      <c r="D1326" s="58" t="s">
        <v>631</v>
      </c>
    </row>
    <row r="1327" spans="1:4">
      <c r="A1327" s="58" t="s">
        <v>2559</v>
      </c>
      <c r="B1327" s="58">
        <v>531758</v>
      </c>
      <c r="C1327" s="58" t="s">
        <v>588</v>
      </c>
      <c r="D1327" s="58" t="s">
        <v>605</v>
      </c>
    </row>
    <row r="1328" spans="1:4">
      <c r="A1328" s="58" t="s">
        <v>2560</v>
      </c>
      <c r="B1328" s="58">
        <v>513059</v>
      </c>
      <c r="C1328" s="58" t="s">
        <v>588</v>
      </c>
      <c r="D1328" s="58" t="s">
        <v>943</v>
      </c>
    </row>
    <row r="1329" spans="1:4">
      <c r="A1329" s="58" t="s">
        <v>2561</v>
      </c>
      <c r="B1329" s="58">
        <v>542666</v>
      </c>
      <c r="C1329" s="58" t="s">
        <v>2562</v>
      </c>
      <c r="D1329" s="58" t="s">
        <v>2563</v>
      </c>
    </row>
    <row r="1330" spans="1:4">
      <c r="A1330" s="58" t="s">
        <v>2564</v>
      </c>
      <c r="B1330" s="58">
        <v>505714</v>
      </c>
      <c r="C1330" s="58" t="s">
        <v>2565</v>
      </c>
      <c r="D1330" s="58" t="s">
        <v>943</v>
      </c>
    </row>
    <row r="1331" spans="1:4">
      <c r="A1331" s="58" t="s">
        <v>2566</v>
      </c>
      <c r="B1331" s="58">
        <v>505714</v>
      </c>
      <c r="C1331" s="58" t="s">
        <v>2565</v>
      </c>
      <c r="D1331" s="58" t="s">
        <v>943</v>
      </c>
    </row>
    <row r="1332" spans="1:4">
      <c r="A1332" s="58" t="s">
        <v>2567</v>
      </c>
      <c r="B1332" s="58">
        <v>524624</v>
      </c>
      <c r="C1332" s="58" t="s">
        <v>2568</v>
      </c>
      <c r="D1332" s="58" t="s">
        <v>2569</v>
      </c>
    </row>
    <row r="1333" spans="1:4">
      <c r="A1333" s="58" t="s">
        <v>2570</v>
      </c>
      <c r="B1333" s="58">
        <v>531196</v>
      </c>
      <c r="C1333" s="58" t="s">
        <v>588</v>
      </c>
      <c r="D1333" s="58" t="s">
        <v>610</v>
      </c>
    </row>
    <row r="1334" spans="1:4">
      <c r="A1334" s="58" t="s">
        <v>2571</v>
      </c>
      <c r="B1334" s="58">
        <v>531196</v>
      </c>
      <c r="C1334" s="58" t="s">
        <v>588</v>
      </c>
      <c r="D1334" s="58" t="s">
        <v>610</v>
      </c>
    </row>
    <row r="1335" spans="1:4">
      <c r="A1335" s="58" t="s">
        <v>2572</v>
      </c>
      <c r="B1335" s="58">
        <v>532155</v>
      </c>
      <c r="C1335" s="58" t="s">
        <v>2573</v>
      </c>
      <c r="D1335" s="58" t="s">
        <v>613</v>
      </c>
    </row>
    <row r="1336" spans="1:4">
      <c r="A1336" s="58" t="s">
        <v>2574</v>
      </c>
      <c r="B1336" s="58">
        <v>532155</v>
      </c>
      <c r="C1336" s="58" t="s">
        <v>2573</v>
      </c>
      <c r="D1336" s="58" t="s">
        <v>613</v>
      </c>
    </row>
    <row r="1337" spans="1:4">
      <c r="A1337" s="58" t="s">
        <v>2575</v>
      </c>
      <c r="B1337" s="58">
        <v>538609</v>
      </c>
      <c r="C1337" s="58" t="s">
        <v>588</v>
      </c>
      <c r="D1337" s="58" t="s">
        <v>571</v>
      </c>
    </row>
    <row r="1338" spans="1:4">
      <c r="A1338" s="58" t="s">
        <v>2576</v>
      </c>
      <c r="B1338" s="58">
        <v>505711</v>
      </c>
      <c r="C1338" s="58" t="s">
        <v>588</v>
      </c>
      <c r="D1338" s="58" t="s">
        <v>943</v>
      </c>
    </row>
    <row r="1339" spans="1:4">
      <c r="A1339" s="58" t="s">
        <v>2577</v>
      </c>
      <c r="B1339" s="58">
        <v>539228</v>
      </c>
      <c r="C1339" s="58" t="s">
        <v>588</v>
      </c>
      <c r="D1339" s="58" t="s">
        <v>2578</v>
      </c>
    </row>
    <row r="1340" spans="1:4">
      <c r="A1340" s="58" t="s">
        <v>2579</v>
      </c>
      <c r="B1340" s="58">
        <v>538881</v>
      </c>
      <c r="C1340" s="58" t="s">
        <v>588</v>
      </c>
      <c r="D1340" s="58" t="s">
        <v>605</v>
      </c>
    </row>
    <row r="1341" spans="1:4">
      <c r="A1341" s="58" t="s">
        <v>2580</v>
      </c>
      <c r="B1341" s="58">
        <v>504697</v>
      </c>
      <c r="C1341" s="58" t="s">
        <v>588</v>
      </c>
      <c r="D1341" s="58" t="s">
        <v>886</v>
      </c>
    </row>
    <row r="1342" spans="1:4">
      <c r="A1342" s="58" t="s">
        <v>2581</v>
      </c>
      <c r="B1342" s="58">
        <v>531911</v>
      </c>
      <c r="C1342" s="58" t="s">
        <v>588</v>
      </c>
      <c r="D1342" s="58" t="s">
        <v>596</v>
      </c>
    </row>
    <row r="1343" spans="1:4">
      <c r="A1343" s="58" t="s">
        <v>2582</v>
      </c>
      <c r="B1343" s="58">
        <v>526073</v>
      </c>
      <c r="C1343" s="58" t="s">
        <v>588</v>
      </c>
      <c r="D1343" s="58" t="s">
        <v>773</v>
      </c>
    </row>
    <row r="1344" spans="1:4">
      <c r="A1344" s="58" t="s">
        <v>2583</v>
      </c>
      <c r="B1344" s="58">
        <v>506186</v>
      </c>
      <c r="C1344" s="58" t="s">
        <v>588</v>
      </c>
      <c r="D1344" s="58" t="s">
        <v>591</v>
      </c>
    </row>
    <row r="1345" spans="1:4">
      <c r="A1345" s="58" t="s">
        <v>2584</v>
      </c>
      <c r="B1345" s="58">
        <v>540935</v>
      </c>
      <c r="C1345" s="58" t="s">
        <v>2585</v>
      </c>
      <c r="D1345" s="58" t="s">
        <v>748</v>
      </c>
    </row>
    <row r="1346" spans="1:4">
      <c r="A1346" s="58" t="s">
        <v>2586</v>
      </c>
      <c r="B1346" s="58">
        <v>533265</v>
      </c>
      <c r="C1346" s="58" t="s">
        <v>2587</v>
      </c>
      <c r="D1346" s="58" t="s">
        <v>620</v>
      </c>
    </row>
    <row r="1347" spans="1:4">
      <c r="A1347" s="58" t="s">
        <v>2588</v>
      </c>
      <c r="B1347" s="58">
        <v>532726</v>
      </c>
      <c r="C1347" s="58" t="s">
        <v>2589</v>
      </c>
      <c r="D1347" s="58" t="s">
        <v>620</v>
      </c>
    </row>
    <row r="1348" spans="1:4">
      <c r="A1348" s="58" t="s">
        <v>2590</v>
      </c>
      <c r="B1348" s="58">
        <v>531902</v>
      </c>
      <c r="C1348" s="58" t="s">
        <v>2591</v>
      </c>
      <c r="D1348" s="58" t="s">
        <v>674</v>
      </c>
    </row>
    <row r="1349" spans="1:4">
      <c r="A1349" s="58" t="s">
        <v>2592</v>
      </c>
      <c r="B1349" s="58">
        <v>532959</v>
      </c>
      <c r="C1349" s="58" t="s">
        <v>2593</v>
      </c>
      <c r="D1349" s="58" t="s">
        <v>986</v>
      </c>
    </row>
    <row r="1350" spans="1:4">
      <c r="A1350" s="58" t="s">
        <v>2594</v>
      </c>
      <c r="B1350" s="58">
        <v>513108</v>
      </c>
      <c r="C1350" s="58" t="s">
        <v>2595</v>
      </c>
      <c r="D1350" s="58" t="s">
        <v>911</v>
      </c>
    </row>
    <row r="1351" spans="1:4">
      <c r="A1351" s="58" t="s">
        <v>2596</v>
      </c>
      <c r="B1351" s="58">
        <v>500153</v>
      </c>
      <c r="C1351" s="58" t="s">
        <v>588</v>
      </c>
      <c r="D1351" s="58" t="s">
        <v>636</v>
      </c>
    </row>
    <row r="1352" spans="1:4">
      <c r="A1352" s="58" t="s">
        <v>2597</v>
      </c>
      <c r="B1352" s="58">
        <v>541703</v>
      </c>
      <c r="C1352" s="58" t="s">
        <v>588</v>
      </c>
      <c r="D1352" s="58" t="s">
        <v>589</v>
      </c>
    </row>
    <row r="1353" spans="1:4">
      <c r="A1353" s="58" t="s">
        <v>2598</v>
      </c>
      <c r="B1353" s="58">
        <v>541703</v>
      </c>
      <c r="C1353" s="58" t="s">
        <v>588</v>
      </c>
      <c r="D1353" s="58" t="s">
        <v>589</v>
      </c>
    </row>
    <row r="1354" spans="1:4">
      <c r="A1354" s="58" t="s">
        <v>2599</v>
      </c>
      <c r="B1354" s="58">
        <v>504397</v>
      </c>
      <c r="C1354" s="58" t="s">
        <v>588</v>
      </c>
      <c r="D1354" s="58" t="s">
        <v>1009</v>
      </c>
    </row>
    <row r="1355" spans="1:4">
      <c r="A1355" s="58" t="s">
        <v>2600</v>
      </c>
      <c r="B1355" s="58">
        <v>526367</v>
      </c>
      <c r="C1355" s="58" t="s">
        <v>2601</v>
      </c>
      <c r="D1355" s="58" t="s">
        <v>674</v>
      </c>
    </row>
    <row r="1356" spans="1:4">
      <c r="A1356" s="58" t="s">
        <v>2602</v>
      </c>
      <c r="B1356" s="58">
        <v>514167</v>
      </c>
      <c r="C1356" s="58" t="s">
        <v>2603</v>
      </c>
      <c r="D1356" s="58" t="s">
        <v>1009</v>
      </c>
    </row>
    <row r="1357" spans="1:4">
      <c r="A1357" s="58" t="s">
        <v>2604</v>
      </c>
      <c r="B1357" s="58" t="s">
        <v>588</v>
      </c>
      <c r="C1357" s="58" t="s">
        <v>2605</v>
      </c>
      <c r="D1357" s="58" t="s">
        <v>599</v>
      </c>
    </row>
    <row r="1358" spans="1:4">
      <c r="A1358" s="58" t="s">
        <v>2606</v>
      </c>
      <c r="B1358" s="58">
        <v>531813</v>
      </c>
      <c r="C1358" s="58" t="s">
        <v>588</v>
      </c>
      <c r="D1358" s="58" t="s">
        <v>582</v>
      </c>
    </row>
    <row r="1359" spans="1:4">
      <c r="A1359" s="58" t="s">
        <v>2607</v>
      </c>
      <c r="B1359" s="58">
        <v>531813</v>
      </c>
      <c r="C1359" s="58" t="s">
        <v>588</v>
      </c>
      <c r="D1359" s="58" t="s">
        <v>582</v>
      </c>
    </row>
    <row r="1360" spans="1:4">
      <c r="A1360" s="58" t="s">
        <v>2608</v>
      </c>
      <c r="B1360" s="58">
        <v>539680</v>
      </c>
      <c r="C1360" s="58" t="s">
        <v>588</v>
      </c>
      <c r="D1360" s="58" t="s">
        <v>626</v>
      </c>
    </row>
    <row r="1361" spans="1:4">
      <c r="A1361" s="58" t="s">
        <v>2609</v>
      </c>
      <c r="B1361" s="58">
        <v>540647</v>
      </c>
      <c r="C1361" s="58" t="s">
        <v>2610</v>
      </c>
      <c r="D1361" s="58" t="s">
        <v>608</v>
      </c>
    </row>
    <row r="1362" spans="1:4">
      <c r="A1362" s="58" t="s">
        <v>2611</v>
      </c>
      <c r="B1362" s="58">
        <v>521176</v>
      </c>
      <c r="C1362" s="58" t="s">
        <v>2612</v>
      </c>
      <c r="D1362" s="58" t="s">
        <v>603</v>
      </c>
    </row>
    <row r="1363" spans="1:4">
      <c r="A1363" s="58" t="s">
        <v>2613</v>
      </c>
      <c r="B1363" s="58">
        <v>512443</v>
      </c>
      <c r="C1363" s="58" t="s">
        <v>588</v>
      </c>
      <c r="D1363" s="58" t="s">
        <v>610</v>
      </c>
    </row>
    <row r="1364" spans="1:4">
      <c r="A1364" s="58" t="s">
        <v>2614</v>
      </c>
      <c r="B1364" s="58">
        <v>539492</v>
      </c>
      <c r="C1364" s="58" t="s">
        <v>588</v>
      </c>
      <c r="D1364" s="58" t="s">
        <v>605</v>
      </c>
    </row>
    <row r="1365" spans="1:4">
      <c r="A1365" s="58" t="s">
        <v>2615</v>
      </c>
      <c r="B1365" s="58">
        <v>542011</v>
      </c>
      <c r="C1365" s="58" t="s">
        <v>2616</v>
      </c>
      <c r="D1365" s="58" t="s">
        <v>666</v>
      </c>
    </row>
    <row r="1366" spans="1:4">
      <c r="A1366" s="58" t="s">
        <v>2617</v>
      </c>
      <c r="B1366" s="58">
        <v>500155</v>
      </c>
      <c r="C1366" s="58" t="s">
        <v>2618</v>
      </c>
      <c r="D1366" s="58" t="s">
        <v>603</v>
      </c>
    </row>
    <row r="1367" spans="1:4">
      <c r="A1367" s="58" t="s">
        <v>2619</v>
      </c>
      <c r="B1367" s="58">
        <v>530615</v>
      </c>
      <c r="C1367" s="58" t="s">
        <v>588</v>
      </c>
      <c r="D1367" s="58" t="s">
        <v>620</v>
      </c>
    </row>
    <row r="1368" spans="1:4">
      <c r="A1368" s="58" t="s">
        <v>2620</v>
      </c>
      <c r="B1368" s="58">
        <v>526727</v>
      </c>
      <c r="C1368" s="58" t="s">
        <v>588</v>
      </c>
      <c r="D1368" s="58" t="s">
        <v>986</v>
      </c>
    </row>
    <row r="1369" spans="1:4">
      <c r="A1369" s="58" t="s">
        <v>2621</v>
      </c>
      <c r="B1369" s="58">
        <v>512493</v>
      </c>
      <c r="C1369" s="58" t="s">
        <v>588</v>
      </c>
      <c r="D1369" s="58" t="s">
        <v>571</v>
      </c>
    </row>
    <row r="1370" spans="1:4">
      <c r="A1370" s="58" t="s">
        <v>2622</v>
      </c>
      <c r="B1370" s="58">
        <v>530161</v>
      </c>
      <c r="C1370" s="58" t="s">
        <v>588</v>
      </c>
      <c r="D1370" s="58" t="s">
        <v>610</v>
      </c>
    </row>
    <row r="1371" spans="1:4">
      <c r="A1371" s="58" t="s">
        <v>2623</v>
      </c>
      <c r="B1371" s="58">
        <v>541276</v>
      </c>
      <c r="C1371" s="58" t="s">
        <v>588</v>
      </c>
      <c r="D1371" s="58" t="s">
        <v>610</v>
      </c>
    </row>
    <row r="1372" spans="1:4">
      <c r="A1372" s="58" t="s">
        <v>2624</v>
      </c>
      <c r="B1372" s="58">
        <v>509563</v>
      </c>
      <c r="C1372" s="58" t="s">
        <v>588</v>
      </c>
      <c r="D1372" s="58" t="s">
        <v>603</v>
      </c>
    </row>
    <row r="1373" spans="1:4">
      <c r="A1373" s="58" t="s">
        <v>2625</v>
      </c>
      <c r="B1373" s="58">
        <v>500655</v>
      </c>
      <c r="C1373" s="58" t="s">
        <v>588</v>
      </c>
      <c r="D1373" s="58" t="s">
        <v>636</v>
      </c>
    </row>
    <row r="1374" spans="1:4">
      <c r="A1374" s="58" t="s">
        <v>2626</v>
      </c>
      <c r="B1374" s="58">
        <v>514400</v>
      </c>
      <c r="C1374" s="58" t="s">
        <v>588</v>
      </c>
      <c r="D1374" s="58" t="s">
        <v>610</v>
      </c>
    </row>
    <row r="1375" spans="1:4">
      <c r="A1375" s="58" t="s">
        <v>2627</v>
      </c>
      <c r="B1375" s="58">
        <v>509557</v>
      </c>
      <c r="C1375" s="58" t="s">
        <v>2628</v>
      </c>
      <c r="D1375" s="58" t="s">
        <v>603</v>
      </c>
    </row>
    <row r="1376" spans="1:4">
      <c r="A1376" s="58" t="s">
        <v>2629</v>
      </c>
      <c r="B1376" s="58">
        <v>532622</v>
      </c>
      <c r="C1376" s="58" t="s">
        <v>2630</v>
      </c>
      <c r="D1376" s="58" t="s">
        <v>909</v>
      </c>
    </row>
    <row r="1377" spans="1:4">
      <c r="A1377" s="58" t="s">
        <v>2631</v>
      </c>
      <c r="B1377" s="58">
        <v>532345</v>
      </c>
      <c r="C1377" s="58" t="s">
        <v>2632</v>
      </c>
      <c r="D1377" s="58" t="s">
        <v>909</v>
      </c>
    </row>
    <row r="1378" spans="1:4">
      <c r="A1378" s="58" t="s">
        <v>2633</v>
      </c>
      <c r="B1378" s="58">
        <v>539515</v>
      </c>
      <c r="C1378" s="58" t="s">
        <v>588</v>
      </c>
      <c r="D1378" s="58" t="s">
        <v>610</v>
      </c>
    </row>
    <row r="1379" spans="1:4">
      <c r="A1379" s="58" t="s">
        <v>2634</v>
      </c>
      <c r="B1379" s="58">
        <v>540613</v>
      </c>
      <c r="C1379" s="58" t="s">
        <v>588</v>
      </c>
      <c r="D1379" s="58" t="s">
        <v>610</v>
      </c>
    </row>
    <row r="1380" spans="1:4">
      <c r="A1380" s="58" t="s">
        <v>2635</v>
      </c>
      <c r="B1380" s="58">
        <v>540936</v>
      </c>
      <c r="C1380" s="58" t="s">
        <v>588</v>
      </c>
      <c r="D1380" s="58" t="s">
        <v>610</v>
      </c>
    </row>
    <row r="1381" spans="1:4">
      <c r="A1381" s="58" t="s">
        <v>2636</v>
      </c>
      <c r="B1381" s="58">
        <v>524564</v>
      </c>
      <c r="C1381" s="58" t="s">
        <v>588</v>
      </c>
      <c r="D1381" s="58" t="s">
        <v>636</v>
      </c>
    </row>
    <row r="1382" spans="1:4">
      <c r="A1382" s="58" t="s">
        <v>2637</v>
      </c>
      <c r="B1382" s="58">
        <v>541546</v>
      </c>
      <c r="C1382" s="58" t="s">
        <v>2638</v>
      </c>
      <c r="D1382" s="58" t="s">
        <v>986</v>
      </c>
    </row>
    <row r="1383" spans="1:4">
      <c r="A1383" s="58" t="s">
        <v>2639</v>
      </c>
      <c r="B1383" s="58">
        <v>532767</v>
      </c>
      <c r="C1383" s="58" t="s">
        <v>2640</v>
      </c>
      <c r="D1383" s="58" t="s">
        <v>986</v>
      </c>
    </row>
    <row r="1384" spans="1:4">
      <c r="A1384" s="58" t="s">
        <v>2641</v>
      </c>
      <c r="B1384" s="58">
        <v>532183</v>
      </c>
      <c r="C1384" s="58" t="s">
        <v>588</v>
      </c>
      <c r="D1384" s="58" t="s">
        <v>1286</v>
      </c>
    </row>
    <row r="1385" spans="1:4">
      <c r="A1385" s="58" t="s">
        <v>2642</v>
      </c>
      <c r="B1385" s="58">
        <v>539009</v>
      </c>
      <c r="C1385" s="58" t="s">
        <v>588</v>
      </c>
      <c r="D1385" s="58" t="s">
        <v>986</v>
      </c>
    </row>
    <row r="1386" spans="1:4">
      <c r="A1386" s="58" t="s">
        <v>2643</v>
      </c>
      <c r="B1386" s="58">
        <v>538319</v>
      </c>
      <c r="C1386" s="58" t="s">
        <v>588</v>
      </c>
      <c r="D1386" s="58" t="s">
        <v>571</v>
      </c>
    </row>
    <row r="1387" spans="1:4">
      <c r="A1387" s="58" t="s">
        <v>2644</v>
      </c>
      <c r="B1387" s="58">
        <v>535917</v>
      </c>
      <c r="C1387" s="58" t="s">
        <v>588</v>
      </c>
      <c r="D1387" s="58" t="s">
        <v>571</v>
      </c>
    </row>
    <row r="1388" spans="1:4">
      <c r="A1388" s="58" t="s">
        <v>2645</v>
      </c>
      <c r="B1388" s="58">
        <v>535431</v>
      </c>
      <c r="C1388" s="58" t="s">
        <v>588</v>
      </c>
      <c r="D1388" s="58" t="s">
        <v>571</v>
      </c>
    </row>
    <row r="1389" spans="1:4">
      <c r="A1389" s="58" t="s">
        <v>2646</v>
      </c>
      <c r="B1389" s="58">
        <v>530855</v>
      </c>
      <c r="C1389" s="58" t="s">
        <v>588</v>
      </c>
      <c r="D1389" s="58" t="s">
        <v>605</v>
      </c>
    </row>
    <row r="1390" spans="1:4">
      <c r="A1390" s="58" t="s">
        <v>2647</v>
      </c>
      <c r="B1390" s="58">
        <v>532309</v>
      </c>
      <c r="C1390" s="58" t="s">
        <v>2648</v>
      </c>
      <c r="D1390" s="58" t="s">
        <v>631</v>
      </c>
    </row>
    <row r="1391" spans="1:4">
      <c r="A1391" s="58" t="s">
        <v>2649</v>
      </c>
      <c r="B1391" s="58">
        <v>532309</v>
      </c>
      <c r="C1391" s="58" t="s">
        <v>2648</v>
      </c>
      <c r="D1391" s="58" t="s">
        <v>631</v>
      </c>
    </row>
    <row r="1392" spans="1:4">
      <c r="A1392" s="58" t="s">
        <v>2650</v>
      </c>
      <c r="B1392" s="58">
        <v>522275</v>
      </c>
      <c r="C1392" s="58" t="s">
        <v>2651</v>
      </c>
      <c r="D1392" s="58" t="s">
        <v>727</v>
      </c>
    </row>
    <row r="1393" spans="1:4">
      <c r="A1393" s="58" t="s">
        <v>2652</v>
      </c>
      <c r="B1393" s="58">
        <v>522275</v>
      </c>
      <c r="C1393" s="58" t="s">
        <v>2651</v>
      </c>
      <c r="D1393" s="58" t="s">
        <v>727</v>
      </c>
    </row>
    <row r="1394" spans="1:4">
      <c r="A1394" s="58" t="s">
        <v>2653</v>
      </c>
      <c r="B1394" s="58">
        <v>504028</v>
      </c>
      <c r="C1394" s="58" t="s">
        <v>588</v>
      </c>
      <c r="D1394" s="58" t="s">
        <v>773</v>
      </c>
    </row>
    <row r="1395" spans="1:4">
      <c r="A1395" s="58" t="s">
        <v>2654</v>
      </c>
      <c r="B1395" s="58">
        <v>532764</v>
      </c>
      <c r="C1395" s="58" t="s">
        <v>2655</v>
      </c>
      <c r="D1395" s="58" t="s">
        <v>674</v>
      </c>
    </row>
    <row r="1396" spans="1:4">
      <c r="A1396" s="58" t="s">
        <v>2656</v>
      </c>
      <c r="B1396" s="58">
        <v>530389</v>
      </c>
      <c r="C1396" s="58" t="s">
        <v>588</v>
      </c>
      <c r="D1396" s="58" t="s">
        <v>608</v>
      </c>
    </row>
    <row r="1397" spans="1:4">
      <c r="A1397" s="58" t="s">
        <v>2657</v>
      </c>
      <c r="B1397" s="58" t="s">
        <v>588</v>
      </c>
      <c r="C1397" s="58" t="s">
        <v>2658</v>
      </c>
      <c r="D1397" s="58" t="s">
        <v>599</v>
      </c>
    </row>
    <row r="1398" spans="1:4">
      <c r="A1398" s="58" t="s">
        <v>2659</v>
      </c>
      <c r="B1398" s="58">
        <v>539486</v>
      </c>
      <c r="C1398" s="58" t="s">
        <v>588</v>
      </c>
      <c r="D1398" s="58" t="s">
        <v>605</v>
      </c>
    </row>
    <row r="1399" spans="1:4">
      <c r="A1399" s="58" t="s">
        <v>2660</v>
      </c>
      <c r="B1399" s="58">
        <v>521133</v>
      </c>
      <c r="C1399" s="58" t="s">
        <v>588</v>
      </c>
      <c r="D1399" s="58" t="s">
        <v>603</v>
      </c>
    </row>
    <row r="1400" spans="1:4">
      <c r="A1400" s="58" t="s">
        <v>2661</v>
      </c>
      <c r="B1400" s="58">
        <v>521133</v>
      </c>
      <c r="C1400" s="58" t="s">
        <v>588</v>
      </c>
      <c r="D1400" s="58" t="s">
        <v>603</v>
      </c>
    </row>
    <row r="1401" spans="1:4">
      <c r="A1401" s="58" t="s">
        <v>2662</v>
      </c>
      <c r="B1401" s="58">
        <v>532318</v>
      </c>
      <c r="C1401" s="58" t="s">
        <v>2663</v>
      </c>
      <c r="D1401" s="58" t="s">
        <v>2212</v>
      </c>
    </row>
    <row r="1402" spans="1:4">
      <c r="A1402" s="58" t="s">
        <v>2664</v>
      </c>
      <c r="B1402" s="58">
        <v>531137</v>
      </c>
      <c r="C1402" s="58" t="s">
        <v>588</v>
      </c>
      <c r="D1402" s="58" t="s">
        <v>1009</v>
      </c>
    </row>
    <row r="1403" spans="1:4">
      <c r="A1403" s="58" t="s">
        <v>2665</v>
      </c>
      <c r="B1403" s="58">
        <v>541999</v>
      </c>
      <c r="C1403" s="58" t="s">
        <v>588</v>
      </c>
      <c r="D1403" s="58" t="s">
        <v>786</v>
      </c>
    </row>
    <row r="1404" spans="1:4">
      <c r="A1404" s="58" t="s">
        <v>2666</v>
      </c>
      <c r="B1404" s="58">
        <v>540755</v>
      </c>
      <c r="C1404" s="58" t="s">
        <v>2667</v>
      </c>
      <c r="D1404" s="58" t="s">
        <v>2668</v>
      </c>
    </row>
    <row r="1405" spans="1:4">
      <c r="A1405" s="58" t="s">
        <v>2669</v>
      </c>
      <c r="B1405" s="58">
        <v>539407</v>
      </c>
      <c r="C1405" s="58" t="s">
        <v>588</v>
      </c>
      <c r="D1405" s="58" t="s">
        <v>986</v>
      </c>
    </row>
    <row r="1406" spans="1:4">
      <c r="A1406" s="58" t="s">
        <v>2670</v>
      </c>
      <c r="B1406" s="58">
        <v>514336</v>
      </c>
      <c r="C1406" s="58" t="s">
        <v>588</v>
      </c>
      <c r="D1406" s="58" t="s">
        <v>926</v>
      </c>
    </row>
    <row r="1407" spans="1:4">
      <c r="A1407" s="58" t="s">
        <v>2671</v>
      </c>
      <c r="B1407" s="58">
        <v>514336</v>
      </c>
      <c r="C1407" s="58" t="s">
        <v>588</v>
      </c>
      <c r="D1407" s="58" t="s">
        <v>926</v>
      </c>
    </row>
    <row r="1408" spans="1:4">
      <c r="A1408" s="58" t="s">
        <v>2672</v>
      </c>
      <c r="B1408" s="58">
        <v>506109</v>
      </c>
      <c r="C1408" s="58" t="s">
        <v>2673</v>
      </c>
      <c r="D1408" s="58" t="s">
        <v>681</v>
      </c>
    </row>
    <row r="1409" spans="1:4">
      <c r="A1409" s="58" t="s">
        <v>2674</v>
      </c>
      <c r="B1409" s="58">
        <v>531739</v>
      </c>
      <c r="C1409" s="58" t="s">
        <v>588</v>
      </c>
      <c r="D1409" s="58" t="s">
        <v>626</v>
      </c>
    </row>
    <row r="1410" spans="1:4">
      <c r="A1410" s="58" t="s">
        <v>2675</v>
      </c>
      <c r="B1410" s="58">
        <v>539206</v>
      </c>
      <c r="C1410" s="58" t="s">
        <v>588</v>
      </c>
      <c r="D1410" s="58" t="s">
        <v>926</v>
      </c>
    </row>
    <row r="1411" spans="1:4">
      <c r="A1411" s="58" t="s">
        <v>2676</v>
      </c>
      <c r="B1411" s="58">
        <v>538961</v>
      </c>
      <c r="C1411" s="58" t="s">
        <v>2677</v>
      </c>
      <c r="D1411" s="58" t="s">
        <v>582</v>
      </c>
    </row>
    <row r="1412" spans="1:4">
      <c r="A1412" s="58" t="s">
        <v>2678</v>
      </c>
      <c r="B1412" s="58">
        <v>530343</v>
      </c>
      <c r="C1412" s="58" t="s">
        <v>2679</v>
      </c>
      <c r="D1412" s="58" t="s">
        <v>886</v>
      </c>
    </row>
    <row r="1413" spans="1:4">
      <c r="A1413" s="58" t="s">
        <v>2680</v>
      </c>
      <c r="B1413" s="58">
        <v>532285</v>
      </c>
      <c r="C1413" s="58" t="s">
        <v>2681</v>
      </c>
      <c r="D1413" s="58" t="s">
        <v>571</v>
      </c>
    </row>
    <row r="1414" spans="1:4">
      <c r="A1414" s="58" t="s">
        <v>2682</v>
      </c>
      <c r="B1414" s="58">
        <v>500171</v>
      </c>
      <c r="C1414" s="58" t="s">
        <v>2683</v>
      </c>
      <c r="D1414" s="58" t="s">
        <v>636</v>
      </c>
    </row>
    <row r="1415" spans="1:4">
      <c r="A1415" s="58" t="s">
        <v>2684</v>
      </c>
      <c r="B1415" s="58">
        <v>533048</v>
      </c>
      <c r="C1415" s="58" t="s">
        <v>2685</v>
      </c>
      <c r="D1415" s="58" t="s">
        <v>986</v>
      </c>
    </row>
    <row r="1416" spans="1:4">
      <c r="A1416" s="58" t="s">
        <v>2686</v>
      </c>
      <c r="B1416" s="58">
        <v>511676</v>
      </c>
      <c r="C1416" s="58" t="s">
        <v>2687</v>
      </c>
      <c r="D1416" s="58" t="s">
        <v>646</v>
      </c>
    </row>
    <row r="1417" spans="1:4">
      <c r="A1417" s="58" t="s">
        <v>2688</v>
      </c>
      <c r="B1417" s="58">
        <v>538788</v>
      </c>
      <c r="C1417" s="58" t="s">
        <v>588</v>
      </c>
      <c r="D1417" s="58" t="s">
        <v>605</v>
      </c>
    </row>
    <row r="1418" spans="1:4">
      <c r="A1418" s="58" t="s">
        <v>2689</v>
      </c>
      <c r="B1418" s="58">
        <v>532716</v>
      </c>
      <c r="C1418" s="58" t="s">
        <v>2690</v>
      </c>
      <c r="D1418" s="58" t="s">
        <v>577</v>
      </c>
    </row>
    <row r="1419" spans="1:4">
      <c r="A1419" s="58" t="s">
        <v>2691</v>
      </c>
      <c r="B1419" s="58">
        <v>507815</v>
      </c>
      <c r="C1419" s="58" t="s">
        <v>2692</v>
      </c>
      <c r="D1419" s="58" t="s">
        <v>770</v>
      </c>
    </row>
    <row r="1420" spans="1:4">
      <c r="A1420" s="58" t="s">
        <v>2693</v>
      </c>
      <c r="B1420" s="58">
        <v>507815</v>
      </c>
      <c r="C1420" s="58" t="s">
        <v>2692</v>
      </c>
      <c r="D1420" s="58" t="s">
        <v>770</v>
      </c>
    </row>
    <row r="1421" spans="1:4">
      <c r="A1421" s="58" t="s">
        <v>2694</v>
      </c>
      <c r="B1421" s="58">
        <v>531744</v>
      </c>
      <c r="C1421" s="58" t="s">
        <v>588</v>
      </c>
      <c r="D1421" s="58" t="s">
        <v>610</v>
      </c>
    </row>
    <row r="1422" spans="1:4">
      <c r="A1422" s="58" t="s">
        <v>2695</v>
      </c>
      <c r="B1422" s="58">
        <v>590025</v>
      </c>
      <c r="C1422" s="58" t="s">
        <v>2696</v>
      </c>
      <c r="D1422" s="58" t="s">
        <v>603</v>
      </c>
    </row>
    <row r="1423" spans="1:4">
      <c r="A1423" s="58" t="s">
        <v>2697</v>
      </c>
      <c r="B1423" s="58">
        <v>507506</v>
      </c>
      <c r="C1423" s="58" t="s">
        <v>588</v>
      </c>
      <c r="D1423" s="58" t="s">
        <v>1286</v>
      </c>
    </row>
    <row r="1424" spans="1:4">
      <c r="A1424" s="58" t="s">
        <v>2698</v>
      </c>
      <c r="B1424" s="58" t="s">
        <v>588</v>
      </c>
      <c r="C1424" s="58" t="s">
        <v>2699</v>
      </c>
      <c r="D1424" s="58" t="s">
        <v>599</v>
      </c>
    </row>
    <row r="1425" spans="1:4">
      <c r="A1425" s="58" t="s">
        <v>2700</v>
      </c>
      <c r="B1425" s="58">
        <v>539013</v>
      </c>
      <c r="C1425" s="58" t="s">
        <v>588</v>
      </c>
      <c r="D1425" s="58" t="s">
        <v>727</v>
      </c>
    </row>
    <row r="1426" spans="1:4">
      <c r="A1426" s="58" t="s">
        <v>2701</v>
      </c>
      <c r="B1426" s="58">
        <v>533212</v>
      </c>
      <c r="C1426" s="58" t="s">
        <v>588</v>
      </c>
      <c r="D1426" s="58" t="s">
        <v>777</v>
      </c>
    </row>
    <row r="1427" spans="1:4">
      <c r="A1427" s="58" t="s">
        <v>2702</v>
      </c>
      <c r="B1427" s="58" t="s">
        <v>588</v>
      </c>
      <c r="C1427" s="58" t="s">
        <v>2703</v>
      </c>
      <c r="D1427" s="58" t="s">
        <v>679</v>
      </c>
    </row>
    <row r="1428" spans="1:4">
      <c r="A1428" s="58" t="s">
        <v>2704</v>
      </c>
      <c r="B1428" s="58">
        <v>531199</v>
      </c>
      <c r="C1428" s="58" t="s">
        <v>588</v>
      </c>
      <c r="D1428" s="58" t="s">
        <v>605</v>
      </c>
    </row>
    <row r="1429" spans="1:4">
      <c r="A1429" s="58" t="s">
        <v>2705</v>
      </c>
      <c r="B1429" s="58">
        <v>500676</v>
      </c>
      <c r="C1429" s="58" t="s">
        <v>2706</v>
      </c>
      <c r="D1429" s="58" t="s">
        <v>648</v>
      </c>
    </row>
    <row r="1430" spans="1:4">
      <c r="A1430" s="58" t="s">
        <v>2707</v>
      </c>
      <c r="B1430" s="58">
        <v>500660</v>
      </c>
      <c r="C1430" s="58" t="s">
        <v>2708</v>
      </c>
      <c r="D1430" s="58" t="s">
        <v>626</v>
      </c>
    </row>
    <row r="1431" spans="1:4">
      <c r="A1431" s="58" t="s">
        <v>2709</v>
      </c>
      <c r="B1431" s="58">
        <v>542477</v>
      </c>
      <c r="C1431" s="58" t="s">
        <v>2710</v>
      </c>
      <c r="D1431" s="58" t="s">
        <v>954</v>
      </c>
    </row>
    <row r="1432" spans="1:4">
      <c r="A1432" s="58" t="s">
        <v>2711</v>
      </c>
      <c r="B1432" s="58">
        <v>532296</v>
      </c>
      <c r="C1432" s="58" t="s">
        <v>2712</v>
      </c>
      <c r="D1432" s="58" t="s">
        <v>626</v>
      </c>
    </row>
    <row r="1433" spans="1:4">
      <c r="A1433" s="58" t="s">
        <v>2713</v>
      </c>
      <c r="B1433" s="58">
        <v>513528</v>
      </c>
      <c r="C1433" s="58" t="s">
        <v>588</v>
      </c>
      <c r="D1433" s="58" t="s">
        <v>1116</v>
      </c>
    </row>
    <row r="1434" spans="1:4">
      <c r="A1434" s="58" t="s">
        <v>2714</v>
      </c>
      <c r="B1434" s="58">
        <v>530263</v>
      </c>
      <c r="C1434" s="58" t="s">
        <v>588</v>
      </c>
      <c r="D1434" s="58" t="s">
        <v>605</v>
      </c>
    </row>
    <row r="1435" spans="1:4">
      <c r="A1435" s="58" t="s">
        <v>2715</v>
      </c>
      <c r="B1435" s="58" t="s">
        <v>588</v>
      </c>
      <c r="C1435" s="58" t="s">
        <v>2716</v>
      </c>
      <c r="D1435" s="58" t="s">
        <v>599</v>
      </c>
    </row>
    <row r="1436" spans="1:4">
      <c r="A1436" s="58" t="s">
        <v>2717</v>
      </c>
      <c r="B1436" s="58">
        <v>531463</v>
      </c>
      <c r="C1436" s="58" t="s">
        <v>588</v>
      </c>
      <c r="D1436" s="58" t="s">
        <v>1009</v>
      </c>
    </row>
    <row r="1437" spans="1:4">
      <c r="A1437" s="58" t="s">
        <v>2718</v>
      </c>
      <c r="B1437" s="58">
        <v>531479</v>
      </c>
      <c r="C1437" s="58" t="s">
        <v>588</v>
      </c>
      <c r="D1437" s="58" t="s">
        <v>674</v>
      </c>
    </row>
    <row r="1438" spans="1:4">
      <c r="A1438" s="58" t="s">
        <v>2719</v>
      </c>
      <c r="B1438" s="58">
        <v>501848</v>
      </c>
      <c r="C1438" s="58" t="s">
        <v>2720</v>
      </c>
      <c r="D1438" s="58" t="s">
        <v>1833</v>
      </c>
    </row>
    <row r="1439" spans="1:4">
      <c r="A1439" s="58" t="s">
        <v>2721</v>
      </c>
      <c r="B1439" s="58">
        <v>532773</v>
      </c>
      <c r="C1439" s="58" t="s">
        <v>2722</v>
      </c>
      <c r="D1439" s="58" t="s">
        <v>2723</v>
      </c>
    </row>
    <row r="1440" spans="1:4">
      <c r="A1440" s="58" t="s">
        <v>2724</v>
      </c>
      <c r="B1440" s="58">
        <v>540654</v>
      </c>
      <c r="C1440" s="58" t="s">
        <v>588</v>
      </c>
      <c r="D1440" s="58" t="s">
        <v>574</v>
      </c>
    </row>
    <row r="1441" spans="1:4">
      <c r="A1441" s="58" t="s">
        <v>2725</v>
      </c>
      <c r="B1441" s="58">
        <v>540266</v>
      </c>
      <c r="C1441" s="58" t="s">
        <v>588</v>
      </c>
      <c r="D1441" s="58" t="s">
        <v>610</v>
      </c>
    </row>
    <row r="1442" spans="1:4">
      <c r="A1442" s="58" t="s">
        <v>2726</v>
      </c>
      <c r="B1442" s="58" t="s">
        <v>588</v>
      </c>
      <c r="C1442" s="58" t="s">
        <v>2727</v>
      </c>
      <c r="D1442" s="58" t="s">
        <v>599</v>
      </c>
    </row>
    <row r="1443" spans="1:4">
      <c r="A1443" s="58" t="s">
        <v>2728</v>
      </c>
      <c r="B1443" s="58" t="s">
        <v>588</v>
      </c>
      <c r="C1443" s="58" t="s">
        <v>2729</v>
      </c>
      <c r="D1443" s="58" t="s">
        <v>599</v>
      </c>
    </row>
    <row r="1444" spans="1:4">
      <c r="A1444" s="58" t="s">
        <v>2730</v>
      </c>
      <c r="B1444" s="58" t="s">
        <v>588</v>
      </c>
      <c r="C1444" s="58" t="s">
        <v>2729</v>
      </c>
      <c r="D1444" s="58" t="s">
        <v>599</v>
      </c>
    </row>
    <row r="1445" spans="1:4">
      <c r="A1445" s="58" t="s">
        <v>2731</v>
      </c>
      <c r="B1445" s="58">
        <v>526025</v>
      </c>
      <c r="C1445" s="58" t="s">
        <v>588</v>
      </c>
      <c r="D1445" s="58" t="s">
        <v>603</v>
      </c>
    </row>
    <row r="1446" spans="1:4">
      <c r="A1446" s="58" t="s">
        <v>2732</v>
      </c>
      <c r="B1446" s="58">
        <v>531904</v>
      </c>
      <c r="C1446" s="58" t="s">
        <v>2733</v>
      </c>
      <c r="D1446" s="58" t="s">
        <v>954</v>
      </c>
    </row>
    <row r="1447" spans="1:4">
      <c r="A1447" s="58" t="s">
        <v>2734</v>
      </c>
      <c r="B1447" s="58">
        <v>533104</v>
      </c>
      <c r="C1447" s="58" t="s">
        <v>2735</v>
      </c>
      <c r="D1447" s="58" t="s">
        <v>1219</v>
      </c>
    </row>
    <row r="1448" spans="1:4">
      <c r="A1448" s="58" t="s">
        <v>2736</v>
      </c>
      <c r="B1448" s="58">
        <v>542351</v>
      </c>
      <c r="C1448" s="58" t="s">
        <v>2737</v>
      </c>
      <c r="D1448" s="58" t="s">
        <v>2738</v>
      </c>
    </row>
    <row r="1449" spans="1:4">
      <c r="A1449" s="58" t="s">
        <v>2739</v>
      </c>
      <c r="B1449" s="58">
        <v>507488</v>
      </c>
      <c r="C1449" s="58" t="s">
        <v>2740</v>
      </c>
      <c r="D1449" s="58" t="s">
        <v>1219</v>
      </c>
    </row>
    <row r="1450" spans="1:4">
      <c r="A1450" s="58" t="s">
        <v>2741</v>
      </c>
      <c r="B1450" s="58">
        <v>505255</v>
      </c>
      <c r="C1450" s="58" t="s">
        <v>2742</v>
      </c>
      <c r="D1450" s="58" t="s">
        <v>596</v>
      </c>
    </row>
    <row r="1451" spans="1:4">
      <c r="A1451" s="58" t="s">
        <v>2743</v>
      </c>
      <c r="B1451" s="58">
        <v>532754</v>
      </c>
      <c r="C1451" s="58" t="s">
        <v>2744</v>
      </c>
      <c r="D1451" s="58" t="s">
        <v>727</v>
      </c>
    </row>
    <row r="1452" spans="1:4">
      <c r="A1452" s="58" t="s">
        <v>2745</v>
      </c>
      <c r="B1452" s="58">
        <v>540124</v>
      </c>
      <c r="C1452" s="58" t="s">
        <v>2746</v>
      </c>
      <c r="D1452" s="58" t="s">
        <v>943</v>
      </c>
    </row>
    <row r="1453" spans="1:4">
      <c r="A1453" s="58" t="s">
        <v>2747</v>
      </c>
      <c r="B1453" s="58">
        <v>509567</v>
      </c>
      <c r="C1453" s="58" t="s">
        <v>2748</v>
      </c>
      <c r="D1453" s="58" t="s">
        <v>1515</v>
      </c>
    </row>
    <row r="1454" spans="1:4">
      <c r="A1454" s="58" t="s">
        <v>2749</v>
      </c>
      <c r="B1454" s="58">
        <v>506480</v>
      </c>
      <c r="C1454" s="58" t="s">
        <v>2750</v>
      </c>
      <c r="D1454" s="58" t="s">
        <v>798</v>
      </c>
    </row>
    <row r="1455" spans="1:4">
      <c r="A1455" s="58" t="s">
        <v>2751</v>
      </c>
      <c r="B1455" s="58">
        <v>530317</v>
      </c>
      <c r="C1455" s="58" t="s">
        <v>588</v>
      </c>
      <c r="D1455" s="58" t="s">
        <v>626</v>
      </c>
    </row>
    <row r="1456" spans="1:4">
      <c r="A1456" s="58" t="s">
        <v>2752</v>
      </c>
      <c r="B1456" s="58">
        <v>532734</v>
      </c>
      <c r="C1456" s="58" t="s">
        <v>2753</v>
      </c>
      <c r="D1456" s="58" t="s">
        <v>620</v>
      </c>
    </row>
    <row r="1457" spans="1:4">
      <c r="A1457" s="58" t="s">
        <v>2754</v>
      </c>
      <c r="B1457" s="58">
        <v>500163</v>
      </c>
      <c r="C1457" s="58" t="s">
        <v>2755</v>
      </c>
      <c r="D1457" s="58" t="s">
        <v>2756</v>
      </c>
    </row>
    <row r="1458" spans="1:4">
      <c r="A1458" s="58" t="s">
        <v>2757</v>
      </c>
      <c r="B1458" s="58">
        <v>500163</v>
      </c>
      <c r="C1458" s="58" t="s">
        <v>2755</v>
      </c>
      <c r="D1458" s="58" t="s">
        <v>2756</v>
      </c>
    </row>
    <row r="1459" spans="1:4">
      <c r="A1459" s="58" t="s">
        <v>2758</v>
      </c>
      <c r="B1459" s="58" t="s">
        <v>588</v>
      </c>
      <c r="C1459" s="58" t="s">
        <v>2759</v>
      </c>
      <c r="D1459" s="58" t="s">
        <v>599</v>
      </c>
    </row>
    <row r="1460" spans="1:4">
      <c r="A1460" s="58" t="s">
        <v>2760</v>
      </c>
      <c r="B1460" s="58">
        <v>540743</v>
      </c>
      <c r="C1460" s="58" t="s">
        <v>2761</v>
      </c>
      <c r="D1460" s="58" t="s">
        <v>786</v>
      </c>
    </row>
    <row r="1461" spans="1:4">
      <c r="A1461" s="58" t="s">
        <v>2762</v>
      </c>
      <c r="B1461" s="58">
        <v>532424</v>
      </c>
      <c r="C1461" s="58" t="s">
        <v>342</v>
      </c>
      <c r="D1461" s="58" t="s">
        <v>770</v>
      </c>
    </row>
    <row r="1462" spans="1:4">
      <c r="A1462" s="58" t="s">
        <v>2763</v>
      </c>
      <c r="B1462" s="58">
        <v>500164</v>
      </c>
      <c r="C1462" s="58" t="s">
        <v>2764</v>
      </c>
      <c r="D1462" s="58" t="s">
        <v>636</v>
      </c>
    </row>
    <row r="1463" spans="1:4">
      <c r="A1463" s="58" t="s">
        <v>2765</v>
      </c>
      <c r="B1463" s="58">
        <v>533150</v>
      </c>
      <c r="C1463" s="58" t="s">
        <v>2766</v>
      </c>
      <c r="D1463" s="58" t="s">
        <v>674</v>
      </c>
    </row>
    <row r="1464" spans="1:4">
      <c r="A1464" s="58" t="s">
        <v>2767</v>
      </c>
      <c r="B1464" s="58">
        <v>538787</v>
      </c>
      <c r="C1464" s="58" t="s">
        <v>588</v>
      </c>
      <c r="D1464" s="58" t="s">
        <v>605</v>
      </c>
    </row>
    <row r="1465" spans="1:4">
      <c r="A1465" s="58" t="s">
        <v>2768</v>
      </c>
      <c r="B1465" s="58">
        <v>533189</v>
      </c>
      <c r="C1465" s="58" t="s">
        <v>2769</v>
      </c>
      <c r="D1465" s="58" t="s">
        <v>702</v>
      </c>
    </row>
    <row r="1466" spans="1:4">
      <c r="A1466" s="58" t="s">
        <v>2770</v>
      </c>
      <c r="B1466" s="58">
        <v>531600</v>
      </c>
      <c r="C1466" s="58" t="s">
        <v>588</v>
      </c>
      <c r="D1466" s="58" t="s">
        <v>571</v>
      </c>
    </row>
    <row r="1467" spans="1:4">
      <c r="A1467" s="58" t="s">
        <v>2771</v>
      </c>
      <c r="B1467" s="58">
        <v>532957</v>
      </c>
      <c r="C1467" s="58" t="s">
        <v>588</v>
      </c>
      <c r="D1467" s="58" t="s">
        <v>603</v>
      </c>
    </row>
    <row r="1468" spans="1:4">
      <c r="A1468" s="58" t="s">
        <v>2772</v>
      </c>
      <c r="B1468" s="58">
        <v>532630</v>
      </c>
      <c r="C1468" s="58" t="s">
        <v>2773</v>
      </c>
      <c r="D1468" s="58" t="s">
        <v>702</v>
      </c>
    </row>
    <row r="1469" spans="1:4">
      <c r="A1469" s="58" t="s">
        <v>2774</v>
      </c>
      <c r="B1469" s="58">
        <v>539725</v>
      </c>
      <c r="C1469" s="58" t="s">
        <v>2775</v>
      </c>
      <c r="D1469" s="58" t="s">
        <v>837</v>
      </c>
    </row>
    <row r="1470" spans="1:4">
      <c r="A1470" s="58" t="s">
        <v>2776</v>
      </c>
      <c r="B1470" s="58">
        <v>532980</v>
      </c>
      <c r="C1470" s="58" t="s">
        <v>2777</v>
      </c>
      <c r="D1470" s="58" t="s">
        <v>837</v>
      </c>
    </row>
    <row r="1471" spans="1:4">
      <c r="A1471" s="58" t="s">
        <v>2778</v>
      </c>
      <c r="B1471" s="58">
        <v>780012</v>
      </c>
      <c r="C1471" s="58" t="s">
        <v>588</v>
      </c>
      <c r="D1471" s="58" t="s">
        <v>679</v>
      </c>
    </row>
    <row r="1472" spans="1:4">
      <c r="A1472" s="58" t="s">
        <v>2779</v>
      </c>
      <c r="B1472" s="58">
        <v>538542</v>
      </c>
      <c r="C1472" s="58" t="s">
        <v>588</v>
      </c>
      <c r="D1472" s="58" t="s">
        <v>648</v>
      </c>
    </row>
    <row r="1473" spans="1:4">
      <c r="A1473" s="58" t="s">
        <v>2780</v>
      </c>
      <c r="B1473" s="58">
        <v>538180</v>
      </c>
      <c r="C1473" s="58" t="s">
        <v>2781</v>
      </c>
      <c r="D1473" s="58" t="s">
        <v>608</v>
      </c>
    </row>
    <row r="1474" spans="1:4">
      <c r="A1474" s="58" t="s">
        <v>2782</v>
      </c>
      <c r="B1474" s="58">
        <v>505576</v>
      </c>
      <c r="C1474" s="58" t="s">
        <v>588</v>
      </c>
      <c r="D1474" s="58" t="s">
        <v>605</v>
      </c>
    </row>
    <row r="1475" spans="1:4">
      <c r="A1475" s="58" t="s">
        <v>2783</v>
      </c>
      <c r="B1475" s="58">
        <v>531928</v>
      </c>
      <c r="C1475" s="58" t="s">
        <v>588</v>
      </c>
      <c r="D1475" s="58" t="s">
        <v>865</v>
      </c>
    </row>
    <row r="1476" spans="1:4">
      <c r="A1476" s="58" t="s">
        <v>2784</v>
      </c>
      <c r="B1476" s="58">
        <v>540062</v>
      </c>
      <c r="C1476" s="58" t="s">
        <v>588</v>
      </c>
      <c r="D1476" s="58" t="s">
        <v>693</v>
      </c>
    </row>
    <row r="1477" spans="1:4">
      <c r="A1477" s="58" t="s">
        <v>2785</v>
      </c>
      <c r="B1477" s="58">
        <v>530579</v>
      </c>
      <c r="C1477" s="58" t="s">
        <v>588</v>
      </c>
      <c r="D1477" s="58" t="s">
        <v>605</v>
      </c>
    </row>
    <row r="1478" spans="1:4">
      <c r="A1478" s="58" t="s">
        <v>2786</v>
      </c>
      <c r="B1478" s="58">
        <v>500151</v>
      </c>
      <c r="C1478" s="58" t="s">
        <v>2787</v>
      </c>
      <c r="D1478" s="58" t="s">
        <v>2756</v>
      </c>
    </row>
    <row r="1479" spans="1:4">
      <c r="A1479" s="58" t="s">
        <v>2788</v>
      </c>
      <c r="B1479" s="58">
        <v>526729</v>
      </c>
      <c r="C1479" s="58" t="s">
        <v>2789</v>
      </c>
      <c r="D1479" s="58" t="s">
        <v>702</v>
      </c>
    </row>
    <row r="1480" spans="1:4">
      <c r="A1480" s="58" t="s">
        <v>2790</v>
      </c>
      <c r="B1480" s="58" t="s">
        <v>588</v>
      </c>
      <c r="C1480" s="58" t="s">
        <v>2791</v>
      </c>
      <c r="D1480" s="58" t="s">
        <v>599</v>
      </c>
    </row>
    <row r="1481" spans="1:4">
      <c r="A1481" s="58" t="s">
        <v>2792</v>
      </c>
      <c r="B1481" s="58">
        <v>531439</v>
      </c>
      <c r="C1481" s="58" t="s">
        <v>2793</v>
      </c>
      <c r="D1481" s="58" t="s">
        <v>574</v>
      </c>
    </row>
    <row r="1482" spans="1:4">
      <c r="A1482" s="58" t="s">
        <v>2794</v>
      </c>
      <c r="B1482" s="58">
        <v>531360</v>
      </c>
      <c r="C1482" s="58" t="s">
        <v>588</v>
      </c>
      <c r="D1482" s="58" t="s">
        <v>1009</v>
      </c>
    </row>
    <row r="1483" spans="1:4">
      <c r="A1483" s="58" t="s">
        <v>2795</v>
      </c>
      <c r="B1483" s="58">
        <v>513309</v>
      </c>
      <c r="C1483" s="58" t="s">
        <v>588</v>
      </c>
      <c r="D1483" s="58" t="s">
        <v>893</v>
      </c>
    </row>
    <row r="1484" spans="1:4">
      <c r="A1484" s="58" t="s">
        <v>2796</v>
      </c>
      <c r="B1484" s="58">
        <v>523676</v>
      </c>
      <c r="C1484" s="58" t="s">
        <v>588</v>
      </c>
      <c r="D1484" s="58" t="s">
        <v>702</v>
      </c>
    </row>
    <row r="1485" spans="1:4">
      <c r="A1485" s="58" t="s">
        <v>2797</v>
      </c>
      <c r="B1485" s="58">
        <v>530655</v>
      </c>
      <c r="C1485" s="58" t="s">
        <v>2798</v>
      </c>
      <c r="D1485" s="58" t="s">
        <v>911</v>
      </c>
    </row>
    <row r="1486" spans="1:4">
      <c r="A1486" s="58" t="s">
        <v>2799</v>
      </c>
      <c r="B1486" s="58">
        <v>530655</v>
      </c>
      <c r="C1486" s="58" t="s">
        <v>2798</v>
      </c>
      <c r="D1486" s="58" t="s">
        <v>911</v>
      </c>
    </row>
    <row r="1487" spans="1:4">
      <c r="A1487" s="58" t="s">
        <v>2800</v>
      </c>
      <c r="B1487" s="58">
        <v>500166</v>
      </c>
      <c r="C1487" s="58" t="s">
        <v>588</v>
      </c>
      <c r="D1487" s="58" t="s">
        <v>995</v>
      </c>
    </row>
    <row r="1488" spans="1:4">
      <c r="A1488" s="58" t="s">
        <v>2801</v>
      </c>
      <c r="B1488" s="58">
        <v>500168</v>
      </c>
      <c r="C1488" s="58" t="s">
        <v>588</v>
      </c>
      <c r="D1488" s="58" t="s">
        <v>1068</v>
      </c>
    </row>
    <row r="1489" spans="1:4">
      <c r="A1489" s="58" t="s">
        <v>2802</v>
      </c>
      <c r="B1489" s="58">
        <v>500168</v>
      </c>
      <c r="C1489" s="58" t="s">
        <v>588</v>
      </c>
      <c r="D1489" s="58" t="s">
        <v>1068</v>
      </c>
    </row>
    <row r="1490" spans="1:4">
      <c r="A1490" s="58" t="s">
        <v>2803</v>
      </c>
      <c r="B1490" s="58">
        <v>531913</v>
      </c>
      <c r="C1490" s="58" t="s">
        <v>588</v>
      </c>
      <c r="D1490" s="58" t="s">
        <v>911</v>
      </c>
    </row>
    <row r="1491" spans="1:4">
      <c r="A1491" s="58" t="s">
        <v>2804</v>
      </c>
      <c r="B1491" s="58">
        <v>526717</v>
      </c>
      <c r="C1491" s="58" t="s">
        <v>588</v>
      </c>
      <c r="D1491" s="58" t="s">
        <v>783</v>
      </c>
    </row>
    <row r="1492" spans="1:4">
      <c r="A1492" s="58" t="s">
        <v>2805</v>
      </c>
      <c r="B1492" s="58">
        <v>531608</v>
      </c>
      <c r="C1492" s="58" t="s">
        <v>588</v>
      </c>
      <c r="D1492" s="58" t="s">
        <v>1632</v>
      </c>
    </row>
    <row r="1493" spans="1:4">
      <c r="A1493" s="58" t="s">
        <v>2806</v>
      </c>
      <c r="B1493" s="58">
        <v>531111</v>
      </c>
      <c r="C1493" s="58" t="s">
        <v>588</v>
      </c>
      <c r="D1493" s="58" t="s">
        <v>1632</v>
      </c>
    </row>
    <row r="1494" spans="1:4">
      <c r="A1494" s="58" t="s">
        <v>2807</v>
      </c>
      <c r="B1494" s="58">
        <v>531111</v>
      </c>
      <c r="C1494" s="58" t="s">
        <v>588</v>
      </c>
      <c r="D1494" s="58" t="s">
        <v>1632</v>
      </c>
    </row>
    <row r="1495" spans="1:4">
      <c r="A1495" s="58" t="s">
        <v>2808</v>
      </c>
      <c r="B1495" s="58">
        <v>509148</v>
      </c>
      <c r="C1495" s="58" t="s">
        <v>588</v>
      </c>
      <c r="D1495" s="58" t="s">
        <v>1068</v>
      </c>
    </row>
    <row r="1496" spans="1:4">
      <c r="A1496" s="58" t="s">
        <v>2809</v>
      </c>
      <c r="B1496" s="58">
        <v>530709</v>
      </c>
      <c r="C1496" s="58" t="s">
        <v>588</v>
      </c>
      <c r="D1496" s="58" t="s">
        <v>605</v>
      </c>
    </row>
    <row r="1497" spans="1:4">
      <c r="A1497" s="58" t="s">
        <v>2810</v>
      </c>
      <c r="B1497" s="58">
        <v>530663</v>
      </c>
      <c r="C1497" s="58" t="s">
        <v>588</v>
      </c>
      <c r="D1497" s="58" t="s">
        <v>571</v>
      </c>
    </row>
    <row r="1498" spans="1:4">
      <c r="A1498" s="58" t="s">
        <v>2811</v>
      </c>
      <c r="B1498" s="58">
        <v>532543</v>
      </c>
      <c r="C1498" s="58" t="s">
        <v>2812</v>
      </c>
      <c r="D1498" s="58" t="s">
        <v>798</v>
      </c>
    </row>
    <row r="1499" spans="1:4">
      <c r="A1499" s="58" t="s">
        <v>2813</v>
      </c>
      <c r="B1499" s="58">
        <v>533761</v>
      </c>
      <c r="C1499" s="58" t="s">
        <v>2814</v>
      </c>
      <c r="D1499" s="58" t="s">
        <v>986</v>
      </c>
    </row>
    <row r="1500" spans="1:4">
      <c r="A1500" s="58" t="s">
        <v>2815</v>
      </c>
      <c r="B1500" s="58">
        <v>780002</v>
      </c>
      <c r="C1500" s="58" t="s">
        <v>588</v>
      </c>
      <c r="D1500" s="58" t="s">
        <v>679</v>
      </c>
    </row>
    <row r="1501" spans="1:4">
      <c r="A1501" s="58" t="s">
        <v>2816</v>
      </c>
      <c r="B1501" s="58">
        <v>590126</v>
      </c>
      <c r="C1501" s="58" t="s">
        <v>588</v>
      </c>
      <c r="D1501" s="58" t="s">
        <v>2188</v>
      </c>
    </row>
    <row r="1502" spans="1:4">
      <c r="A1502" s="58" t="s">
        <v>2817</v>
      </c>
      <c r="B1502" s="58">
        <v>539235</v>
      </c>
      <c r="C1502" s="58" t="s">
        <v>588</v>
      </c>
      <c r="D1502" s="58" t="s">
        <v>995</v>
      </c>
    </row>
    <row r="1503" spans="1:4">
      <c r="A1503" s="58" t="s">
        <v>2818</v>
      </c>
      <c r="B1503" s="58">
        <v>532482</v>
      </c>
      <c r="C1503" s="58" t="s">
        <v>2819</v>
      </c>
      <c r="D1503" s="58" t="s">
        <v>626</v>
      </c>
    </row>
    <row r="1504" spans="1:4">
      <c r="A1504" s="58" t="s">
        <v>2820</v>
      </c>
      <c r="B1504" s="58">
        <v>532482</v>
      </c>
      <c r="C1504" s="58" t="s">
        <v>2819</v>
      </c>
      <c r="D1504" s="58" t="s">
        <v>626</v>
      </c>
    </row>
    <row r="1505" spans="1:4">
      <c r="A1505" s="58" t="s">
        <v>2821</v>
      </c>
      <c r="B1505" s="58">
        <v>509488</v>
      </c>
      <c r="C1505" s="58" t="s">
        <v>2822</v>
      </c>
      <c r="D1505" s="58" t="s">
        <v>773</v>
      </c>
    </row>
    <row r="1506" spans="1:4">
      <c r="A1506" s="58" t="s">
        <v>2823</v>
      </c>
      <c r="B1506" s="58">
        <v>509488</v>
      </c>
      <c r="C1506" s="58" t="s">
        <v>2822</v>
      </c>
      <c r="D1506" s="58" t="s">
        <v>773</v>
      </c>
    </row>
    <row r="1507" spans="1:4">
      <c r="A1507" s="58" t="s">
        <v>2824</v>
      </c>
      <c r="B1507" s="58">
        <v>500300</v>
      </c>
      <c r="C1507" s="58" t="s">
        <v>2825</v>
      </c>
      <c r="D1507" s="58" t="s">
        <v>601</v>
      </c>
    </row>
    <row r="1508" spans="1:4">
      <c r="A1508" s="58" t="s">
        <v>2826</v>
      </c>
      <c r="B1508" s="58">
        <v>526751</v>
      </c>
      <c r="C1508" s="58" t="s">
        <v>588</v>
      </c>
      <c r="D1508" s="58" t="s">
        <v>582</v>
      </c>
    </row>
    <row r="1509" spans="1:4">
      <c r="A1509" s="58" t="s">
        <v>2827</v>
      </c>
      <c r="B1509" s="58">
        <v>505710</v>
      </c>
      <c r="C1509" s="58" t="s">
        <v>588</v>
      </c>
      <c r="D1509" s="58" t="s">
        <v>636</v>
      </c>
    </row>
    <row r="1510" spans="1:4">
      <c r="A1510" s="58" t="s">
        <v>2828</v>
      </c>
      <c r="B1510" s="58">
        <v>505710</v>
      </c>
      <c r="C1510" s="58" t="s">
        <v>588</v>
      </c>
      <c r="D1510" s="58" t="s">
        <v>636</v>
      </c>
    </row>
    <row r="1511" spans="1:4">
      <c r="A1511" s="58" t="s">
        <v>2829</v>
      </c>
      <c r="B1511" s="58">
        <v>509546</v>
      </c>
      <c r="C1511" s="58" t="s">
        <v>588</v>
      </c>
      <c r="D1511" s="58" t="s">
        <v>789</v>
      </c>
    </row>
    <row r="1512" spans="1:4">
      <c r="A1512" s="58" t="s">
        <v>2830</v>
      </c>
      <c r="B1512" s="58">
        <v>533282</v>
      </c>
      <c r="C1512" s="58" t="s">
        <v>2831</v>
      </c>
      <c r="D1512" s="58" t="s">
        <v>2832</v>
      </c>
    </row>
    <row r="1513" spans="1:4">
      <c r="A1513" s="58" t="s">
        <v>2833</v>
      </c>
      <c r="B1513" s="58">
        <v>533282</v>
      </c>
      <c r="C1513" s="58" t="s">
        <v>2831</v>
      </c>
      <c r="D1513" s="58" t="s">
        <v>2832</v>
      </c>
    </row>
    <row r="1514" spans="1:4">
      <c r="A1514" s="58" t="s">
        <v>2834</v>
      </c>
      <c r="B1514" s="58">
        <v>532015</v>
      </c>
      <c r="C1514" s="58" t="s">
        <v>588</v>
      </c>
      <c r="D1514" s="58" t="s">
        <v>603</v>
      </c>
    </row>
    <row r="1515" spans="1:4">
      <c r="A1515" s="58" t="s">
        <v>2835</v>
      </c>
      <c r="B1515" s="58">
        <v>532015</v>
      </c>
      <c r="C1515" s="58" t="s">
        <v>588</v>
      </c>
      <c r="D1515" s="58" t="s">
        <v>603</v>
      </c>
    </row>
    <row r="1516" spans="1:4">
      <c r="A1516" s="58" t="s">
        <v>2836</v>
      </c>
      <c r="B1516" s="58">
        <v>501455</v>
      </c>
      <c r="C1516" s="58" t="s">
        <v>2837</v>
      </c>
      <c r="D1516" s="58" t="s">
        <v>596</v>
      </c>
    </row>
    <row r="1517" spans="1:4">
      <c r="A1517" s="58" t="s">
        <v>2838</v>
      </c>
      <c r="B1517" s="58">
        <v>531737</v>
      </c>
      <c r="C1517" s="58" t="s">
        <v>588</v>
      </c>
      <c r="D1517" s="58" t="s">
        <v>1009</v>
      </c>
    </row>
    <row r="1518" spans="1:4">
      <c r="A1518" s="58" t="s">
        <v>2839</v>
      </c>
      <c r="B1518" s="58">
        <v>538979</v>
      </c>
      <c r="C1518" s="58" t="s">
        <v>2840</v>
      </c>
      <c r="D1518" s="58" t="s">
        <v>865</v>
      </c>
    </row>
    <row r="1519" spans="1:4">
      <c r="A1519" s="58" t="s">
        <v>2841</v>
      </c>
      <c r="B1519" s="58">
        <v>526797</v>
      </c>
      <c r="C1519" s="58" t="s">
        <v>2842</v>
      </c>
      <c r="D1519" s="58" t="s">
        <v>1083</v>
      </c>
    </row>
    <row r="1520" spans="1:4">
      <c r="A1520" s="58" t="s">
        <v>2843</v>
      </c>
      <c r="B1520" s="58" t="s">
        <v>588</v>
      </c>
      <c r="C1520" s="58" t="s">
        <v>2844</v>
      </c>
      <c r="D1520" s="58" t="s">
        <v>599</v>
      </c>
    </row>
    <row r="1521" spans="1:4">
      <c r="A1521" s="58" t="s">
        <v>2845</v>
      </c>
      <c r="B1521" s="58">
        <v>508918</v>
      </c>
      <c r="C1521" s="58" t="s">
        <v>588</v>
      </c>
      <c r="D1521" s="58" t="s">
        <v>693</v>
      </c>
    </row>
    <row r="1522" spans="1:4">
      <c r="A1522" s="58" t="s">
        <v>2846</v>
      </c>
      <c r="B1522" s="58">
        <v>506076</v>
      </c>
      <c r="C1522" s="58" t="s">
        <v>2847</v>
      </c>
      <c r="D1522" s="58" t="s">
        <v>1506</v>
      </c>
    </row>
    <row r="1523" spans="1:4">
      <c r="A1523" s="58" t="s">
        <v>2848</v>
      </c>
      <c r="B1523" s="58">
        <v>531449</v>
      </c>
      <c r="C1523" s="58" t="s">
        <v>588</v>
      </c>
      <c r="D1523" s="58" t="s">
        <v>786</v>
      </c>
    </row>
    <row r="1524" spans="1:4">
      <c r="A1524" s="58" t="s">
        <v>2849</v>
      </c>
      <c r="B1524" s="58">
        <v>501314</v>
      </c>
      <c r="C1524" s="58" t="s">
        <v>588</v>
      </c>
      <c r="D1524" s="58" t="s">
        <v>610</v>
      </c>
    </row>
    <row r="1525" spans="1:4">
      <c r="A1525" s="58" t="s">
        <v>2850</v>
      </c>
      <c r="B1525" s="58">
        <v>539522</v>
      </c>
      <c r="C1525" s="58" t="s">
        <v>588</v>
      </c>
      <c r="D1525" s="58" t="s">
        <v>1034</v>
      </c>
    </row>
    <row r="1526" spans="1:4">
      <c r="A1526" s="58" t="s">
        <v>2851</v>
      </c>
      <c r="B1526" s="58">
        <v>539522</v>
      </c>
      <c r="C1526" s="58" t="s">
        <v>588</v>
      </c>
      <c r="D1526" s="58" t="s">
        <v>1034</v>
      </c>
    </row>
    <row r="1527" spans="1:4">
      <c r="A1527" s="58" t="s">
        <v>2852</v>
      </c>
      <c r="B1527" s="58">
        <v>509152</v>
      </c>
      <c r="C1527" s="58" t="s">
        <v>2853</v>
      </c>
      <c r="D1527" s="58" t="s">
        <v>1068</v>
      </c>
    </row>
    <row r="1528" spans="1:4">
      <c r="A1528" s="58" t="s">
        <v>2854</v>
      </c>
      <c r="B1528" s="58">
        <v>511288</v>
      </c>
      <c r="C1528" s="58" t="s">
        <v>2855</v>
      </c>
      <c r="D1528" s="58" t="s">
        <v>646</v>
      </c>
    </row>
    <row r="1529" spans="1:4">
      <c r="A1529" s="58" t="s">
        <v>2856</v>
      </c>
      <c r="B1529" s="58">
        <v>511543</v>
      </c>
      <c r="C1529" s="58" t="s">
        <v>588</v>
      </c>
      <c r="D1529" s="58" t="s">
        <v>605</v>
      </c>
    </row>
    <row r="1530" spans="1:4">
      <c r="A1530" s="58" t="s">
        <v>2857</v>
      </c>
      <c r="B1530" s="58">
        <v>530605</v>
      </c>
      <c r="C1530" s="58" t="s">
        <v>588</v>
      </c>
      <c r="D1530" s="58" t="s">
        <v>603</v>
      </c>
    </row>
    <row r="1531" spans="1:4">
      <c r="A1531" s="58" t="s">
        <v>2858</v>
      </c>
      <c r="B1531" s="58">
        <v>530469</v>
      </c>
      <c r="C1531" s="58" t="s">
        <v>588</v>
      </c>
      <c r="D1531" s="58" t="s">
        <v>605</v>
      </c>
    </row>
    <row r="1532" spans="1:4">
      <c r="A1532" s="58" t="s">
        <v>2859</v>
      </c>
      <c r="B1532" s="58">
        <v>532951</v>
      </c>
      <c r="C1532" s="58" t="s">
        <v>2860</v>
      </c>
      <c r="D1532" s="58" t="s">
        <v>574</v>
      </c>
    </row>
    <row r="1533" spans="1:4">
      <c r="A1533" s="58" t="s">
        <v>2861</v>
      </c>
      <c r="B1533" s="58">
        <v>532139</v>
      </c>
      <c r="C1533" s="58" t="s">
        <v>588</v>
      </c>
      <c r="D1533" s="58" t="s">
        <v>918</v>
      </c>
    </row>
    <row r="1534" spans="1:4">
      <c r="A1534" s="58" t="s">
        <v>2862</v>
      </c>
      <c r="B1534" s="58">
        <v>532775</v>
      </c>
      <c r="C1534" s="58" t="s">
        <v>2863</v>
      </c>
      <c r="D1534" s="58" t="s">
        <v>734</v>
      </c>
    </row>
    <row r="1535" spans="1:4">
      <c r="A1535" s="58" t="s">
        <v>2864</v>
      </c>
      <c r="B1535" s="58">
        <v>500160</v>
      </c>
      <c r="C1535" s="58" t="s">
        <v>2865</v>
      </c>
      <c r="D1535" s="58" t="s">
        <v>1533</v>
      </c>
    </row>
    <row r="1536" spans="1:4">
      <c r="A1536" s="58" t="s">
        <v>2866</v>
      </c>
      <c r="B1536" s="58">
        <v>500170</v>
      </c>
      <c r="C1536" s="58" t="s">
        <v>2867</v>
      </c>
      <c r="D1536" s="58" t="s">
        <v>603</v>
      </c>
    </row>
    <row r="1537" spans="1:4">
      <c r="A1537" s="58" t="s">
        <v>2868</v>
      </c>
      <c r="B1537" s="58">
        <v>532744</v>
      </c>
      <c r="C1537" s="58" t="s">
        <v>2869</v>
      </c>
      <c r="D1537" s="58" t="s">
        <v>603</v>
      </c>
    </row>
    <row r="1538" spans="1:4">
      <c r="A1538" s="58" t="s">
        <v>2870</v>
      </c>
      <c r="B1538" s="58">
        <v>540602</v>
      </c>
      <c r="C1538" s="58" t="s">
        <v>2871</v>
      </c>
      <c r="D1538" s="58" t="s">
        <v>1533</v>
      </c>
    </row>
    <row r="1539" spans="1:4">
      <c r="A1539" s="58" t="s">
        <v>2872</v>
      </c>
      <c r="B1539" s="58">
        <v>539479</v>
      </c>
      <c r="C1539" s="58" t="s">
        <v>588</v>
      </c>
      <c r="D1539" s="58" t="s">
        <v>596</v>
      </c>
    </row>
    <row r="1540" spans="1:4">
      <c r="A1540" s="58" t="s">
        <v>2873</v>
      </c>
      <c r="B1540" s="58">
        <v>509079</v>
      </c>
      <c r="C1540" s="58" t="s">
        <v>2874</v>
      </c>
      <c r="D1540" s="58" t="s">
        <v>626</v>
      </c>
    </row>
    <row r="1541" spans="1:4">
      <c r="A1541" s="58" t="s">
        <v>2875</v>
      </c>
      <c r="B1541" s="58">
        <v>530001</v>
      </c>
      <c r="C1541" s="58" t="s">
        <v>2876</v>
      </c>
      <c r="D1541" s="58" t="s">
        <v>636</v>
      </c>
    </row>
    <row r="1542" spans="1:4">
      <c r="A1542" s="58" t="s">
        <v>2877</v>
      </c>
      <c r="B1542" s="58">
        <v>524226</v>
      </c>
      <c r="C1542" s="58" t="s">
        <v>2878</v>
      </c>
      <c r="D1542" s="58" t="s">
        <v>786</v>
      </c>
    </row>
    <row r="1543" spans="1:4">
      <c r="A1543" s="58" t="s">
        <v>2879</v>
      </c>
      <c r="B1543" s="58">
        <v>522217</v>
      </c>
      <c r="C1543" s="58" t="s">
        <v>2880</v>
      </c>
      <c r="D1543" s="58" t="s">
        <v>666</v>
      </c>
    </row>
    <row r="1544" spans="1:4">
      <c r="A1544" s="58" t="s">
        <v>2881</v>
      </c>
      <c r="B1544" s="58">
        <v>523768</v>
      </c>
      <c r="C1544" s="58" t="s">
        <v>588</v>
      </c>
      <c r="D1544" s="58" t="s">
        <v>1116</v>
      </c>
    </row>
    <row r="1545" spans="1:4">
      <c r="A1545" s="58" t="s">
        <v>2882</v>
      </c>
      <c r="B1545" s="58">
        <v>513507</v>
      </c>
      <c r="C1545" s="58" t="s">
        <v>588</v>
      </c>
      <c r="D1545" s="58" t="s">
        <v>911</v>
      </c>
    </row>
    <row r="1546" spans="1:4">
      <c r="A1546" s="58" t="s">
        <v>2883</v>
      </c>
      <c r="B1546" s="58">
        <v>514386</v>
      </c>
      <c r="C1546" s="58" t="s">
        <v>588</v>
      </c>
      <c r="D1546" s="58" t="s">
        <v>603</v>
      </c>
    </row>
    <row r="1547" spans="1:4">
      <c r="A1547" s="58" t="s">
        <v>2884</v>
      </c>
      <c r="B1547" s="58">
        <v>526965</v>
      </c>
      <c r="C1547" s="58" t="s">
        <v>588</v>
      </c>
      <c r="D1547" s="58" t="s">
        <v>783</v>
      </c>
    </row>
    <row r="1548" spans="1:4">
      <c r="A1548" s="58" t="s">
        <v>2885</v>
      </c>
      <c r="B1548" s="58">
        <v>511441</v>
      </c>
      <c r="C1548" s="58" t="s">
        <v>588</v>
      </c>
      <c r="D1548" s="58" t="s">
        <v>571</v>
      </c>
    </row>
    <row r="1549" spans="1:4">
      <c r="A1549" s="58" t="s">
        <v>2886</v>
      </c>
      <c r="B1549" s="58">
        <v>500173</v>
      </c>
      <c r="C1549" s="58" t="s">
        <v>2887</v>
      </c>
      <c r="D1549" s="58" t="s">
        <v>1622</v>
      </c>
    </row>
    <row r="1550" spans="1:4">
      <c r="A1550" s="58" t="s">
        <v>2888</v>
      </c>
      <c r="B1550" s="58">
        <v>531410</v>
      </c>
      <c r="C1550" s="58" t="s">
        <v>588</v>
      </c>
      <c r="D1550" s="58" t="s">
        <v>893</v>
      </c>
    </row>
    <row r="1551" spans="1:4">
      <c r="A1551" s="58" t="s">
        <v>2889</v>
      </c>
      <c r="B1551" s="58">
        <v>539336</v>
      </c>
      <c r="C1551" s="58" t="s">
        <v>2890</v>
      </c>
      <c r="D1551" s="58" t="s">
        <v>719</v>
      </c>
    </row>
    <row r="1552" spans="1:4">
      <c r="A1552" s="58" t="s">
        <v>2891</v>
      </c>
      <c r="B1552" s="58">
        <v>507960</v>
      </c>
      <c r="C1552" s="58" t="s">
        <v>588</v>
      </c>
      <c r="D1552" s="58" t="s">
        <v>789</v>
      </c>
    </row>
    <row r="1553" spans="1:4">
      <c r="A1553" s="58" t="s">
        <v>2892</v>
      </c>
      <c r="B1553" s="58">
        <v>540938</v>
      </c>
      <c r="C1553" s="58" t="s">
        <v>588</v>
      </c>
      <c r="D1553" s="58" t="s">
        <v>603</v>
      </c>
    </row>
    <row r="1554" spans="1:4">
      <c r="A1554" s="58" t="s">
        <v>2893</v>
      </c>
      <c r="B1554" s="58">
        <v>517300</v>
      </c>
      <c r="C1554" s="58" t="s">
        <v>2894</v>
      </c>
      <c r="D1554" s="58" t="s">
        <v>727</v>
      </c>
    </row>
    <row r="1555" spans="1:4">
      <c r="A1555" s="58" t="s">
        <v>2895</v>
      </c>
      <c r="B1555" s="58">
        <v>517372</v>
      </c>
      <c r="C1555" s="58" t="s">
        <v>588</v>
      </c>
      <c r="D1555" s="58" t="s">
        <v>1506</v>
      </c>
    </row>
    <row r="1556" spans="1:4">
      <c r="A1556" s="58" t="s">
        <v>2896</v>
      </c>
      <c r="B1556" s="58">
        <v>531341</v>
      </c>
      <c r="C1556" s="58" t="s">
        <v>588</v>
      </c>
      <c r="D1556" s="58" t="s">
        <v>605</v>
      </c>
    </row>
    <row r="1557" spans="1:4">
      <c r="A1557" s="58" t="s">
        <v>2897</v>
      </c>
      <c r="B1557" s="58">
        <v>500174</v>
      </c>
      <c r="C1557" s="58" t="s">
        <v>2898</v>
      </c>
      <c r="D1557" s="58" t="s">
        <v>605</v>
      </c>
    </row>
    <row r="1558" spans="1:4">
      <c r="A1558" s="58" t="s">
        <v>2899</v>
      </c>
      <c r="B1558" s="58">
        <v>524754</v>
      </c>
      <c r="C1558" s="58" t="s">
        <v>588</v>
      </c>
      <c r="D1558" s="58" t="s">
        <v>1551</v>
      </c>
    </row>
    <row r="1559" spans="1:4">
      <c r="A1559" s="58" t="s">
        <v>2900</v>
      </c>
      <c r="B1559" s="58">
        <v>531881</v>
      </c>
      <c r="C1559" s="58" t="s">
        <v>588</v>
      </c>
      <c r="D1559" s="58" t="s">
        <v>610</v>
      </c>
    </row>
    <row r="1560" spans="1:4">
      <c r="A1560" s="58" t="s">
        <v>2901</v>
      </c>
      <c r="B1560" s="58">
        <v>532181</v>
      </c>
      <c r="C1560" s="58" t="s">
        <v>2902</v>
      </c>
      <c r="D1560" s="58" t="s">
        <v>1265</v>
      </c>
    </row>
    <row r="1561" spans="1:4">
      <c r="A1561" s="58" t="s">
        <v>2903</v>
      </c>
      <c r="B1561" s="58">
        <v>500670</v>
      </c>
      <c r="C1561" s="58" t="s">
        <v>2904</v>
      </c>
      <c r="D1561" s="58" t="s">
        <v>1096</v>
      </c>
    </row>
    <row r="1562" spans="1:4">
      <c r="A1562" s="58" t="s">
        <v>2905</v>
      </c>
      <c r="B1562" s="58">
        <v>513536</v>
      </c>
      <c r="C1562" s="58" t="s">
        <v>588</v>
      </c>
      <c r="D1562" s="58" t="s">
        <v>651</v>
      </c>
    </row>
    <row r="1563" spans="1:4">
      <c r="A1563" s="58" t="s">
        <v>2906</v>
      </c>
      <c r="B1563" s="58">
        <v>506858</v>
      </c>
      <c r="C1563" s="58" t="s">
        <v>588</v>
      </c>
      <c r="D1563" s="58" t="s">
        <v>965</v>
      </c>
    </row>
    <row r="1564" spans="1:4">
      <c r="A1564" s="58" t="s">
        <v>2907</v>
      </c>
      <c r="B1564" s="58">
        <v>533248</v>
      </c>
      <c r="C1564" s="58" t="s">
        <v>2908</v>
      </c>
      <c r="D1564" s="58" t="s">
        <v>724</v>
      </c>
    </row>
    <row r="1565" spans="1:4">
      <c r="A1565" s="58" t="s">
        <v>2909</v>
      </c>
      <c r="B1565" s="58">
        <v>517288</v>
      </c>
      <c r="C1565" s="58" t="s">
        <v>588</v>
      </c>
      <c r="D1565" s="58" t="s">
        <v>886</v>
      </c>
    </row>
    <row r="1566" spans="1:4">
      <c r="A1566" s="58" t="s">
        <v>2910</v>
      </c>
      <c r="B1566" s="58">
        <v>523836</v>
      </c>
      <c r="C1566" s="58" t="s">
        <v>2911</v>
      </c>
      <c r="D1566" s="58" t="s">
        <v>783</v>
      </c>
    </row>
    <row r="1567" spans="1:4">
      <c r="A1567" s="58" t="s">
        <v>2912</v>
      </c>
      <c r="B1567" s="58">
        <v>518029</v>
      </c>
      <c r="C1567" s="58" t="s">
        <v>2913</v>
      </c>
      <c r="D1567" s="58" t="s">
        <v>601</v>
      </c>
    </row>
    <row r="1568" spans="1:4">
      <c r="A1568" s="58" t="s">
        <v>2914</v>
      </c>
      <c r="B1568" s="58">
        <v>500690</v>
      </c>
      <c r="C1568" s="58" t="s">
        <v>2915</v>
      </c>
      <c r="D1568" s="58" t="s">
        <v>1096</v>
      </c>
    </row>
    <row r="1569" spans="1:4">
      <c r="A1569" s="58" t="s">
        <v>2916</v>
      </c>
      <c r="B1569" s="58">
        <v>532160</v>
      </c>
      <c r="C1569" s="58" t="s">
        <v>588</v>
      </c>
      <c r="D1569" s="58" t="s">
        <v>2917</v>
      </c>
    </row>
    <row r="1570" spans="1:4">
      <c r="A1570" s="58" t="s">
        <v>2918</v>
      </c>
      <c r="B1570" s="58">
        <v>532702</v>
      </c>
      <c r="C1570" s="58" t="s">
        <v>2919</v>
      </c>
      <c r="D1570" s="58" t="s">
        <v>613</v>
      </c>
    </row>
    <row r="1571" spans="1:4">
      <c r="A1571" s="58" t="s">
        <v>2920</v>
      </c>
      <c r="B1571" s="58">
        <v>524314</v>
      </c>
      <c r="C1571" s="58" t="s">
        <v>588</v>
      </c>
      <c r="D1571" s="58" t="s">
        <v>626</v>
      </c>
    </row>
    <row r="1572" spans="1:4">
      <c r="A1572" s="58" t="s">
        <v>2921</v>
      </c>
      <c r="B1572" s="58">
        <v>506879</v>
      </c>
      <c r="C1572" s="58" t="s">
        <v>588</v>
      </c>
      <c r="D1572" s="58" t="s">
        <v>626</v>
      </c>
    </row>
    <row r="1573" spans="1:4">
      <c r="A1573" s="58" t="s">
        <v>2922</v>
      </c>
      <c r="B1573" s="58">
        <v>513337</v>
      </c>
      <c r="C1573" s="58" t="s">
        <v>588</v>
      </c>
      <c r="D1573" s="58" t="s">
        <v>708</v>
      </c>
    </row>
    <row r="1574" spans="1:4">
      <c r="A1574" s="58" t="s">
        <v>2923</v>
      </c>
      <c r="B1574" s="58">
        <v>506640</v>
      </c>
      <c r="C1574" s="58" t="s">
        <v>588</v>
      </c>
      <c r="D1574" s="58" t="s">
        <v>636</v>
      </c>
    </row>
    <row r="1575" spans="1:4">
      <c r="A1575" s="58" t="s">
        <v>2924</v>
      </c>
      <c r="B1575" s="58">
        <v>506640</v>
      </c>
      <c r="C1575" s="58" t="s">
        <v>588</v>
      </c>
      <c r="D1575" s="58" t="s">
        <v>636</v>
      </c>
    </row>
    <row r="1576" spans="1:4">
      <c r="A1576" s="58" t="s">
        <v>2925</v>
      </c>
      <c r="B1576" s="58">
        <v>538567</v>
      </c>
      <c r="C1576" s="58" t="s">
        <v>2926</v>
      </c>
      <c r="D1576" s="58" t="s">
        <v>798</v>
      </c>
    </row>
    <row r="1577" spans="1:4">
      <c r="A1577" s="58" t="s">
        <v>2927</v>
      </c>
      <c r="B1577" s="58">
        <v>538567</v>
      </c>
      <c r="C1577" s="58" t="s">
        <v>2926</v>
      </c>
      <c r="D1577" s="58" t="s">
        <v>798</v>
      </c>
    </row>
    <row r="1578" spans="1:4">
      <c r="A1578" s="58" t="s">
        <v>2928</v>
      </c>
      <c r="B1578" s="58">
        <v>532425</v>
      </c>
      <c r="C1578" s="58" t="s">
        <v>588</v>
      </c>
      <c r="D1578" s="58" t="s">
        <v>636</v>
      </c>
    </row>
    <row r="1579" spans="1:4">
      <c r="A1579" s="58" t="s">
        <v>2929</v>
      </c>
      <c r="B1579" s="58">
        <v>532457</v>
      </c>
      <c r="C1579" s="58" t="s">
        <v>2930</v>
      </c>
      <c r="D1579" s="58" t="s">
        <v>636</v>
      </c>
    </row>
    <row r="1580" spans="1:4">
      <c r="A1580" s="58" t="s">
        <v>2931</v>
      </c>
      <c r="B1580" s="58">
        <v>523277</v>
      </c>
      <c r="C1580" s="58" t="s">
        <v>588</v>
      </c>
      <c r="D1580" s="58" t="s">
        <v>591</v>
      </c>
    </row>
    <row r="1581" spans="1:4">
      <c r="A1581" s="58" t="s">
        <v>2932</v>
      </c>
      <c r="B1581" s="58">
        <v>532708</v>
      </c>
      <c r="C1581" s="58" t="s">
        <v>2933</v>
      </c>
      <c r="D1581" s="58" t="s">
        <v>727</v>
      </c>
    </row>
    <row r="1582" spans="1:4">
      <c r="A1582" s="58" t="s">
        <v>2934</v>
      </c>
      <c r="B1582" s="58">
        <v>530141</v>
      </c>
      <c r="C1582" s="58" t="s">
        <v>588</v>
      </c>
      <c r="D1582" s="58" t="s">
        <v>674</v>
      </c>
    </row>
    <row r="1583" spans="1:4">
      <c r="A1583" s="58" t="s">
        <v>2935</v>
      </c>
      <c r="B1583" s="58">
        <v>533275</v>
      </c>
      <c r="C1583" s="58" t="s">
        <v>2936</v>
      </c>
      <c r="D1583" s="58" t="s">
        <v>620</v>
      </c>
    </row>
    <row r="1584" spans="1:4">
      <c r="A1584" s="58" t="s">
        <v>2937</v>
      </c>
      <c r="B1584" s="58">
        <v>541019</v>
      </c>
      <c r="C1584" s="58" t="s">
        <v>2938</v>
      </c>
      <c r="D1584" s="58" t="s">
        <v>986</v>
      </c>
    </row>
    <row r="1585" spans="1:4">
      <c r="A1585" s="58" t="s">
        <v>2939</v>
      </c>
      <c r="B1585" s="58">
        <v>539337</v>
      </c>
      <c r="C1585" s="58" t="s">
        <v>588</v>
      </c>
      <c r="D1585" s="58" t="s">
        <v>783</v>
      </c>
    </row>
    <row r="1586" spans="1:4">
      <c r="A1586" s="58" t="s">
        <v>2940</v>
      </c>
      <c r="B1586" s="58">
        <v>502873</v>
      </c>
      <c r="C1586" s="58" t="s">
        <v>588</v>
      </c>
      <c r="D1586" s="58" t="s">
        <v>603</v>
      </c>
    </row>
    <row r="1587" spans="1:4">
      <c r="A1587" s="58" t="s">
        <v>2941</v>
      </c>
      <c r="B1587" s="58">
        <v>532145</v>
      </c>
      <c r="C1587" s="58" t="s">
        <v>588</v>
      </c>
      <c r="D1587" s="58" t="s">
        <v>789</v>
      </c>
    </row>
    <row r="1588" spans="1:4">
      <c r="A1588" s="58" t="s">
        <v>2942</v>
      </c>
      <c r="B1588" s="58">
        <v>532145</v>
      </c>
      <c r="C1588" s="58" t="s">
        <v>588</v>
      </c>
      <c r="D1588" s="58" t="s">
        <v>789</v>
      </c>
    </row>
    <row r="1589" spans="1:4">
      <c r="A1589" s="58" t="s">
        <v>2943</v>
      </c>
      <c r="B1589" s="58">
        <v>539854</v>
      </c>
      <c r="C1589" s="58" t="s">
        <v>588</v>
      </c>
      <c r="D1589" s="58" t="s">
        <v>786</v>
      </c>
    </row>
    <row r="1590" spans="1:4">
      <c r="A1590" s="58" t="s">
        <v>2944</v>
      </c>
      <c r="B1590" s="58">
        <v>515147</v>
      </c>
      <c r="C1590" s="58" t="s">
        <v>588</v>
      </c>
      <c r="D1590" s="58" t="s">
        <v>783</v>
      </c>
    </row>
    <row r="1591" spans="1:4">
      <c r="A1591" s="58" t="s">
        <v>2945</v>
      </c>
      <c r="B1591" s="58">
        <v>509597</v>
      </c>
      <c r="C1591" s="58" t="s">
        <v>588</v>
      </c>
      <c r="D1591" s="58" t="s">
        <v>748</v>
      </c>
    </row>
    <row r="1592" spans="1:4">
      <c r="A1592" s="58" t="s">
        <v>2946</v>
      </c>
      <c r="B1592" s="58">
        <v>531971</v>
      </c>
      <c r="C1592" s="58" t="s">
        <v>588</v>
      </c>
      <c r="D1592" s="58" t="s">
        <v>603</v>
      </c>
    </row>
    <row r="1593" spans="1:4">
      <c r="A1593" s="58" t="s">
        <v>2947</v>
      </c>
      <c r="B1593" s="58">
        <v>538081</v>
      </c>
      <c r="C1593" s="58" t="s">
        <v>588</v>
      </c>
      <c r="D1593" s="58" t="s">
        <v>603</v>
      </c>
    </row>
    <row r="1594" spans="1:4">
      <c r="A1594" s="58" t="s">
        <v>2948</v>
      </c>
      <c r="B1594" s="58">
        <v>512604</v>
      </c>
      <c r="C1594" s="58" t="s">
        <v>588</v>
      </c>
      <c r="D1594" s="58" t="s">
        <v>702</v>
      </c>
    </row>
    <row r="1595" spans="1:4">
      <c r="A1595" s="58" t="s">
        <v>2949</v>
      </c>
      <c r="B1595" s="58">
        <v>542682</v>
      </c>
      <c r="C1595" s="58" t="s">
        <v>2950</v>
      </c>
      <c r="D1595" s="58" t="s">
        <v>596</v>
      </c>
    </row>
    <row r="1596" spans="1:4">
      <c r="A1596" s="58" t="s">
        <v>2951</v>
      </c>
      <c r="B1596" s="58">
        <v>590043</v>
      </c>
      <c r="C1596" s="58" t="s">
        <v>2952</v>
      </c>
      <c r="D1596" s="58" t="s">
        <v>943</v>
      </c>
    </row>
    <row r="1597" spans="1:4">
      <c r="A1597" s="58" t="s">
        <v>2953</v>
      </c>
      <c r="B1597" s="58">
        <v>506024</v>
      </c>
      <c r="C1597" s="58" t="s">
        <v>588</v>
      </c>
      <c r="D1597" s="58" t="s">
        <v>620</v>
      </c>
    </row>
    <row r="1598" spans="1:4">
      <c r="A1598" s="58" t="s">
        <v>2954</v>
      </c>
      <c r="B1598" s="58">
        <v>526931</v>
      </c>
      <c r="C1598" s="58" t="s">
        <v>588</v>
      </c>
      <c r="D1598" s="58" t="s">
        <v>773</v>
      </c>
    </row>
    <row r="1599" spans="1:4">
      <c r="A1599" s="58" t="s">
        <v>2955</v>
      </c>
      <c r="B1599" s="58">
        <v>530055</v>
      </c>
      <c r="C1599" s="58" t="s">
        <v>588</v>
      </c>
      <c r="D1599" s="58" t="s">
        <v>1009</v>
      </c>
    </row>
    <row r="1600" spans="1:4">
      <c r="A1600" s="58" t="s">
        <v>2956</v>
      </c>
      <c r="B1600" s="58">
        <v>500467</v>
      </c>
      <c r="C1600" s="58" t="s">
        <v>2957</v>
      </c>
      <c r="D1600" s="58" t="s">
        <v>1068</v>
      </c>
    </row>
    <row r="1601" spans="1:4">
      <c r="A1601" s="58" t="s">
        <v>2958</v>
      </c>
      <c r="B1601" s="58">
        <v>532855</v>
      </c>
      <c r="C1601" s="58" t="s">
        <v>588</v>
      </c>
      <c r="D1601" s="58" t="s">
        <v>608</v>
      </c>
    </row>
    <row r="1602" spans="1:4">
      <c r="A1602" s="58" t="s">
        <v>2959</v>
      </c>
      <c r="B1602" s="58">
        <v>530927</v>
      </c>
      <c r="C1602" s="58" t="s">
        <v>588</v>
      </c>
      <c r="D1602" s="58" t="s">
        <v>2917</v>
      </c>
    </row>
    <row r="1603" spans="1:4">
      <c r="A1603" s="58" t="s">
        <v>2960</v>
      </c>
      <c r="B1603" s="58">
        <v>524080</v>
      </c>
      <c r="C1603" s="58" t="s">
        <v>588</v>
      </c>
      <c r="D1603" s="58" t="s">
        <v>636</v>
      </c>
    </row>
    <row r="1604" spans="1:4">
      <c r="A1604" s="58" t="s">
        <v>2961</v>
      </c>
      <c r="B1604" s="58">
        <v>780014</v>
      </c>
      <c r="C1604" s="58" t="s">
        <v>588</v>
      </c>
      <c r="D1604" s="58" t="s">
        <v>679</v>
      </c>
    </row>
    <row r="1605" spans="1:4">
      <c r="A1605" s="58" t="s">
        <v>2962</v>
      </c>
      <c r="B1605" s="58">
        <v>531387</v>
      </c>
      <c r="C1605" s="58" t="s">
        <v>588</v>
      </c>
      <c r="D1605" s="58" t="s">
        <v>605</v>
      </c>
    </row>
    <row r="1606" spans="1:4">
      <c r="A1606" s="58" t="s">
        <v>2963</v>
      </c>
      <c r="B1606" s="58">
        <v>509073</v>
      </c>
      <c r="C1606" s="58" t="s">
        <v>2964</v>
      </c>
      <c r="D1606" s="58" t="s">
        <v>2965</v>
      </c>
    </row>
    <row r="1607" spans="1:4">
      <c r="A1607" s="58" t="s">
        <v>2966</v>
      </c>
      <c r="B1607" s="58">
        <v>533162</v>
      </c>
      <c r="C1607" s="58" t="s">
        <v>2967</v>
      </c>
      <c r="D1607" s="58" t="s">
        <v>1325</v>
      </c>
    </row>
    <row r="1608" spans="1:4">
      <c r="A1608" s="58" t="s">
        <v>2968</v>
      </c>
      <c r="B1608" s="58">
        <v>531531</v>
      </c>
      <c r="C1608" s="58" t="s">
        <v>2969</v>
      </c>
      <c r="D1608" s="58" t="s">
        <v>648</v>
      </c>
    </row>
    <row r="1609" spans="1:4">
      <c r="A1609" s="58" t="s">
        <v>2970</v>
      </c>
      <c r="B1609" s="58">
        <v>517354</v>
      </c>
      <c r="C1609" s="58" t="s">
        <v>2971</v>
      </c>
      <c r="D1609" s="58" t="s">
        <v>886</v>
      </c>
    </row>
    <row r="1610" spans="1:4">
      <c r="A1610" s="58" t="s">
        <v>2972</v>
      </c>
      <c r="B1610" s="58">
        <v>517354</v>
      </c>
      <c r="C1610" s="58" t="s">
        <v>2971</v>
      </c>
      <c r="D1610" s="58" t="s">
        <v>886</v>
      </c>
    </row>
    <row r="1611" spans="1:4">
      <c r="A1611" s="58" t="s">
        <v>2973</v>
      </c>
      <c r="B1611" s="58">
        <v>539176</v>
      </c>
      <c r="C1611" s="58" t="s">
        <v>588</v>
      </c>
      <c r="D1611" s="58" t="s">
        <v>596</v>
      </c>
    </row>
    <row r="1612" spans="1:4">
      <c r="A1612" s="58" t="s">
        <v>2974</v>
      </c>
      <c r="B1612" s="58">
        <v>508486</v>
      </c>
      <c r="C1612" s="58" t="s">
        <v>588</v>
      </c>
      <c r="D1612" s="58" t="s">
        <v>1632</v>
      </c>
    </row>
    <row r="1613" spans="1:4">
      <c r="A1613" s="58" t="s">
        <v>2975</v>
      </c>
      <c r="B1613" s="58">
        <v>532467</v>
      </c>
      <c r="C1613" s="58" t="s">
        <v>588</v>
      </c>
      <c r="D1613" s="58" t="s">
        <v>591</v>
      </c>
    </row>
    <row r="1614" spans="1:4">
      <c r="A1614" s="58" t="s">
        <v>2976</v>
      </c>
      <c r="B1614" s="58">
        <v>532334</v>
      </c>
      <c r="C1614" s="58" t="s">
        <v>588</v>
      </c>
      <c r="D1614" s="58" t="s">
        <v>674</v>
      </c>
    </row>
    <row r="1615" spans="1:4">
      <c r="A1615" s="58" t="s">
        <v>2977</v>
      </c>
      <c r="B1615" s="58">
        <v>508956</v>
      </c>
      <c r="C1615" s="58" t="s">
        <v>588</v>
      </c>
      <c r="D1615" s="58" t="s">
        <v>605</v>
      </c>
    </row>
    <row r="1616" spans="1:4">
      <c r="A1616" s="58" t="s">
        <v>2978</v>
      </c>
      <c r="B1616" s="58">
        <v>532333</v>
      </c>
      <c r="C1616" s="58" t="s">
        <v>588</v>
      </c>
      <c r="D1616" s="58" t="s">
        <v>571</v>
      </c>
    </row>
    <row r="1617" spans="1:4">
      <c r="A1617" s="58" t="s">
        <v>2979</v>
      </c>
      <c r="B1617" s="58">
        <v>532216</v>
      </c>
      <c r="C1617" s="58" t="s">
        <v>2980</v>
      </c>
      <c r="D1617" s="58" t="s">
        <v>605</v>
      </c>
    </row>
    <row r="1618" spans="1:4">
      <c r="A1618" s="58" t="s">
        <v>2981</v>
      </c>
      <c r="B1618" s="58">
        <v>517271</v>
      </c>
      <c r="C1618" s="58" t="s">
        <v>2982</v>
      </c>
      <c r="D1618" s="58" t="s">
        <v>886</v>
      </c>
    </row>
    <row r="1619" spans="1:4">
      <c r="A1619" s="58" t="s">
        <v>2983</v>
      </c>
      <c r="B1619" s="58">
        <v>539224</v>
      </c>
      <c r="C1619" s="58" t="s">
        <v>588</v>
      </c>
      <c r="D1619" s="58" t="s">
        <v>577</v>
      </c>
    </row>
    <row r="1620" spans="1:4">
      <c r="A1620" s="58" t="s">
        <v>2984</v>
      </c>
      <c r="B1620" s="58">
        <v>500179</v>
      </c>
      <c r="C1620" s="58" t="s">
        <v>2985</v>
      </c>
      <c r="D1620" s="58" t="s">
        <v>913</v>
      </c>
    </row>
    <row r="1621" spans="1:4">
      <c r="A1621" s="58" t="s">
        <v>2986</v>
      </c>
      <c r="B1621" s="58">
        <v>532281</v>
      </c>
      <c r="C1621" s="58" t="s">
        <v>2987</v>
      </c>
      <c r="D1621" s="58" t="s">
        <v>574</v>
      </c>
    </row>
    <row r="1622" spans="1:4">
      <c r="A1622" s="58" t="s">
        <v>2988</v>
      </c>
      <c r="B1622" s="58">
        <v>541729</v>
      </c>
      <c r="C1622" s="58" t="s">
        <v>2989</v>
      </c>
      <c r="D1622" s="58" t="s">
        <v>2990</v>
      </c>
    </row>
    <row r="1623" spans="1:4">
      <c r="A1623" s="58" t="s">
        <v>2991</v>
      </c>
      <c r="B1623" s="58">
        <v>500180</v>
      </c>
      <c r="C1623" s="58" t="s">
        <v>2992</v>
      </c>
      <c r="D1623" s="58" t="s">
        <v>906</v>
      </c>
    </row>
    <row r="1624" spans="1:4">
      <c r="A1624" s="58" t="s">
        <v>2993</v>
      </c>
      <c r="B1624" s="58">
        <v>533230</v>
      </c>
      <c r="C1624" s="58" t="s">
        <v>2994</v>
      </c>
      <c r="D1624" s="58" t="s">
        <v>571</v>
      </c>
    </row>
    <row r="1625" spans="1:4">
      <c r="A1625" s="58" t="s">
        <v>2995</v>
      </c>
      <c r="B1625" s="58">
        <v>540777</v>
      </c>
      <c r="C1625" s="58" t="s">
        <v>2996</v>
      </c>
      <c r="D1625" s="58" t="s">
        <v>2997</v>
      </c>
    </row>
    <row r="1626" spans="1:4">
      <c r="A1626" s="58" t="s">
        <v>2998</v>
      </c>
      <c r="B1626" s="58">
        <v>539787</v>
      </c>
      <c r="C1626" s="58" t="s">
        <v>2999</v>
      </c>
      <c r="D1626" s="58" t="s">
        <v>1058</v>
      </c>
    </row>
    <row r="1627" spans="1:4">
      <c r="A1627" s="58" t="s">
        <v>3000</v>
      </c>
      <c r="B1627" s="58">
        <v>503689</v>
      </c>
      <c r="C1627" s="58" t="s">
        <v>588</v>
      </c>
      <c r="D1627" s="58" t="s">
        <v>1009</v>
      </c>
    </row>
    <row r="1628" spans="1:4">
      <c r="A1628" s="58" t="s">
        <v>3001</v>
      </c>
      <c r="B1628" s="58" t="s">
        <v>588</v>
      </c>
      <c r="C1628" s="58" t="s">
        <v>3002</v>
      </c>
      <c r="D1628" s="58" t="s">
        <v>599</v>
      </c>
    </row>
    <row r="1629" spans="1:4">
      <c r="A1629" s="58" t="s">
        <v>3003</v>
      </c>
      <c r="B1629" s="58">
        <v>526967</v>
      </c>
      <c r="C1629" s="58" t="s">
        <v>588</v>
      </c>
      <c r="D1629" s="58" t="s">
        <v>620</v>
      </c>
    </row>
    <row r="1630" spans="1:4">
      <c r="A1630" s="58" t="s">
        <v>3004</v>
      </c>
      <c r="B1630" s="58">
        <v>509631</v>
      </c>
      <c r="C1630" s="58" t="s">
        <v>3005</v>
      </c>
      <c r="D1630" s="58" t="s">
        <v>773</v>
      </c>
    </row>
    <row r="1631" spans="1:4">
      <c r="A1631" s="58" t="s">
        <v>3006</v>
      </c>
      <c r="B1631" s="58">
        <v>500292</v>
      </c>
      <c r="C1631" s="58" t="s">
        <v>3007</v>
      </c>
      <c r="D1631" s="58" t="s">
        <v>601</v>
      </c>
    </row>
    <row r="1632" spans="1:4">
      <c r="A1632" s="58" t="s">
        <v>3008</v>
      </c>
      <c r="B1632" s="58">
        <v>500292</v>
      </c>
      <c r="C1632" s="58" t="s">
        <v>3007</v>
      </c>
      <c r="D1632" s="58" t="s">
        <v>601</v>
      </c>
    </row>
    <row r="1633" spans="1:4">
      <c r="A1633" s="58" t="s">
        <v>3009</v>
      </c>
      <c r="B1633" s="58">
        <v>539174</v>
      </c>
      <c r="C1633" s="58" t="s">
        <v>3010</v>
      </c>
      <c r="D1633" s="58" t="s">
        <v>605</v>
      </c>
    </row>
    <row r="1634" spans="1:4">
      <c r="A1634" s="58" t="s">
        <v>3011</v>
      </c>
      <c r="B1634" s="58">
        <v>505520</v>
      </c>
      <c r="C1634" s="58" t="s">
        <v>588</v>
      </c>
      <c r="D1634" s="58" t="s">
        <v>1009</v>
      </c>
    </row>
    <row r="1635" spans="1:4">
      <c r="A1635" s="58" t="s">
        <v>3012</v>
      </c>
      <c r="B1635" s="58">
        <v>531178</v>
      </c>
      <c r="C1635" s="58" t="s">
        <v>588</v>
      </c>
      <c r="D1635" s="58" t="s">
        <v>610</v>
      </c>
    </row>
    <row r="1636" spans="1:4">
      <c r="A1636" s="58" t="s">
        <v>3013</v>
      </c>
      <c r="B1636" s="58">
        <v>524590</v>
      </c>
      <c r="C1636" s="58" t="s">
        <v>588</v>
      </c>
      <c r="D1636" s="58" t="s">
        <v>610</v>
      </c>
    </row>
    <row r="1637" spans="1:4">
      <c r="A1637" s="58" t="s">
        <v>3014</v>
      </c>
      <c r="B1637" s="58">
        <v>505720</v>
      </c>
      <c r="C1637" s="58" t="s">
        <v>3015</v>
      </c>
      <c r="D1637" s="58" t="s">
        <v>596</v>
      </c>
    </row>
    <row r="1638" spans="1:4">
      <c r="A1638" s="58" t="s">
        <v>3016</v>
      </c>
      <c r="B1638" s="58">
        <v>519552</v>
      </c>
      <c r="C1638" s="58" t="s">
        <v>3017</v>
      </c>
      <c r="D1638" s="58" t="s">
        <v>648</v>
      </c>
    </row>
    <row r="1639" spans="1:4">
      <c r="A1639" s="58" t="s">
        <v>3018</v>
      </c>
      <c r="B1639" s="58">
        <v>500182</v>
      </c>
      <c r="C1639" s="58" t="s">
        <v>3019</v>
      </c>
      <c r="D1639" s="58" t="s">
        <v>1245</v>
      </c>
    </row>
    <row r="1640" spans="1:4">
      <c r="A1640" s="58" t="s">
        <v>3020</v>
      </c>
      <c r="B1640" s="58">
        <v>524669</v>
      </c>
      <c r="C1640" s="58" t="s">
        <v>3021</v>
      </c>
      <c r="D1640" s="58" t="s">
        <v>626</v>
      </c>
    </row>
    <row r="1641" spans="1:4">
      <c r="A1641" s="58" t="s">
        <v>3022</v>
      </c>
      <c r="B1641" s="58">
        <v>534328</v>
      </c>
      <c r="C1641" s="58" t="s">
        <v>3023</v>
      </c>
      <c r="D1641" s="58" t="s">
        <v>610</v>
      </c>
    </row>
    <row r="1642" spans="1:4">
      <c r="A1642" s="58" t="s">
        <v>3024</v>
      </c>
      <c r="B1642" s="58">
        <v>532129</v>
      </c>
      <c r="C1642" s="58" t="s">
        <v>3025</v>
      </c>
      <c r="D1642" s="58" t="s">
        <v>574</v>
      </c>
    </row>
    <row r="1643" spans="1:4">
      <c r="A1643" s="58" t="s">
        <v>3026</v>
      </c>
      <c r="B1643" s="58">
        <v>504176</v>
      </c>
      <c r="C1643" s="58" t="s">
        <v>588</v>
      </c>
      <c r="D1643" s="58" t="s">
        <v>1134</v>
      </c>
    </row>
    <row r="1644" spans="1:4">
      <c r="A1644" s="58" t="s">
        <v>3027</v>
      </c>
      <c r="B1644" s="58">
        <v>504176</v>
      </c>
      <c r="C1644" s="58" t="s">
        <v>588</v>
      </c>
      <c r="D1644" s="58" t="s">
        <v>1134</v>
      </c>
    </row>
    <row r="1645" spans="1:4">
      <c r="A1645" s="58" t="s">
        <v>3028</v>
      </c>
      <c r="B1645" s="58">
        <v>517080</v>
      </c>
      <c r="C1645" s="58" t="s">
        <v>3029</v>
      </c>
      <c r="D1645" s="58" t="s">
        <v>986</v>
      </c>
    </row>
    <row r="1646" spans="1:4">
      <c r="A1646" s="58" t="s">
        <v>3030</v>
      </c>
      <c r="B1646" s="58">
        <v>531301</v>
      </c>
      <c r="C1646" s="58" t="s">
        <v>588</v>
      </c>
      <c r="D1646" s="58" t="s">
        <v>603</v>
      </c>
    </row>
    <row r="1647" spans="1:4">
      <c r="A1647" s="58" t="s">
        <v>3031</v>
      </c>
      <c r="B1647" s="58">
        <v>524735</v>
      </c>
      <c r="C1647" s="58" t="s">
        <v>3032</v>
      </c>
      <c r="D1647" s="58" t="s">
        <v>626</v>
      </c>
    </row>
    <row r="1648" spans="1:4">
      <c r="A1648" s="58" t="s">
        <v>3033</v>
      </c>
      <c r="B1648" s="58">
        <v>542332</v>
      </c>
      <c r="C1648" s="58" t="s">
        <v>3034</v>
      </c>
      <c r="D1648" s="58" t="s">
        <v>571</v>
      </c>
    </row>
    <row r="1649" spans="1:4">
      <c r="A1649" s="58" t="s">
        <v>3035</v>
      </c>
      <c r="B1649" s="58">
        <v>509675</v>
      </c>
      <c r="C1649" s="58" t="s">
        <v>3036</v>
      </c>
      <c r="D1649" s="58" t="s">
        <v>601</v>
      </c>
    </row>
    <row r="1650" spans="1:4">
      <c r="A1650" s="58" t="s">
        <v>3037</v>
      </c>
      <c r="B1650" s="58">
        <v>532847</v>
      </c>
      <c r="C1650" s="58" t="s">
        <v>3038</v>
      </c>
      <c r="D1650" s="58" t="s">
        <v>1506</v>
      </c>
    </row>
    <row r="1651" spans="1:4">
      <c r="A1651" s="58" t="s">
        <v>3039</v>
      </c>
      <c r="B1651" s="58">
        <v>505712</v>
      </c>
      <c r="C1651" s="58" t="s">
        <v>588</v>
      </c>
      <c r="D1651" s="58" t="s">
        <v>943</v>
      </c>
    </row>
    <row r="1652" spans="1:4">
      <c r="A1652" s="58" t="s">
        <v>3040</v>
      </c>
      <c r="B1652" s="58">
        <v>514010</v>
      </c>
      <c r="C1652" s="58" t="s">
        <v>588</v>
      </c>
      <c r="D1652" s="58" t="s">
        <v>603</v>
      </c>
    </row>
    <row r="1653" spans="1:4">
      <c r="A1653" s="58" t="s">
        <v>3041</v>
      </c>
      <c r="B1653" s="58">
        <v>500183</v>
      </c>
      <c r="C1653" s="58" t="s">
        <v>3042</v>
      </c>
      <c r="D1653" s="58" t="s">
        <v>858</v>
      </c>
    </row>
    <row r="1654" spans="1:4">
      <c r="A1654" s="58" t="s">
        <v>3043</v>
      </c>
      <c r="B1654" s="58">
        <v>500184</v>
      </c>
      <c r="C1654" s="58" t="s">
        <v>3044</v>
      </c>
      <c r="D1654" s="58" t="s">
        <v>748</v>
      </c>
    </row>
    <row r="1655" spans="1:4">
      <c r="A1655" s="58" t="s">
        <v>3045</v>
      </c>
      <c r="B1655" s="58">
        <v>526899</v>
      </c>
      <c r="C1655" s="58" t="s">
        <v>588</v>
      </c>
      <c r="D1655" s="58" t="s">
        <v>786</v>
      </c>
    </row>
    <row r="1656" spans="1:4">
      <c r="A1656" s="58" t="s">
        <v>3046</v>
      </c>
      <c r="B1656" s="58">
        <v>513723</v>
      </c>
      <c r="C1656" s="58" t="s">
        <v>588</v>
      </c>
      <c r="D1656" s="58" t="s">
        <v>1116</v>
      </c>
    </row>
    <row r="1657" spans="1:4">
      <c r="A1657" s="58" t="s">
        <v>3047</v>
      </c>
      <c r="B1657" s="58">
        <v>511169</v>
      </c>
      <c r="C1657" s="58" t="s">
        <v>588</v>
      </c>
      <c r="D1657" s="58" t="s">
        <v>605</v>
      </c>
    </row>
    <row r="1658" spans="1:4">
      <c r="A1658" s="58" t="s">
        <v>3048</v>
      </c>
      <c r="B1658" s="58">
        <v>514043</v>
      </c>
      <c r="C1658" s="58" t="s">
        <v>3049</v>
      </c>
      <c r="D1658" s="58" t="s">
        <v>603</v>
      </c>
    </row>
    <row r="1659" spans="1:4">
      <c r="A1659" s="58" t="s">
        <v>3050</v>
      </c>
      <c r="B1659" s="58">
        <v>531979</v>
      </c>
      <c r="C1659" s="58" t="s">
        <v>588</v>
      </c>
      <c r="D1659" s="58" t="s">
        <v>893</v>
      </c>
    </row>
    <row r="1660" spans="1:4">
      <c r="A1660" s="58" t="s">
        <v>3051</v>
      </c>
      <c r="B1660" s="58">
        <v>538652</v>
      </c>
      <c r="C1660" s="58" t="s">
        <v>588</v>
      </c>
      <c r="D1660" s="58" t="s">
        <v>610</v>
      </c>
    </row>
    <row r="1661" spans="1:4">
      <c r="A1661" s="58" t="s">
        <v>3052</v>
      </c>
      <c r="B1661" s="58">
        <v>504036</v>
      </c>
      <c r="C1661" s="58" t="s">
        <v>3053</v>
      </c>
      <c r="D1661" s="58" t="s">
        <v>1130</v>
      </c>
    </row>
    <row r="1662" spans="1:4">
      <c r="A1662" s="58" t="s">
        <v>3054</v>
      </c>
      <c r="B1662" s="58">
        <v>539114</v>
      </c>
      <c r="C1662" s="58" t="s">
        <v>588</v>
      </c>
      <c r="D1662" s="58" t="s">
        <v>605</v>
      </c>
    </row>
    <row r="1663" spans="1:4">
      <c r="A1663" s="58" t="s">
        <v>3055</v>
      </c>
      <c r="B1663" s="58">
        <v>503881</v>
      </c>
      <c r="C1663" s="58" t="s">
        <v>3056</v>
      </c>
      <c r="D1663" s="58" t="s">
        <v>603</v>
      </c>
    </row>
    <row r="1664" spans="1:4">
      <c r="A1664" s="58" t="s">
        <v>3057</v>
      </c>
      <c r="B1664" s="58">
        <v>500440</v>
      </c>
      <c r="C1664" s="58" t="s">
        <v>3058</v>
      </c>
      <c r="D1664" s="58" t="s">
        <v>893</v>
      </c>
    </row>
    <row r="1665" spans="1:4">
      <c r="A1665" s="58" t="s">
        <v>3059</v>
      </c>
      <c r="B1665" s="58" t="s">
        <v>588</v>
      </c>
      <c r="C1665" s="58" t="s">
        <v>3060</v>
      </c>
      <c r="D1665" s="58" t="s">
        <v>599</v>
      </c>
    </row>
    <row r="1666" spans="1:4">
      <c r="A1666" s="58" t="s">
        <v>3061</v>
      </c>
      <c r="B1666" s="58">
        <v>509895</v>
      </c>
      <c r="C1666" s="58" t="s">
        <v>588</v>
      </c>
      <c r="D1666" s="58" t="s">
        <v>603</v>
      </c>
    </row>
    <row r="1667" spans="1:4">
      <c r="A1667" s="58" t="s">
        <v>3062</v>
      </c>
      <c r="B1667" s="58">
        <v>532859</v>
      </c>
      <c r="C1667" s="58" t="s">
        <v>3063</v>
      </c>
      <c r="D1667" s="58" t="s">
        <v>918</v>
      </c>
    </row>
    <row r="1668" spans="1:4">
      <c r="A1668" s="58" t="s">
        <v>3064</v>
      </c>
      <c r="B1668" s="58">
        <v>500189</v>
      </c>
      <c r="C1668" s="58" t="s">
        <v>3065</v>
      </c>
      <c r="D1668" s="58" t="s">
        <v>1325</v>
      </c>
    </row>
    <row r="1669" spans="1:4">
      <c r="A1669" s="58" t="s">
        <v>3066</v>
      </c>
      <c r="B1669" s="58">
        <v>514428</v>
      </c>
      <c r="C1669" s="58" t="s">
        <v>588</v>
      </c>
      <c r="D1669" s="58" t="s">
        <v>708</v>
      </c>
    </row>
    <row r="1670" spans="1:4">
      <c r="A1670" s="58" t="s">
        <v>3067</v>
      </c>
      <c r="B1670" s="58">
        <v>541154</v>
      </c>
      <c r="C1670" s="58" t="s">
        <v>3068</v>
      </c>
      <c r="D1670" s="58" t="s">
        <v>3069</v>
      </c>
    </row>
    <row r="1671" spans="1:4">
      <c r="A1671" s="58" t="s">
        <v>3070</v>
      </c>
      <c r="B1671" s="58">
        <v>531918</v>
      </c>
      <c r="C1671" s="58" t="s">
        <v>588</v>
      </c>
      <c r="D1671" s="58" t="s">
        <v>610</v>
      </c>
    </row>
    <row r="1672" spans="1:4">
      <c r="A1672" s="58" t="s">
        <v>3071</v>
      </c>
      <c r="B1672" s="58">
        <v>532041</v>
      </c>
      <c r="C1672" s="58" t="s">
        <v>3072</v>
      </c>
      <c r="D1672" s="58" t="s">
        <v>681</v>
      </c>
    </row>
    <row r="1673" spans="1:4">
      <c r="A1673" s="58" t="s">
        <v>3073</v>
      </c>
      <c r="B1673" s="58">
        <v>509635</v>
      </c>
      <c r="C1673" s="58" t="s">
        <v>3074</v>
      </c>
      <c r="D1673" s="58" t="s">
        <v>943</v>
      </c>
    </row>
    <row r="1674" spans="1:4">
      <c r="A1674" s="58" t="s">
        <v>3075</v>
      </c>
      <c r="B1674" s="58">
        <v>500185</v>
      </c>
      <c r="C1674" s="58" t="s">
        <v>3076</v>
      </c>
      <c r="D1674" s="58" t="s">
        <v>986</v>
      </c>
    </row>
    <row r="1675" spans="1:4">
      <c r="A1675" s="58" t="s">
        <v>3077</v>
      </c>
      <c r="B1675" s="58">
        <v>513599</v>
      </c>
      <c r="C1675" s="58" t="s">
        <v>3078</v>
      </c>
      <c r="D1675" s="58" t="s">
        <v>662</v>
      </c>
    </row>
    <row r="1676" spans="1:4">
      <c r="A1676" s="58" t="s">
        <v>3079</v>
      </c>
      <c r="B1676" s="58">
        <v>505725</v>
      </c>
      <c r="C1676" s="58" t="s">
        <v>3080</v>
      </c>
      <c r="D1676" s="58" t="s">
        <v>773</v>
      </c>
    </row>
    <row r="1677" spans="1:4">
      <c r="A1677" s="58" t="s">
        <v>3081</v>
      </c>
      <c r="B1677" s="58">
        <v>524013</v>
      </c>
      <c r="C1677" s="58" t="s">
        <v>588</v>
      </c>
      <c r="D1677" s="58" t="s">
        <v>965</v>
      </c>
    </row>
    <row r="1678" spans="1:4">
      <c r="A1678" s="58" t="s">
        <v>3082</v>
      </c>
      <c r="B1678" s="58">
        <v>519126</v>
      </c>
      <c r="C1678" s="58" t="s">
        <v>588</v>
      </c>
      <c r="D1678" s="58" t="s">
        <v>648</v>
      </c>
    </row>
    <row r="1679" spans="1:4">
      <c r="A1679" s="58" t="s">
        <v>3083</v>
      </c>
      <c r="B1679" s="58">
        <v>505893</v>
      </c>
      <c r="C1679" s="58" t="s">
        <v>588</v>
      </c>
      <c r="D1679" s="58" t="s">
        <v>943</v>
      </c>
    </row>
    <row r="1680" spans="1:4">
      <c r="A1680" s="58" t="s">
        <v>3084</v>
      </c>
      <c r="B1680" s="58">
        <v>509650</v>
      </c>
      <c r="C1680" s="58" t="s">
        <v>588</v>
      </c>
      <c r="D1680" s="58" t="s">
        <v>646</v>
      </c>
    </row>
    <row r="1681" spans="1:4">
      <c r="A1681" s="58" t="s">
        <v>3085</v>
      </c>
      <c r="B1681" s="58">
        <v>533217</v>
      </c>
      <c r="C1681" s="58" t="s">
        <v>3086</v>
      </c>
      <c r="D1681" s="58" t="s">
        <v>1112</v>
      </c>
    </row>
    <row r="1682" spans="1:4">
      <c r="A1682" s="58" t="s">
        <v>3087</v>
      </c>
      <c r="B1682" s="58">
        <v>500500</v>
      </c>
      <c r="C1682" s="58" t="s">
        <v>3088</v>
      </c>
      <c r="D1682" s="58" t="s">
        <v>2515</v>
      </c>
    </row>
    <row r="1683" spans="1:4">
      <c r="A1683" s="58" t="s">
        <v>3089</v>
      </c>
      <c r="B1683" s="58">
        <v>500186</v>
      </c>
      <c r="C1683" s="58" t="s">
        <v>3090</v>
      </c>
      <c r="D1683" s="58" t="s">
        <v>651</v>
      </c>
    </row>
    <row r="1684" spans="1:4">
      <c r="A1684" s="58" t="s">
        <v>3091</v>
      </c>
      <c r="B1684" s="58">
        <v>500449</v>
      </c>
      <c r="C1684" s="58" t="s">
        <v>588</v>
      </c>
      <c r="D1684" s="58" t="s">
        <v>636</v>
      </c>
    </row>
    <row r="1685" spans="1:4">
      <c r="A1685" s="58" t="s">
        <v>3092</v>
      </c>
      <c r="B1685" s="58">
        <v>500104</v>
      </c>
      <c r="C1685" s="58" t="s">
        <v>3093</v>
      </c>
      <c r="D1685" s="58" t="s">
        <v>1515</v>
      </c>
    </row>
    <row r="1686" spans="1:4">
      <c r="A1686" s="58" t="s">
        <v>3094</v>
      </c>
      <c r="B1686" s="58">
        <v>530315</v>
      </c>
      <c r="C1686" s="58" t="s">
        <v>588</v>
      </c>
      <c r="D1686" s="58" t="s">
        <v>783</v>
      </c>
    </row>
    <row r="1687" spans="1:4">
      <c r="A1687" s="58" t="s">
        <v>3095</v>
      </c>
      <c r="B1687" s="58">
        <v>500696</v>
      </c>
      <c r="C1687" s="58" t="s">
        <v>339</v>
      </c>
      <c r="D1687" s="58" t="s">
        <v>770</v>
      </c>
    </row>
    <row r="1688" spans="1:4">
      <c r="A1688" s="58" t="s">
        <v>3096</v>
      </c>
      <c r="B1688" s="58">
        <v>504713</v>
      </c>
      <c r="C1688" s="58" t="s">
        <v>588</v>
      </c>
      <c r="D1688" s="58" t="s">
        <v>1506</v>
      </c>
    </row>
    <row r="1689" spans="1:4">
      <c r="A1689" s="58" t="s">
        <v>3097</v>
      </c>
      <c r="B1689" s="58">
        <v>500188</v>
      </c>
      <c r="C1689" s="58" t="s">
        <v>3098</v>
      </c>
      <c r="D1689" s="58" t="s">
        <v>3099</v>
      </c>
    </row>
    <row r="1690" spans="1:4">
      <c r="A1690" s="58" t="s">
        <v>3100</v>
      </c>
      <c r="B1690" s="58">
        <v>515145</v>
      </c>
      <c r="C1690" s="58" t="s">
        <v>3101</v>
      </c>
      <c r="D1690" s="58" t="s">
        <v>783</v>
      </c>
    </row>
    <row r="1691" spans="1:4">
      <c r="A1691" s="58" t="s">
        <v>3102</v>
      </c>
      <c r="B1691" s="58">
        <v>513039</v>
      </c>
      <c r="C1691" s="58" t="s">
        <v>588</v>
      </c>
      <c r="D1691" s="58" t="s">
        <v>596</v>
      </c>
    </row>
    <row r="1692" spans="1:4">
      <c r="A1692" s="58" t="s">
        <v>3103</v>
      </c>
      <c r="B1692" s="58">
        <v>539984</v>
      </c>
      <c r="C1692" s="58" t="s">
        <v>588</v>
      </c>
      <c r="D1692" s="58" t="s">
        <v>1130</v>
      </c>
    </row>
    <row r="1693" spans="1:4">
      <c r="A1693" s="58" t="s">
        <v>3104</v>
      </c>
      <c r="B1693" s="58">
        <v>530853</v>
      </c>
      <c r="C1693" s="58" t="s">
        <v>588</v>
      </c>
      <c r="D1693" s="58" t="s">
        <v>2404</v>
      </c>
    </row>
    <row r="1694" spans="1:4">
      <c r="A1694" s="58" t="s">
        <v>3105</v>
      </c>
      <c r="B1694" s="58">
        <v>531743</v>
      </c>
      <c r="C1694" s="58" t="s">
        <v>588</v>
      </c>
      <c r="D1694" s="58" t="s">
        <v>610</v>
      </c>
    </row>
    <row r="1695" spans="1:4">
      <c r="A1695" s="58" t="s">
        <v>3106</v>
      </c>
      <c r="B1695" s="58">
        <v>590018</v>
      </c>
      <c r="C1695" s="58" t="s">
        <v>3107</v>
      </c>
      <c r="D1695" s="58" t="s">
        <v>620</v>
      </c>
    </row>
    <row r="1696" spans="1:4">
      <c r="A1696" s="58" t="s">
        <v>3108</v>
      </c>
      <c r="B1696" s="58">
        <v>521068</v>
      </c>
      <c r="C1696" s="58" t="s">
        <v>588</v>
      </c>
      <c r="D1696" s="58" t="s">
        <v>603</v>
      </c>
    </row>
    <row r="1697" spans="1:4">
      <c r="A1697" s="58" t="s">
        <v>3109</v>
      </c>
      <c r="B1697" s="58">
        <v>532359</v>
      </c>
      <c r="C1697" s="58" t="s">
        <v>588</v>
      </c>
      <c r="D1697" s="58" t="s">
        <v>681</v>
      </c>
    </row>
    <row r="1698" spans="1:4">
      <c r="A1698" s="58" t="s">
        <v>3110</v>
      </c>
      <c r="B1698" s="58">
        <v>526217</v>
      </c>
      <c r="C1698" s="58" t="s">
        <v>3111</v>
      </c>
      <c r="D1698" s="58" t="s">
        <v>783</v>
      </c>
    </row>
    <row r="1699" spans="1:4">
      <c r="A1699" s="58" t="s">
        <v>3112</v>
      </c>
      <c r="B1699" s="58" t="s">
        <v>588</v>
      </c>
      <c r="C1699" s="58" t="s">
        <v>3113</v>
      </c>
      <c r="D1699" s="58" t="s">
        <v>679</v>
      </c>
    </row>
    <row r="1700" spans="1:4">
      <c r="A1700" s="58" t="s">
        <v>3114</v>
      </c>
      <c r="B1700" s="58">
        <v>541627</v>
      </c>
      <c r="C1700" s="58" t="s">
        <v>3115</v>
      </c>
      <c r="D1700" s="58" t="s">
        <v>1954</v>
      </c>
    </row>
    <row r="1701" spans="1:4">
      <c r="A1701" s="58" t="s">
        <v>3116</v>
      </c>
      <c r="B1701" s="58">
        <v>531661</v>
      </c>
      <c r="C1701" s="58" t="s">
        <v>588</v>
      </c>
      <c r="D1701" s="58" t="s">
        <v>596</v>
      </c>
    </row>
    <row r="1702" spans="1:4">
      <c r="A1702" s="58" t="s">
        <v>3117</v>
      </c>
      <c r="B1702" s="58">
        <v>500191</v>
      </c>
      <c r="C1702" s="58" t="s">
        <v>3118</v>
      </c>
      <c r="D1702" s="58" t="s">
        <v>666</v>
      </c>
    </row>
    <row r="1703" spans="1:4">
      <c r="A1703" s="58" t="s">
        <v>3119</v>
      </c>
      <c r="B1703" s="58">
        <v>522064</v>
      </c>
      <c r="C1703" s="58" t="s">
        <v>3120</v>
      </c>
      <c r="D1703" s="58" t="s">
        <v>596</v>
      </c>
    </row>
    <row r="1704" spans="1:4">
      <c r="A1704" s="58" t="s">
        <v>3121</v>
      </c>
      <c r="B1704" s="58">
        <v>517174</v>
      </c>
      <c r="C1704" s="58" t="s">
        <v>3122</v>
      </c>
      <c r="D1704" s="58" t="s">
        <v>886</v>
      </c>
    </row>
    <row r="1705" spans="1:4">
      <c r="A1705" s="58" t="s">
        <v>3123</v>
      </c>
      <c r="B1705" s="58">
        <v>517174</v>
      </c>
      <c r="C1705" s="58" t="s">
        <v>3122</v>
      </c>
      <c r="D1705" s="58" t="s">
        <v>886</v>
      </c>
    </row>
    <row r="1706" spans="1:4">
      <c r="A1706" s="58" t="s">
        <v>3124</v>
      </c>
      <c r="B1706" s="58">
        <v>500193</v>
      </c>
      <c r="C1706" s="58" t="s">
        <v>3125</v>
      </c>
      <c r="D1706" s="58" t="s">
        <v>789</v>
      </c>
    </row>
    <row r="1707" spans="1:4">
      <c r="A1707" s="58" t="s">
        <v>3126</v>
      </c>
      <c r="B1707" s="58">
        <v>526683</v>
      </c>
      <c r="C1707" s="58" t="s">
        <v>3127</v>
      </c>
      <c r="D1707" s="58" t="s">
        <v>789</v>
      </c>
    </row>
    <row r="1708" spans="1:4">
      <c r="A1708" s="58" t="s">
        <v>3128</v>
      </c>
      <c r="B1708" s="58">
        <v>540530</v>
      </c>
      <c r="C1708" s="58" t="s">
        <v>3129</v>
      </c>
      <c r="D1708" s="58" t="s">
        <v>646</v>
      </c>
    </row>
    <row r="1709" spans="1:4">
      <c r="A1709" s="58" t="s">
        <v>3130</v>
      </c>
      <c r="B1709" s="58">
        <v>532873</v>
      </c>
      <c r="C1709" s="58" t="s">
        <v>3131</v>
      </c>
      <c r="D1709" s="58" t="s">
        <v>674</v>
      </c>
    </row>
    <row r="1710" spans="1:4">
      <c r="A1710" s="58" t="s">
        <v>3132</v>
      </c>
      <c r="B1710" s="58">
        <v>500010</v>
      </c>
      <c r="C1710" s="58" t="s">
        <v>3133</v>
      </c>
      <c r="D1710" s="58" t="s">
        <v>646</v>
      </c>
    </row>
    <row r="1711" spans="1:4">
      <c r="A1711" s="58" t="s">
        <v>3134</v>
      </c>
      <c r="B1711" s="58">
        <v>532761</v>
      </c>
      <c r="C1711" s="58" t="s">
        <v>3135</v>
      </c>
      <c r="D1711" s="58" t="s">
        <v>918</v>
      </c>
    </row>
    <row r="1712" spans="1:4">
      <c r="A1712" s="58" t="s">
        <v>3136</v>
      </c>
      <c r="B1712" s="58">
        <v>526761</v>
      </c>
      <c r="C1712" s="58" t="s">
        <v>588</v>
      </c>
      <c r="D1712" s="58" t="s">
        <v>789</v>
      </c>
    </row>
    <row r="1713" spans="1:4">
      <c r="A1713" s="58" t="s">
        <v>3137</v>
      </c>
      <c r="B1713" s="58">
        <v>535217</v>
      </c>
      <c r="C1713" s="58" t="s">
        <v>588</v>
      </c>
      <c r="D1713" s="58" t="s">
        <v>786</v>
      </c>
    </row>
    <row r="1714" spans="1:4">
      <c r="A1714" s="58" t="s">
        <v>3138</v>
      </c>
      <c r="B1714" s="58">
        <v>540136</v>
      </c>
      <c r="C1714" s="58" t="s">
        <v>3139</v>
      </c>
      <c r="D1714" s="58" t="s">
        <v>631</v>
      </c>
    </row>
    <row r="1715" spans="1:4">
      <c r="A1715" s="58" t="s">
        <v>3140</v>
      </c>
      <c r="B1715" s="58">
        <v>531724</v>
      </c>
      <c r="C1715" s="58" t="s">
        <v>588</v>
      </c>
      <c r="D1715" s="58" t="s">
        <v>1009</v>
      </c>
    </row>
    <row r="1716" spans="1:4">
      <c r="A1716" s="58" t="s">
        <v>3141</v>
      </c>
      <c r="B1716" s="58">
        <v>500187</v>
      </c>
      <c r="C1716" s="58" t="s">
        <v>3142</v>
      </c>
      <c r="D1716" s="58" t="s">
        <v>783</v>
      </c>
    </row>
    <row r="1717" spans="1:4">
      <c r="A1717" s="58" t="s">
        <v>3143</v>
      </c>
      <c r="B1717" s="58">
        <v>532662</v>
      </c>
      <c r="C1717" s="58" t="s">
        <v>3144</v>
      </c>
      <c r="D1717" s="58" t="s">
        <v>1112</v>
      </c>
    </row>
    <row r="1718" spans="1:4">
      <c r="A1718" s="58" t="s">
        <v>3145</v>
      </c>
      <c r="B1718" s="58">
        <v>532799</v>
      </c>
      <c r="C1718" s="58" t="s">
        <v>3146</v>
      </c>
      <c r="D1718" s="58" t="s">
        <v>674</v>
      </c>
    </row>
    <row r="1719" spans="1:4">
      <c r="A1719" s="58" t="s">
        <v>3147</v>
      </c>
      <c r="B1719" s="58">
        <v>509820</v>
      </c>
      <c r="C1719" s="58" t="s">
        <v>3148</v>
      </c>
      <c r="D1719" s="58" t="s">
        <v>783</v>
      </c>
    </row>
    <row r="1720" spans="1:4">
      <c r="A1720" s="58" t="s">
        <v>3149</v>
      </c>
      <c r="B1720" s="58">
        <v>542592</v>
      </c>
      <c r="C1720" s="58" t="s">
        <v>3150</v>
      </c>
      <c r="D1720" s="58" t="s">
        <v>693</v>
      </c>
    </row>
    <row r="1721" spans="1:4">
      <c r="A1721" s="58" t="s">
        <v>3151</v>
      </c>
      <c r="B1721" s="58" t="s">
        <v>588</v>
      </c>
      <c r="C1721" s="58" t="s">
        <v>3152</v>
      </c>
      <c r="D1721" s="58" t="s">
        <v>599</v>
      </c>
    </row>
    <row r="1722" spans="1:4">
      <c r="A1722" s="58" t="s">
        <v>3153</v>
      </c>
      <c r="B1722" s="58">
        <v>539724</v>
      </c>
      <c r="C1722" s="58" t="s">
        <v>588</v>
      </c>
      <c r="D1722" s="58" t="s">
        <v>574</v>
      </c>
    </row>
    <row r="1723" spans="1:4">
      <c r="A1723" s="58" t="s">
        <v>3154</v>
      </c>
      <c r="B1723" s="58">
        <v>519463</v>
      </c>
      <c r="C1723" s="58" t="s">
        <v>588</v>
      </c>
      <c r="D1723" s="58" t="s">
        <v>786</v>
      </c>
    </row>
    <row r="1724" spans="1:4">
      <c r="A1724" s="58" t="s">
        <v>3155</v>
      </c>
      <c r="B1724" s="58" t="s">
        <v>588</v>
      </c>
      <c r="C1724" s="58" t="s">
        <v>3156</v>
      </c>
      <c r="D1724" s="58" t="s">
        <v>599</v>
      </c>
    </row>
    <row r="1725" spans="1:4">
      <c r="A1725" s="58" t="s">
        <v>3157</v>
      </c>
      <c r="B1725" s="58">
        <v>532174</v>
      </c>
      <c r="C1725" s="58" t="s">
        <v>3158</v>
      </c>
      <c r="D1725" s="58" t="s">
        <v>906</v>
      </c>
    </row>
    <row r="1726" spans="1:4">
      <c r="A1726" s="58" t="s">
        <v>3159</v>
      </c>
      <c r="B1726" s="58">
        <v>540716</v>
      </c>
      <c r="C1726" s="58" t="s">
        <v>3160</v>
      </c>
      <c r="D1726" s="58" t="s">
        <v>2668</v>
      </c>
    </row>
    <row r="1727" spans="1:4">
      <c r="A1727" s="58" t="s">
        <v>3161</v>
      </c>
      <c r="B1727" s="58">
        <v>533244</v>
      </c>
      <c r="C1727" s="58" t="s">
        <v>3162</v>
      </c>
      <c r="D1727" s="58" t="s">
        <v>571</v>
      </c>
    </row>
    <row r="1728" spans="1:4">
      <c r="A1728" s="58" t="s">
        <v>3163</v>
      </c>
      <c r="B1728" s="58">
        <v>540133</v>
      </c>
      <c r="C1728" s="58" t="s">
        <v>3164</v>
      </c>
      <c r="D1728" s="58" t="s">
        <v>2997</v>
      </c>
    </row>
    <row r="1729" spans="1:4">
      <c r="A1729" s="58" t="s">
        <v>3165</v>
      </c>
      <c r="B1729" s="58">
        <v>555555</v>
      </c>
      <c r="C1729" s="58" t="s">
        <v>3166</v>
      </c>
      <c r="D1729" s="58" t="s">
        <v>571</v>
      </c>
    </row>
    <row r="1730" spans="1:4">
      <c r="A1730" s="58" t="s">
        <v>3167</v>
      </c>
      <c r="B1730" s="58">
        <v>541179</v>
      </c>
      <c r="C1730" s="58" t="s">
        <v>3168</v>
      </c>
      <c r="D1730" s="58" t="s">
        <v>571</v>
      </c>
    </row>
    <row r="1731" spans="1:4">
      <c r="A1731" s="58" t="s">
        <v>3169</v>
      </c>
      <c r="B1731" s="58">
        <v>532835</v>
      </c>
      <c r="C1731" s="58" t="s">
        <v>3170</v>
      </c>
      <c r="D1731" s="58" t="s">
        <v>571</v>
      </c>
    </row>
    <row r="1732" spans="1:4">
      <c r="A1732" s="58" t="s">
        <v>3171</v>
      </c>
      <c r="B1732" s="58">
        <v>531524</v>
      </c>
      <c r="C1732" s="58" t="s">
        <v>3172</v>
      </c>
      <c r="D1732" s="58" t="s">
        <v>886</v>
      </c>
    </row>
    <row r="1733" spans="1:4">
      <c r="A1733" s="58" t="s">
        <v>3173</v>
      </c>
      <c r="B1733" s="58">
        <v>531524</v>
      </c>
      <c r="C1733" s="58" t="s">
        <v>3172</v>
      </c>
      <c r="D1733" s="58" t="s">
        <v>886</v>
      </c>
    </row>
    <row r="1734" spans="1:4">
      <c r="A1734" s="58" t="s">
        <v>3174</v>
      </c>
      <c r="B1734" s="58">
        <v>500116</v>
      </c>
      <c r="C1734" s="58" t="s">
        <v>3175</v>
      </c>
      <c r="D1734" s="58" t="s">
        <v>906</v>
      </c>
    </row>
    <row r="1735" spans="1:4">
      <c r="A1735" s="58" t="s">
        <v>3176</v>
      </c>
      <c r="B1735" s="58">
        <v>539437</v>
      </c>
      <c r="C1735" s="58" t="s">
        <v>3177</v>
      </c>
      <c r="D1735" s="58" t="s">
        <v>906</v>
      </c>
    </row>
    <row r="1736" spans="1:4">
      <c r="A1736" s="58" t="s">
        <v>3178</v>
      </c>
      <c r="B1736" s="58" t="s">
        <v>588</v>
      </c>
      <c r="C1736" s="58" t="s">
        <v>3179</v>
      </c>
      <c r="D1736" s="58" t="s">
        <v>906</v>
      </c>
    </row>
    <row r="1737" spans="1:4">
      <c r="A1737" s="58" t="s">
        <v>3180</v>
      </c>
      <c r="B1737" s="58">
        <v>532659</v>
      </c>
      <c r="C1737" s="58" t="s">
        <v>3181</v>
      </c>
      <c r="D1737" s="58" t="s">
        <v>605</v>
      </c>
    </row>
    <row r="1738" spans="1:4">
      <c r="A1738" s="58" t="s">
        <v>3182</v>
      </c>
      <c r="B1738" s="58">
        <v>507438</v>
      </c>
      <c r="C1738" s="58" t="s">
        <v>3183</v>
      </c>
      <c r="D1738" s="58" t="s">
        <v>1219</v>
      </c>
    </row>
    <row r="1739" spans="1:4">
      <c r="A1739" s="58" t="s">
        <v>3184</v>
      </c>
      <c r="B1739" s="58">
        <v>505726</v>
      </c>
      <c r="C1739" s="58" t="s">
        <v>3185</v>
      </c>
      <c r="D1739" s="58" t="s">
        <v>1351</v>
      </c>
    </row>
    <row r="1740" spans="1:4">
      <c r="A1740" s="58" t="s">
        <v>3186</v>
      </c>
      <c r="B1740" s="58">
        <v>500106</v>
      </c>
      <c r="C1740" s="58" t="s">
        <v>3187</v>
      </c>
      <c r="D1740" s="58" t="s">
        <v>2917</v>
      </c>
    </row>
    <row r="1741" spans="1:4">
      <c r="A1741" s="58" t="s">
        <v>3188</v>
      </c>
      <c r="B1741" s="58">
        <v>540774</v>
      </c>
      <c r="C1741" s="58" t="s">
        <v>3189</v>
      </c>
      <c r="D1741" s="58" t="s">
        <v>773</v>
      </c>
    </row>
    <row r="1742" spans="1:4">
      <c r="A1742" s="58" t="s">
        <v>3190</v>
      </c>
      <c r="B1742" s="58">
        <v>540377</v>
      </c>
      <c r="C1742" s="58" t="s">
        <v>588</v>
      </c>
      <c r="D1742" s="58" t="s">
        <v>610</v>
      </c>
    </row>
    <row r="1743" spans="1:4">
      <c r="A1743" s="58" t="s">
        <v>3191</v>
      </c>
      <c r="B1743" s="58">
        <v>522289</v>
      </c>
      <c r="C1743" s="58" t="s">
        <v>588</v>
      </c>
      <c r="D1743" s="58" t="s">
        <v>610</v>
      </c>
    </row>
    <row r="1744" spans="1:4">
      <c r="A1744" s="58" t="s">
        <v>3192</v>
      </c>
      <c r="B1744" s="58">
        <v>500199</v>
      </c>
      <c r="C1744" s="58" t="s">
        <v>3193</v>
      </c>
      <c r="D1744" s="58" t="s">
        <v>636</v>
      </c>
    </row>
    <row r="1745" spans="1:4">
      <c r="A1745" s="58" t="s">
        <v>3194</v>
      </c>
      <c r="B1745" s="58">
        <v>517380</v>
      </c>
      <c r="C1745" s="58" t="s">
        <v>3195</v>
      </c>
      <c r="D1745" s="58" t="s">
        <v>943</v>
      </c>
    </row>
    <row r="1746" spans="1:4">
      <c r="A1746" s="58" t="s">
        <v>3196</v>
      </c>
      <c r="B1746" s="58">
        <v>517380</v>
      </c>
      <c r="C1746" s="58" t="s">
        <v>3195</v>
      </c>
      <c r="D1746" s="58" t="s">
        <v>943</v>
      </c>
    </row>
    <row r="1747" spans="1:4">
      <c r="A1747" s="58" t="s">
        <v>3197</v>
      </c>
      <c r="B1747" s="58">
        <v>539449</v>
      </c>
      <c r="C1747" s="58" t="s">
        <v>588</v>
      </c>
      <c r="D1747" s="58" t="s">
        <v>610</v>
      </c>
    </row>
    <row r="1748" spans="1:4">
      <c r="A1748" s="58" t="s">
        <v>3198</v>
      </c>
      <c r="B1748" s="58">
        <v>532636</v>
      </c>
      <c r="C1748" s="58" t="s">
        <v>3199</v>
      </c>
      <c r="D1748" s="58" t="s">
        <v>571</v>
      </c>
    </row>
    <row r="1749" spans="1:4">
      <c r="A1749" s="58" t="s">
        <v>3200</v>
      </c>
      <c r="B1749" s="58">
        <v>531968</v>
      </c>
      <c r="C1749" s="58" t="s">
        <v>3201</v>
      </c>
      <c r="D1749" s="58" t="s">
        <v>674</v>
      </c>
    </row>
    <row r="1750" spans="1:4">
      <c r="A1750" s="58" t="s">
        <v>3202</v>
      </c>
      <c r="B1750" s="58">
        <v>514238</v>
      </c>
      <c r="C1750" s="58" t="s">
        <v>588</v>
      </c>
      <c r="D1750" s="58" t="s">
        <v>571</v>
      </c>
    </row>
    <row r="1751" spans="1:4">
      <c r="A1751" s="58" t="s">
        <v>3203</v>
      </c>
      <c r="B1751" s="58">
        <v>532414</v>
      </c>
      <c r="C1751" s="58" t="s">
        <v>588</v>
      </c>
      <c r="D1751" s="58" t="s">
        <v>681</v>
      </c>
    </row>
    <row r="1752" spans="1:4">
      <c r="A1752" s="58" t="s">
        <v>3204</v>
      </c>
      <c r="B1752" s="58">
        <v>532907</v>
      </c>
      <c r="C1752" s="58" t="s">
        <v>3205</v>
      </c>
      <c r="D1752" s="58" t="s">
        <v>986</v>
      </c>
    </row>
    <row r="1753" spans="1:4">
      <c r="A1753" s="58" t="s">
        <v>3206</v>
      </c>
      <c r="B1753" s="58">
        <v>511208</v>
      </c>
      <c r="C1753" s="58" t="s">
        <v>3207</v>
      </c>
      <c r="D1753" s="58" t="s">
        <v>2990</v>
      </c>
    </row>
    <row r="1754" spans="1:4">
      <c r="A1754" s="58" t="s">
        <v>3208</v>
      </c>
      <c r="B1754" s="58">
        <v>533177</v>
      </c>
      <c r="C1754" s="58" t="s">
        <v>3209</v>
      </c>
      <c r="D1754" s="58" t="s">
        <v>1183</v>
      </c>
    </row>
    <row r="1755" spans="1:4">
      <c r="A1755" s="58" t="s">
        <v>3210</v>
      </c>
      <c r="B1755" s="58">
        <v>511628</v>
      </c>
      <c r="C1755" s="58" t="s">
        <v>588</v>
      </c>
      <c r="D1755" s="58" t="s">
        <v>605</v>
      </c>
    </row>
    <row r="1756" spans="1:4">
      <c r="A1756" s="58" t="s">
        <v>3211</v>
      </c>
      <c r="B1756" s="58">
        <v>505539</v>
      </c>
      <c r="C1756" s="58" t="s">
        <v>588</v>
      </c>
      <c r="D1756" s="58" t="s">
        <v>1009</v>
      </c>
    </row>
    <row r="1757" spans="1:4">
      <c r="A1757" s="58" t="s">
        <v>3212</v>
      </c>
      <c r="B1757" s="58">
        <v>513295</v>
      </c>
      <c r="C1757" s="58" t="s">
        <v>588</v>
      </c>
      <c r="D1757" s="58" t="s">
        <v>620</v>
      </c>
    </row>
    <row r="1758" spans="1:4">
      <c r="A1758" s="58" t="s">
        <v>3213</v>
      </c>
      <c r="B1758" s="58">
        <v>517571</v>
      </c>
      <c r="C1758" s="58" t="s">
        <v>3214</v>
      </c>
      <c r="D1758" s="58" t="s">
        <v>631</v>
      </c>
    </row>
    <row r="1759" spans="1:4">
      <c r="A1759" s="58" t="s">
        <v>3215</v>
      </c>
      <c r="B1759" s="58">
        <v>532614</v>
      </c>
      <c r="C1759" s="58" t="s">
        <v>3216</v>
      </c>
      <c r="D1759" s="58" t="s">
        <v>620</v>
      </c>
    </row>
    <row r="1760" spans="1:4">
      <c r="A1760" s="58" t="s">
        <v>3217</v>
      </c>
      <c r="B1760" s="58">
        <v>531129</v>
      </c>
      <c r="C1760" s="58" t="s">
        <v>588</v>
      </c>
      <c r="D1760" s="58" t="s">
        <v>1116</v>
      </c>
    </row>
    <row r="1761" spans="1:4">
      <c r="A1761" s="58" t="s">
        <v>3218</v>
      </c>
      <c r="B1761" s="58">
        <v>531672</v>
      </c>
      <c r="C1761" s="58" t="s">
        <v>588</v>
      </c>
      <c r="D1761" s="58" t="s">
        <v>571</v>
      </c>
    </row>
    <row r="1762" spans="1:4">
      <c r="A1762" s="58" t="s">
        <v>3219</v>
      </c>
      <c r="B1762" s="58">
        <v>517370</v>
      </c>
      <c r="C1762" s="58" t="s">
        <v>588</v>
      </c>
      <c r="D1762" s="58" t="s">
        <v>886</v>
      </c>
    </row>
    <row r="1763" spans="1:4">
      <c r="A1763" s="58" t="s">
        <v>3220</v>
      </c>
      <c r="B1763" s="58">
        <v>538541</v>
      </c>
      <c r="C1763" s="58" t="s">
        <v>588</v>
      </c>
      <c r="D1763" s="58" t="s">
        <v>610</v>
      </c>
    </row>
    <row r="1764" spans="1:4">
      <c r="A1764" s="58" t="s">
        <v>3221</v>
      </c>
      <c r="B1764" s="58">
        <v>531594</v>
      </c>
      <c r="C1764" s="58" t="s">
        <v>588</v>
      </c>
      <c r="D1764" s="58" t="s">
        <v>596</v>
      </c>
    </row>
    <row r="1765" spans="1:4">
      <c r="A1765" s="58" t="s">
        <v>3222</v>
      </c>
      <c r="B1765" s="58">
        <v>523465</v>
      </c>
      <c r="C1765" s="58" t="s">
        <v>588</v>
      </c>
      <c r="D1765" s="58" t="s">
        <v>646</v>
      </c>
    </row>
    <row r="1766" spans="1:4">
      <c r="A1766" s="58" t="s">
        <v>3223</v>
      </c>
      <c r="B1766" s="58">
        <v>536709</v>
      </c>
      <c r="C1766" s="58" t="s">
        <v>588</v>
      </c>
      <c r="D1766" s="58" t="s">
        <v>727</v>
      </c>
    </row>
    <row r="1767" spans="1:4">
      <c r="A1767" s="58" t="s">
        <v>3224</v>
      </c>
      <c r="B1767" s="58">
        <v>509162</v>
      </c>
      <c r="C1767" s="58" t="s">
        <v>588</v>
      </c>
      <c r="D1767" s="58" t="s">
        <v>1068</v>
      </c>
    </row>
    <row r="1768" spans="1:4">
      <c r="A1768" s="58" t="s">
        <v>3225</v>
      </c>
      <c r="B1768" s="58">
        <v>517077</v>
      </c>
      <c r="C1768" s="58" t="s">
        <v>588</v>
      </c>
      <c r="D1768" s="58" t="s">
        <v>610</v>
      </c>
    </row>
    <row r="1769" spans="1:4">
      <c r="A1769" s="58" t="s">
        <v>3226</v>
      </c>
      <c r="B1769" s="58">
        <v>511473</v>
      </c>
      <c r="C1769" s="58" t="s">
        <v>3227</v>
      </c>
      <c r="D1769" s="58" t="s">
        <v>571</v>
      </c>
    </row>
    <row r="1770" spans="1:4">
      <c r="A1770" s="58" t="s">
        <v>3228</v>
      </c>
      <c r="B1770" s="58">
        <v>531505</v>
      </c>
      <c r="C1770" s="58" t="s">
        <v>588</v>
      </c>
      <c r="D1770" s="58" t="s">
        <v>605</v>
      </c>
    </row>
    <row r="1771" spans="1:4">
      <c r="A1771" s="58" t="s">
        <v>3229</v>
      </c>
      <c r="B1771" s="58">
        <v>511355</v>
      </c>
      <c r="C1771" s="58" t="s">
        <v>588</v>
      </c>
      <c r="D1771" s="58" t="s">
        <v>605</v>
      </c>
    </row>
    <row r="1772" spans="1:4">
      <c r="A1772" s="58" t="s">
        <v>3230</v>
      </c>
      <c r="B1772" s="58">
        <v>535667</v>
      </c>
      <c r="C1772" s="58" t="s">
        <v>588</v>
      </c>
      <c r="D1772" s="58" t="s">
        <v>605</v>
      </c>
    </row>
    <row r="1773" spans="1:4">
      <c r="A1773" s="58" t="s">
        <v>3231</v>
      </c>
      <c r="B1773" s="58">
        <v>531253</v>
      </c>
      <c r="C1773" s="58" t="s">
        <v>588</v>
      </c>
      <c r="D1773" s="58" t="s">
        <v>748</v>
      </c>
    </row>
    <row r="1774" spans="1:4">
      <c r="A1774" s="58" t="s">
        <v>3232</v>
      </c>
      <c r="B1774" s="58">
        <v>500201</v>
      </c>
      <c r="C1774" s="58" t="s">
        <v>3233</v>
      </c>
      <c r="D1774" s="58" t="s">
        <v>636</v>
      </c>
    </row>
    <row r="1775" spans="1:4">
      <c r="A1775" s="58" t="s">
        <v>3234</v>
      </c>
      <c r="B1775" s="58">
        <v>540152</v>
      </c>
      <c r="C1775" s="58" t="s">
        <v>588</v>
      </c>
      <c r="D1775" s="58" t="s">
        <v>674</v>
      </c>
    </row>
    <row r="1776" spans="1:4">
      <c r="A1776" s="58" t="s">
        <v>3235</v>
      </c>
      <c r="B1776" s="58">
        <v>540565</v>
      </c>
      <c r="C1776" s="58" t="s">
        <v>3236</v>
      </c>
      <c r="D1776" s="58" t="s">
        <v>608</v>
      </c>
    </row>
    <row r="1777" spans="1:4">
      <c r="A1777" s="58" t="s">
        <v>3237</v>
      </c>
      <c r="B1777" s="58">
        <v>530979</v>
      </c>
      <c r="C1777" s="58" t="s">
        <v>588</v>
      </c>
      <c r="D1777" s="58" t="s">
        <v>646</v>
      </c>
    </row>
    <row r="1778" spans="1:4">
      <c r="A1778" s="58" t="s">
        <v>3238</v>
      </c>
      <c r="B1778" s="58">
        <v>531343</v>
      </c>
      <c r="C1778" s="58" t="s">
        <v>588</v>
      </c>
      <c r="D1778" s="58" t="s">
        <v>1009</v>
      </c>
    </row>
    <row r="1779" spans="1:4">
      <c r="A1779" s="58" t="s">
        <v>3239</v>
      </c>
      <c r="B1779" s="58">
        <v>590065</v>
      </c>
      <c r="C1779" s="58" t="s">
        <v>3240</v>
      </c>
      <c r="D1779" s="58" t="s">
        <v>610</v>
      </c>
    </row>
    <row r="1780" spans="1:4">
      <c r="A1780" s="58" t="s">
        <v>3241</v>
      </c>
      <c r="B1780" s="58">
        <v>532240</v>
      </c>
      <c r="C1780" s="58" t="s">
        <v>3242</v>
      </c>
      <c r="D1780" s="58" t="s">
        <v>943</v>
      </c>
    </row>
    <row r="1781" spans="1:4">
      <c r="A1781" s="58" t="s">
        <v>3243</v>
      </c>
      <c r="B1781" s="58">
        <v>513361</v>
      </c>
      <c r="C1781" s="58" t="s">
        <v>588</v>
      </c>
      <c r="D1781" s="58" t="s">
        <v>620</v>
      </c>
    </row>
    <row r="1782" spans="1:4">
      <c r="A1782" s="58" t="s">
        <v>3244</v>
      </c>
      <c r="B1782" s="58">
        <v>532189</v>
      </c>
      <c r="C1782" s="58" t="s">
        <v>3245</v>
      </c>
      <c r="D1782" s="58" t="s">
        <v>789</v>
      </c>
    </row>
    <row r="1783" spans="1:4">
      <c r="A1783" s="58" t="s">
        <v>3246</v>
      </c>
      <c r="B1783" s="58">
        <v>535789</v>
      </c>
      <c r="C1783" s="58" t="s">
        <v>3247</v>
      </c>
      <c r="D1783" s="58" t="s">
        <v>646</v>
      </c>
    </row>
    <row r="1784" spans="1:4">
      <c r="A1784" s="58" t="s">
        <v>3248</v>
      </c>
      <c r="B1784" s="58">
        <v>533520</v>
      </c>
      <c r="C1784" s="58" t="s">
        <v>3249</v>
      </c>
      <c r="D1784" s="58" t="s">
        <v>610</v>
      </c>
    </row>
    <row r="1785" spans="1:4">
      <c r="A1785" s="58" t="s">
        <v>3250</v>
      </c>
      <c r="B1785" s="58">
        <v>532832</v>
      </c>
      <c r="C1785" s="58" t="s">
        <v>3251</v>
      </c>
      <c r="D1785" s="58" t="s">
        <v>674</v>
      </c>
    </row>
    <row r="1786" spans="1:4">
      <c r="A1786" s="58" t="s">
        <v>3252</v>
      </c>
      <c r="B1786" s="58">
        <v>532960</v>
      </c>
      <c r="C1786" s="58" t="s">
        <v>3253</v>
      </c>
      <c r="D1786" s="58" t="s">
        <v>571</v>
      </c>
    </row>
    <row r="1787" spans="1:4">
      <c r="A1787" s="58" t="s">
        <v>3254</v>
      </c>
      <c r="B1787" s="58">
        <v>514165</v>
      </c>
      <c r="C1787" s="58" t="s">
        <v>588</v>
      </c>
      <c r="D1787" s="58" t="s">
        <v>965</v>
      </c>
    </row>
    <row r="1788" spans="1:4">
      <c r="A1788" s="58" t="s">
        <v>3255</v>
      </c>
      <c r="B1788" s="58">
        <v>532814</v>
      </c>
      <c r="C1788" s="58" t="s">
        <v>3256</v>
      </c>
      <c r="D1788" s="58" t="s">
        <v>906</v>
      </c>
    </row>
    <row r="1789" spans="1:4">
      <c r="A1789" s="58" t="s">
        <v>3257</v>
      </c>
      <c r="B1789" s="58">
        <v>504731</v>
      </c>
      <c r="C1789" s="58" t="s">
        <v>588</v>
      </c>
      <c r="D1789" s="58" t="s">
        <v>620</v>
      </c>
    </row>
    <row r="1790" spans="1:4">
      <c r="A1790" s="58" t="s">
        <v>3258</v>
      </c>
      <c r="B1790" s="58">
        <v>509692</v>
      </c>
      <c r="C1790" s="58" t="s">
        <v>3259</v>
      </c>
      <c r="D1790" s="58" t="s">
        <v>603</v>
      </c>
    </row>
    <row r="1791" spans="1:4">
      <c r="A1791" s="58" t="s">
        <v>3260</v>
      </c>
      <c r="B1791" s="58">
        <v>540750</v>
      </c>
      <c r="C1791" s="58" t="s">
        <v>3261</v>
      </c>
      <c r="D1791" s="58" t="s">
        <v>727</v>
      </c>
    </row>
    <row r="1792" spans="1:4">
      <c r="A1792" s="58" t="s">
        <v>3262</v>
      </c>
      <c r="B1792" s="58">
        <v>524614</v>
      </c>
      <c r="C1792" s="58" t="s">
        <v>588</v>
      </c>
      <c r="D1792" s="58" t="s">
        <v>668</v>
      </c>
    </row>
    <row r="1793" spans="1:4">
      <c r="A1793" s="58" t="s">
        <v>3263</v>
      </c>
      <c r="B1793" s="58">
        <v>504741</v>
      </c>
      <c r="C1793" s="58" t="s">
        <v>3264</v>
      </c>
      <c r="D1793" s="58" t="s">
        <v>601</v>
      </c>
    </row>
    <row r="1794" spans="1:4">
      <c r="A1794" s="58" t="s">
        <v>3265</v>
      </c>
      <c r="B1794" s="58">
        <v>509051</v>
      </c>
      <c r="C1794" s="58" t="s">
        <v>588</v>
      </c>
      <c r="D1794" s="58" t="s">
        <v>681</v>
      </c>
    </row>
    <row r="1795" spans="1:4">
      <c r="A1795" s="58" t="s">
        <v>3266</v>
      </c>
      <c r="B1795" s="58">
        <v>504746</v>
      </c>
      <c r="C1795" s="58" t="s">
        <v>588</v>
      </c>
      <c r="D1795" s="58" t="s">
        <v>1506</v>
      </c>
    </row>
    <row r="1796" spans="1:4">
      <c r="A1796" s="58" t="s">
        <v>3267</v>
      </c>
      <c r="B1796" s="58">
        <v>533047</v>
      </c>
      <c r="C1796" s="58" t="s">
        <v>3268</v>
      </c>
      <c r="D1796" s="58" t="s">
        <v>620</v>
      </c>
    </row>
    <row r="1797" spans="1:4">
      <c r="A1797" s="58" t="s">
        <v>3269</v>
      </c>
      <c r="B1797" s="58">
        <v>530965</v>
      </c>
      <c r="C1797" s="58" t="s">
        <v>3270</v>
      </c>
      <c r="D1797" s="58" t="s">
        <v>798</v>
      </c>
    </row>
    <row r="1798" spans="1:4">
      <c r="A1798" s="58" t="s">
        <v>3271</v>
      </c>
      <c r="B1798" s="58">
        <v>532388</v>
      </c>
      <c r="C1798" s="58" t="s">
        <v>3272</v>
      </c>
      <c r="D1798" s="58" t="s">
        <v>906</v>
      </c>
    </row>
    <row r="1799" spans="1:4">
      <c r="A1799" s="58" t="s">
        <v>3273</v>
      </c>
      <c r="B1799" s="58">
        <v>500319</v>
      </c>
      <c r="C1799" s="58" t="s">
        <v>588</v>
      </c>
      <c r="D1799" s="58" t="s">
        <v>1286</v>
      </c>
    </row>
    <row r="1800" spans="1:4">
      <c r="A1800" s="58" t="s">
        <v>3274</v>
      </c>
      <c r="B1800" s="58">
        <v>533329</v>
      </c>
      <c r="C1800" s="58" t="s">
        <v>3275</v>
      </c>
      <c r="D1800" s="58" t="s">
        <v>702</v>
      </c>
    </row>
    <row r="1801" spans="1:4">
      <c r="A1801" s="58" t="s">
        <v>3276</v>
      </c>
      <c r="B1801" s="58">
        <v>523586</v>
      </c>
      <c r="C1801" s="58" t="s">
        <v>588</v>
      </c>
      <c r="D1801" s="58" t="s">
        <v>748</v>
      </c>
    </row>
    <row r="1802" spans="1:4">
      <c r="A1802" s="58" t="s">
        <v>3277</v>
      </c>
      <c r="B1802" s="58">
        <v>501700</v>
      </c>
      <c r="C1802" s="58" t="s">
        <v>588</v>
      </c>
      <c r="D1802" s="58" t="s">
        <v>605</v>
      </c>
    </row>
    <row r="1803" spans="1:4">
      <c r="A1803" s="58" t="s">
        <v>3278</v>
      </c>
      <c r="B1803" s="58">
        <v>532745</v>
      </c>
      <c r="C1803" s="58" t="s">
        <v>588</v>
      </c>
      <c r="D1803" s="58" t="s">
        <v>571</v>
      </c>
    </row>
    <row r="1804" spans="1:4">
      <c r="A1804" s="58" t="s">
        <v>3279</v>
      </c>
      <c r="B1804" s="58">
        <v>524648</v>
      </c>
      <c r="C1804" s="58" t="s">
        <v>588</v>
      </c>
      <c r="D1804" s="58" t="s">
        <v>636</v>
      </c>
    </row>
    <row r="1805" spans="1:4">
      <c r="A1805" s="58" t="s">
        <v>3280</v>
      </c>
      <c r="B1805" s="58">
        <v>530747</v>
      </c>
      <c r="C1805" s="58" t="s">
        <v>588</v>
      </c>
      <c r="D1805" s="58" t="s">
        <v>605</v>
      </c>
    </row>
    <row r="1806" spans="1:4">
      <c r="A1806" s="58" t="s">
        <v>3281</v>
      </c>
      <c r="B1806" s="58">
        <v>524342</v>
      </c>
      <c r="C1806" s="58" t="s">
        <v>588</v>
      </c>
      <c r="D1806" s="58" t="s">
        <v>636</v>
      </c>
    </row>
    <row r="1807" spans="1:4">
      <c r="A1807" s="58" t="s">
        <v>3282</v>
      </c>
      <c r="B1807" s="58">
        <v>538838</v>
      </c>
      <c r="C1807" s="58" t="s">
        <v>588</v>
      </c>
      <c r="D1807" s="58" t="s">
        <v>603</v>
      </c>
    </row>
    <row r="1808" spans="1:4">
      <c r="A1808" s="58" t="s">
        <v>3283</v>
      </c>
      <c r="B1808" s="58">
        <v>521016</v>
      </c>
      <c r="C1808" s="58" t="s">
        <v>3284</v>
      </c>
      <c r="D1808" s="58" t="s">
        <v>603</v>
      </c>
    </row>
    <row r="1809" spans="1:4">
      <c r="A1809" s="58" t="s">
        <v>3285</v>
      </c>
      <c r="B1809" s="58">
        <v>526887</v>
      </c>
      <c r="C1809" s="58" t="s">
        <v>588</v>
      </c>
      <c r="D1809" s="58" t="s">
        <v>605</v>
      </c>
    </row>
    <row r="1810" spans="1:4">
      <c r="A1810" s="58" t="s">
        <v>3286</v>
      </c>
      <c r="B1810" s="58">
        <v>524458</v>
      </c>
      <c r="C1810" s="58" t="s">
        <v>588</v>
      </c>
      <c r="D1810" s="58" t="s">
        <v>748</v>
      </c>
    </row>
    <row r="1811" spans="1:4">
      <c r="A1811" s="58" t="s">
        <v>3287</v>
      </c>
      <c r="B1811" s="58">
        <v>506945</v>
      </c>
      <c r="C1811" s="58" t="s">
        <v>588</v>
      </c>
      <c r="D1811" s="58" t="s">
        <v>748</v>
      </c>
    </row>
    <row r="1812" spans="1:4">
      <c r="A1812" s="58" t="s">
        <v>3288</v>
      </c>
      <c r="B1812" s="58">
        <v>531565</v>
      </c>
      <c r="C1812" s="58" t="s">
        <v>588</v>
      </c>
      <c r="D1812" s="58" t="s">
        <v>674</v>
      </c>
    </row>
    <row r="1813" spans="1:4">
      <c r="A1813" s="58" t="s">
        <v>3289</v>
      </c>
      <c r="B1813" s="58">
        <v>500207</v>
      </c>
      <c r="C1813" s="58" t="s">
        <v>3290</v>
      </c>
      <c r="D1813" s="58" t="s">
        <v>603</v>
      </c>
    </row>
    <row r="1814" spans="1:4">
      <c r="A1814" s="58" t="s">
        <v>3291</v>
      </c>
      <c r="B1814" s="58">
        <v>500207</v>
      </c>
      <c r="C1814" s="58" t="s">
        <v>3290</v>
      </c>
      <c r="D1814" s="58" t="s">
        <v>603</v>
      </c>
    </row>
    <row r="1815" spans="1:4">
      <c r="A1815" s="58" t="s">
        <v>3292</v>
      </c>
      <c r="B1815" s="58">
        <v>532717</v>
      </c>
      <c r="C1815" s="58" t="s">
        <v>3293</v>
      </c>
      <c r="D1815" s="58" t="s">
        <v>631</v>
      </c>
    </row>
    <row r="1816" spans="1:4">
      <c r="A1816" s="58" t="s">
        <v>3294</v>
      </c>
      <c r="B1816" s="58">
        <v>533676</v>
      </c>
      <c r="C1816" s="58" t="s">
        <v>3295</v>
      </c>
      <c r="D1816" s="58" t="s">
        <v>571</v>
      </c>
    </row>
    <row r="1817" spans="1:4">
      <c r="A1817" s="58" t="s">
        <v>3296</v>
      </c>
      <c r="B1817" s="58">
        <v>541304</v>
      </c>
      <c r="C1817" s="58" t="s">
        <v>588</v>
      </c>
      <c r="D1817" s="58" t="s">
        <v>786</v>
      </c>
    </row>
    <row r="1818" spans="1:4">
      <c r="A1818" s="58" t="s">
        <v>3297</v>
      </c>
      <c r="B1818" s="58">
        <v>532100</v>
      </c>
      <c r="C1818" s="58" t="s">
        <v>588</v>
      </c>
      <c r="D1818" s="58" t="s">
        <v>681</v>
      </c>
    </row>
    <row r="1819" spans="1:4">
      <c r="A1819" s="58" t="s">
        <v>3298</v>
      </c>
      <c r="B1819" s="58">
        <v>532612</v>
      </c>
      <c r="C1819" s="58" t="s">
        <v>3299</v>
      </c>
      <c r="D1819" s="58" t="s">
        <v>626</v>
      </c>
    </row>
    <row r="1820" spans="1:4">
      <c r="A1820" s="58" t="s">
        <v>3300</v>
      </c>
      <c r="B1820" s="58">
        <v>539433</v>
      </c>
      <c r="C1820" s="58" t="s">
        <v>588</v>
      </c>
      <c r="D1820" s="58" t="s">
        <v>1058</v>
      </c>
    </row>
    <row r="1821" spans="1:4">
      <c r="A1821" s="58" t="s">
        <v>3301</v>
      </c>
      <c r="B1821" s="58">
        <v>504092</v>
      </c>
      <c r="C1821" s="58" t="s">
        <v>588</v>
      </c>
      <c r="D1821" s="58" t="s">
        <v>748</v>
      </c>
    </row>
    <row r="1822" spans="1:4">
      <c r="A1822" s="58" t="s">
        <v>3302</v>
      </c>
      <c r="B1822" s="58">
        <v>504058</v>
      </c>
      <c r="C1822" s="58" t="s">
        <v>3303</v>
      </c>
      <c r="D1822" s="58" t="s">
        <v>1134</v>
      </c>
    </row>
    <row r="1823" spans="1:4">
      <c r="A1823" s="58" t="s">
        <v>3304</v>
      </c>
      <c r="B1823" s="58">
        <v>533257</v>
      </c>
      <c r="C1823" s="58" t="s">
        <v>3305</v>
      </c>
      <c r="D1823" s="58" t="s">
        <v>886</v>
      </c>
    </row>
    <row r="1824" spans="1:4">
      <c r="A1824" s="58" t="s">
        <v>3306</v>
      </c>
      <c r="B1824" s="58">
        <v>541336</v>
      </c>
      <c r="C1824" s="58" t="s">
        <v>3307</v>
      </c>
      <c r="D1824" s="58" t="s">
        <v>605</v>
      </c>
    </row>
    <row r="1825" spans="1:4">
      <c r="A1825" s="58" t="s">
        <v>3308</v>
      </c>
      <c r="B1825" s="58">
        <v>521005</v>
      </c>
      <c r="C1825" s="58" t="s">
        <v>588</v>
      </c>
      <c r="D1825" s="58" t="s">
        <v>603</v>
      </c>
    </row>
    <row r="1826" spans="1:4">
      <c r="A1826" s="58" t="s">
        <v>3309</v>
      </c>
      <c r="B1826" s="58">
        <v>532894</v>
      </c>
      <c r="C1826" s="58" t="s">
        <v>3310</v>
      </c>
      <c r="D1826" s="58" t="s">
        <v>727</v>
      </c>
    </row>
    <row r="1827" spans="1:4">
      <c r="A1827" s="58" t="s">
        <v>3311</v>
      </c>
      <c r="B1827" s="58">
        <v>539175</v>
      </c>
      <c r="C1827" s="58" t="s">
        <v>588</v>
      </c>
      <c r="D1827" s="58" t="s">
        <v>1096</v>
      </c>
    </row>
    <row r="1828" spans="1:4">
      <c r="A1828" s="58" t="s">
        <v>3312</v>
      </c>
      <c r="B1828" s="58">
        <v>532514</v>
      </c>
      <c r="C1828" s="58" t="s">
        <v>3313</v>
      </c>
      <c r="D1828" s="58" t="s">
        <v>613</v>
      </c>
    </row>
    <row r="1829" spans="1:4">
      <c r="A1829" s="58" t="s">
        <v>3314</v>
      </c>
      <c r="B1829" s="58">
        <v>532150</v>
      </c>
      <c r="C1829" s="58" t="s">
        <v>3315</v>
      </c>
      <c r="D1829" s="58" t="s">
        <v>1058</v>
      </c>
    </row>
    <row r="1830" spans="1:4">
      <c r="A1830" s="58" t="s">
        <v>3316</v>
      </c>
      <c r="B1830" s="58">
        <v>526445</v>
      </c>
      <c r="C1830" s="58" t="s">
        <v>3317</v>
      </c>
      <c r="D1830" s="58" t="s">
        <v>786</v>
      </c>
    </row>
    <row r="1831" spans="1:4">
      <c r="A1831" s="58" t="s">
        <v>3318</v>
      </c>
      <c r="B1831" s="58">
        <v>522165</v>
      </c>
      <c r="C1831" s="58" t="s">
        <v>588</v>
      </c>
      <c r="D1831" s="58" t="s">
        <v>620</v>
      </c>
    </row>
    <row r="1832" spans="1:4">
      <c r="A1832" s="58" t="s">
        <v>3319</v>
      </c>
      <c r="B1832" s="58">
        <v>503639</v>
      </c>
      <c r="C1832" s="58" t="s">
        <v>588</v>
      </c>
      <c r="D1832" s="58" t="s">
        <v>1009</v>
      </c>
    </row>
    <row r="1833" spans="1:4">
      <c r="A1833" s="58" t="s">
        <v>3320</v>
      </c>
      <c r="B1833" s="58">
        <v>532305</v>
      </c>
      <c r="C1833" s="58" t="s">
        <v>3321</v>
      </c>
      <c r="D1833" s="58" t="s">
        <v>626</v>
      </c>
    </row>
    <row r="1834" spans="1:4">
      <c r="A1834" s="58" t="s">
        <v>3322</v>
      </c>
      <c r="B1834" s="58">
        <v>524652</v>
      </c>
      <c r="C1834" s="58" t="s">
        <v>3323</v>
      </c>
      <c r="D1834" s="58" t="s">
        <v>626</v>
      </c>
    </row>
    <row r="1835" spans="1:4">
      <c r="A1835" s="58" t="s">
        <v>3324</v>
      </c>
      <c r="B1835" s="58">
        <v>532001</v>
      </c>
      <c r="C1835" s="58" t="s">
        <v>588</v>
      </c>
      <c r="D1835" s="58" t="s">
        <v>620</v>
      </c>
    </row>
    <row r="1836" spans="1:4">
      <c r="A1836" s="58" t="s">
        <v>3325</v>
      </c>
      <c r="B1836" s="58">
        <v>531841</v>
      </c>
      <c r="C1836" s="58" t="s">
        <v>588</v>
      </c>
      <c r="D1836" s="58" t="s">
        <v>605</v>
      </c>
    </row>
    <row r="1837" spans="1:4">
      <c r="A1837" s="58" t="s">
        <v>3326</v>
      </c>
      <c r="B1837" s="58">
        <v>532187</v>
      </c>
      <c r="C1837" s="58" t="s">
        <v>3327</v>
      </c>
      <c r="D1837" s="58" t="s">
        <v>906</v>
      </c>
    </row>
    <row r="1838" spans="1:4">
      <c r="A1838" s="58" t="s">
        <v>3328</v>
      </c>
      <c r="B1838" s="58">
        <v>501298</v>
      </c>
      <c r="C1838" s="58" t="s">
        <v>588</v>
      </c>
      <c r="D1838" s="58" t="s">
        <v>608</v>
      </c>
    </row>
    <row r="1839" spans="1:4">
      <c r="A1839" s="58" t="s">
        <v>3329</v>
      </c>
      <c r="B1839" s="58">
        <v>501295</v>
      </c>
      <c r="C1839" s="58" t="s">
        <v>3330</v>
      </c>
      <c r="D1839" s="58" t="s">
        <v>605</v>
      </c>
    </row>
    <row r="1840" spans="1:4">
      <c r="A1840" s="58" t="s">
        <v>3331</v>
      </c>
      <c r="B1840" s="58">
        <v>506222</v>
      </c>
      <c r="C1840" s="58" t="s">
        <v>3332</v>
      </c>
      <c r="D1840" s="58" t="s">
        <v>748</v>
      </c>
    </row>
    <row r="1841" spans="1:4">
      <c r="A1841" s="58" t="s">
        <v>3333</v>
      </c>
      <c r="B1841" s="58">
        <v>506222</v>
      </c>
      <c r="C1841" s="58" t="s">
        <v>3332</v>
      </c>
      <c r="D1841" s="58" t="s">
        <v>748</v>
      </c>
    </row>
    <row r="1842" spans="1:4">
      <c r="A1842" s="58" t="s">
        <v>3334</v>
      </c>
      <c r="B1842" s="58">
        <v>512025</v>
      </c>
      <c r="C1842" s="58" t="s">
        <v>588</v>
      </c>
      <c r="D1842" s="58" t="s">
        <v>1009</v>
      </c>
    </row>
    <row r="1843" spans="1:4">
      <c r="A1843" s="58" t="s">
        <v>3335</v>
      </c>
      <c r="B1843" s="58">
        <v>539807</v>
      </c>
      <c r="C1843" s="58" t="s">
        <v>3336</v>
      </c>
      <c r="D1843" s="58" t="s">
        <v>594</v>
      </c>
    </row>
    <row r="1844" spans="1:4">
      <c r="A1844" s="58" t="s">
        <v>3337</v>
      </c>
      <c r="B1844" s="58">
        <v>533154</v>
      </c>
      <c r="C1844" s="58" t="s">
        <v>3338</v>
      </c>
      <c r="D1844" s="58" t="s">
        <v>574</v>
      </c>
    </row>
    <row r="1845" spans="1:4">
      <c r="A1845" s="58" t="s">
        <v>3339</v>
      </c>
      <c r="B1845" s="58">
        <v>533154</v>
      </c>
      <c r="C1845" s="58" t="s">
        <v>3338</v>
      </c>
      <c r="D1845" s="58" t="s">
        <v>574</v>
      </c>
    </row>
    <row r="1846" spans="1:4">
      <c r="A1846" s="58" t="s">
        <v>3340</v>
      </c>
      <c r="B1846" s="58">
        <v>541083</v>
      </c>
      <c r="C1846" s="58" t="s">
        <v>588</v>
      </c>
      <c r="D1846" s="58" t="s">
        <v>1632</v>
      </c>
    </row>
    <row r="1847" spans="1:4">
      <c r="A1847" s="58" t="s">
        <v>3341</v>
      </c>
      <c r="B1847" s="58">
        <v>532777</v>
      </c>
      <c r="C1847" s="58" t="s">
        <v>3342</v>
      </c>
      <c r="D1847" s="58" t="s">
        <v>3343</v>
      </c>
    </row>
    <row r="1848" spans="1:4">
      <c r="A1848" s="58" t="s">
        <v>3344</v>
      </c>
      <c r="B1848" s="58">
        <v>532777</v>
      </c>
      <c r="C1848" s="58" t="s">
        <v>3342</v>
      </c>
      <c r="D1848" s="58" t="s">
        <v>3343</v>
      </c>
    </row>
    <row r="1849" spans="1:4">
      <c r="A1849" s="58" t="s">
        <v>3345</v>
      </c>
      <c r="B1849" s="58" t="s">
        <v>588</v>
      </c>
      <c r="C1849" s="58" t="s">
        <v>3346</v>
      </c>
      <c r="D1849" s="58" t="s">
        <v>599</v>
      </c>
    </row>
    <row r="1850" spans="1:4">
      <c r="A1850" s="58" t="s">
        <v>3347</v>
      </c>
      <c r="B1850" s="58">
        <v>504810</v>
      </c>
      <c r="C1850" s="58" t="s">
        <v>588</v>
      </c>
      <c r="D1850" s="58" t="s">
        <v>918</v>
      </c>
    </row>
    <row r="1851" spans="1:4">
      <c r="A1851" s="58" t="s">
        <v>3348</v>
      </c>
      <c r="B1851" s="58">
        <v>504810</v>
      </c>
      <c r="C1851" s="58" t="s">
        <v>588</v>
      </c>
      <c r="D1851" s="58" t="s">
        <v>918</v>
      </c>
    </row>
    <row r="1852" spans="1:4">
      <c r="A1852" s="58" t="s">
        <v>3349</v>
      </c>
      <c r="B1852" s="58">
        <v>500209</v>
      </c>
      <c r="C1852" s="58" t="s">
        <v>3350</v>
      </c>
      <c r="D1852" s="58" t="s">
        <v>574</v>
      </c>
    </row>
    <row r="1853" spans="1:4">
      <c r="A1853" s="58" t="s">
        <v>3351</v>
      </c>
      <c r="B1853" s="58">
        <v>530777</v>
      </c>
      <c r="C1853" s="58" t="s">
        <v>588</v>
      </c>
      <c r="D1853" s="58" t="s">
        <v>708</v>
      </c>
    </row>
    <row r="1854" spans="1:4">
      <c r="A1854" s="58" t="s">
        <v>3352</v>
      </c>
      <c r="B1854" s="58">
        <v>537985</v>
      </c>
      <c r="C1854" s="58" t="s">
        <v>588</v>
      </c>
      <c r="D1854" s="58" t="s">
        <v>681</v>
      </c>
    </row>
    <row r="1855" spans="1:4">
      <c r="A1855" s="58" t="s">
        <v>3353</v>
      </c>
      <c r="B1855" s="58">
        <v>500210</v>
      </c>
      <c r="C1855" s="58" t="s">
        <v>3354</v>
      </c>
      <c r="D1855" s="58" t="s">
        <v>596</v>
      </c>
    </row>
    <row r="1856" spans="1:4">
      <c r="A1856" s="58" t="s">
        <v>3355</v>
      </c>
      <c r="B1856" s="58">
        <v>500210</v>
      </c>
      <c r="C1856" s="58" t="s">
        <v>3354</v>
      </c>
      <c r="D1856" s="58" t="s">
        <v>596</v>
      </c>
    </row>
    <row r="1857" spans="1:4">
      <c r="A1857" s="58" t="s">
        <v>3356</v>
      </c>
      <c r="B1857" s="58">
        <v>530787</v>
      </c>
      <c r="C1857" s="58" t="s">
        <v>588</v>
      </c>
      <c r="D1857" s="58" t="s">
        <v>2578</v>
      </c>
    </row>
    <row r="1858" spans="1:4">
      <c r="A1858" s="58" t="s">
        <v>3357</v>
      </c>
      <c r="B1858" s="58">
        <v>531929</v>
      </c>
      <c r="C1858" s="58" t="s">
        <v>3358</v>
      </c>
      <c r="D1858" s="58" t="s">
        <v>708</v>
      </c>
    </row>
    <row r="1859" spans="1:4">
      <c r="A1859" s="58" t="s">
        <v>3359</v>
      </c>
      <c r="B1859" s="58" t="s">
        <v>588</v>
      </c>
      <c r="C1859" s="58" t="s">
        <v>3360</v>
      </c>
      <c r="D1859" s="58" t="s">
        <v>599</v>
      </c>
    </row>
    <row r="1860" spans="1:4">
      <c r="A1860" s="58" t="s">
        <v>3361</v>
      </c>
      <c r="B1860" s="58">
        <v>533315</v>
      </c>
      <c r="C1860" s="58" t="s">
        <v>588</v>
      </c>
      <c r="D1860" s="58" t="s">
        <v>754</v>
      </c>
    </row>
    <row r="1861" spans="1:4">
      <c r="A1861" s="58" t="s">
        <v>3362</v>
      </c>
      <c r="B1861" s="58">
        <v>517433</v>
      </c>
      <c r="C1861" s="58" t="s">
        <v>588</v>
      </c>
      <c r="D1861" s="58" t="s">
        <v>574</v>
      </c>
    </row>
    <row r="1862" spans="1:4">
      <c r="A1862" s="58" t="s">
        <v>3363</v>
      </c>
      <c r="B1862" s="58">
        <v>541983</v>
      </c>
      <c r="C1862" s="58" t="s">
        <v>588</v>
      </c>
      <c r="D1862" s="58" t="s">
        <v>3364</v>
      </c>
    </row>
    <row r="1863" spans="1:4">
      <c r="A1863" s="58" t="s">
        <v>3365</v>
      </c>
      <c r="B1863" s="58">
        <v>541983</v>
      </c>
      <c r="C1863" s="58" t="s">
        <v>588</v>
      </c>
      <c r="D1863" s="58" t="s">
        <v>3364</v>
      </c>
    </row>
    <row r="1864" spans="1:4">
      <c r="A1864" s="58" t="s">
        <v>3366</v>
      </c>
      <c r="B1864" s="58">
        <v>523840</v>
      </c>
      <c r="C1864" s="58" t="s">
        <v>588</v>
      </c>
      <c r="D1864" s="58" t="s">
        <v>783</v>
      </c>
    </row>
    <row r="1865" spans="1:4">
      <c r="A1865" s="58" t="s">
        <v>3367</v>
      </c>
      <c r="B1865" s="58" t="s">
        <v>588</v>
      </c>
      <c r="C1865" s="58" t="s">
        <v>3368</v>
      </c>
      <c r="D1865" s="58" t="s">
        <v>599</v>
      </c>
    </row>
    <row r="1866" spans="1:4">
      <c r="A1866" s="58" t="s">
        <v>3369</v>
      </c>
      <c r="B1866" s="58">
        <v>541353</v>
      </c>
      <c r="C1866" s="58" t="s">
        <v>588</v>
      </c>
      <c r="D1866" s="58" t="s">
        <v>986</v>
      </c>
    </row>
    <row r="1867" spans="1:4">
      <c r="A1867" s="58" t="s">
        <v>3370</v>
      </c>
      <c r="B1867" s="58">
        <v>532706</v>
      </c>
      <c r="C1867" s="58" t="s">
        <v>3371</v>
      </c>
      <c r="D1867" s="58" t="s">
        <v>589</v>
      </c>
    </row>
    <row r="1868" spans="1:4">
      <c r="A1868" s="58" t="s">
        <v>3372</v>
      </c>
      <c r="B1868" s="58">
        <v>539083</v>
      </c>
      <c r="C1868" s="58" t="s">
        <v>3373</v>
      </c>
      <c r="D1868" s="58" t="s">
        <v>631</v>
      </c>
    </row>
    <row r="1869" spans="1:4">
      <c r="A1869" s="58" t="s">
        <v>3374</v>
      </c>
      <c r="B1869" s="58">
        <v>532851</v>
      </c>
      <c r="C1869" s="58" t="s">
        <v>3375</v>
      </c>
      <c r="D1869" s="58" t="s">
        <v>732</v>
      </c>
    </row>
    <row r="1870" spans="1:4">
      <c r="A1870" s="58" t="s">
        <v>3376</v>
      </c>
      <c r="B1870" s="58">
        <v>532851</v>
      </c>
      <c r="C1870" s="58" t="s">
        <v>3375</v>
      </c>
      <c r="D1870" s="58" t="s">
        <v>732</v>
      </c>
    </row>
    <row r="1871" spans="1:4">
      <c r="A1871" s="58" t="s">
        <v>3377</v>
      </c>
      <c r="B1871" s="58">
        <v>500211</v>
      </c>
      <c r="C1871" s="58" t="s">
        <v>588</v>
      </c>
      <c r="D1871" s="58" t="s">
        <v>773</v>
      </c>
    </row>
    <row r="1872" spans="1:4">
      <c r="A1872" s="58" t="s">
        <v>3378</v>
      </c>
      <c r="B1872" s="58">
        <v>532774</v>
      </c>
      <c r="C1872" s="58" t="s">
        <v>3379</v>
      </c>
      <c r="D1872" s="58" t="s">
        <v>574</v>
      </c>
    </row>
    <row r="1873" spans="1:4">
      <c r="A1873" s="58" t="s">
        <v>3380</v>
      </c>
      <c r="B1873" s="58">
        <v>526871</v>
      </c>
      <c r="C1873" s="58" t="s">
        <v>588</v>
      </c>
      <c r="D1873" s="58" t="s">
        <v>571</v>
      </c>
    </row>
    <row r="1874" spans="1:4">
      <c r="A1874" s="58" t="s">
        <v>3381</v>
      </c>
      <c r="B1874" s="58">
        <v>531314</v>
      </c>
      <c r="C1874" s="58" t="s">
        <v>3382</v>
      </c>
      <c r="D1874" s="58" t="s">
        <v>605</v>
      </c>
    </row>
    <row r="1875" spans="1:4">
      <c r="A1875" s="58" t="s">
        <v>3383</v>
      </c>
      <c r="B1875" s="58">
        <v>505358</v>
      </c>
      <c r="C1875" s="58" t="s">
        <v>588</v>
      </c>
      <c r="D1875" s="58" t="s">
        <v>596</v>
      </c>
    </row>
    <row r="1876" spans="1:4">
      <c r="A1876" s="58" t="s">
        <v>3384</v>
      </c>
      <c r="B1876" s="58">
        <v>505358</v>
      </c>
      <c r="C1876" s="58" t="s">
        <v>588</v>
      </c>
      <c r="D1876" s="58" t="s">
        <v>596</v>
      </c>
    </row>
    <row r="1877" spans="1:4">
      <c r="A1877" s="58" t="s">
        <v>3385</v>
      </c>
      <c r="B1877" s="58">
        <v>535958</v>
      </c>
      <c r="C1877" s="58" t="s">
        <v>3386</v>
      </c>
      <c r="D1877" s="58" t="s">
        <v>702</v>
      </c>
    </row>
    <row r="1878" spans="1:4">
      <c r="A1878" s="58" t="s">
        <v>3387</v>
      </c>
      <c r="B1878" s="58">
        <v>517423</v>
      </c>
      <c r="C1878" s="58" t="s">
        <v>588</v>
      </c>
      <c r="D1878" s="58" t="s">
        <v>886</v>
      </c>
    </row>
    <row r="1879" spans="1:4">
      <c r="A1879" s="58" t="s">
        <v>3388</v>
      </c>
      <c r="B1879" s="58">
        <v>536868</v>
      </c>
      <c r="C1879" s="58" t="s">
        <v>588</v>
      </c>
      <c r="D1879" s="58" t="s">
        <v>574</v>
      </c>
    </row>
    <row r="1880" spans="1:4">
      <c r="A1880" s="58" t="s">
        <v>3389</v>
      </c>
      <c r="B1880" s="58">
        <v>539149</v>
      </c>
      <c r="C1880" s="58" t="s">
        <v>588</v>
      </c>
      <c r="D1880" s="58" t="s">
        <v>672</v>
      </c>
    </row>
    <row r="1881" spans="1:4">
      <c r="A1881" s="58" t="s">
        <v>3390</v>
      </c>
      <c r="B1881" s="58">
        <v>500212</v>
      </c>
      <c r="C1881" s="58" t="s">
        <v>588</v>
      </c>
      <c r="D1881" s="58" t="s">
        <v>605</v>
      </c>
    </row>
    <row r="1882" spans="1:4">
      <c r="A1882" s="58" t="s">
        <v>3391</v>
      </c>
      <c r="B1882" s="58">
        <v>519606</v>
      </c>
      <c r="C1882" s="58" t="s">
        <v>588</v>
      </c>
      <c r="D1882" s="58" t="s">
        <v>837</v>
      </c>
    </row>
    <row r="1883" spans="1:4">
      <c r="A1883" s="58" t="s">
        <v>3392</v>
      </c>
      <c r="B1883" s="58">
        <v>531889</v>
      </c>
      <c r="C1883" s="58" t="s">
        <v>588</v>
      </c>
      <c r="D1883" s="58" t="s">
        <v>1130</v>
      </c>
    </row>
    <row r="1884" spans="1:4">
      <c r="A1884" s="58" t="s">
        <v>3393</v>
      </c>
      <c r="B1884" s="58">
        <v>530921</v>
      </c>
      <c r="C1884" s="58" t="s">
        <v>588</v>
      </c>
      <c r="D1884" s="58" t="s">
        <v>708</v>
      </c>
    </row>
    <row r="1885" spans="1:4">
      <c r="A1885" s="58" t="s">
        <v>3394</v>
      </c>
      <c r="B1885" s="58">
        <v>538835</v>
      </c>
      <c r="C1885" s="58" t="s">
        <v>3395</v>
      </c>
      <c r="D1885" s="58" t="s">
        <v>681</v>
      </c>
    </row>
    <row r="1886" spans="1:4">
      <c r="A1886" s="58" t="s">
        <v>3396</v>
      </c>
      <c r="B1886" s="58">
        <v>534732</v>
      </c>
      <c r="C1886" s="58" t="s">
        <v>588</v>
      </c>
      <c r="D1886" s="58" t="s">
        <v>571</v>
      </c>
    </row>
    <row r="1887" spans="1:4">
      <c r="A1887" s="58" t="s">
        <v>3397</v>
      </c>
      <c r="B1887" s="58">
        <v>506134</v>
      </c>
      <c r="C1887" s="58" t="s">
        <v>588</v>
      </c>
      <c r="D1887" s="58" t="s">
        <v>708</v>
      </c>
    </row>
    <row r="1888" spans="1:4">
      <c r="A1888" s="58" t="s">
        <v>3398</v>
      </c>
      <c r="B1888" s="58">
        <v>532326</v>
      </c>
      <c r="C1888" s="58" t="s">
        <v>3399</v>
      </c>
      <c r="D1888" s="58" t="s">
        <v>681</v>
      </c>
    </row>
    <row r="1889" spans="1:4">
      <c r="A1889" s="58" t="s">
        <v>3400</v>
      </c>
      <c r="B1889" s="58">
        <v>511391</v>
      </c>
      <c r="C1889" s="58" t="s">
        <v>588</v>
      </c>
      <c r="D1889" s="58" t="s">
        <v>605</v>
      </c>
    </row>
    <row r="1890" spans="1:4">
      <c r="A1890" s="58" t="s">
        <v>3401</v>
      </c>
      <c r="B1890" s="58">
        <v>530259</v>
      </c>
      <c r="C1890" s="58" t="s">
        <v>588</v>
      </c>
      <c r="D1890" s="58" t="s">
        <v>660</v>
      </c>
    </row>
    <row r="1891" spans="1:4">
      <c r="A1891" s="58" t="s">
        <v>3402</v>
      </c>
      <c r="B1891" s="58">
        <v>539692</v>
      </c>
      <c r="C1891" s="58" t="s">
        <v>588</v>
      </c>
      <c r="D1891" s="58" t="s">
        <v>605</v>
      </c>
    </row>
    <row r="1892" spans="1:4">
      <c r="A1892" s="58" t="s">
        <v>3403</v>
      </c>
      <c r="B1892" s="58">
        <v>539448</v>
      </c>
      <c r="C1892" s="58" t="s">
        <v>3404</v>
      </c>
      <c r="D1892" s="58" t="s">
        <v>2723</v>
      </c>
    </row>
    <row r="1893" spans="1:4">
      <c r="A1893" s="58" t="s">
        <v>3405</v>
      </c>
      <c r="B1893" s="58">
        <v>526512</v>
      </c>
      <c r="C1893" s="58" t="s">
        <v>588</v>
      </c>
      <c r="D1893" s="58" t="s">
        <v>651</v>
      </c>
    </row>
    <row r="1894" spans="1:4">
      <c r="A1894" s="58" t="s">
        <v>3406</v>
      </c>
      <c r="B1894" s="58">
        <v>505737</v>
      </c>
      <c r="C1894" s="58" t="s">
        <v>588</v>
      </c>
      <c r="D1894" s="58" t="s">
        <v>596</v>
      </c>
    </row>
    <row r="1895" spans="1:4">
      <c r="A1895" s="58" t="s">
        <v>3407</v>
      </c>
      <c r="B1895" s="58">
        <v>505737</v>
      </c>
      <c r="C1895" s="58" t="s">
        <v>588</v>
      </c>
      <c r="D1895" s="58" t="s">
        <v>596</v>
      </c>
    </row>
    <row r="1896" spans="1:4">
      <c r="A1896" s="58" t="s">
        <v>3408</v>
      </c>
      <c r="B1896" s="58" t="s">
        <v>588</v>
      </c>
      <c r="C1896" s="58" t="s">
        <v>3409</v>
      </c>
      <c r="D1896" s="58" t="s">
        <v>679</v>
      </c>
    </row>
    <row r="1897" spans="1:4">
      <c r="A1897" s="58" t="s">
        <v>3410</v>
      </c>
      <c r="B1897" s="58">
        <v>509709</v>
      </c>
      <c r="C1897" s="58" t="s">
        <v>588</v>
      </c>
      <c r="D1897" s="58" t="s">
        <v>708</v>
      </c>
    </row>
    <row r="1898" spans="1:4">
      <c r="A1898" s="58" t="s">
        <v>3411</v>
      </c>
      <c r="B1898" s="58">
        <v>517044</v>
      </c>
      <c r="C1898" s="58" t="s">
        <v>588</v>
      </c>
      <c r="D1898" s="58" t="s">
        <v>672</v>
      </c>
    </row>
    <row r="1899" spans="1:4">
      <c r="A1899" s="58" t="s">
        <v>3412</v>
      </c>
      <c r="B1899" s="58">
        <v>530781</v>
      </c>
      <c r="C1899" s="58" t="s">
        <v>588</v>
      </c>
      <c r="D1899" s="58" t="s">
        <v>646</v>
      </c>
    </row>
    <row r="1900" spans="1:4">
      <c r="A1900" s="58" t="s">
        <v>3413</v>
      </c>
      <c r="B1900" s="58">
        <v>502330</v>
      </c>
      <c r="C1900" s="58" t="s">
        <v>3414</v>
      </c>
      <c r="D1900" s="58" t="s">
        <v>582</v>
      </c>
    </row>
    <row r="1901" spans="1:4">
      <c r="A1901" s="58" t="s">
        <v>3415</v>
      </c>
      <c r="B1901" s="58">
        <v>500213</v>
      </c>
      <c r="C1901" s="58" t="s">
        <v>588</v>
      </c>
      <c r="D1901" s="58" t="s">
        <v>1589</v>
      </c>
    </row>
    <row r="1902" spans="1:4">
      <c r="A1902" s="58" t="s">
        <v>3416</v>
      </c>
      <c r="B1902" s="58">
        <v>532072</v>
      </c>
      <c r="C1902" s="58" t="s">
        <v>588</v>
      </c>
      <c r="D1902" s="58" t="s">
        <v>591</v>
      </c>
    </row>
    <row r="1903" spans="1:4">
      <c r="A1903" s="58" t="s">
        <v>3417</v>
      </c>
      <c r="B1903" s="58">
        <v>533181</v>
      </c>
      <c r="C1903" s="58" t="s">
        <v>3418</v>
      </c>
      <c r="D1903" s="58" t="s">
        <v>3343</v>
      </c>
    </row>
    <row r="1904" spans="1:4">
      <c r="A1904" s="58" t="s">
        <v>3419</v>
      </c>
      <c r="B1904" s="58">
        <v>533506</v>
      </c>
      <c r="C1904" s="58" t="s">
        <v>3420</v>
      </c>
      <c r="D1904" s="58" t="s">
        <v>571</v>
      </c>
    </row>
    <row r="1905" spans="1:4">
      <c r="A1905" s="58" t="s">
        <v>3421</v>
      </c>
      <c r="B1905" s="58">
        <v>533172</v>
      </c>
      <c r="C1905" s="58" t="s">
        <v>3422</v>
      </c>
      <c r="D1905" s="58" t="s">
        <v>571</v>
      </c>
    </row>
    <row r="1906" spans="1:4">
      <c r="A1906" s="58" t="s">
        <v>3423</v>
      </c>
      <c r="B1906" s="58">
        <v>504786</v>
      </c>
      <c r="C1906" s="58" t="s">
        <v>588</v>
      </c>
      <c r="D1906" s="58" t="s">
        <v>1506</v>
      </c>
    </row>
    <row r="1907" spans="1:4">
      <c r="A1907" s="58" t="s">
        <v>3424</v>
      </c>
      <c r="B1907" s="58">
        <v>523844</v>
      </c>
      <c r="C1907" s="58" t="s">
        <v>588</v>
      </c>
      <c r="D1907" s="58" t="s">
        <v>1752</v>
      </c>
    </row>
    <row r="1908" spans="1:4">
      <c r="A1908" s="58" t="s">
        <v>3425</v>
      </c>
      <c r="B1908" s="58">
        <v>523752</v>
      </c>
      <c r="C1908" s="58" t="s">
        <v>588</v>
      </c>
      <c r="D1908" s="58" t="s">
        <v>596</v>
      </c>
    </row>
    <row r="1909" spans="1:4">
      <c r="A1909" s="58" t="s">
        <v>3426</v>
      </c>
      <c r="B1909" s="58">
        <v>524164</v>
      </c>
      <c r="C1909" s="58" t="s">
        <v>3427</v>
      </c>
      <c r="D1909" s="58" t="s">
        <v>626</v>
      </c>
    </row>
    <row r="1910" spans="1:4">
      <c r="A1910" s="58" t="s">
        <v>3428</v>
      </c>
      <c r="B1910" s="58">
        <v>500214</v>
      </c>
      <c r="C1910" s="58" t="s">
        <v>588</v>
      </c>
      <c r="D1910" s="58" t="s">
        <v>596</v>
      </c>
    </row>
    <row r="1911" spans="1:4">
      <c r="A1911" s="58" t="s">
        <v>3429</v>
      </c>
      <c r="B1911" s="58">
        <v>500214</v>
      </c>
      <c r="C1911" s="58" t="s">
        <v>588</v>
      </c>
      <c r="D1911" s="58" t="s">
        <v>596</v>
      </c>
    </row>
    <row r="1912" spans="1:4">
      <c r="A1912" s="58" t="s">
        <v>3430</v>
      </c>
      <c r="B1912" s="58">
        <v>523638</v>
      </c>
      <c r="C1912" s="58" t="s">
        <v>588</v>
      </c>
      <c r="D1912" s="58" t="s">
        <v>943</v>
      </c>
    </row>
    <row r="1913" spans="1:4">
      <c r="A1913" s="58" t="s">
        <v>3431</v>
      </c>
      <c r="B1913" s="58">
        <v>524494</v>
      </c>
      <c r="C1913" s="58" t="s">
        <v>3432</v>
      </c>
      <c r="D1913" s="58" t="s">
        <v>626</v>
      </c>
    </row>
    <row r="1914" spans="1:4">
      <c r="A1914" s="58" t="s">
        <v>3433</v>
      </c>
      <c r="B1914" s="58">
        <v>512405</v>
      </c>
      <c r="C1914" s="58" t="s">
        <v>588</v>
      </c>
      <c r="D1914" s="58" t="s">
        <v>594</v>
      </c>
    </row>
    <row r="1915" spans="1:4">
      <c r="A1915" s="58" t="s">
        <v>3434</v>
      </c>
      <c r="B1915" s="58">
        <v>512405</v>
      </c>
      <c r="C1915" s="58" t="s">
        <v>588</v>
      </c>
      <c r="D1915" s="58" t="s">
        <v>594</v>
      </c>
    </row>
    <row r="1916" spans="1:4">
      <c r="A1916" s="58" t="s">
        <v>3435</v>
      </c>
      <c r="B1916" s="58">
        <v>532947</v>
      </c>
      <c r="C1916" s="58" t="s">
        <v>3436</v>
      </c>
      <c r="D1916" s="58" t="s">
        <v>1183</v>
      </c>
    </row>
    <row r="1917" spans="1:4">
      <c r="A1917" s="58" t="s">
        <v>3437</v>
      </c>
      <c r="B1917" s="58">
        <v>540526</v>
      </c>
      <c r="C1917" s="58" t="s">
        <v>3438</v>
      </c>
      <c r="D1917" s="58" t="s">
        <v>608</v>
      </c>
    </row>
    <row r="1918" spans="1:4">
      <c r="A1918" s="58" t="s">
        <v>3439</v>
      </c>
      <c r="B1918" s="58">
        <v>541956</v>
      </c>
      <c r="C1918" s="58" t="s">
        <v>3440</v>
      </c>
      <c r="D1918" s="58" t="s">
        <v>986</v>
      </c>
    </row>
    <row r="1919" spans="1:4">
      <c r="A1919" s="58" t="s">
        <v>3441</v>
      </c>
      <c r="B1919" s="58">
        <v>540735</v>
      </c>
      <c r="C1919" s="58" t="s">
        <v>588</v>
      </c>
      <c r="D1919" s="58" t="s">
        <v>681</v>
      </c>
    </row>
    <row r="1920" spans="1:4">
      <c r="A1920" s="58" t="s">
        <v>3442</v>
      </c>
      <c r="B1920" s="58" t="s">
        <v>588</v>
      </c>
      <c r="C1920" s="58" t="s">
        <v>3443</v>
      </c>
      <c r="D1920" s="58" t="s">
        <v>599</v>
      </c>
    </row>
    <row r="1921" spans="1:4">
      <c r="A1921" s="58" t="s">
        <v>3444</v>
      </c>
      <c r="B1921" s="58">
        <v>531337</v>
      </c>
      <c r="C1921" s="58" t="s">
        <v>588</v>
      </c>
      <c r="D1921" s="58" t="s">
        <v>571</v>
      </c>
    </row>
    <row r="1922" spans="1:4">
      <c r="A1922" s="58" t="s">
        <v>3445</v>
      </c>
      <c r="B1922" s="58">
        <v>526859</v>
      </c>
      <c r="C1922" s="58" t="s">
        <v>588</v>
      </c>
      <c r="D1922" s="58" t="s">
        <v>605</v>
      </c>
    </row>
    <row r="1923" spans="1:4">
      <c r="A1923" s="58" t="s">
        <v>3446</v>
      </c>
      <c r="B1923" s="58">
        <v>533033</v>
      </c>
      <c r="C1923" s="58" t="s">
        <v>588</v>
      </c>
      <c r="D1923" s="58" t="s">
        <v>596</v>
      </c>
    </row>
    <row r="1924" spans="1:4">
      <c r="A1924" s="58" t="s">
        <v>3447</v>
      </c>
      <c r="B1924" s="58">
        <v>540134</v>
      </c>
      <c r="C1924" s="58" t="s">
        <v>588</v>
      </c>
      <c r="D1924" s="58" t="s">
        <v>986</v>
      </c>
    </row>
    <row r="1925" spans="1:4">
      <c r="A1925" s="58" t="s">
        <v>3448</v>
      </c>
      <c r="B1925" s="58">
        <v>531109</v>
      </c>
      <c r="C1925" s="58" t="s">
        <v>588</v>
      </c>
      <c r="D1925" s="58" t="s">
        <v>748</v>
      </c>
    </row>
    <row r="1926" spans="1:4">
      <c r="A1926" s="58" t="s">
        <v>3449</v>
      </c>
      <c r="B1926" s="58">
        <v>524400</v>
      </c>
      <c r="C1926" s="58" t="s">
        <v>588</v>
      </c>
      <c r="D1926" s="58" t="s">
        <v>626</v>
      </c>
    </row>
    <row r="1927" spans="1:4">
      <c r="A1927" s="58" t="s">
        <v>3450</v>
      </c>
      <c r="B1927" s="58">
        <v>506161</v>
      </c>
      <c r="C1927" s="58" t="s">
        <v>588</v>
      </c>
      <c r="D1927" s="58" t="s">
        <v>605</v>
      </c>
    </row>
    <row r="1928" spans="1:4">
      <c r="A1928" s="58" t="s">
        <v>3451</v>
      </c>
      <c r="B1928" s="58">
        <v>511609</v>
      </c>
      <c r="C1928" s="58" t="s">
        <v>588</v>
      </c>
      <c r="D1928" s="58" t="s">
        <v>605</v>
      </c>
    </row>
    <row r="1929" spans="1:4">
      <c r="A1929" s="58" t="s">
        <v>3452</v>
      </c>
      <c r="B1929" s="58">
        <v>532479</v>
      </c>
      <c r="C1929" s="58" t="s">
        <v>3453</v>
      </c>
      <c r="D1929" s="58" t="s">
        <v>620</v>
      </c>
    </row>
    <row r="1930" spans="1:4">
      <c r="A1930" s="58" t="s">
        <v>3454</v>
      </c>
      <c r="B1930" s="58">
        <v>508807</v>
      </c>
      <c r="C1930" s="58" t="s">
        <v>588</v>
      </c>
      <c r="D1930" s="58" t="s">
        <v>943</v>
      </c>
    </row>
    <row r="1931" spans="1:4">
      <c r="A1931" s="58" t="s">
        <v>3455</v>
      </c>
      <c r="B1931" s="58">
        <v>524622</v>
      </c>
      <c r="C1931" s="58" t="s">
        <v>588</v>
      </c>
      <c r="D1931" s="58" t="s">
        <v>3343</v>
      </c>
    </row>
    <row r="1932" spans="1:4">
      <c r="A1932" s="58" t="s">
        <v>1292</v>
      </c>
      <c r="B1932" s="58">
        <v>500875</v>
      </c>
      <c r="C1932" s="58" t="s">
        <v>143</v>
      </c>
      <c r="D1932" s="58" t="s">
        <v>2756</v>
      </c>
    </row>
    <row r="1933" spans="1:4">
      <c r="A1933" s="58" t="s">
        <v>3456</v>
      </c>
      <c r="B1933" s="58">
        <v>509496</v>
      </c>
      <c r="C1933" s="58" t="s">
        <v>3457</v>
      </c>
      <c r="D1933" s="58" t="s">
        <v>986</v>
      </c>
    </row>
    <row r="1934" spans="1:4">
      <c r="A1934" s="58" t="s">
        <v>3458</v>
      </c>
      <c r="B1934" s="58">
        <v>509496</v>
      </c>
      <c r="C1934" s="58" t="s">
        <v>3457</v>
      </c>
      <c r="D1934" s="58" t="s">
        <v>986</v>
      </c>
    </row>
    <row r="1935" spans="1:4">
      <c r="A1935" s="58" t="s">
        <v>3459</v>
      </c>
      <c r="B1935" s="58">
        <v>523610</v>
      </c>
      <c r="C1935" s="58" t="s">
        <v>3460</v>
      </c>
      <c r="D1935" s="58" t="s">
        <v>734</v>
      </c>
    </row>
    <row r="1936" spans="1:4">
      <c r="A1936" s="58" t="s">
        <v>3461</v>
      </c>
      <c r="B1936" s="58">
        <v>522183</v>
      </c>
      <c r="C1936" s="58" t="s">
        <v>588</v>
      </c>
      <c r="D1936" s="58" t="s">
        <v>596</v>
      </c>
    </row>
    <row r="1937" spans="1:4">
      <c r="A1937" s="58" t="s">
        <v>3462</v>
      </c>
      <c r="B1937" s="58">
        <v>507580</v>
      </c>
      <c r="C1937" s="58" t="s">
        <v>3463</v>
      </c>
      <c r="D1937" s="58" t="s">
        <v>636</v>
      </c>
    </row>
    <row r="1938" spans="1:4">
      <c r="A1938" s="58" t="s">
        <v>3464</v>
      </c>
      <c r="B1938" s="58">
        <v>530773</v>
      </c>
      <c r="C1938" s="58" t="s">
        <v>3465</v>
      </c>
      <c r="D1938" s="58" t="s">
        <v>986</v>
      </c>
    </row>
    <row r="1939" spans="1:4">
      <c r="A1939" s="58" t="s">
        <v>3466</v>
      </c>
      <c r="B1939" s="58">
        <v>522245</v>
      </c>
      <c r="C1939" s="58" t="s">
        <v>588</v>
      </c>
      <c r="D1939" s="58" t="s">
        <v>773</v>
      </c>
    </row>
    <row r="1940" spans="1:4">
      <c r="A1940" s="58" t="s">
        <v>3467</v>
      </c>
      <c r="B1940" s="58">
        <v>532341</v>
      </c>
      <c r="C1940" s="58" t="s">
        <v>3468</v>
      </c>
      <c r="D1940" s="58" t="s">
        <v>574</v>
      </c>
    </row>
    <row r="1941" spans="1:4">
      <c r="A1941" s="58" t="s">
        <v>3469</v>
      </c>
      <c r="B1941" s="58">
        <v>538539</v>
      </c>
      <c r="C1941" s="58" t="s">
        <v>588</v>
      </c>
      <c r="D1941" s="58" t="s">
        <v>608</v>
      </c>
    </row>
    <row r="1942" spans="1:4">
      <c r="A1942" s="58" t="s">
        <v>3470</v>
      </c>
      <c r="B1942" s="58">
        <v>530049</v>
      </c>
      <c r="C1942" s="58" t="s">
        <v>588</v>
      </c>
      <c r="D1942" s="58" t="s">
        <v>603</v>
      </c>
    </row>
    <row r="1943" spans="1:4">
      <c r="A1943" s="58" t="s">
        <v>3471</v>
      </c>
      <c r="B1943" s="58">
        <v>523062</v>
      </c>
      <c r="C1943" s="58" t="s">
        <v>588</v>
      </c>
      <c r="D1943" s="58" t="s">
        <v>605</v>
      </c>
    </row>
    <row r="1944" spans="1:4">
      <c r="A1944" s="58" t="s">
        <v>3472</v>
      </c>
      <c r="B1944" s="58">
        <v>532940</v>
      </c>
      <c r="C1944" s="58" t="s">
        <v>3473</v>
      </c>
      <c r="D1944" s="58" t="s">
        <v>986</v>
      </c>
    </row>
    <row r="1945" spans="1:4">
      <c r="A1945" s="58" t="s">
        <v>3474</v>
      </c>
      <c r="B1945" s="58">
        <v>506522</v>
      </c>
      <c r="C1945" s="58" t="s">
        <v>588</v>
      </c>
      <c r="D1945" s="58" t="s">
        <v>770</v>
      </c>
    </row>
    <row r="1946" spans="1:4">
      <c r="A1946" s="58" t="s">
        <v>3475</v>
      </c>
      <c r="B1946" s="58">
        <v>506522</v>
      </c>
      <c r="C1946" s="58" t="s">
        <v>588</v>
      </c>
      <c r="D1946" s="58" t="s">
        <v>770</v>
      </c>
    </row>
    <row r="1947" spans="1:4">
      <c r="A1947" s="58" t="s">
        <v>3476</v>
      </c>
      <c r="B1947" s="58">
        <v>530915</v>
      </c>
      <c r="C1947" s="58" t="s">
        <v>588</v>
      </c>
      <c r="D1947" s="58" t="s">
        <v>837</v>
      </c>
    </row>
    <row r="1948" spans="1:4">
      <c r="A1948" s="58" t="s">
        <v>3477</v>
      </c>
      <c r="B1948" s="58">
        <v>538422</v>
      </c>
      <c r="C1948" s="58" t="s">
        <v>588</v>
      </c>
      <c r="D1948" s="58" t="s">
        <v>608</v>
      </c>
    </row>
    <row r="1949" spans="1:4">
      <c r="A1949" s="58" t="s">
        <v>3478</v>
      </c>
      <c r="B1949" s="58">
        <v>530711</v>
      </c>
      <c r="C1949" s="58" t="s">
        <v>588</v>
      </c>
      <c r="D1949" s="58" t="s">
        <v>943</v>
      </c>
    </row>
    <row r="1950" spans="1:4">
      <c r="A1950" s="58" t="s">
        <v>3479</v>
      </c>
      <c r="B1950" s="58">
        <v>507155</v>
      </c>
      <c r="C1950" s="58" t="s">
        <v>588</v>
      </c>
      <c r="D1950" s="58" t="s">
        <v>1219</v>
      </c>
    </row>
    <row r="1951" spans="1:4">
      <c r="A1951" s="58" t="s">
        <v>3480</v>
      </c>
      <c r="B1951" s="58">
        <v>532825</v>
      </c>
      <c r="C1951" s="58" t="s">
        <v>588</v>
      </c>
      <c r="D1951" s="58" t="s">
        <v>603</v>
      </c>
    </row>
    <row r="1952" spans="1:4">
      <c r="A1952" s="58" t="s">
        <v>3481</v>
      </c>
      <c r="B1952" s="58">
        <v>532705</v>
      </c>
      <c r="C1952" s="58" t="s">
        <v>3482</v>
      </c>
      <c r="D1952" s="58" t="s">
        <v>1112</v>
      </c>
    </row>
    <row r="1953" spans="1:4">
      <c r="A1953" s="58" t="s">
        <v>3483</v>
      </c>
      <c r="B1953" s="58">
        <v>520139</v>
      </c>
      <c r="C1953" s="58" t="s">
        <v>588</v>
      </c>
      <c r="D1953" s="58" t="s">
        <v>2723</v>
      </c>
    </row>
    <row r="1954" spans="1:4">
      <c r="A1954" s="58" t="s">
        <v>3484</v>
      </c>
      <c r="B1954" s="58">
        <v>530601</v>
      </c>
      <c r="C1954" s="58" t="s">
        <v>588</v>
      </c>
      <c r="D1954" s="58" t="s">
        <v>605</v>
      </c>
    </row>
    <row r="1955" spans="1:4">
      <c r="A1955" s="58" t="s">
        <v>3485</v>
      </c>
      <c r="B1955" s="58">
        <v>507789</v>
      </c>
      <c r="C1955" s="58" t="s">
        <v>3486</v>
      </c>
      <c r="D1955" s="58" t="s">
        <v>626</v>
      </c>
    </row>
    <row r="1956" spans="1:4">
      <c r="A1956" s="58" t="s">
        <v>3487</v>
      </c>
      <c r="B1956" s="58">
        <v>532976</v>
      </c>
      <c r="C1956" s="58" t="s">
        <v>3488</v>
      </c>
      <c r="D1956" s="58" t="s">
        <v>620</v>
      </c>
    </row>
    <row r="1957" spans="1:4">
      <c r="A1957" s="58" t="s">
        <v>3489</v>
      </c>
      <c r="B1957" s="58">
        <v>512237</v>
      </c>
      <c r="C1957" s="58" t="s">
        <v>3490</v>
      </c>
      <c r="D1957" s="58" t="s">
        <v>620</v>
      </c>
    </row>
    <row r="1958" spans="1:4">
      <c r="A1958" s="58" t="s">
        <v>3491</v>
      </c>
      <c r="B1958" s="58">
        <v>523467</v>
      </c>
      <c r="C1958" s="58" t="s">
        <v>588</v>
      </c>
      <c r="D1958" s="58" t="s">
        <v>1116</v>
      </c>
    </row>
    <row r="1959" spans="1:4">
      <c r="A1959" s="58" t="s">
        <v>3492</v>
      </c>
      <c r="B1959" s="58">
        <v>531339</v>
      </c>
      <c r="C1959" s="58" t="s">
        <v>3493</v>
      </c>
      <c r="D1959" s="58" t="s">
        <v>986</v>
      </c>
    </row>
    <row r="1960" spans="1:4">
      <c r="A1960" s="58" t="s">
        <v>3494</v>
      </c>
      <c r="B1960" s="58">
        <v>514312</v>
      </c>
      <c r="C1960" s="58" t="s">
        <v>588</v>
      </c>
      <c r="D1960" s="58" t="s">
        <v>603</v>
      </c>
    </row>
    <row r="1961" spans="1:4">
      <c r="A1961" s="58" t="s">
        <v>3495</v>
      </c>
      <c r="B1961" s="58">
        <v>500219</v>
      </c>
      <c r="C1961" s="58" t="s">
        <v>3496</v>
      </c>
      <c r="D1961" s="58" t="s">
        <v>708</v>
      </c>
    </row>
    <row r="1962" spans="1:4">
      <c r="A1962" s="58" t="s">
        <v>3495</v>
      </c>
      <c r="B1962" s="58">
        <v>570004</v>
      </c>
      <c r="C1962" s="58" t="s">
        <v>3497</v>
      </c>
      <c r="D1962" s="58" t="s">
        <v>708</v>
      </c>
    </row>
    <row r="1963" spans="1:4">
      <c r="A1963" s="58" t="s">
        <v>3498</v>
      </c>
      <c r="B1963" s="58">
        <v>539119</v>
      </c>
      <c r="C1963" s="58" t="s">
        <v>588</v>
      </c>
      <c r="D1963" s="58" t="s">
        <v>1116</v>
      </c>
    </row>
    <row r="1964" spans="1:4">
      <c r="A1964" s="58" t="s">
        <v>3499</v>
      </c>
      <c r="B1964" s="58">
        <v>532033</v>
      </c>
      <c r="C1964" s="58" t="s">
        <v>3500</v>
      </c>
      <c r="D1964" s="58" t="s">
        <v>1325</v>
      </c>
    </row>
    <row r="1965" spans="1:4">
      <c r="A1965" s="58" t="s">
        <v>3501</v>
      </c>
      <c r="B1965" s="58">
        <v>526865</v>
      </c>
      <c r="C1965" s="58" t="s">
        <v>588</v>
      </c>
      <c r="D1965" s="58" t="s">
        <v>610</v>
      </c>
    </row>
    <row r="1966" spans="1:4">
      <c r="A1966" s="58" t="s">
        <v>3502</v>
      </c>
      <c r="B1966" s="58">
        <v>526865</v>
      </c>
      <c r="C1966" s="58" t="s">
        <v>588</v>
      </c>
      <c r="D1966" s="58" t="s">
        <v>610</v>
      </c>
    </row>
    <row r="1967" spans="1:4">
      <c r="A1967" s="58" t="s">
        <v>3503</v>
      </c>
      <c r="B1967" s="58">
        <v>505212</v>
      </c>
      <c r="C1967" s="58" t="s">
        <v>588</v>
      </c>
      <c r="D1967" s="58" t="s">
        <v>943</v>
      </c>
    </row>
    <row r="1968" spans="1:4">
      <c r="A1968" s="58" t="s">
        <v>3504</v>
      </c>
      <c r="B1968" s="58">
        <v>505840</v>
      </c>
      <c r="C1968" s="58" t="s">
        <v>588</v>
      </c>
      <c r="D1968" s="58" t="s">
        <v>1351</v>
      </c>
    </row>
    <row r="1969" spans="1:4">
      <c r="A1969" s="58" t="s">
        <v>3505</v>
      </c>
      <c r="B1969" s="58">
        <v>532532</v>
      </c>
      <c r="C1969" s="58" t="s">
        <v>3506</v>
      </c>
      <c r="D1969" s="58" t="s">
        <v>986</v>
      </c>
    </row>
    <row r="1970" spans="1:4">
      <c r="A1970" s="58" t="s">
        <v>3507</v>
      </c>
      <c r="B1970" s="58">
        <v>532627</v>
      </c>
      <c r="C1970" s="58" t="s">
        <v>3508</v>
      </c>
      <c r="D1970" s="58" t="s">
        <v>727</v>
      </c>
    </row>
    <row r="1971" spans="1:4">
      <c r="A1971" s="58" t="s">
        <v>3509</v>
      </c>
      <c r="B1971" s="58">
        <v>780001</v>
      </c>
      <c r="C1971" s="58" t="s">
        <v>588</v>
      </c>
      <c r="D1971" s="58" t="s">
        <v>679</v>
      </c>
    </row>
    <row r="1972" spans="1:4">
      <c r="A1972" s="58" t="s">
        <v>3510</v>
      </c>
      <c r="B1972" s="58" t="s">
        <v>588</v>
      </c>
      <c r="C1972" s="58" t="s">
        <v>3511</v>
      </c>
      <c r="D1972" s="58" t="s">
        <v>599</v>
      </c>
    </row>
    <row r="1973" spans="1:4">
      <c r="A1973" s="58" t="s">
        <v>3512</v>
      </c>
      <c r="B1973" s="58" t="s">
        <v>588</v>
      </c>
      <c r="C1973" s="58" t="s">
        <v>3513</v>
      </c>
      <c r="D1973" s="58" t="s">
        <v>599</v>
      </c>
    </row>
    <row r="1974" spans="1:4">
      <c r="A1974" s="58" t="s">
        <v>3514</v>
      </c>
      <c r="B1974" s="58" t="s">
        <v>588</v>
      </c>
      <c r="C1974" s="58" t="s">
        <v>3513</v>
      </c>
      <c r="D1974" s="58" t="s">
        <v>599</v>
      </c>
    </row>
    <row r="1975" spans="1:4">
      <c r="A1975" s="58" t="s">
        <v>3515</v>
      </c>
      <c r="B1975" s="58">
        <v>538564</v>
      </c>
      <c r="C1975" s="58" t="s">
        <v>588</v>
      </c>
      <c r="D1975" s="58" t="s">
        <v>995</v>
      </c>
    </row>
    <row r="1976" spans="1:4">
      <c r="A1976" s="58" t="s">
        <v>3516</v>
      </c>
      <c r="B1976" s="58">
        <v>520051</v>
      </c>
      <c r="C1976" s="58" t="s">
        <v>3517</v>
      </c>
      <c r="D1976" s="58" t="s">
        <v>943</v>
      </c>
    </row>
    <row r="1977" spans="1:4">
      <c r="A1977" s="58" t="s">
        <v>3518</v>
      </c>
      <c r="B1977" s="58">
        <v>502901</v>
      </c>
      <c r="C1977" s="58" t="s">
        <v>588</v>
      </c>
      <c r="D1977" s="58" t="s">
        <v>603</v>
      </c>
    </row>
    <row r="1978" spans="1:4">
      <c r="A1978" s="58" t="s">
        <v>3519</v>
      </c>
      <c r="B1978" s="58">
        <v>500220</v>
      </c>
      <c r="C1978" s="58" t="s">
        <v>588</v>
      </c>
      <c r="D1978" s="58" t="s">
        <v>603</v>
      </c>
    </row>
    <row r="1979" spans="1:4">
      <c r="A1979" s="58" t="s">
        <v>3520</v>
      </c>
      <c r="B1979" s="58">
        <v>540394</v>
      </c>
      <c r="C1979" s="58" t="s">
        <v>588</v>
      </c>
      <c r="D1979" s="58" t="s">
        <v>610</v>
      </c>
    </row>
    <row r="1980" spans="1:4">
      <c r="A1980" s="58" t="s">
        <v>3521</v>
      </c>
      <c r="B1980" s="58" t="s">
        <v>588</v>
      </c>
      <c r="C1980" s="58" t="s">
        <v>3522</v>
      </c>
      <c r="D1980" s="58" t="s">
        <v>599</v>
      </c>
    </row>
    <row r="1981" spans="1:4">
      <c r="A1981" s="58" t="s">
        <v>3523</v>
      </c>
      <c r="B1981" s="58">
        <v>514318</v>
      </c>
      <c r="C1981" s="58" t="s">
        <v>588</v>
      </c>
      <c r="D1981" s="58" t="s">
        <v>603</v>
      </c>
    </row>
    <row r="1982" spans="1:4">
      <c r="A1982" s="58" t="s">
        <v>3524</v>
      </c>
      <c r="B1982" s="58">
        <v>526001</v>
      </c>
      <c r="C1982" s="58" t="s">
        <v>588</v>
      </c>
      <c r="D1982" s="58" t="s">
        <v>783</v>
      </c>
    </row>
    <row r="1983" spans="1:4">
      <c r="A1983" s="58" t="s">
        <v>3525</v>
      </c>
      <c r="B1983" s="58">
        <v>520066</v>
      </c>
      <c r="C1983" s="58" t="s">
        <v>3526</v>
      </c>
      <c r="D1983" s="58" t="s">
        <v>943</v>
      </c>
    </row>
    <row r="1984" spans="1:4">
      <c r="A1984" s="58" t="s">
        <v>3527</v>
      </c>
      <c r="B1984" s="58">
        <v>509715</v>
      </c>
      <c r="C1984" s="58" t="s">
        <v>588</v>
      </c>
      <c r="D1984" s="58" t="s">
        <v>995</v>
      </c>
    </row>
    <row r="1985" spans="1:4">
      <c r="A1985" s="58" t="s">
        <v>3528</v>
      </c>
      <c r="B1985" s="58">
        <v>513252</v>
      </c>
      <c r="C1985" s="58" t="s">
        <v>588</v>
      </c>
      <c r="D1985" s="58" t="s">
        <v>943</v>
      </c>
    </row>
    <row r="1986" spans="1:4">
      <c r="A1986" s="58" t="s">
        <v>3529</v>
      </c>
      <c r="B1986" s="58">
        <v>524330</v>
      </c>
      <c r="C1986" s="58" t="s">
        <v>3530</v>
      </c>
      <c r="D1986" s="58" t="s">
        <v>748</v>
      </c>
    </row>
    <row r="1987" spans="1:4">
      <c r="A1987" s="58" t="s">
        <v>3531</v>
      </c>
      <c r="B1987" s="58">
        <v>522285</v>
      </c>
      <c r="C1987" s="58" t="s">
        <v>3532</v>
      </c>
      <c r="D1987" s="58" t="s">
        <v>620</v>
      </c>
    </row>
    <row r="1988" spans="1:4">
      <c r="A1988" s="58" t="s">
        <v>3533</v>
      </c>
      <c r="B1988" s="58">
        <v>539005</v>
      </c>
      <c r="C1988" s="58" t="s">
        <v>588</v>
      </c>
      <c r="D1988" s="58" t="s">
        <v>1009</v>
      </c>
    </row>
    <row r="1989" spans="1:4">
      <c r="A1989" s="58" t="s">
        <v>3534</v>
      </c>
      <c r="B1989" s="58">
        <v>531323</v>
      </c>
      <c r="C1989" s="58" t="s">
        <v>588</v>
      </c>
      <c r="D1989" s="58" t="s">
        <v>603</v>
      </c>
    </row>
    <row r="1990" spans="1:4">
      <c r="A1990" s="58" t="s">
        <v>3535</v>
      </c>
      <c r="B1990" s="58">
        <v>512233</v>
      </c>
      <c r="C1990" s="58" t="s">
        <v>588</v>
      </c>
      <c r="D1990" s="58" t="s">
        <v>603</v>
      </c>
    </row>
    <row r="1991" spans="1:4">
      <c r="A1991" s="58" t="s">
        <v>3536</v>
      </c>
      <c r="B1991" s="58">
        <v>500306</v>
      </c>
      <c r="C1991" s="58" t="s">
        <v>588</v>
      </c>
      <c r="D1991" s="58" t="s">
        <v>605</v>
      </c>
    </row>
    <row r="1992" spans="1:4">
      <c r="A1992" s="58" t="s">
        <v>3537</v>
      </c>
      <c r="B1992" s="58">
        <v>533207</v>
      </c>
      <c r="C1992" s="58" t="s">
        <v>3538</v>
      </c>
      <c r="D1992" s="58" t="s">
        <v>1183</v>
      </c>
    </row>
    <row r="1993" spans="1:4">
      <c r="A1993" s="58" t="s">
        <v>3539</v>
      </c>
      <c r="B1993" s="58">
        <v>506520</v>
      </c>
      <c r="C1993" s="58" t="s">
        <v>588</v>
      </c>
      <c r="D1993" s="58" t="s">
        <v>636</v>
      </c>
    </row>
    <row r="1994" spans="1:4">
      <c r="A1994" s="58" t="s">
        <v>3540</v>
      </c>
      <c r="B1994" s="58" t="s">
        <v>588</v>
      </c>
      <c r="C1994" s="58" t="s">
        <v>3541</v>
      </c>
      <c r="D1994" s="58" t="s">
        <v>679</v>
      </c>
    </row>
    <row r="1995" spans="1:4">
      <c r="A1995" s="58" t="s">
        <v>3542</v>
      </c>
      <c r="B1995" s="58">
        <v>506910</v>
      </c>
      <c r="C1995" s="58" t="s">
        <v>588</v>
      </c>
      <c r="D1995" s="58" t="s">
        <v>748</v>
      </c>
    </row>
    <row r="1996" spans="1:4">
      <c r="A1996" s="58" t="s">
        <v>3543</v>
      </c>
      <c r="B1996" s="58">
        <v>506910</v>
      </c>
      <c r="C1996" s="58" t="s">
        <v>588</v>
      </c>
      <c r="D1996" s="58" t="s">
        <v>748</v>
      </c>
    </row>
    <row r="1997" spans="1:4">
      <c r="A1997" s="58" t="s">
        <v>3544</v>
      </c>
      <c r="B1997" s="58">
        <v>506943</v>
      </c>
      <c r="C1997" s="58" t="s">
        <v>3545</v>
      </c>
      <c r="D1997" s="58" t="s">
        <v>626</v>
      </c>
    </row>
    <row r="1998" spans="1:4">
      <c r="A1998" s="58" t="s">
        <v>3546</v>
      </c>
      <c r="B1998" s="58">
        <v>514034</v>
      </c>
      <c r="C1998" s="58" t="s">
        <v>3547</v>
      </c>
      <c r="D1998" s="58" t="s">
        <v>965</v>
      </c>
    </row>
    <row r="1999" spans="1:4">
      <c r="A1999" s="58" t="s">
        <v>3548</v>
      </c>
      <c r="B1999" s="58">
        <v>532605</v>
      </c>
      <c r="C1999" s="58" t="s">
        <v>3549</v>
      </c>
      <c r="D1999" s="58" t="s">
        <v>943</v>
      </c>
    </row>
    <row r="2000" spans="1:4">
      <c r="A2000" s="58" t="s">
        <v>3550</v>
      </c>
      <c r="B2000" s="58">
        <v>500223</v>
      </c>
      <c r="C2000" s="58" t="s">
        <v>588</v>
      </c>
      <c r="D2000" s="58" t="s">
        <v>603</v>
      </c>
    </row>
    <row r="2001" spans="1:4">
      <c r="A2001" s="58" t="s">
        <v>3551</v>
      </c>
      <c r="B2001" s="58">
        <v>524592</v>
      </c>
      <c r="C2001" s="58" t="s">
        <v>588</v>
      </c>
      <c r="D2001" s="58" t="s">
        <v>748</v>
      </c>
    </row>
    <row r="2002" spans="1:4">
      <c r="A2002" s="58" t="s">
        <v>3552</v>
      </c>
      <c r="B2002" s="58">
        <v>538837</v>
      </c>
      <c r="C2002" s="58" t="s">
        <v>588</v>
      </c>
      <c r="D2002" s="58" t="s">
        <v>594</v>
      </c>
    </row>
    <row r="2003" spans="1:4">
      <c r="A2003" s="58" t="s">
        <v>3553</v>
      </c>
      <c r="B2003" s="58">
        <v>524731</v>
      </c>
      <c r="C2003" s="58" t="s">
        <v>588</v>
      </c>
      <c r="D2003" s="58" t="s">
        <v>626</v>
      </c>
    </row>
    <row r="2004" spans="1:4">
      <c r="A2004" s="58" t="s">
        <v>3554</v>
      </c>
      <c r="B2004" s="58">
        <v>532617</v>
      </c>
      <c r="C2004" s="58" t="s">
        <v>3555</v>
      </c>
      <c r="D2004" s="58" t="s">
        <v>2723</v>
      </c>
    </row>
    <row r="2005" spans="1:4">
      <c r="A2005" s="58" t="s">
        <v>3556</v>
      </c>
      <c r="B2005" s="58">
        <v>532617</v>
      </c>
      <c r="C2005" s="58" t="s">
        <v>3555</v>
      </c>
      <c r="D2005" s="58" t="s">
        <v>2723</v>
      </c>
    </row>
    <row r="2006" spans="1:4">
      <c r="A2006" s="58" t="s">
        <v>3557</v>
      </c>
      <c r="B2006" s="58" t="s">
        <v>588</v>
      </c>
      <c r="C2006" s="58" t="s">
        <v>3558</v>
      </c>
      <c r="D2006" s="58" t="s">
        <v>599</v>
      </c>
    </row>
    <row r="2007" spans="1:4">
      <c r="A2007" s="58" t="s">
        <v>3559</v>
      </c>
      <c r="B2007" s="58">
        <v>538794</v>
      </c>
      <c r="C2007" s="58" t="s">
        <v>588</v>
      </c>
      <c r="D2007" s="58" t="s">
        <v>674</v>
      </c>
    </row>
    <row r="2008" spans="1:4">
      <c r="A2008" s="58" t="s">
        <v>3560</v>
      </c>
      <c r="B2008" s="58" t="s">
        <v>588</v>
      </c>
      <c r="C2008" s="58" t="s">
        <v>3561</v>
      </c>
      <c r="D2008" s="58" t="s">
        <v>599</v>
      </c>
    </row>
    <row r="2009" spans="1:4">
      <c r="A2009" s="58" t="s">
        <v>3562</v>
      </c>
      <c r="B2009" s="58">
        <v>517063</v>
      </c>
      <c r="C2009" s="58" t="s">
        <v>588</v>
      </c>
      <c r="D2009" s="58" t="s">
        <v>1073</v>
      </c>
    </row>
    <row r="2010" spans="1:4">
      <c r="A2010" s="58" t="s">
        <v>3563</v>
      </c>
      <c r="B2010" s="58">
        <v>540850</v>
      </c>
      <c r="C2010" s="58" t="s">
        <v>588</v>
      </c>
      <c r="D2010" s="58" t="s">
        <v>648</v>
      </c>
    </row>
    <row r="2011" spans="1:4">
      <c r="A2011" s="58" t="s">
        <v>3564</v>
      </c>
      <c r="B2011" s="58">
        <v>531550</v>
      </c>
      <c r="C2011" s="58" t="s">
        <v>588</v>
      </c>
      <c r="D2011" s="58" t="s">
        <v>571</v>
      </c>
    </row>
    <row r="2012" spans="1:4">
      <c r="A2012" s="58" t="s">
        <v>3565</v>
      </c>
      <c r="B2012" s="58">
        <v>532771</v>
      </c>
      <c r="C2012" s="58" t="s">
        <v>3566</v>
      </c>
      <c r="D2012" s="58" t="s">
        <v>770</v>
      </c>
    </row>
    <row r="2013" spans="1:4">
      <c r="A2013" s="58" t="s">
        <v>3567</v>
      </c>
      <c r="B2013" s="58">
        <v>540651</v>
      </c>
      <c r="C2013" s="58" t="s">
        <v>588</v>
      </c>
      <c r="D2013" s="58" t="s">
        <v>886</v>
      </c>
    </row>
    <row r="2014" spans="1:4">
      <c r="A2014" s="58" t="s">
        <v>3568</v>
      </c>
      <c r="B2014" s="58">
        <v>780019</v>
      </c>
      <c r="C2014" s="58" t="s">
        <v>588</v>
      </c>
      <c r="D2014" s="58" t="s">
        <v>679</v>
      </c>
    </row>
    <row r="2015" spans="1:4">
      <c r="A2015" s="58" t="s">
        <v>3569</v>
      </c>
      <c r="B2015" s="58">
        <v>511618</v>
      </c>
      <c r="C2015" s="58" t="s">
        <v>3570</v>
      </c>
      <c r="D2015" s="58" t="s">
        <v>610</v>
      </c>
    </row>
    <row r="2016" spans="1:4">
      <c r="A2016" s="58" t="s">
        <v>3571</v>
      </c>
      <c r="B2016" s="58">
        <v>542653</v>
      </c>
      <c r="C2016" s="58" t="s">
        <v>3572</v>
      </c>
      <c r="D2016" s="58" t="s">
        <v>1144</v>
      </c>
    </row>
    <row r="2017" spans="1:4">
      <c r="A2017" s="58" t="s">
        <v>3573</v>
      </c>
      <c r="B2017" s="58">
        <v>530405</v>
      </c>
      <c r="C2017" s="58" t="s">
        <v>588</v>
      </c>
      <c r="D2017" s="58" t="s">
        <v>571</v>
      </c>
    </row>
    <row r="2018" spans="1:4">
      <c r="A2018" s="58" t="s">
        <v>3574</v>
      </c>
      <c r="B2018" s="58">
        <v>533103</v>
      </c>
      <c r="C2018" s="58" t="s">
        <v>3575</v>
      </c>
      <c r="D2018" s="58" t="s">
        <v>603</v>
      </c>
    </row>
    <row r="2019" spans="1:4">
      <c r="A2019" s="58" t="s">
        <v>3576</v>
      </c>
      <c r="B2019" s="58">
        <v>511034</v>
      </c>
      <c r="C2019" s="58" t="s">
        <v>3577</v>
      </c>
      <c r="D2019" s="58" t="s">
        <v>651</v>
      </c>
    </row>
    <row r="2020" spans="1:4">
      <c r="A2020" s="58" t="s">
        <v>3578</v>
      </c>
      <c r="B2020" s="58">
        <v>507981</v>
      </c>
      <c r="C2020" s="58" t="s">
        <v>588</v>
      </c>
      <c r="D2020" s="58" t="s">
        <v>789</v>
      </c>
    </row>
    <row r="2021" spans="1:4">
      <c r="A2021" s="58" t="s">
        <v>3579</v>
      </c>
      <c r="B2021" s="58">
        <v>539947</v>
      </c>
      <c r="C2021" s="58" t="s">
        <v>588</v>
      </c>
      <c r="D2021" s="58" t="s">
        <v>608</v>
      </c>
    </row>
    <row r="2022" spans="1:4">
      <c r="A2022" s="58" t="s">
        <v>3580</v>
      </c>
      <c r="B2022" s="58">
        <v>532624</v>
      </c>
      <c r="C2022" s="58" t="s">
        <v>3581</v>
      </c>
      <c r="D2022" s="58" t="s">
        <v>1824</v>
      </c>
    </row>
    <row r="2023" spans="1:4">
      <c r="A2023" s="58" t="s">
        <v>3582</v>
      </c>
      <c r="B2023" s="58">
        <v>500227</v>
      </c>
      <c r="C2023" s="58" t="s">
        <v>3583</v>
      </c>
      <c r="D2023" s="58" t="s">
        <v>636</v>
      </c>
    </row>
    <row r="2024" spans="1:4">
      <c r="A2024" s="58" t="s">
        <v>3584</v>
      </c>
      <c r="B2024" s="58">
        <v>536773</v>
      </c>
      <c r="C2024" s="58" t="s">
        <v>3585</v>
      </c>
      <c r="D2024" s="58" t="s">
        <v>571</v>
      </c>
    </row>
    <row r="2025" spans="1:4">
      <c r="A2025" s="58" t="s">
        <v>3586</v>
      </c>
      <c r="B2025" s="58">
        <v>500378</v>
      </c>
      <c r="C2025" s="58" t="s">
        <v>3587</v>
      </c>
      <c r="D2025" s="58" t="s">
        <v>986</v>
      </c>
    </row>
    <row r="2026" spans="1:4">
      <c r="A2026" s="58" t="s">
        <v>3588</v>
      </c>
      <c r="B2026" s="58">
        <v>539597</v>
      </c>
      <c r="C2026" s="58" t="s">
        <v>3589</v>
      </c>
      <c r="D2026" s="58" t="s">
        <v>911</v>
      </c>
    </row>
    <row r="2027" spans="1:4">
      <c r="A2027" s="58" t="s">
        <v>3590</v>
      </c>
      <c r="B2027" s="58">
        <v>532508</v>
      </c>
      <c r="C2027" s="58" t="s">
        <v>3591</v>
      </c>
      <c r="D2027" s="58" t="s">
        <v>620</v>
      </c>
    </row>
    <row r="2028" spans="1:4">
      <c r="A2028" s="58" t="s">
        <v>3592</v>
      </c>
      <c r="B2028" s="58">
        <v>532286</v>
      </c>
      <c r="C2028" s="58" t="s">
        <v>3593</v>
      </c>
      <c r="D2028" s="58" t="s">
        <v>620</v>
      </c>
    </row>
    <row r="2029" spans="1:4">
      <c r="A2029" s="58" t="s">
        <v>3594</v>
      </c>
      <c r="B2029" s="58">
        <v>531543</v>
      </c>
      <c r="C2029" s="58" t="s">
        <v>3595</v>
      </c>
      <c r="D2029" s="58" t="s">
        <v>603</v>
      </c>
    </row>
    <row r="2030" spans="1:4">
      <c r="A2030" s="58" t="s">
        <v>3596</v>
      </c>
      <c r="B2030" s="58">
        <v>540311</v>
      </c>
      <c r="C2030" s="58" t="s">
        <v>3597</v>
      </c>
      <c r="D2030" s="58" t="s">
        <v>711</v>
      </c>
    </row>
    <row r="2031" spans="1:4">
      <c r="A2031" s="58" t="s">
        <v>3598</v>
      </c>
      <c r="B2031" s="58">
        <v>539225</v>
      </c>
      <c r="C2031" s="58" t="s">
        <v>588</v>
      </c>
      <c r="D2031" s="58" t="s">
        <v>613</v>
      </c>
    </row>
    <row r="2032" spans="1:4">
      <c r="A2032" s="58" t="s">
        <v>3599</v>
      </c>
      <c r="B2032" s="58">
        <v>536493</v>
      </c>
      <c r="C2032" s="58" t="s">
        <v>588</v>
      </c>
      <c r="D2032" s="58" t="s">
        <v>786</v>
      </c>
    </row>
    <row r="2033" spans="1:4">
      <c r="A2033" s="58" t="s">
        <v>3600</v>
      </c>
      <c r="B2033" s="58">
        <v>532644</v>
      </c>
      <c r="C2033" s="58" t="s">
        <v>3601</v>
      </c>
      <c r="D2033" s="58" t="s">
        <v>601</v>
      </c>
    </row>
    <row r="2034" spans="1:4">
      <c r="A2034" s="58" t="s">
        <v>3602</v>
      </c>
      <c r="B2034" s="58">
        <v>500380</v>
      </c>
      <c r="C2034" s="58" t="s">
        <v>3603</v>
      </c>
      <c r="D2034" s="58" t="s">
        <v>601</v>
      </c>
    </row>
    <row r="2035" spans="1:4">
      <c r="A2035" s="58" t="s">
        <v>3604</v>
      </c>
      <c r="B2035" s="58">
        <v>532162</v>
      </c>
      <c r="C2035" s="58" t="s">
        <v>3605</v>
      </c>
      <c r="D2035" s="58" t="s">
        <v>582</v>
      </c>
    </row>
    <row r="2036" spans="1:4">
      <c r="A2036" s="58" t="s">
        <v>3606</v>
      </c>
      <c r="B2036" s="58">
        <v>530007</v>
      </c>
      <c r="C2036" s="58" t="s">
        <v>3607</v>
      </c>
      <c r="D2036" s="58" t="s">
        <v>1068</v>
      </c>
    </row>
    <row r="2037" spans="1:4">
      <c r="A2037" s="58" t="s">
        <v>3608</v>
      </c>
      <c r="B2037" s="58">
        <v>538765</v>
      </c>
      <c r="C2037" s="58" t="s">
        <v>588</v>
      </c>
      <c r="D2037" s="58" t="s">
        <v>3343</v>
      </c>
    </row>
    <row r="2038" spans="1:4">
      <c r="A2038" s="58" t="s">
        <v>3609</v>
      </c>
      <c r="B2038" s="58">
        <v>523405</v>
      </c>
      <c r="C2038" s="58" t="s">
        <v>3610</v>
      </c>
      <c r="D2038" s="58" t="s">
        <v>754</v>
      </c>
    </row>
    <row r="2039" spans="1:4">
      <c r="A2039" s="58" t="s">
        <v>3611</v>
      </c>
      <c r="B2039" s="58">
        <v>522263</v>
      </c>
      <c r="C2039" s="58" t="s">
        <v>3612</v>
      </c>
      <c r="D2039" s="58" t="s">
        <v>986</v>
      </c>
    </row>
    <row r="2040" spans="1:4">
      <c r="A2040" s="58" t="s">
        <v>3613</v>
      </c>
      <c r="B2040" s="58">
        <v>522263</v>
      </c>
      <c r="C2040" s="58" t="s">
        <v>3612</v>
      </c>
      <c r="D2040" s="58" t="s">
        <v>986</v>
      </c>
    </row>
    <row r="2041" spans="1:4">
      <c r="A2041" s="58" t="s">
        <v>3614</v>
      </c>
      <c r="B2041" s="58">
        <v>511092</v>
      </c>
      <c r="C2041" s="58" t="s">
        <v>588</v>
      </c>
      <c r="D2041" s="58" t="s">
        <v>591</v>
      </c>
    </row>
    <row r="2042" spans="1:4">
      <c r="A2042" s="58" t="s">
        <v>3615</v>
      </c>
      <c r="B2042" s="58">
        <v>523712</v>
      </c>
      <c r="C2042" s="58" t="s">
        <v>588</v>
      </c>
      <c r="D2042" s="58" t="s">
        <v>708</v>
      </c>
    </row>
    <row r="2043" spans="1:4">
      <c r="A2043" s="58" t="s">
        <v>3616</v>
      </c>
      <c r="B2043" s="58">
        <v>513691</v>
      </c>
      <c r="C2043" s="58" t="s">
        <v>3617</v>
      </c>
      <c r="D2043" s="58" t="s">
        <v>943</v>
      </c>
    </row>
    <row r="2044" spans="1:4">
      <c r="A2044" s="58" t="s">
        <v>3618</v>
      </c>
      <c r="B2044" s="58" t="s">
        <v>588</v>
      </c>
      <c r="C2044" s="58" t="s">
        <v>3619</v>
      </c>
      <c r="D2044" s="58" t="s">
        <v>679</v>
      </c>
    </row>
    <row r="2045" spans="1:4">
      <c r="A2045" s="58" t="s">
        <v>3620</v>
      </c>
      <c r="B2045" s="58">
        <v>523398</v>
      </c>
      <c r="C2045" s="58" t="s">
        <v>3621</v>
      </c>
      <c r="D2045" s="58" t="s">
        <v>957</v>
      </c>
    </row>
    <row r="2046" spans="1:4">
      <c r="A2046" s="58" t="s">
        <v>3622</v>
      </c>
      <c r="B2046" s="58">
        <v>523398</v>
      </c>
      <c r="C2046" s="58" t="s">
        <v>3621</v>
      </c>
      <c r="D2046" s="58" t="s">
        <v>957</v>
      </c>
    </row>
    <row r="2047" spans="1:4">
      <c r="A2047" s="58" t="s">
        <v>3623</v>
      </c>
      <c r="B2047" s="58">
        <v>531861</v>
      </c>
      <c r="C2047" s="58" t="s">
        <v>588</v>
      </c>
      <c r="D2047" s="58" t="s">
        <v>571</v>
      </c>
    </row>
    <row r="2048" spans="1:4">
      <c r="A2048" s="58" t="s">
        <v>3624</v>
      </c>
      <c r="B2048" s="58">
        <v>534659</v>
      </c>
      <c r="C2048" s="58" t="s">
        <v>588</v>
      </c>
      <c r="D2048" s="58" t="s">
        <v>574</v>
      </c>
    </row>
    <row r="2049" spans="1:4">
      <c r="A2049" s="58" t="s">
        <v>3625</v>
      </c>
      <c r="B2049" s="58">
        <v>542446</v>
      </c>
      <c r="C2049" s="58" t="s">
        <v>3626</v>
      </c>
      <c r="D2049" s="58" t="s">
        <v>672</v>
      </c>
    </row>
    <row r="2050" spans="1:4">
      <c r="A2050" s="58" t="s">
        <v>3627</v>
      </c>
      <c r="B2050" s="58">
        <v>538092</v>
      </c>
      <c r="C2050" s="58" t="s">
        <v>588</v>
      </c>
      <c r="D2050" s="58" t="s">
        <v>995</v>
      </c>
    </row>
    <row r="2051" spans="1:4">
      <c r="A2051" s="58" t="s">
        <v>3628</v>
      </c>
      <c r="B2051" s="58">
        <v>505750</v>
      </c>
      <c r="C2051" s="58" t="s">
        <v>588</v>
      </c>
      <c r="D2051" s="58" t="s">
        <v>596</v>
      </c>
    </row>
    <row r="2052" spans="1:4">
      <c r="A2052" s="58" t="s">
        <v>3629</v>
      </c>
      <c r="B2052" s="58">
        <v>508929</v>
      </c>
      <c r="C2052" s="58" t="s">
        <v>588</v>
      </c>
      <c r="D2052" s="58" t="s">
        <v>674</v>
      </c>
    </row>
    <row r="2053" spans="1:4">
      <c r="A2053" s="58" t="s">
        <v>3630</v>
      </c>
      <c r="B2053" s="58">
        <v>530985</v>
      </c>
      <c r="C2053" s="58" t="s">
        <v>588</v>
      </c>
      <c r="D2053" s="58" t="s">
        <v>605</v>
      </c>
    </row>
    <row r="2054" spans="1:4">
      <c r="A2054" s="58" t="s">
        <v>3631</v>
      </c>
      <c r="B2054" s="58">
        <v>506016</v>
      </c>
      <c r="C2054" s="58" t="s">
        <v>588</v>
      </c>
      <c r="D2054" s="58" t="s">
        <v>986</v>
      </c>
    </row>
    <row r="2055" spans="1:4">
      <c r="A2055" s="58" t="s">
        <v>3632</v>
      </c>
      <c r="B2055" s="58">
        <v>504080</v>
      </c>
      <c r="C2055" s="58" t="s">
        <v>588</v>
      </c>
      <c r="D2055" s="58" t="s">
        <v>886</v>
      </c>
    </row>
    <row r="2056" spans="1:4">
      <c r="A2056" s="58" t="s">
        <v>3633</v>
      </c>
      <c r="B2056" s="58">
        <v>533148</v>
      </c>
      <c r="C2056" s="58" t="s">
        <v>3634</v>
      </c>
      <c r="D2056" s="58" t="s">
        <v>727</v>
      </c>
    </row>
    <row r="2057" spans="1:4">
      <c r="A2057" s="58" t="s">
        <v>3635</v>
      </c>
      <c r="B2057" s="58">
        <v>532642</v>
      </c>
      <c r="C2057" s="58" t="s">
        <v>3636</v>
      </c>
      <c r="D2057" s="58" t="s">
        <v>754</v>
      </c>
    </row>
    <row r="2058" spans="1:4">
      <c r="A2058" s="58" t="s">
        <v>3637</v>
      </c>
      <c r="B2058" s="58">
        <v>500228</v>
      </c>
      <c r="C2058" s="58" t="s">
        <v>3638</v>
      </c>
      <c r="D2058" s="58" t="s">
        <v>620</v>
      </c>
    </row>
    <row r="2059" spans="1:4">
      <c r="A2059" s="58" t="s">
        <v>3639</v>
      </c>
      <c r="B2059" s="58">
        <v>520057</v>
      </c>
      <c r="C2059" s="58" t="s">
        <v>3640</v>
      </c>
      <c r="D2059" s="58" t="s">
        <v>943</v>
      </c>
    </row>
    <row r="2060" spans="1:4">
      <c r="A2060" s="58" t="s">
        <v>3641</v>
      </c>
      <c r="B2060" s="58">
        <v>520057</v>
      </c>
      <c r="C2060" s="58" t="s">
        <v>3642</v>
      </c>
      <c r="D2060" s="58" t="s">
        <v>943</v>
      </c>
    </row>
    <row r="2061" spans="1:4">
      <c r="A2061" s="58" t="s">
        <v>3643</v>
      </c>
      <c r="B2061" s="58">
        <v>534600</v>
      </c>
      <c r="C2061" s="58" t="s">
        <v>588</v>
      </c>
      <c r="D2061" s="58" t="s">
        <v>911</v>
      </c>
    </row>
    <row r="2062" spans="1:4">
      <c r="A2062" s="58" t="s">
        <v>3644</v>
      </c>
      <c r="B2062" s="58">
        <v>533155</v>
      </c>
      <c r="C2062" s="58" t="s">
        <v>3645</v>
      </c>
      <c r="D2062" s="58" t="s">
        <v>1077</v>
      </c>
    </row>
    <row r="2063" spans="1:4">
      <c r="A2063" s="58" t="s">
        <v>3646</v>
      </c>
      <c r="B2063" s="58">
        <v>533320</v>
      </c>
      <c r="C2063" s="58" t="s">
        <v>3647</v>
      </c>
      <c r="D2063" s="58" t="s">
        <v>732</v>
      </c>
    </row>
    <row r="2064" spans="1:4">
      <c r="A2064" s="58" t="s">
        <v>3648</v>
      </c>
      <c r="B2064" s="58">
        <v>530019</v>
      </c>
      <c r="C2064" s="58" t="s">
        <v>3649</v>
      </c>
      <c r="D2064" s="58" t="s">
        <v>626</v>
      </c>
    </row>
    <row r="2065" spans="1:4">
      <c r="A2065" s="58" t="s">
        <v>3650</v>
      </c>
      <c r="B2065" s="58" t="s">
        <v>588</v>
      </c>
      <c r="C2065" s="58" t="s">
        <v>3651</v>
      </c>
      <c r="D2065" s="58" t="s">
        <v>679</v>
      </c>
    </row>
    <row r="2066" spans="1:4">
      <c r="A2066" s="58" t="s">
        <v>3652</v>
      </c>
      <c r="B2066" s="58">
        <v>516078</v>
      </c>
      <c r="C2066" s="58" t="s">
        <v>588</v>
      </c>
      <c r="D2066" s="58" t="s">
        <v>783</v>
      </c>
    </row>
    <row r="2067" spans="1:4">
      <c r="A2067" s="58" t="s">
        <v>3653</v>
      </c>
      <c r="B2067" s="58">
        <v>511060</v>
      </c>
      <c r="C2067" s="58" t="s">
        <v>588</v>
      </c>
      <c r="D2067" s="58" t="s">
        <v>1009</v>
      </c>
    </row>
    <row r="2068" spans="1:4">
      <c r="A2068" s="58" t="s">
        <v>3654</v>
      </c>
      <c r="B2068" s="58">
        <v>539216</v>
      </c>
      <c r="C2068" s="58" t="s">
        <v>588</v>
      </c>
      <c r="D2068" s="58" t="s">
        <v>603</v>
      </c>
    </row>
    <row r="2069" spans="1:4">
      <c r="A2069" s="58" t="s">
        <v>3655</v>
      </c>
      <c r="B2069" s="58">
        <v>507987</v>
      </c>
      <c r="C2069" s="58" t="s">
        <v>588</v>
      </c>
      <c r="D2069" s="58" t="s">
        <v>605</v>
      </c>
    </row>
    <row r="2070" spans="1:4">
      <c r="A2070" s="58" t="s">
        <v>3656</v>
      </c>
      <c r="B2070" s="58">
        <v>534623</v>
      </c>
      <c r="C2070" s="58" t="s">
        <v>588</v>
      </c>
      <c r="D2070" s="58" t="s">
        <v>3343</v>
      </c>
    </row>
    <row r="2071" spans="1:4">
      <c r="A2071" s="58" t="s">
        <v>3657</v>
      </c>
      <c r="B2071" s="58">
        <v>535648</v>
      </c>
      <c r="C2071" s="58" t="s">
        <v>3658</v>
      </c>
      <c r="D2071" s="58" t="s">
        <v>1112</v>
      </c>
    </row>
    <row r="2072" spans="1:4">
      <c r="A2072" s="58" t="s">
        <v>3659</v>
      </c>
      <c r="B2072" s="58">
        <v>531035</v>
      </c>
      <c r="C2072" s="58" t="s">
        <v>588</v>
      </c>
      <c r="D2072" s="58" t="s">
        <v>1245</v>
      </c>
    </row>
    <row r="2073" spans="1:4">
      <c r="A2073" s="58" t="s">
        <v>3660</v>
      </c>
      <c r="B2073" s="58">
        <v>519248</v>
      </c>
      <c r="C2073" s="58" t="s">
        <v>3661</v>
      </c>
      <c r="D2073" s="58" t="s">
        <v>837</v>
      </c>
    </row>
    <row r="2074" spans="1:4">
      <c r="A2074" s="58" t="s">
        <v>3662</v>
      </c>
      <c r="B2074" s="58">
        <v>542544</v>
      </c>
      <c r="C2074" s="58" t="s">
        <v>3663</v>
      </c>
      <c r="D2074" s="58" t="s">
        <v>571</v>
      </c>
    </row>
    <row r="2075" spans="1:4">
      <c r="A2075" s="58" t="s">
        <v>3664</v>
      </c>
      <c r="B2075" s="58">
        <v>532926</v>
      </c>
      <c r="C2075" s="58" t="s">
        <v>3665</v>
      </c>
      <c r="D2075" s="58" t="s">
        <v>2404</v>
      </c>
    </row>
    <row r="2076" spans="1:4">
      <c r="A2076" s="58" t="s">
        <v>3666</v>
      </c>
      <c r="B2076" s="58">
        <v>504076</v>
      </c>
      <c r="C2076" s="58" t="s">
        <v>588</v>
      </c>
      <c r="D2076" s="58" t="s">
        <v>631</v>
      </c>
    </row>
    <row r="2077" spans="1:4">
      <c r="A2077" s="58" t="s">
        <v>3667</v>
      </c>
      <c r="B2077" s="58">
        <v>514448</v>
      </c>
      <c r="C2077" s="58" t="s">
        <v>588</v>
      </c>
      <c r="D2077" s="58" t="s">
        <v>748</v>
      </c>
    </row>
    <row r="2078" spans="1:4">
      <c r="A2078" s="58" t="s">
        <v>3668</v>
      </c>
      <c r="B2078" s="58">
        <v>513250</v>
      </c>
      <c r="C2078" s="58" t="s">
        <v>3669</v>
      </c>
      <c r="D2078" s="58" t="s">
        <v>631</v>
      </c>
    </row>
    <row r="2079" spans="1:4">
      <c r="A2079" s="58" t="s">
        <v>3670</v>
      </c>
      <c r="B2079" s="58">
        <v>539246</v>
      </c>
      <c r="C2079" s="58" t="s">
        <v>588</v>
      </c>
      <c r="D2079" s="58" t="s">
        <v>610</v>
      </c>
    </row>
    <row r="2080" spans="1:4">
      <c r="A2080" s="58" t="s">
        <v>3671</v>
      </c>
      <c r="B2080" s="58">
        <v>532673</v>
      </c>
      <c r="C2080" s="58" t="s">
        <v>3672</v>
      </c>
      <c r="D2080" s="58" t="s">
        <v>1286</v>
      </c>
    </row>
    <row r="2081" spans="1:4">
      <c r="A2081" s="58" t="s">
        <v>3673</v>
      </c>
      <c r="B2081" s="58">
        <v>539686</v>
      </c>
      <c r="C2081" s="58" t="s">
        <v>588</v>
      </c>
      <c r="D2081" s="58" t="s">
        <v>727</v>
      </c>
    </row>
    <row r="2082" spans="1:4">
      <c r="A2082" s="58" t="s">
        <v>3674</v>
      </c>
      <c r="B2082" s="58">
        <v>532889</v>
      </c>
      <c r="C2082" s="58" t="s">
        <v>3675</v>
      </c>
      <c r="D2082" s="58" t="s">
        <v>603</v>
      </c>
    </row>
    <row r="2083" spans="1:4">
      <c r="A2083" s="58" t="s">
        <v>3676</v>
      </c>
      <c r="B2083" s="58">
        <v>511728</v>
      </c>
      <c r="C2083" s="58" t="s">
        <v>588</v>
      </c>
      <c r="D2083" s="58" t="s">
        <v>605</v>
      </c>
    </row>
    <row r="2084" spans="1:4">
      <c r="A2084" s="58" t="s">
        <v>3677</v>
      </c>
      <c r="B2084" s="58">
        <v>514360</v>
      </c>
      <c r="C2084" s="58" t="s">
        <v>588</v>
      </c>
      <c r="D2084" s="58" t="s">
        <v>986</v>
      </c>
    </row>
    <row r="2085" spans="1:4">
      <c r="A2085" s="58" t="s">
        <v>3678</v>
      </c>
      <c r="B2085" s="58">
        <v>542323</v>
      </c>
      <c r="C2085" s="58" t="s">
        <v>3679</v>
      </c>
      <c r="D2085" s="58" t="s">
        <v>727</v>
      </c>
    </row>
    <row r="2086" spans="1:4">
      <c r="A2086" s="58" t="s">
        <v>3680</v>
      </c>
      <c r="B2086" s="58">
        <v>540756</v>
      </c>
      <c r="C2086" s="58" t="s">
        <v>588</v>
      </c>
      <c r="D2086" s="58" t="s">
        <v>3364</v>
      </c>
    </row>
    <row r="2087" spans="1:4">
      <c r="A2087" s="58" t="s">
        <v>3681</v>
      </c>
      <c r="B2087" s="58">
        <v>539393</v>
      </c>
      <c r="C2087" s="58" t="s">
        <v>588</v>
      </c>
      <c r="D2087" s="58" t="s">
        <v>1265</v>
      </c>
    </row>
    <row r="2088" spans="1:4">
      <c r="A2088" s="58" t="s">
        <v>3682</v>
      </c>
      <c r="B2088" s="58">
        <v>524322</v>
      </c>
      <c r="C2088" s="58" t="s">
        <v>588</v>
      </c>
      <c r="D2088" s="58" t="s">
        <v>626</v>
      </c>
    </row>
    <row r="2089" spans="1:4">
      <c r="A2089" s="58" t="s">
        <v>3683</v>
      </c>
      <c r="B2089" s="58">
        <v>524109</v>
      </c>
      <c r="C2089" s="58" t="s">
        <v>3684</v>
      </c>
      <c r="D2089" s="58" t="s">
        <v>596</v>
      </c>
    </row>
    <row r="2090" spans="1:4">
      <c r="A2090" s="58" t="s">
        <v>3685</v>
      </c>
      <c r="B2090" s="58">
        <v>524675</v>
      </c>
      <c r="C2090" s="58" t="s">
        <v>588</v>
      </c>
      <c r="D2090" s="58" t="s">
        <v>610</v>
      </c>
    </row>
    <row r="2091" spans="1:4">
      <c r="A2091" s="58" t="s">
        <v>3686</v>
      </c>
      <c r="B2091" s="58">
        <v>531778</v>
      </c>
      <c r="C2091" s="58" t="s">
        <v>588</v>
      </c>
      <c r="D2091" s="58" t="s">
        <v>568</v>
      </c>
    </row>
    <row r="2092" spans="1:4">
      <c r="A2092" s="58" t="s">
        <v>3687</v>
      </c>
      <c r="B2092" s="58">
        <v>504840</v>
      </c>
      <c r="C2092" s="58" t="s">
        <v>588</v>
      </c>
      <c r="D2092" s="58" t="s">
        <v>783</v>
      </c>
    </row>
    <row r="2093" spans="1:4">
      <c r="A2093" s="58" t="s">
        <v>3688</v>
      </c>
      <c r="B2093" s="58">
        <v>531780</v>
      </c>
      <c r="C2093" s="58" t="s">
        <v>588</v>
      </c>
      <c r="D2093" s="58" t="s">
        <v>610</v>
      </c>
    </row>
    <row r="2094" spans="1:4">
      <c r="A2094" s="58" t="s">
        <v>3689</v>
      </c>
      <c r="B2094" s="58">
        <v>500233</v>
      </c>
      <c r="C2094" s="58" t="s">
        <v>3690</v>
      </c>
      <c r="D2094" s="58" t="s">
        <v>865</v>
      </c>
    </row>
    <row r="2095" spans="1:4">
      <c r="A2095" s="58" t="s">
        <v>3691</v>
      </c>
      <c r="B2095" s="58">
        <v>500234</v>
      </c>
      <c r="C2095" s="58" t="s">
        <v>3692</v>
      </c>
      <c r="D2095" s="58" t="s">
        <v>601</v>
      </c>
    </row>
    <row r="2096" spans="1:4">
      <c r="A2096" s="58" t="s">
        <v>3693</v>
      </c>
      <c r="B2096" s="58">
        <v>521054</v>
      </c>
      <c r="C2096" s="58" t="s">
        <v>588</v>
      </c>
      <c r="D2096" s="58" t="s">
        <v>603</v>
      </c>
    </row>
    <row r="2097" spans="1:4">
      <c r="A2097" s="58" t="s">
        <v>3694</v>
      </c>
      <c r="B2097" s="58">
        <v>530201</v>
      </c>
      <c r="C2097" s="58" t="s">
        <v>588</v>
      </c>
      <c r="D2097" s="58" t="s">
        <v>603</v>
      </c>
    </row>
    <row r="2098" spans="1:4">
      <c r="A2098" s="58" t="s">
        <v>3695</v>
      </c>
      <c r="B2098" s="58">
        <v>539014</v>
      </c>
      <c r="C2098" s="58" t="s">
        <v>588</v>
      </c>
      <c r="D2098" s="58" t="s">
        <v>610</v>
      </c>
    </row>
    <row r="2099" spans="1:4">
      <c r="A2099" s="58" t="s">
        <v>3696</v>
      </c>
      <c r="B2099" s="58">
        <v>522287</v>
      </c>
      <c r="C2099" s="58" t="s">
        <v>3697</v>
      </c>
      <c r="D2099" s="58" t="s">
        <v>631</v>
      </c>
    </row>
    <row r="2100" spans="1:4">
      <c r="A2100" s="58" t="s">
        <v>3698</v>
      </c>
      <c r="B2100" s="58" t="s">
        <v>588</v>
      </c>
      <c r="C2100" s="58" t="s">
        <v>3699</v>
      </c>
      <c r="D2100" s="58" t="s">
        <v>679</v>
      </c>
    </row>
    <row r="2101" spans="1:4">
      <c r="A2101" s="58" t="s">
        <v>3700</v>
      </c>
      <c r="B2101" s="58">
        <v>513509</v>
      </c>
      <c r="C2101" s="58" t="s">
        <v>3701</v>
      </c>
      <c r="D2101" s="58" t="s">
        <v>943</v>
      </c>
    </row>
    <row r="2102" spans="1:4">
      <c r="A2102" s="58" t="s">
        <v>3702</v>
      </c>
      <c r="B2102" s="58">
        <v>533302</v>
      </c>
      <c r="C2102" s="58" t="s">
        <v>3703</v>
      </c>
      <c r="D2102" s="58" t="s">
        <v>608</v>
      </c>
    </row>
    <row r="2103" spans="1:4">
      <c r="A2103" s="58" t="s">
        <v>3704</v>
      </c>
      <c r="B2103" s="58">
        <v>500235</v>
      </c>
      <c r="C2103" s="58" t="s">
        <v>3705</v>
      </c>
      <c r="D2103" s="58" t="s">
        <v>620</v>
      </c>
    </row>
    <row r="2104" spans="1:4">
      <c r="A2104" s="58" t="s">
        <v>3706</v>
      </c>
      <c r="B2104" s="58">
        <v>532468</v>
      </c>
      <c r="C2104" s="58" t="s">
        <v>588</v>
      </c>
      <c r="D2104" s="58" t="s">
        <v>754</v>
      </c>
    </row>
    <row r="2105" spans="1:4">
      <c r="A2105" s="58" t="s">
        <v>3707</v>
      </c>
      <c r="B2105" s="58">
        <v>514322</v>
      </c>
      <c r="C2105" s="58" t="s">
        <v>588</v>
      </c>
      <c r="D2105" s="58" t="s">
        <v>603</v>
      </c>
    </row>
    <row r="2106" spans="1:4">
      <c r="A2106" s="58" t="s">
        <v>3708</v>
      </c>
      <c r="B2106" s="58">
        <v>511131</v>
      </c>
      <c r="C2106" s="58" t="s">
        <v>588</v>
      </c>
      <c r="D2106" s="58" t="s">
        <v>674</v>
      </c>
    </row>
    <row r="2107" spans="1:4">
      <c r="A2107" s="58" t="s">
        <v>3709</v>
      </c>
      <c r="B2107" s="58">
        <v>526668</v>
      </c>
      <c r="C2107" s="58" t="s">
        <v>3710</v>
      </c>
      <c r="D2107" s="58" t="s">
        <v>789</v>
      </c>
    </row>
    <row r="2108" spans="1:4">
      <c r="A2108" s="58" t="s">
        <v>3711</v>
      </c>
      <c r="B2108" s="58">
        <v>532741</v>
      </c>
      <c r="C2108" s="58" t="s">
        <v>3712</v>
      </c>
      <c r="D2108" s="58" t="s">
        <v>620</v>
      </c>
    </row>
    <row r="2109" spans="1:4">
      <c r="A2109" s="58" t="s">
        <v>3713</v>
      </c>
      <c r="B2109" s="58">
        <v>524604</v>
      </c>
      <c r="C2109" s="58" t="s">
        <v>588</v>
      </c>
      <c r="D2109" s="58" t="s">
        <v>626</v>
      </c>
    </row>
    <row r="2110" spans="1:4">
      <c r="A2110" s="58" t="s">
        <v>3714</v>
      </c>
      <c r="B2110" s="58">
        <v>780003</v>
      </c>
      <c r="C2110" s="58" t="s">
        <v>588</v>
      </c>
      <c r="D2110" s="58" t="s">
        <v>679</v>
      </c>
    </row>
    <row r="2111" spans="1:4">
      <c r="A2111" s="58" t="s">
        <v>3715</v>
      </c>
      <c r="B2111" s="58">
        <v>506184</v>
      </c>
      <c r="C2111" s="58" t="s">
        <v>3716</v>
      </c>
      <c r="D2111" s="58" t="s">
        <v>702</v>
      </c>
    </row>
    <row r="2112" spans="1:4">
      <c r="A2112" s="58" t="s">
        <v>3717</v>
      </c>
      <c r="B2112" s="58">
        <v>538896</v>
      </c>
      <c r="C2112" s="58" t="s">
        <v>588</v>
      </c>
      <c r="D2112" s="58" t="s">
        <v>636</v>
      </c>
    </row>
    <row r="2113" spans="1:4">
      <c r="A2113" s="58" t="s">
        <v>3718</v>
      </c>
      <c r="B2113" s="58">
        <v>541005</v>
      </c>
      <c r="C2113" s="58" t="s">
        <v>588</v>
      </c>
      <c r="D2113" s="58" t="s">
        <v>995</v>
      </c>
    </row>
    <row r="2114" spans="1:4">
      <c r="A2114" s="58" t="s">
        <v>3719</v>
      </c>
      <c r="B2114" s="58">
        <v>521242</v>
      </c>
      <c r="C2114" s="58" t="s">
        <v>588</v>
      </c>
      <c r="D2114" s="58" t="s">
        <v>603</v>
      </c>
    </row>
    <row r="2115" spans="1:4">
      <c r="A2115" s="58" t="s">
        <v>3720</v>
      </c>
      <c r="B2115" s="58">
        <v>500236</v>
      </c>
      <c r="C2115" s="58" t="s">
        <v>3721</v>
      </c>
      <c r="D2115" s="58" t="s">
        <v>954</v>
      </c>
    </row>
    <row r="2116" spans="1:4">
      <c r="A2116" s="58" t="s">
        <v>3722</v>
      </c>
      <c r="B2116" s="58">
        <v>513456</v>
      </c>
      <c r="C2116" s="58" t="s">
        <v>588</v>
      </c>
      <c r="D2116" s="58" t="s">
        <v>911</v>
      </c>
    </row>
    <row r="2117" spans="1:4">
      <c r="A2117" s="58" t="s">
        <v>3723</v>
      </c>
      <c r="B2117" s="58">
        <v>506525</v>
      </c>
      <c r="C2117" s="58" t="s">
        <v>3724</v>
      </c>
      <c r="D2117" s="58" t="s">
        <v>636</v>
      </c>
    </row>
    <row r="2118" spans="1:4">
      <c r="A2118" s="58" t="s">
        <v>3725</v>
      </c>
      <c r="B2118" s="58">
        <v>507779</v>
      </c>
      <c r="C2118" s="58" t="s">
        <v>588</v>
      </c>
      <c r="D2118" s="58" t="s">
        <v>783</v>
      </c>
    </row>
    <row r="2119" spans="1:4">
      <c r="A2119" s="58" t="s">
        <v>3726</v>
      </c>
      <c r="B2119" s="58">
        <v>500165</v>
      </c>
      <c r="C2119" s="58" t="s">
        <v>3727</v>
      </c>
      <c r="D2119" s="58" t="s">
        <v>865</v>
      </c>
    </row>
    <row r="2120" spans="1:4">
      <c r="A2120" s="58" t="s">
        <v>3728</v>
      </c>
      <c r="B2120" s="58">
        <v>540515</v>
      </c>
      <c r="C2120" s="58" t="s">
        <v>588</v>
      </c>
      <c r="D2120" s="58" t="s">
        <v>571</v>
      </c>
    </row>
    <row r="2121" spans="1:4">
      <c r="A2121" s="58" t="s">
        <v>3729</v>
      </c>
      <c r="B2121" s="58">
        <v>512399</v>
      </c>
      <c r="C2121" s="58" t="s">
        <v>588</v>
      </c>
      <c r="D2121" s="58" t="s">
        <v>571</v>
      </c>
    </row>
    <row r="2122" spans="1:4">
      <c r="A2122" s="58" t="s">
        <v>3730</v>
      </c>
      <c r="B2122" s="58">
        <v>512036</v>
      </c>
      <c r="C2122" s="58" t="s">
        <v>588</v>
      </c>
      <c r="D2122" s="58" t="s">
        <v>603</v>
      </c>
    </row>
    <row r="2123" spans="1:4">
      <c r="A2123" s="58" t="s">
        <v>3731</v>
      </c>
      <c r="B2123" s="58">
        <v>539679</v>
      </c>
      <c r="C2123" s="58" t="s">
        <v>588</v>
      </c>
      <c r="D2123" s="58" t="s">
        <v>605</v>
      </c>
    </row>
    <row r="2124" spans="1:4">
      <c r="A2124" s="58" t="s">
        <v>3732</v>
      </c>
      <c r="B2124" s="58" t="s">
        <v>588</v>
      </c>
      <c r="C2124" s="58" t="s">
        <v>3733</v>
      </c>
      <c r="D2124" s="58" t="s">
        <v>599</v>
      </c>
    </row>
    <row r="2125" spans="1:4">
      <c r="A2125" s="58" t="s">
        <v>3734</v>
      </c>
      <c r="B2125" s="58">
        <v>526115</v>
      </c>
      <c r="C2125" s="58" t="s">
        <v>588</v>
      </c>
      <c r="D2125" s="58" t="s">
        <v>702</v>
      </c>
    </row>
    <row r="2126" spans="1:4">
      <c r="A2126" s="58" t="s">
        <v>3735</v>
      </c>
      <c r="B2126" s="58">
        <v>541161</v>
      </c>
      <c r="C2126" s="58" t="s">
        <v>3736</v>
      </c>
      <c r="D2126" s="58" t="s">
        <v>674</v>
      </c>
    </row>
    <row r="2127" spans="1:4">
      <c r="A2127" s="58" t="s">
        <v>3737</v>
      </c>
      <c r="B2127" s="58">
        <v>533451</v>
      </c>
      <c r="C2127" s="58" t="s">
        <v>3738</v>
      </c>
      <c r="D2127" s="58" t="s">
        <v>727</v>
      </c>
    </row>
    <row r="2128" spans="1:4">
      <c r="A2128" s="58" t="s">
        <v>3739</v>
      </c>
      <c r="B2128" s="58">
        <v>538928</v>
      </c>
      <c r="C2128" s="58" t="s">
        <v>588</v>
      </c>
      <c r="D2128" s="58" t="s">
        <v>605</v>
      </c>
    </row>
    <row r="2129" spans="1:4">
      <c r="A2129" s="58" t="s">
        <v>3740</v>
      </c>
      <c r="B2129" s="58">
        <v>537784</v>
      </c>
      <c r="C2129" s="58" t="s">
        <v>588</v>
      </c>
      <c r="D2129" s="58" t="s">
        <v>1009</v>
      </c>
    </row>
    <row r="2130" spans="1:4">
      <c r="A2130" s="58" t="s">
        <v>3741</v>
      </c>
      <c r="B2130" s="58">
        <v>590003</v>
      </c>
      <c r="C2130" s="58" t="s">
        <v>3742</v>
      </c>
      <c r="D2130" s="58" t="s">
        <v>906</v>
      </c>
    </row>
    <row r="2131" spans="1:4">
      <c r="A2131" s="58" t="s">
        <v>3743</v>
      </c>
      <c r="B2131" s="58">
        <v>531687</v>
      </c>
      <c r="C2131" s="58" t="s">
        <v>3744</v>
      </c>
      <c r="D2131" s="58" t="s">
        <v>786</v>
      </c>
    </row>
    <row r="2132" spans="1:4">
      <c r="A2132" s="58" t="s">
        <v>3745</v>
      </c>
      <c r="B2132" s="58">
        <v>539533</v>
      </c>
      <c r="C2132" s="58" t="s">
        <v>588</v>
      </c>
      <c r="D2132" s="58" t="s">
        <v>571</v>
      </c>
    </row>
    <row r="2133" spans="1:4">
      <c r="A2133" s="58" t="s">
        <v>3746</v>
      </c>
      <c r="B2133" s="58">
        <v>502933</v>
      </c>
      <c r="C2133" s="58" t="s">
        <v>588</v>
      </c>
      <c r="D2133" s="58" t="s">
        <v>603</v>
      </c>
    </row>
    <row r="2134" spans="1:4">
      <c r="A2134" s="58" t="s">
        <v>3747</v>
      </c>
      <c r="B2134" s="58">
        <v>532925</v>
      </c>
      <c r="C2134" s="58" t="s">
        <v>3748</v>
      </c>
      <c r="D2134" s="58" t="s">
        <v>986</v>
      </c>
    </row>
    <row r="2135" spans="1:4">
      <c r="A2135" s="58" t="s">
        <v>3749</v>
      </c>
      <c r="B2135" s="58">
        <v>532899</v>
      </c>
      <c r="C2135" s="58" t="s">
        <v>3750</v>
      </c>
      <c r="D2135" s="58" t="s">
        <v>786</v>
      </c>
    </row>
    <row r="2136" spans="1:4">
      <c r="A2136" s="58" t="s">
        <v>3751</v>
      </c>
      <c r="B2136" s="58">
        <v>524444</v>
      </c>
      <c r="C2136" s="58" t="s">
        <v>588</v>
      </c>
      <c r="D2136" s="58" t="s">
        <v>837</v>
      </c>
    </row>
    <row r="2137" spans="1:4">
      <c r="A2137" s="58" t="s">
        <v>3752</v>
      </c>
      <c r="B2137" s="58">
        <v>535136</v>
      </c>
      <c r="C2137" s="58" t="s">
        <v>588</v>
      </c>
      <c r="D2137" s="58" t="s">
        <v>603</v>
      </c>
    </row>
    <row r="2138" spans="1:4">
      <c r="A2138" s="58" t="s">
        <v>3753</v>
      </c>
      <c r="B2138" s="58">
        <v>590041</v>
      </c>
      <c r="C2138" s="58" t="s">
        <v>3754</v>
      </c>
      <c r="D2138" s="58" t="s">
        <v>734</v>
      </c>
    </row>
    <row r="2139" spans="1:4">
      <c r="A2139" s="58" t="s">
        <v>3755</v>
      </c>
      <c r="B2139" s="58">
        <v>530255</v>
      </c>
      <c r="C2139" s="58" t="s">
        <v>588</v>
      </c>
      <c r="D2139" s="58" t="s">
        <v>582</v>
      </c>
    </row>
    <row r="2140" spans="1:4">
      <c r="A2140" s="58" t="s">
        <v>3756</v>
      </c>
      <c r="B2140" s="58">
        <v>539276</v>
      </c>
      <c r="C2140" s="58" t="s">
        <v>3757</v>
      </c>
      <c r="D2140" s="58" t="s">
        <v>3364</v>
      </c>
    </row>
    <row r="2141" spans="1:4">
      <c r="A2141" s="58" t="s">
        <v>3758</v>
      </c>
      <c r="B2141" s="58">
        <v>504084</v>
      </c>
      <c r="C2141" s="58" t="s">
        <v>588</v>
      </c>
      <c r="D2141" s="58" t="s">
        <v>886</v>
      </c>
    </row>
    <row r="2142" spans="1:4">
      <c r="A2142" s="58" t="s">
        <v>3759</v>
      </c>
      <c r="B2142" s="58">
        <v>539562</v>
      </c>
      <c r="C2142" s="58" t="s">
        <v>588</v>
      </c>
      <c r="D2142" s="58" t="s">
        <v>571</v>
      </c>
    </row>
    <row r="2143" spans="1:4">
      <c r="A2143" s="58" t="s">
        <v>3760</v>
      </c>
      <c r="B2143" s="58">
        <v>530357</v>
      </c>
      <c r="C2143" s="58" t="s">
        <v>588</v>
      </c>
      <c r="D2143" s="58" t="s">
        <v>571</v>
      </c>
    </row>
    <row r="2144" spans="1:4">
      <c r="A2144" s="58" t="s">
        <v>3761</v>
      </c>
      <c r="B2144" s="58">
        <v>530357</v>
      </c>
      <c r="C2144" s="58" t="s">
        <v>588</v>
      </c>
      <c r="D2144" s="58" t="s">
        <v>571</v>
      </c>
    </row>
    <row r="2145" spans="1:4">
      <c r="A2145" s="58" t="s">
        <v>3762</v>
      </c>
      <c r="B2145" s="58">
        <v>526067</v>
      </c>
      <c r="C2145" s="58" t="s">
        <v>588</v>
      </c>
      <c r="D2145" s="58" t="s">
        <v>783</v>
      </c>
    </row>
    <row r="2146" spans="1:4">
      <c r="A2146" s="58" t="s">
        <v>3763</v>
      </c>
      <c r="B2146" s="58">
        <v>531784</v>
      </c>
      <c r="C2146" s="58" t="s">
        <v>588</v>
      </c>
      <c r="D2146" s="58" t="s">
        <v>986</v>
      </c>
    </row>
    <row r="2147" spans="1:4">
      <c r="A2147" s="58" t="s">
        <v>3764</v>
      </c>
      <c r="B2147" s="58">
        <v>590066</v>
      </c>
      <c r="C2147" s="58" t="s">
        <v>3765</v>
      </c>
      <c r="D2147" s="58" t="s">
        <v>601</v>
      </c>
    </row>
    <row r="2148" spans="1:4">
      <c r="A2148" s="58" t="s">
        <v>3766</v>
      </c>
      <c r="B2148" s="58">
        <v>533192</v>
      </c>
      <c r="C2148" s="58" t="s">
        <v>3767</v>
      </c>
      <c r="D2148" s="58" t="s">
        <v>1286</v>
      </c>
    </row>
    <row r="2149" spans="1:4">
      <c r="A2149" s="58" t="s">
        <v>3768</v>
      </c>
      <c r="B2149" s="58">
        <v>540385</v>
      </c>
      <c r="C2149" s="58" t="s">
        <v>588</v>
      </c>
      <c r="D2149" s="58" t="s">
        <v>571</v>
      </c>
    </row>
    <row r="2150" spans="1:4">
      <c r="A2150" s="58" t="s">
        <v>3769</v>
      </c>
      <c r="B2150" s="58">
        <v>532054</v>
      </c>
      <c r="C2150" s="58" t="s">
        <v>3770</v>
      </c>
      <c r="D2150" s="58" t="s">
        <v>702</v>
      </c>
    </row>
    <row r="2151" spans="1:4">
      <c r="A2151" s="58" t="s">
        <v>3771</v>
      </c>
      <c r="B2151" s="58">
        <v>532714</v>
      </c>
      <c r="C2151" s="58" t="s">
        <v>3772</v>
      </c>
      <c r="D2151" s="58" t="s">
        <v>631</v>
      </c>
    </row>
    <row r="2152" spans="1:4">
      <c r="A2152" s="58" t="s">
        <v>3773</v>
      </c>
      <c r="B2152" s="58">
        <v>508993</v>
      </c>
      <c r="C2152" s="58" t="s">
        <v>588</v>
      </c>
      <c r="D2152" s="58" t="s">
        <v>674</v>
      </c>
    </row>
    <row r="2153" spans="1:4">
      <c r="A2153" s="58" t="s">
        <v>3774</v>
      </c>
      <c r="B2153" s="58">
        <v>518011</v>
      </c>
      <c r="C2153" s="58" t="s">
        <v>588</v>
      </c>
      <c r="D2153" s="58" t="s">
        <v>601</v>
      </c>
    </row>
    <row r="2154" spans="1:4">
      <c r="A2154" s="58" t="s">
        <v>3775</v>
      </c>
      <c r="B2154" s="58" t="s">
        <v>588</v>
      </c>
      <c r="C2154" s="58" t="s">
        <v>3776</v>
      </c>
      <c r="D2154" s="58" t="s">
        <v>599</v>
      </c>
    </row>
    <row r="2155" spans="1:4">
      <c r="A2155" s="58" t="s">
        <v>3777</v>
      </c>
      <c r="B2155" s="58">
        <v>517569</v>
      </c>
      <c r="C2155" s="58" t="s">
        <v>3778</v>
      </c>
      <c r="D2155" s="58" t="s">
        <v>886</v>
      </c>
    </row>
    <row r="2156" spans="1:4">
      <c r="A2156" s="58" t="s">
        <v>3779</v>
      </c>
      <c r="B2156" s="58">
        <v>519602</v>
      </c>
      <c r="C2156" s="58" t="s">
        <v>3780</v>
      </c>
      <c r="D2156" s="58" t="s">
        <v>681</v>
      </c>
    </row>
    <row r="2157" spans="1:4">
      <c r="A2157" s="58" t="s">
        <v>3781</v>
      </c>
      <c r="B2157" s="58">
        <v>506528</v>
      </c>
      <c r="C2157" s="58" t="s">
        <v>588</v>
      </c>
      <c r="D2157" s="58" t="s">
        <v>748</v>
      </c>
    </row>
    <row r="2158" spans="1:4">
      <c r="A2158" s="58" t="s">
        <v>3782</v>
      </c>
      <c r="B2158" s="58">
        <v>531163</v>
      </c>
      <c r="C2158" s="58" t="s">
        <v>3783</v>
      </c>
      <c r="D2158" s="58" t="s">
        <v>748</v>
      </c>
    </row>
    <row r="2159" spans="1:4">
      <c r="A2159" s="58" t="s">
        <v>3784</v>
      </c>
      <c r="B2159" s="58">
        <v>506530</v>
      </c>
      <c r="C2159" s="58" t="s">
        <v>588</v>
      </c>
      <c r="D2159" s="58" t="s">
        <v>783</v>
      </c>
    </row>
    <row r="2160" spans="1:4">
      <c r="A2160" s="58" t="s">
        <v>3785</v>
      </c>
      <c r="B2160" s="58">
        <v>505890</v>
      </c>
      <c r="C2160" s="58" t="s">
        <v>588</v>
      </c>
      <c r="D2160" s="58" t="s">
        <v>596</v>
      </c>
    </row>
    <row r="2161" spans="1:4">
      <c r="A2161" s="58" t="s">
        <v>3786</v>
      </c>
      <c r="B2161" s="58">
        <v>505890</v>
      </c>
      <c r="C2161" s="58" t="s">
        <v>588</v>
      </c>
      <c r="D2161" s="58" t="s">
        <v>596</v>
      </c>
    </row>
    <row r="2162" spans="1:4">
      <c r="A2162" s="58" t="s">
        <v>3787</v>
      </c>
      <c r="B2162" s="58">
        <v>540953</v>
      </c>
      <c r="C2162" s="58" t="s">
        <v>588</v>
      </c>
      <c r="D2162" s="58" t="s">
        <v>702</v>
      </c>
    </row>
    <row r="2163" spans="1:4">
      <c r="A2163" s="58" t="s">
        <v>3788</v>
      </c>
      <c r="B2163" s="58">
        <v>530163</v>
      </c>
      <c r="C2163" s="58" t="s">
        <v>588</v>
      </c>
      <c r="D2163" s="58" t="s">
        <v>626</v>
      </c>
    </row>
    <row r="2164" spans="1:4">
      <c r="A2164" s="58" t="s">
        <v>3789</v>
      </c>
      <c r="B2164" s="58">
        <v>532686</v>
      </c>
      <c r="C2164" s="58" t="s">
        <v>3790</v>
      </c>
      <c r="D2164" s="58" t="s">
        <v>711</v>
      </c>
    </row>
    <row r="2165" spans="1:4">
      <c r="A2165" s="58" t="s">
        <v>3791</v>
      </c>
      <c r="B2165" s="58">
        <v>532686</v>
      </c>
      <c r="C2165" s="58" t="s">
        <v>3790</v>
      </c>
      <c r="D2165" s="58" t="s">
        <v>711</v>
      </c>
    </row>
    <row r="2166" spans="1:4">
      <c r="A2166" s="58" t="s">
        <v>3792</v>
      </c>
      <c r="B2166" s="58">
        <v>507180</v>
      </c>
      <c r="C2166" s="58" t="s">
        <v>3793</v>
      </c>
      <c r="D2166" s="58" t="s">
        <v>1286</v>
      </c>
    </row>
    <row r="2167" spans="1:4">
      <c r="A2167" s="58" t="s">
        <v>3794</v>
      </c>
      <c r="B2167" s="58">
        <v>524174</v>
      </c>
      <c r="C2167" s="58" t="s">
        <v>588</v>
      </c>
      <c r="D2167" s="58" t="s">
        <v>636</v>
      </c>
    </row>
    <row r="2168" spans="1:4">
      <c r="A2168" s="58" t="s">
        <v>3795</v>
      </c>
      <c r="B2168" s="58">
        <v>533289</v>
      </c>
      <c r="C2168" s="58" t="s">
        <v>3796</v>
      </c>
      <c r="D2168" s="58" t="s">
        <v>909</v>
      </c>
    </row>
    <row r="2169" spans="1:4">
      <c r="A2169" s="58" t="s">
        <v>3797</v>
      </c>
      <c r="B2169" s="58">
        <v>502937</v>
      </c>
      <c r="C2169" s="58" t="s">
        <v>3798</v>
      </c>
      <c r="D2169" s="58" t="s">
        <v>577</v>
      </c>
    </row>
    <row r="2170" spans="1:4">
      <c r="A2170" s="58" t="s">
        <v>3799</v>
      </c>
      <c r="B2170" s="58">
        <v>532732</v>
      </c>
      <c r="C2170" s="58" t="s">
        <v>3800</v>
      </c>
      <c r="D2170" s="58" t="s">
        <v>702</v>
      </c>
    </row>
    <row r="2171" spans="1:4">
      <c r="A2171" s="58" t="s">
        <v>3801</v>
      </c>
      <c r="B2171" s="58">
        <v>507948</v>
      </c>
      <c r="C2171" s="58" t="s">
        <v>588</v>
      </c>
      <c r="D2171" s="58" t="s">
        <v>605</v>
      </c>
    </row>
    <row r="2172" spans="1:4">
      <c r="A2172" s="58" t="s">
        <v>3802</v>
      </c>
      <c r="B2172" s="58">
        <v>512597</v>
      </c>
      <c r="C2172" s="58" t="s">
        <v>3803</v>
      </c>
      <c r="D2172" s="58" t="s">
        <v>605</v>
      </c>
    </row>
    <row r="2173" spans="1:4">
      <c r="A2173" s="58" t="s">
        <v>3804</v>
      </c>
      <c r="B2173" s="58" t="s">
        <v>588</v>
      </c>
      <c r="C2173" s="58" t="s">
        <v>3805</v>
      </c>
      <c r="D2173" s="58" t="s">
        <v>605</v>
      </c>
    </row>
    <row r="2174" spans="1:4">
      <c r="A2174" s="58" t="s">
        <v>3806</v>
      </c>
      <c r="B2174" s="58">
        <v>500239</v>
      </c>
      <c r="C2174" s="58" t="s">
        <v>588</v>
      </c>
      <c r="D2174" s="58" t="s">
        <v>603</v>
      </c>
    </row>
    <row r="2175" spans="1:4">
      <c r="A2175" s="58" t="s">
        <v>3807</v>
      </c>
      <c r="B2175" s="58">
        <v>531609</v>
      </c>
      <c r="C2175" s="58" t="s">
        <v>588</v>
      </c>
      <c r="D2175" s="58" t="s">
        <v>783</v>
      </c>
    </row>
    <row r="2176" spans="1:4">
      <c r="A2176" s="58" t="s">
        <v>3808</v>
      </c>
      <c r="B2176" s="58">
        <v>540775</v>
      </c>
      <c r="C2176" s="58" t="s">
        <v>3809</v>
      </c>
      <c r="D2176" s="58" t="s">
        <v>1014</v>
      </c>
    </row>
    <row r="2177" spans="1:4">
      <c r="A2177" s="58" t="s">
        <v>3810</v>
      </c>
      <c r="B2177" s="58">
        <v>540775</v>
      </c>
      <c r="C2177" s="58" t="s">
        <v>3809</v>
      </c>
      <c r="D2177" s="58" t="s">
        <v>1014</v>
      </c>
    </row>
    <row r="2178" spans="1:4">
      <c r="A2178" s="58" t="s">
        <v>3811</v>
      </c>
      <c r="B2178" s="58">
        <v>590068</v>
      </c>
      <c r="C2178" s="58" t="s">
        <v>3812</v>
      </c>
      <c r="D2178" s="58" t="s">
        <v>610</v>
      </c>
    </row>
    <row r="2179" spans="1:4">
      <c r="A2179" s="58" t="s">
        <v>3813</v>
      </c>
      <c r="B2179" s="58">
        <v>507794</v>
      </c>
      <c r="C2179" s="58" t="s">
        <v>588</v>
      </c>
      <c r="D2179" s="58" t="s">
        <v>1096</v>
      </c>
    </row>
    <row r="2180" spans="1:4">
      <c r="A2180" s="58" t="s">
        <v>3814</v>
      </c>
      <c r="B2180" s="58">
        <v>504269</v>
      </c>
      <c r="C2180" s="58" t="s">
        <v>3815</v>
      </c>
      <c r="D2180" s="58" t="s">
        <v>1351</v>
      </c>
    </row>
    <row r="2181" spans="1:4">
      <c r="A2181" s="58" t="s">
        <v>3816</v>
      </c>
      <c r="B2181" s="58">
        <v>590068</v>
      </c>
      <c r="C2181" s="58" t="s">
        <v>3812</v>
      </c>
      <c r="D2181" s="58" t="s">
        <v>610</v>
      </c>
    </row>
    <row r="2182" spans="1:4">
      <c r="A2182" s="58" t="s">
        <v>3817</v>
      </c>
      <c r="B2182" s="58">
        <v>519064</v>
      </c>
      <c r="C2182" s="58" t="s">
        <v>588</v>
      </c>
      <c r="D2182" s="58" t="s">
        <v>786</v>
      </c>
    </row>
    <row r="2183" spans="1:4">
      <c r="A2183" s="58" t="s">
        <v>3818</v>
      </c>
      <c r="B2183" s="58">
        <v>531892</v>
      </c>
      <c r="C2183" s="58" t="s">
        <v>3819</v>
      </c>
      <c r="D2183" s="58" t="s">
        <v>571</v>
      </c>
    </row>
    <row r="2184" spans="1:4">
      <c r="A2184" s="58" t="s">
        <v>3820</v>
      </c>
      <c r="B2184" s="58">
        <v>506178</v>
      </c>
      <c r="C2184" s="58" t="s">
        <v>588</v>
      </c>
      <c r="D2184" s="58" t="s">
        <v>610</v>
      </c>
    </row>
    <row r="2185" spans="1:4">
      <c r="A2185" s="58" t="s">
        <v>3821</v>
      </c>
      <c r="B2185" s="58">
        <v>521127</v>
      </c>
      <c r="C2185" s="58" t="s">
        <v>588</v>
      </c>
      <c r="D2185" s="58" t="s">
        <v>603</v>
      </c>
    </row>
    <row r="2186" spans="1:4">
      <c r="A2186" s="58" t="s">
        <v>3822</v>
      </c>
      <c r="B2186" s="58">
        <v>539788</v>
      </c>
      <c r="C2186" s="58" t="s">
        <v>588</v>
      </c>
      <c r="D2186" s="58" t="s">
        <v>622</v>
      </c>
    </row>
    <row r="2187" spans="1:4">
      <c r="A2187" s="58" t="s">
        <v>3823</v>
      </c>
      <c r="B2187" s="58">
        <v>507435</v>
      </c>
      <c r="C2187" s="58" t="s">
        <v>588</v>
      </c>
      <c r="D2187" s="58" t="s">
        <v>1219</v>
      </c>
    </row>
    <row r="2188" spans="1:4">
      <c r="A2188" s="58" t="s">
        <v>3824</v>
      </c>
      <c r="B2188" s="58">
        <v>507435</v>
      </c>
      <c r="C2188" s="58" t="s">
        <v>588</v>
      </c>
      <c r="D2188" s="58" t="s">
        <v>1219</v>
      </c>
    </row>
    <row r="2189" spans="1:4">
      <c r="A2189" s="58" t="s">
        <v>3825</v>
      </c>
      <c r="B2189" s="58">
        <v>535730</v>
      </c>
      <c r="C2189" s="58" t="s">
        <v>588</v>
      </c>
      <c r="D2189" s="58" t="s">
        <v>603</v>
      </c>
    </row>
    <row r="2190" spans="1:4">
      <c r="A2190" s="58" t="s">
        <v>3826</v>
      </c>
      <c r="B2190" s="58">
        <v>531692</v>
      </c>
      <c r="C2190" s="58" t="s">
        <v>588</v>
      </c>
      <c r="D2190" s="58" t="s">
        <v>789</v>
      </c>
    </row>
    <row r="2191" spans="1:4">
      <c r="A2191" s="58" t="s">
        <v>3827</v>
      </c>
      <c r="B2191" s="58">
        <v>513693</v>
      </c>
      <c r="C2191" s="58" t="s">
        <v>588</v>
      </c>
      <c r="D2191" s="58" t="s">
        <v>620</v>
      </c>
    </row>
    <row r="2192" spans="1:4">
      <c r="A2192" s="58" t="s">
        <v>3828</v>
      </c>
      <c r="B2192" s="58">
        <v>540812</v>
      </c>
      <c r="C2192" s="58" t="s">
        <v>588</v>
      </c>
      <c r="D2192" s="58" t="s">
        <v>1058</v>
      </c>
    </row>
    <row r="2193" spans="1:4">
      <c r="A2193" s="58" t="s">
        <v>3829</v>
      </c>
      <c r="B2193" s="58">
        <v>507946</v>
      </c>
      <c r="C2193" s="58" t="s">
        <v>588</v>
      </c>
      <c r="D2193" s="58" t="s">
        <v>610</v>
      </c>
    </row>
    <row r="2194" spans="1:4">
      <c r="A2194" s="58" t="s">
        <v>3830</v>
      </c>
      <c r="B2194" s="58">
        <v>507946</v>
      </c>
      <c r="C2194" s="58" t="s">
        <v>588</v>
      </c>
      <c r="D2194" s="58" t="s">
        <v>610</v>
      </c>
    </row>
    <row r="2195" spans="1:4">
      <c r="A2195" s="58" t="s">
        <v>3831</v>
      </c>
      <c r="B2195" s="58">
        <v>535566</v>
      </c>
      <c r="C2195" s="58" t="s">
        <v>588</v>
      </c>
      <c r="D2195" s="58" t="s">
        <v>605</v>
      </c>
    </row>
    <row r="2196" spans="1:4">
      <c r="A2196" s="58" t="s">
        <v>3832</v>
      </c>
      <c r="B2196" s="58">
        <v>524699</v>
      </c>
      <c r="C2196" s="58" t="s">
        <v>588</v>
      </c>
      <c r="D2196" s="58" t="s">
        <v>636</v>
      </c>
    </row>
    <row r="2197" spans="1:4">
      <c r="A2197" s="58" t="s">
        <v>3833</v>
      </c>
      <c r="B2197" s="58">
        <v>522101</v>
      </c>
      <c r="C2197" s="58" t="s">
        <v>588</v>
      </c>
      <c r="D2197" s="58" t="s">
        <v>596</v>
      </c>
    </row>
    <row r="2198" spans="1:4">
      <c r="A2198" s="58" t="s">
        <v>3834</v>
      </c>
      <c r="B2198" s="58">
        <v>523218</v>
      </c>
      <c r="C2198" s="58" t="s">
        <v>3835</v>
      </c>
      <c r="D2198" s="58" t="s">
        <v>1130</v>
      </c>
    </row>
    <row r="2199" spans="1:4">
      <c r="A2199" s="58" t="s">
        <v>3836</v>
      </c>
      <c r="B2199" s="58">
        <v>524500</v>
      </c>
      <c r="C2199" s="58" t="s">
        <v>3837</v>
      </c>
      <c r="D2199" s="58" t="s">
        <v>626</v>
      </c>
    </row>
    <row r="2200" spans="1:4">
      <c r="A2200" s="58" t="s">
        <v>3838</v>
      </c>
      <c r="B2200" s="58">
        <v>524500</v>
      </c>
      <c r="C2200" s="58" t="s">
        <v>3837</v>
      </c>
      <c r="D2200" s="58" t="s">
        <v>626</v>
      </c>
    </row>
    <row r="2201" spans="1:4">
      <c r="A2201" s="58" t="s">
        <v>3839</v>
      </c>
      <c r="B2201" s="58">
        <v>532067</v>
      </c>
      <c r="C2201" s="58" t="s">
        <v>588</v>
      </c>
      <c r="D2201" s="58" t="s">
        <v>732</v>
      </c>
    </row>
    <row r="2202" spans="1:4">
      <c r="A2202" s="58" t="s">
        <v>3840</v>
      </c>
      <c r="B2202" s="58">
        <v>532067</v>
      </c>
      <c r="C2202" s="58" t="s">
        <v>588</v>
      </c>
      <c r="D2202" s="58" t="s">
        <v>732</v>
      </c>
    </row>
    <row r="2203" spans="1:4">
      <c r="A2203" s="58" t="s">
        <v>3841</v>
      </c>
      <c r="B2203" s="58">
        <v>530313</v>
      </c>
      <c r="C2203" s="58" t="s">
        <v>3842</v>
      </c>
      <c r="D2203" s="58" t="s">
        <v>626</v>
      </c>
    </row>
    <row r="2204" spans="1:4">
      <c r="A2204" s="58" t="s">
        <v>3843</v>
      </c>
      <c r="B2204" s="58">
        <v>500240</v>
      </c>
      <c r="C2204" s="58" t="s">
        <v>588</v>
      </c>
      <c r="D2204" s="58" t="s">
        <v>1245</v>
      </c>
    </row>
    <row r="2205" spans="1:4">
      <c r="A2205" s="58" t="s">
        <v>3844</v>
      </c>
      <c r="B2205" s="58">
        <v>531274</v>
      </c>
      <c r="C2205" s="58" t="s">
        <v>588</v>
      </c>
      <c r="D2205" s="58" t="s">
        <v>605</v>
      </c>
    </row>
    <row r="2206" spans="1:4">
      <c r="A2206" s="58" t="s">
        <v>3845</v>
      </c>
      <c r="B2206" s="58">
        <v>524019</v>
      </c>
      <c r="C2206" s="58" t="s">
        <v>3846</v>
      </c>
      <c r="D2206" s="58" t="s">
        <v>708</v>
      </c>
    </row>
    <row r="2207" spans="1:4">
      <c r="A2207" s="58" t="s">
        <v>3847</v>
      </c>
      <c r="B2207" s="58">
        <v>524019</v>
      </c>
      <c r="C2207" s="58" t="s">
        <v>3846</v>
      </c>
      <c r="D2207" s="58" t="s">
        <v>708</v>
      </c>
    </row>
    <row r="2208" spans="1:4">
      <c r="A2208" s="58" t="s">
        <v>3848</v>
      </c>
      <c r="B2208" s="58">
        <v>530215</v>
      </c>
      <c r="C2208" s="58" t="s">
        <v>588</v>
      </c>
      <c r="D2208" s="58" t="s">
        <v>674</v>
      </c>
    </row>
    <row r="2209" spans="1:4">
      <c r="A2209" s="58" t="s">
        <v>3849</v>
      </c>
      <c r="B2209" s="58">
        <v>512329</v>
      </c>
      <c r="C2209" s="58" t="s">
        <v>588</v>
      </c>
      <c r="D2209" s="58" t="s">
        <v>1009</v>
      </c>
    </row>
    <row r="2210" spans="1:4">
      <c r="A2210" s="58" t="s">
        <v>3850</v>
      </c>
      <c r="B2210" s="58">
        <v>540680</v>
      </c>
      <c r="C2210" s="58" t="s">
        <v>3851</v>
      </c>
      <c r="D2210" s="58" t="s">
        <v>620</v>
      </c>
    </row>
    <row r="2211" spans="1:4">
      <c r="A2211" s="58" t="s">
        <v>3852</v>
      </c>
      <c r="B2211" s="58">
        <v>531413</v>
      </c>
      <c r="C2211" s="58" t="s">
        <v>588</v>
      </c>
      <c r="D2211" s="58" t="s">
        <v>2578</v>
      </c>
    </row>
    <row r="2212" spans="1:4">
      <c r="A2212" s="58" t="s">
        <v>3853</v>
      </c>
      <c r="B2212" s="58">
        <v>537750</v>
      </c>
      <c r="C2212" s="58" t="s">
        <v>588</v>
      </c>
      <c r="D2212" s="58" t="s">
        <v>608</v>
      </c>
    </row>
    <row r="2213" spans="1:4">
      <c r="A2213" s="58" t="s">
        <v>3854</v>
      </c>
      <c r="B2213" s="58">
        <v>532967</v>
      </c>
      <c r="C2213" s="58" t="s">
        <v>3855</v>
      </c>
      <c r="D2213" s="58" t="s">
        <v>748</v>
      </c>
    </row>
    <row r="2214" spans="1:4">
      <c r="A2214" s="58" t="s">
        <v>3856</v>
      </c>
      <c r="B2214" s="58">
        <v>500241</v>
      </c>
      <c r="C2214" s="58" t="s">
        <v>3857</v>
      </c>
      <c r="D2214" s="58" t="s">
        <v>596</v>
      </c>
    </row>
    <row r="2215" spans="1:4">
      <c r="A2215" s="58" t="s">
        <v>3858</v>
      </c>
      <c r="B2215" s="58">
        <v>533193</v>
      </c>
      <c r="C2215" s="58" t="s">
        <v>3859</v>
      </c>
      <c r="D2215" s="58" t="s">
        <v>886</v>
      </c>
    </row>
    <row r="2216" spans="1:4">
      <c r="A2216" s="58" t="s">
        <v>3860</v>
      </c>
      <c r="B2216" s="58">
        <v>500245</v>
      </c>
      <c r="C2216" s="58" t="s">
        <v>588</v>
      </c>
      <c r="D2216" s="58" t="s">
        <v>620</v>
      </c>
    </row>
    <row r="2217" spans="1:4">
      <c r="A2217" s="58" t="s">
        <v>3861</v>
      </c>
      <c r="B2217" s="58">
        <v>500243</v>
      </c>
      <c r="C2217" s="58" t="s">
        <v>3862</v>
      </c>
      <c r="D2217" s="58" t="s">
        <v>596</v>
      </c>
    </row>
    <row r="2218" spans="1:4">
      <c r="A2218" s="58" t="s">
        <v>3863</v>
      </c>
      <c r="B2218" s="58">
        <v>533293</v>
      </c>
      <c r="C2218" s="58" t="s">
        <v>3864</v>
      </c>
      <c r="D2218" s="58" t="s">
        <v>943</v>
      </c>
    </row>
    <row r="2219" spans="1:4">
      <c r="A2219" s="58" t="s">
        <v>3865</v>
      </c>
      <c r="B2219" s="58">
        <v>505283</v>
      </c>
      <c r="C2219" s="58" t="s">
        <v>588</v>
      </c>
      <c r="D2219" s="58" t="s">
        <v>596</v>
      </c>
    </row>
    <row r="2220" spans="1:4">
      <c r="A2220" s="58" t="s">
        <v>3866</v>
      </c>
      <c r="B2220" s="58">
        <v>530145</v>
      </c>
      <c r="C2220" s="58" t="s">
        <v>588</v>
      </c>
      <c r="D2220" s="58" t="s">
        <v>708</v>
      </c>
    </row>
    <row r="2221" spans="1:4">
      <c r="A2221" s="58" t="s">
        <v>3867</v>
      </c>
      <c r="B2221" s="58">
        <v>521248</v>
      </c>
      <c r="C2221" s="58" t="s">
        <v>3868</v>
      </c>
      <c r="D2221" s="58" t="s">
        <v>702</v>
      </c>
    </row>
    <row r="2222" spans="1:4">
      <c r="A2222" s="58" t="s">
        <v>3869</v>
      </c>
      <c r="B2222" s="58">
        <v>532304</v>
      </c>
      <c r="C2222" s="58" t="s">
        <v>588</v>
      </c>
      <c r="D2222" s="58" t="s">
        <v>571</v>
      </c>
    </row>
    <row r="2223" spans="1:4">
      <c r="A2223" s="58" t="s">
        <v>3870</v>
      </c>
      <c r="B2223" s="58">
        <v>532304</v>
      </c>
      <c r="C2223" s="58" t="s">
        <v>588</v>
      </c>
      <c r="D2223" s="58" t="s">
        <v>571</v>
      </c>
    </row>
    <row r="2224" spans="1:4">
      <c r="A2224" s="58" t="s">
        <v>3871</v>
      </c>
      <c r="B2224" s="58">
        <v>530235</v>
      </c>
      <c r="C2224" s="58" t="s">
        <v>588</v>
      </c>
      <c r="D2224" s="58" t="s">
        <v>605</v>
      </c>
    </row>
    <row r="2225" spans="1:4">
      <c r="A2225" s="58" t="s">
        <v>3872</v>
      </c>
      <c r="B2225" s="58">
        <v>526409</v>
      </c>
      <c r="C2225" s="58" t="s">
        <v>588</v>
      </c>
      <c r="D2225" s="58" t="s">
        <v>708</v>
      </c>
    </row>
    <row r="2226" spans="1:4">
      <c r="A2226" s="58" t="s">
        <v>3873</v>
      </c>
      <c r="B2226" s="58">
        <v>526409</v>
      </c>
      <c r="C2226" s="58" t="s">
        <v>588</v>
      </c>
      <c r="D2226" s="58" t="s">
        <v>708</v>
      </c>
    </row>
    <row r="2227" spans="1:4">
      <c r="A2227" s="58" t="s">
        <v>3874</v>
      </c>
      <c r="B2227" s="58">
        <v>523652</v>
      </c>
      <c r="C2227" s="58" t="s">
        <v>588</v>
      </c>
      <c r="D2227" s="58" t="s">
        <v>708</v>
      </c>
    </row>
    <row r="2228" spans="1:4">
      <c r="A2228" s="58" t="s">
        <v>3875</v>
      </c>
      <c r="B2228" s="58">
        <v>521238</v>
      </c>
      <c r="C2228" s="58" t="s">
        <v>588</v>
      </c>
      <c r="D2228" s="58" t="s">
        <v>913</v>
      </c>
    </row>
    <row r="2229" spans="1:4">
      <c r="A2229" s="58" t="s">
        <v>3876</v>
      </c>
      <c r="B2229" s="58" t="s">
        <v>588</v>
      </c>
      <c r="C2229" s="58" t="s">
        <v>3877</v>
      </c>
      <c r="D2229" s="58" t="s">
        <v>599</v>
      </c>
    </row>
    <row r="2230" spans="1:4">
      <c r="A2230" s="58" t="s">
        <v>3878</v>
      </c>
      <c r="B2230" s="58">
        <v>530771</v>
      </c>
      <c r="C2230" s="58" t="s">
        <v>588</v>
      </c>
      <c r="D2230" s="58" t="s">
        <v>605</v>
      </c>
    </row>
    <row r="2231" spans="1:4">
      <c r="A2231" s="58" t="s">
        <v>3879</v>
      </c>
      <c r="B2231" s="58">
        <v>514221</v>
      </c>
      <c r="C2231" s="58" t="s">
        <v>588</v>
      </c>
      <c r="D2231" s="58" t="s">
        <v>603</v>
      </c>
    </row>
    <row r="2232" spans="1:4">
      <c r="A2232" s="58" t="s">
        <v>3880</v>
      </c>
      <c r="B2232" s="58">
        <v>517170</v>
      </c>
      <c r="C2232" s="58" t="s">
        <v>3881</v>
      </c>
      <c r="D2232" s="58" t="s">
        <v>886</v>
      </c>
    </row>
    <row r="2233" spans="1:4">
      <c r="A2233" s="58" t="s">
        <v>3882</v>
      </c>
      <c r="B2233" s="58">
        <v>524520</v>
      </c>
      <c r="C2233" s="58" t="s">
        <v>588</v>
      </c>
      <c r="D2233" s="58" t="s">
        <v>777</v>
      </c>
    </row>
    <row r="2234" spans="1:4">
      <c r="A2234" s="58" t="s">
        <v>3883</v>
      </c>
      <c r="B2234" s="58">
        <v>524520</v>
      </c>
      <c r="C2234" s="58" t="s">
        <v>588</v>
      </c>
      <c r="D2234" s="58" t="s">
        <v>777</v>
      </c>
    </row>
    <row r="2235" spans="1:4">
      <c r="A2235" s="58" t="s">
        <v>3884</v>
      </c>
      <c r="B2235" s="58">
        <v>531578</v>
      </c>
      <c r="C2235" s="58" t="s">
        <v>588</v>
      </c>
      <c r="D2235" s="58" t="s">
        <v>674</v>
      </c>
    </row>
    <row r="2236" spans="1:4">
      <c r="A2236" s="58" t="s">
        <v>3885</v>
      </c>
      <c r="B2236" s="58">
        <v>519415</v>
      </c>
      <c r="C2236" s="58" t="s">
        <v>588</v>
      </c>
      <c r="D2236" s="58" t="s">
        <v>648</v>
      </c>
    </row>
    <row r="2237" spans="1:4">
      <c r="A2237" s="58" t="s">
        <v>3886</v>
      </c>
      <c r="B2237" s="58">
        <v>540468</v>
      </c>
      <c r="C2237" s="58" t="s">
        <v>588</v>
      </c>
      <c r="D2237" s="58" t="s">
        <v>1551</v>
      </c>
    </row>
    <row r="2238" spans="1:4">
      <c r="A2238" s="58" t="s">
        <v>3887</v>
      </c>
      <c r="B2238" s="58">
        <v>532942</v>
      </c>
      <c r="C2238" s="58" t="s">
        <v>3888</v>
      </c>
      <c r="D2238" s="58" t="s">
        <v>986</v>
      </c>
    </row>
    <row r="2239" spans="1:4">
      <c r="A2239" s="58" t="s">
        <v>3889</v>
      </c>
      <c r="B2239" s="58">
        <v>512559</v>
      </c>
      <c r="C2239" s="58" t="s">
        <v>3890</v>
      </c>
      <c r="D2239" s="58" t="s">
        <v>786</v>
      </c>
    </row>
    <row r="2240" spans="1:4">
      <c r="A2240" s="58" t="s">
        <v>3891</v>
      </c>
      <c r="B2240" s="58">
        <v>523207</v>
      </c>
      <c r="C2240" s="58" t="s">
        <v>3892</v>
      </c>
      <c r="D2240" s="58" t="s">
        <v>1134</v>
      </c>
    </row>
    <row r="2241" spans="1:4">
      <c r="A2241" s="58" t="s">
        <v>3893</v>
      </c>
      <c r="B2241" s="58">
        <v>532924</v>
      </c>
      <c r="C2241" s="58" t="s">
        <v>3894</v>
      </c>
      <c r="D2241" s="58" t="s">
        <v>674</v>
      </c>
    </row>
    <row r="2242" spans="1:4">
      <c r="A2242" s="58" t="s">
        <v>3895</v>
      </c>
      <c r="B2242" s="58">
        <v>539910</v>
      </c>
      <c r="C2242" s="58" t="s">
        <v>588</v>
      </c>
      <c r="D2242" s="58" t="s">
        <v>591</v>
      </c>
    </row>
    <row r="2243" spans="1:4">
      <c r="A2243" s="58" t="s">
        <v>3896</v>
      </c>
      <c r="B2243" s="58">
        <v>514128</v>
      </c>
      <c r="C2243" s="58" t="s">
        <v>588</v>
      </c>
      <c r="D2243" s="58" t="s">
        <v>603</v>
      </c>
    </row>
    <row r="2244" spans="1:4">
      <c r="A2244" s="58" t="s">
        <v>3897</v>
      </c>
      <c r="B2244" s="58">
        <v>524280</v>
      </c>
      <c r="C2244" s="58" t="s">
        <v>3898</v>
      </c>
      <c r="D2244" s="58" t="s">
        <v>626</v>
      </c>
    </row>
    <row r="2245" spans="1:4">
      <c r="A2245" s="58" t="s">
        <v>3899</v>
      </c>
      <c r="B2245" s="58">
        <v>500247</v>
      </c>
      <c r="C2245" s="58" t="s">
        <v>3900</v>
      </c>
      <c r="D2245" s="58" t="s">
        <v>906</v>
      </c>
    </row>
    <row r="2246" spans="1:4">
      <c r="A2246" s="58" t="s">
        <v>3901</v>
      </c>
      <c r="B2246" s="58">
        <v>590097</v>
      </c>
      <c r="C2246" s="58" t="s">
        <v>3902</v>
      </c>
      <c r="D2246" s="58" t="s">
        <v>571</v>
      </c>
    </row>
    <row r="2247" spans="1:4">
      <c r="A2247" s="58" t="s">
        <v>3903</v>
      </c>
      <c r="B2247" s="58">
        <v>590107</v>
      </c>
      <c r="C2247" s="58" t="s">
        <v>3904</v>
      </c>
      <c r="D2247" s="58" t="s">
        <v>571</v>
      </c>
    </row>
    <row r="2248" spans="1:4">
      <c r="A2248" s="58" t="s">
        <v>3905</v>
      </c>
      <c r="B2248" s="58">
        <v>532985</v>
      </c>
      <c r="C2248" s="58" t="s">
        <v>3906</v>
      </c>
      <c r="D2248" s="58" t="s">
        <v>571</v>
      </c>
    </row>
    <row r="2249" spans="1:4">
      <c r="A2249" s="58" t="s">
        <v>3907</v>
      </c>
      <c r="B2249" s="58">
        <v>507474</v>
      </c>
      <c r="C2249" s="58" t="s">
        <v>588</v>
      </c>
      <c r="D2249" s="58" t="s">
        <v>668</v>
      </c>
    </row>
    <row r="2250" spans="1:4">
      <c r="A2250" s="58" t="s">
        <v>3908</v>
      </c>
      <c r="B2250" s="58" t="s">
        <v>588</v>
      </c>
      <c r="C2250" s="58" t="s">
        <v>3909</v>
      </c>
      <c r="D2250" s="58" t="s">
        <v>679</v>
      </c>
    </row>
    <row r="2251" spans="1:4">
      <c r="A2251" s="58" t="s">
        <v>3910</v>
      </c>
      <c r="B2251" s="58">
        <v>530299</v>
      </c>
      <c r="C2251" s="58" t="s">
        <v>3911</v>
      </c>
      <c r="D2251" s="58" t="s">
        <v>610</v>
      </c>
    </row>
    <row r="2252" spans="1:4">
      <c r="A2252" s="58" t="s">
        <v>3912</v>
      </c>
      <c r="B2252" s="58" t="s">
        <v>588</v>
      </c>
      <c r="C2252" s="58" t="s">
        <v>3913</v>
      </c>
      <c r="D2252" s="58" t="s">
        <v>679</v>
      </c>
    </row>
    <row r="2253" spans="1:4">
      <c r="A2253" s="58" t="s">
        <v>3914</v>
      </c>
      <c r="B2253" s="58">
        <v>511138</v>
      </c>
      <c r="C2253" s="58" t="s">
        <v>588</v>
      </c>
      <c r="D2253" s="58" t="s">
        <v>605</v>
      </c>
    </row>
    <row r="2254" spans="1:4">
      <c r="A2254" s="58" t="s">
        <v>3915</v>
      </c>
      <c r="B2254" s="58">
        <v>539599</v>
      </c>
      <c r="C2254" s="58" t="s">
        <v>588</v>
      </c>
      <c r="D2254" s="58" t="s">
        <v>622</v>
      </c>
    </row>
    <row r="2255" spans="1:4">
      <c r="A2255" s="58" t="s">
        <v>3916</v>
      </c>
      <c r="B2255" s="58">
        <v>523323</v>
      </c>
      <c r="C2255" s="58" t="s">
        <v>588</v>
      </c>
      <c r="D2255" s="58" t="s">
        <v>777</v>
      </c>
    </row>
    <row r="2256" spans="1:4">
      <c r="A2256" s="58" t="s">
        <v>3917</v>
      </c>
      <c r="B2256" s="58">
        <v>505585</v>
      </c>
      <c r="C2256" s="58" t="s">
        <v>588</v>
      </c>
      <c r="D2256" s="58" t="s">
        <v>1009</v>
      </c>
    </row>
    <row r="2257" spans="1:4">
      <c r="A2257" s="58" t="s">
        <v>3918</v>
      </c>
      <c r="B2257" s="58">
        <v>507598</v>
      </c>
      <c r="C2257" s="58" t="s">
        <v>588</v>
      </c>
      <c r="D2257" s="58" t="s">
        <v>668</v>
      </c>
    </row>
    <row r="2258" spans="1:4">
      <c r="A2258" s="58" t="s">
        <v>3919</v>
      </c>
      <c r="B2258" s="58">
        <v>532400</v>
      </c>
      <c r="C2258" s="58" t="s">
        <v>3920</v>
      </c>
      <c r="D2258" s="58" t="s">
        <v>574</v>
      </c>
    </row>
    <row r="2259" spans="1:4">
      <c r="A2259" s="58" t="s">
        <v>3921</v>
      </c>
      <c r="B2259" s="58">
        <v>542651</v>
      </c>
      <c r="C2259" s="58" t="s">
        <v>3922</v>
      </c>
      <c r="D2259" s="58" t="s">
        <v>3923</v>
      </c>
    </row>
    <row r="2260" spans="1:4">
      <c r="A2260" s="58" t="s">
        <v>3924</v>
      </c>
      <c r="B2260" s="58">
        <v>542459</v>
      </c>
      <c r="C2260" s="58" t="s">
        <v>3925</v>
      </c>
      <c r="D2260" s="58" t="s">
        <v>3923</v>
      </c>
    </row>
    <row r="2261" spans="1:4">
      <c r="A2261" s="58" t="s">
        <v>3926</v>
      </c>
      <c r="B2261" s="58">
        <v>501261</v>
      </c>
      <c r="C2261" s="58" t="s">
        <v>588</v>
      </c>
      <c r="D2261" s="58" t="s">
        <v>571</v>
      </c>
    </row>
    <row r="2262" spans="1:4">
      <c r="A2262" s="58" t="s">
        <v>3927</v>
      </c>
      <c r="B2262" s="58">
        <v>530813</v>
      </c>
      <c r="C2262" s="58" t="s">
        <v>3928</v>
      </c>
      <c r="D2262" s="58" t="s">
        <v>648</v>
      </c>
    </row>
    <row r="2263" spans="1:4">
      <c r="A2263" s="58" t="s">
        <v>3929</v>
      </c>
      <c r="B2263" s="58">
        <v>524518</v>
      </c>
      <c r="C2263" s="58" t="s">
        <v>3930</v>
      </c>
      <c r="D2263" s="58" t="s">
        <v>626</v>
      </c>
    </row>
    <row r="2264" spans="1:4">
      <c r="A2264" s="58" t="s">
        <v>3931</v>
      </c>
      <c r="B2264" s="58">
        <v>530139</v>
      </c>
      <c r="C2264" s="58" t="s">
        <v>588</v>
      </c>
      <c r="D2264" s="58" t="s">
        <v>605</v>
      </c>
    </row>
    <row r="2265" spans="1:4">
      <c r="A2265" s="58" t="s">
        <v>3932</v>
      </c>
      <c r="B2265" s="58">
        <v>531328</v>
      </c>
      <c r="C2265" s="58" t="s">
        <v>588</v>
      </c>
      <c r="D2265" s="58" t="s">
        <v>1551</v>
      </c>
    </row>
    <row r="2266" spans="1:4">
      <c r="A2266" s="58" t="s">
        <v>3933</v>
      </c>
      <c r="B2266" s="58">
        <v>533482</v>
      </c>
      <c r="C2266" s="58" t="s">
        <v>3934</v>
      </c>
      <c r="D2266" s="58" t="s">
        <v>986</v>
      </c>
    </row>
    <row r="2267" spans="1:4">
      <c r="A2267" s="58" t="s">
        <v>3935</v>
      </c>
      <c r="B2267" s="58" t="s">
        <v>588</v>
      </c>
      <c r="C2267" s="58" t="s">
        <v>3936</v>
      </c>
      <c r="D2267" s="58" t="s">
        <v>599</v>
      </c>
    </row>
    <row r="2268" spans="1:4">
      <c r="A2268" s="58" t="s">
        <v>3937</v>
      </c>
      <c r="B2268" s="58">
        <v>539384</v>
      </c>
      <c r="C2268" s="58" t="s">
        <v>588</v>
      </c>
      <c r="D2268" s="58" t="s">
        <v>605</v>
      </c>
    </row>
    <row r="2269" spans="1:4">
      <c r="A2269" s="58" t="s">
        <v>3938</v>
      </c>
      <c r="B2269" s="58">
        <v>504392</v>
      </c>
      <c r="C2269" s="58" t="s">
        <v>588</v>
      </c>
      <c r="D2269" s="58" t="s">
        <v>571</v>
      </c>
    </row>
    <row r="2270" spans="1:4">
      <c r="A2270" s="58" t="s">
        <v>3939</v>
      </c>
      <c r="B2270" s="58">
        <v>526423</v>
      </c>
      <c r="C2270" s="58" t="s">
        <v>588</v>
      </c>
      <c r="D2270" s="58" t="s">
        <v>708</v>
      </c>
    </row>
    <row r="2271" spans="1:4">
      <c r="A2271" s="58" t="s">
        <v>3940</v>
      </c>
      <c r="B2271" s="58">
        <v>526423</v>
      </c>
      <c r="C2271" s="58" t="s">
        <v>588</v>
      </c>
      <c r="D2271" s="58" t="s">
        <v>708</v>
      </c>
    </row>
    <row r="2272" spans="1:4">
      <c r="A2272" s="58" t="s">
        <v>3941</v>
      </c>
      <c r="B2272" s="58">
        <v>533210</v>
      </c>
      <c r="C2272" s="58" t="s">
        <v>588</v>
      </c>
      <c r="D2272" s="58" t="s">
        <v>837</v>
      </c>
    </row>
    <row r="2273" spans="1:4">
      <c r="A2273" s="58" t="s">
        <v>3942</v>
      </c>
      <c r="B2273" s="58" t="s">
        <v>588</v>
      </c>
      <c r="C2273" s="58" t="s">
        <v>3943</v>
      </c>
      <c r="D2273" s="58" t="s">
        <v>599</v>
      </c>
    </row>
    <row r="2274" spans="1:4">
      <c r="A2274" s="58" t="s">
        <v>3944</v>
      </c>
      <c r="B2274" s="58">
        <v>523550</v>
      </c>
      <c r="C2274" s="58" t="s">
        <v>588</v>
      </c>
      <c r="D2274" s="58" t="s">
        <v>577</v>
      </c>
    </row>
    <row r="2275" spans="1:4">
      <c r="A2275" s="58" t="s">
        <v>3945</v>
      </c>
      <c r="B2275" s="58">
        <v>500249</v>
      </c>
      <c r="C2275" s="58" t="s">
        <v>3946</v>
      </c>
      <c r="D2275" s="58" t="s">
        <v>596</v>
      </c>
    </row>
    <row r="2276" spans="1:4">
      <c r="A2276" s="58" t="s">
        <v>3947</v>
      </c>
      <c r="B2276" s="58">
        <v>519421</v>
      </c>
      <c r="C2276" s="58" t="s">
        <v>588</v>
      </c>
      <c r="D2276" s="58" t="s">
        <v>648</v>
      </c>
    </row>
    <row r="2277" spans="1:4">
      <c r="A2277" s="58" t="s">
        <v>3948</v>
      </c>
      <c r="B2277" s="58" t="s">
        <v>588</v>
      </c>
      <c r="C2277" s="58" t="s">
        <v>3949</v>
      </c>
      <c r="D2277" s="58" t="s">
        <v>599</v>
      </c>
    </row>
    <row r="2278" spans="1:4">
      <c r="A2278" s="58" t="s">
        <v>3950</v>
      </c>
      <c r="B2278" s="58">
        <v>503626</v>
      </c>
      <c r="C2278" s="58" t="s">
        <v>588</v>
      </c>
      <c r="D2278" s="58" t="s">
        <v>571</v>
      </c>
    </row>
    <row r="2279" spans="1:4">
      <c r="A2279" s="58" t="s">
        <v>3951</v>
      </c>
      <c r="B2279" s="58">
        <v>532997</v>
      </c>
      <c r="C2279" s="58" t="s">
        <v>3952</v>
      </c>
      <c r="D2279" s="58" t="s">
        <v>727</v>
      </c>
    </row>
    <row r="2280" spans="1:4">
      <c r="A2280" s="58" t="s">
        <v>3953</v>
      </c>
      <c r="B2280" s="58">
        <v>530149</v>
      </c>
      <c r="C2280" s="58" t="s">
        <v>588</v>
      </c>
      <c r="D2280" s="58" t="s">
        <v>603</v>
      </c>
    </row>
    <row r="2281" spans="1:4">
      <c r="A2281" s="58" t="s">
        <v>3954</v>
      </c>
      <c r="B2281" s="58">
        <v>532081</v>
      </c>
      <c r="C2281" s="58" t="s">
        <v>3955</v>
      </c>
      <c r="D2281" s="58" t="s">
        <v>591</v>
      </c>
    </row>
    <row r="2282" spans="1:4">
      <c r="A2282" s="58" t="s">
        <v>3956</v>
      </c>
      <c r="B2282" s="58">
        <v>532937</v>
      </c>
      <c r="C2282" s="58" t="s">
        <v>588</v>
      </c>
      <c r="D2282" s="58" t="s">
        <v>582</v>
      </c>
    </row>
    <row r="2283" spans="1:4">
      <c r="A2283" s="58" t="s">
        <v>3957</v>
      </c>
      <c r="B2283" s="58">
        <v>539408</v>
      </c>
      <c r="C2283" s="58" t="s">
        <v>588</v>
      </c>
      <c r="D2283" s="58" t="s">
        <v>605</v>
      </c>
    </row>
    <row r="2284" spans="1:4">
      <c r="A2284" s="58" t="s">
        <v>3958</v>
      </c>
      <c r="B2284" s="58">
        <v>505299</v>
      </c>
      <c r="C2284" s="58" t="s">
        <v>588</v>
      </c>
      <c r="D2284" s="58" t="s">
        <v>596</v>
      </c>
    </row>
    <row r="2285" spans="1:4">
      <c r="A2285" s="58" t="s">
        <v>3959</v>
      </c>
      <c r="B2285" s="58">
        <v>513703</v>
      </c>
      <c r="C2285" s="58" t="s">
        <v>588</v>
      </c>
      <c r="D2285" s="58" t="s">
        <v>603</v>
      </c>
    </row>
    <row r="2286" spans="1:4">
      <c r="A2286" s="58" t="s">
        <v>3960</v>
      </c>
      <c r="B2286" s="58">
        <v>523594</v>
      </c>
      <c r="C2286" s="58" t="s">
        <v>588</v>
      </c>
      <c r="D2286" s="58" t="s">
        <v>708</v>
      </c>
    </row>
    <row r="2287" spans="1:4">
      <c r="A2287" s="58" t="s">
        <v>3961</v>
      </c>
      <c r="B2287" s="58">
        <v>511048</v>
      </c>
      <c r="C2287" s="58" t="s">
        <v>588</v>
      </c>
      <c r="D2287" s="58" t="s">
        <v>610</v>
      </c>
    </row>
    <row r="2288" spans="1:4">
      <c r="A2288" s="58" t="s">
        <v>3962</v>
      </c>
      <c r="B2288" s="58">
        <v>514240</v>
      </c>
      <c r="C2288" s="58" t="s">
        <v>588</v>
      </c>
      <c r="D2288" s="58" t="s">
        <v>603</v>
      </c>
    </row>
    <row r="2289" spans="1:4">
      <c r="A2289" s="58" t="s">
        <v>3963</v>
      </c>
      <c r="B2289" s="58">
        <v>536170</v>
      </c>
      <c r="C2289" s="58" t="s">
        <v>588</v>
      </c>
      <c r="D2289" s="58" t="s">
        <v>610</v>
      </c>
    </row>
    <row r="2290" spans="1:4">
      <c r="A2290" s="58" t="s">
        <v>3964</v>
      </c>
      <c r="B2290" s="58">
        <v>530421</v>
      </c>
      <c r="C2290" s="58" t="s">
        <v>588</v>
      </c>
      <c r="D2290" s="58" t="s">
        <v>636</v>
      </c>
    </row>
    <row r="2291" spans="1:4">
      <c r="A2291" s="58" t="s">
        <v>3965</v>
      </c>
      <c r="B2291" s="58">
        <v>531206</v>
      </c>
      <c r="C2291" s="58" t="s">
        <v>588</v>
      </c>
      <c r="D2291" s="58" t="s">
        <v>605</v>
      </c>
    </row>
    <row r="2292" spans="1:4">
      <c r="A2292" s="58" t="s">
        <v>3966</v>
      </c>
      <c r="B2292" s="58">
        <v>531882</v>
      </c>
      <c r="C2292" s="58" t="s">
        <v>3967</v>
      </c>
      <c r="D2292" s="58" t="s">
        <v>648</v>
      </c>
    </row>
    <row r="2293" spans="1:4">
      <c r="A2293" s="58" t="s">
        <v>3968</v>
      </c>
      <c r="B2293" s="58">
        <v>539997</v>
      </c>
      <c r="C2293" s="58" t="s">
        <v>588</v>
      </c>
      <c r="D2293" s="58" t="s">
        <v>626</v>
      </c>
    </row>
    <row r="2294" spans="1:4">
      <c r="A2294" s="58" t="s">
        <v>3969</v>
      </c>
      <c r="B2294" s="58">
        <v>537669</v>
      </c>
      <c r="C2294" s="58" t="s">
        <v>588</v>
      </c>
      <c r="D2294" s="58" t="s">
        <v>666</v>
      </c>
    </row>
    <row r="2295" spans="1:4">
      <c r="A2295" s="58" t="s">
        <v>3970</v>
      </c>
      <c r="B2295" s="58">
        <v>533519</v>
      </c>
      <c r="C2295" s="58" t="s">
        <v>3971</v>
      </c>
      <c r="D2295" s="58" t="s">
        <v>754</v>
      </c>
    </row>
    <row r="2296" spans="1:4">
      <c r="A2296" s="58" t="s">
        <v>3972</v>
      </c>
      <c r="B2296" s="58">
        <v>540115</v>
      </c>
      <c r="C2296" s="58" t="s">
        <v>3973</v>
      </c>
      <c r="D2296" s="58" t="s">
        <v>594</v>
      </c>
    </row>
    <row r="2297" spans="1:4">
      <c r="A2297" s="58" t="s">
        <v>3974</v>
      </c>
      <c r="B2297" s="58">
        <v>526947</v>
      </c>
      <c r="C2297" s="58" t="s">
        <v>3975</v>
      </c>
      <c r="D2297" s="58" t="s">
        <v>1632</v>
      </c>
    </row>
    <row r="2298" spans="1:4">
      <c r="A2298" s="58" t="s">
        <v>3976</v>
      </c>
      <c r="B2298" s="58">
        <v>505693</v>
      </c>
      <c r="C2298" s="58" t="s">
        <v>3977</v>
      </c>
      <c r="D2298" s="58" t="s">
        <v>773</v>
      </c>
    </row>
    <row r="2299" spans="1:4">
      <c r="A2299" s="58" t="s">
        <v>3978</v>
      </c>
      <c r="B2299" s="58">
        <v>524202</v>
      </c>
      <c r="C2299" s="58" t="s">
        <v>588</v>
      </c>
      <c r="D2299" s="58" t="s">
        <v>668</v>
      </c>
    </row>
    <row r="2300" spans="1:4">
      <c r="A2300" s="58" t="s">
        <v>3979</v>
      </c>
      <c r="B2300" s="58">
        <v>524202</v>
      </c>
      <c r="C2300" s="58" t="s">
        <v>588</v>
      </c>
      <c r="D2300" s="58" t="s">
        <v>668</v>
      </c>
    </row>
    <row r="2301" spans="1:4">
      <c r="A2301" s="58" t="s">
        <v>3980</v>
      </c>
      <c r="B2301" s="58">
        <v>540026</v>
      </c>
      <c r="C2301" s="58" t="s">
        <v>588</v>
      </c>
      <c r="D2301" s="58" t="s">
        <v>674</v>
      </c>
    </row>
    <row r="2302" spans="1:4">
      <c r="A2302" s="58" t="s">
        <v>3981</v>
      </c>
      <c r="B2302" s="58">
        <v>530577</v>
      </c>
      <c r="C2302" s="58" t="s">
        <v>588</v>
      </c>
      <c r="D2302" s="58" t="s">
        <v>605</v>
      </c>
    </row>
    <row r="2303" spans="1:4">
      <c r="A2303" s="58" t="s">
        <v>3982</v>
      </c>
      <c r="B2303" s="58">
        <v>524522</v>
      </c>
      <c r="C2303" s="58" t="s">
        <v>588</v>
      </c>
      <c r="D2303" s="58" t="s">
        <v>636</v>
      </c>
    </row>
    <row r="2304" spans="1:4">
      <c r="A2304" s="58" t="s">
        <v>3983</v>
      </c>
      <c r="B2304" s="58" t="s">
        <v>588</v>
      </c>
      <c r="C2304" s="58" t="s">
        <v>3984</v>
      </c>
      <c r="D2304" s="58" t="s">
        <v>599</v>
      </c>
    </row>
    <row r="2305" spans="1:4">
      <c r="A2305" s="58" t="s">
        <v>3985</v>
      </c>
      <c r="B2305" s="58">
        <v>531842</v>
      </c>
      <c r="C2305" s="58" t="s">
        <v>588</v>
      </c>
      <c r="D2305" s="58" t="s">
        <v>610</v>
      </c>
    </row>
    <row r="2306" spans="1:4">
      <c r="A2306" s="58" t="s">
        <v>3986</v>
      </c>
      <c r="B2306" s="58">
        <v>535387</v>
      </c>
      <c r="C2306" s="58" t="s">
        <v>588</v>
      </c>
      <c r="D2306" s="58" t="s">
        <v>603</v>
      </c>
    </row>
    <row r="2307" spans="1:4">
      <c r="A2307" s="58" t="s">
        <v>3987</v>
      </c>
      <c r="B2307" s="58">
        <v>535387</v>
      </c>
      <c r="C2307" s="58" t="s">
        <v>588</v>
      </c>
      <c r="D2307" s="58" t="s">
        <v>603</v>
      </c>
    </row>
    <row r="2308" spans="1:4">
      <c r="A2308" s="58" t="s">
        <v>3988</v>
      </c>
      <c r="B2308" s="58">
        <v>505302</v>
      </c>
      <c r="C2308" s="58" t="s">
        <v>588</v>
      </c>
      <c r="D2308" s="58" t="s">
        <v>596</v>
      </c>
    </row>
    <row r="2309" spans="1:4">
      <c r="A2309" s="58" t="s">
        <v>3989</v>
      </c>
      <c r="B2309" s="58">
        <v>504258</v>
      </c>
      <c r="C2309" s="58" t="s">
        <v>588</v>
      </c>
      <c r="D2309" s="58" t="s">
        <v>886</v>
      </c>
    </row>
    <row r="2310" spans="1:4">
      <c r="A2310" s="58" t="s">
        <v>3990</v>
      </c>
      <c r="B2310" s="58" t="s">
        <v>588</v>
      </c>
      <c r="C2310" s="58" t="s">
        <v>3991</v>
      </c>
      <c r="D2310" s="58" t="s">
        <v>679</v>
      </c>
    </row>
    <row r="2311" spans="1:4">
      <c r="A2311" s="58" t="s">
        <v>3992</v>
      </c>
      <c r="B2311" s="58">
        <v>500252</v>
      </c>
      <c r="C2311" s="58" t="s">
        <v>3993</v>
      </c>
      <c r="D2311" s="58" t="s">
        <v>596</v>
      </c>
    </row>
    <row r="2312" spans="1:4">
      <c r="A2312" s="58" t="s">
        <v>3994</v>
      </c>
      <c r="B2312" s="58">
        <v>502958</v>
      </c>
      <c r="C2312" s="58" t="s">
        <v>588</v>
      </c>
      <c r="D2312" s="58" t="s">
        <v>603</v>
      </c>
    </row>
    <row r="2313" spans="1:4">
      <c r="A2313" s="58" t="s">
        <v>3995</v>
      </c>
      <c r="B2313" s="58">
        <v>506079</v>
      </c>
      <c r="C2313" s="58" t="s">
        <v>3996</v>
      </c>
      <c r="D2313" s="58" t="s">
        <v>911</v>
      </c>
    </row>
    <row r="2314" spans="1:4">
      <c r="A2314" s="58" t="s">
        <v>3997</v>
      </c>
      <c r="B2314" s="58">
        <v>534690</v>
      </c>
      <c r="C2314" s="58" t="s">
        <v>3998</v>
      </c>
      <c r="D2314" s="58" t="s">
        <v>906</v>
      </c>
    </row>
    <row r="2315" spans="1:4">
      <c r="A2315" s="58" t="s">
        <v>3999</v>
      </c>
      <c r="B2315" s="58">
        <v>590075</v>
      </c>
      <c r="C2315" s="58" t="s">
        <v>4000</v>
      </c>
      <c r="D2315" s="58" t="s">
        <v>603</v>
      </c>
    </row>
    <row r="2316" spans="1:4">
      <c r="A2316" s="58" t="s">
        <v>4001</v>
      </c>
      <c r="B2316" s="58">
        <v>539841</v>
      </c>
      <c r="C2316" s="58" t="s">
        <v>588</v>
      </c>
      <c r="D2316" s="58" t="s">
        <v>909</v>
      </c>
    </row>
    <row r="2317" spans="1:4">
      <c r="A2317" s="58" t="s">
        <v>4002</v>
      </c>
      <c r="B2317" s="58">
        <v>509048</v>
      </c>
      <c r="C2317" s="58" t="s">
        <v>588</v>
      </c>
      <c r="D2317" s="58" t="s">
        <v>674</v>
      </c>
    </row>
    <row r="2318" spans="1:4">
      <c r="A2318" s="58" t="s">
        <v>4003</v>
      </c>
      <c r="B2318" s="58">
        <v>532275</v>
      </c>
      <c r="C2318" s="58" t="s">
        <v>588</v>
      </c>
      <c r="D2318" s="58" t="s">
        <v>605</v>
      </c>
    </row>
    <row r="2319" spans="1:4">
      <c r="A2319" s="58" t="s">
        <v>4004</v>
      </c>
      <c r="B2319" s="58">
        <v>533012</v>
      </c>
      <c r="C2319" s="58" t="s">
        <v>4005</v>
      </c>
      <c r="D2319" s="58" t="s">
        <v>674</v>
      </c>
    </row>
    <row r="2320" spans="1:4">
      <c r="A2320" s="58" t="s">
        <v>4006</v>
      </c>
      <c r="B2320" s="58">
        <v>540005</v>
      </c>
      <c r="C2320" s="58" t="s">
        <v>4007</v>
      </c>
      <c r="D2320" s="58" t="s">
        <v>574</v>
      </c>
    </row>
    <row r="2321" spans="1:4">
      <c r="A2321" s="58" t="s">
        <v>4008</v>
      </c>
      <c r="B2321" s="58">
        <v>500510</v>
      </c>
      <c r="C2321" s="58" t="s">
        <v>4009</v>
      </c>
      <c r="D2321" s="58" t="s">
        <v>986</v>
      </c>
    </row>
    <row r="2322" spans="1:4">
      <c r="A2322" s="58" t="s">
        <v>4010</v>
      </c>
      <c r="B2322" s="58">
        <v>540702</v>
      </c>
      <c r="C2322" s="58" t="s">
        <v>4011</v>
      </c>
      <c r="D2322" s="58" t="s">
        <v>777</v>
      </c>
    </row>
    <row r="2323" spans="1:4">
      <c r="A2323" s="58" t="s">
        <v>4012</v>
      </c>
      <c r="B2323" s="58">
        <v>531164</v>
      </c>
      <c r="C2323" s="58" t="s">
        <v>588</v>
      </c>
      <c r="D2323" s="58" t="s">
        <v>702</v>
      </c>
    </row>
    <row r="2324" spans="1:4">
      <c r="A2324" s="58" t="s">
        <v>4013</v>
      </c>
      <c r="B2324" s="58">
        <v>539909</v>
      </c>
      <c r="C2324" s="58" t="s">
        <v>588</v>
      </c>
      <c r="D2324" s="58" t="s">
        <v>605</v>
      </c>
    </row>
    <row r="2325" spans="1:4">
      <c r="A2325" s="58" t="s">
        <v>4014</v>
      </c>
      <c r="B2325" s="58" t="s">
        <v>588</v>
      </c>
      <c r="C2325" s="58" t="s">
        <v>4015</v>
      </c>
      <c r="D2325" s="58" t="s">
        <v>599</v>
      </c>
    </row>
    <row r="2326" spans="1:4">
      <c r="A2326" s="58" t="s">
        <v>4016</v>
      </c>
      <c r="B2326" s="58">
        <v>540222</v>
      </c>
      <c r="C2326" s="58" t="s">
        <v>4017</v>
      </c>
      <c r="D2326" s="58" t="s">
        <v>626</v>
      </c>
    </row>
    <row r="2327" spans="1:4">
      <c r="A2327" s="58" t="s">
        <v>4018</v>
      </c>
      <c r="B2327" s="58">
        <v>532829</v>
      </c>
      <c r="C2327" s="58" t="s">
        <v>588</v>
      </c>
      <c r="D2327" s="58" t="s">
        <v>1014</v>
      </c>
    </row>
    <row r="2328" spans="1:4">
      <c r="A2328" s="58" t="s">
        <v>4019</v>
      </c>
      <c r="B2328" s="58" t="s">
        <v>588</v>
      </c>
      <c r="C2328" s="58" t="s">
        <v>4020</v>
      </c>
      <c r="D2328" s="58" t="s">
        <v>599</v>
      </c>
    </row>
    <row r="2329" spans="1:4">
      <c r="A2329" s="58" t="s">
        <v>4021</v>
      </c>
      <c r="B2329" s="58">
        <v>531288</v>
      </c>
      <c r="C2329" s="58" t="s">
        <v>588</v>
      </c>
      <c r="D2329" s="58" t="s">
        <v>605</v>
      </c>
    </row>
    <row r="2330" spans="1:4">
      <c r="A2330" s="58" t="s">
        <v>4022</v>
      </c>
      <c r="B2330" s="58">
        <v>540360</v>
      </c>
      <c r="C2330" s="58" t="s">
        <v>588</v>
      </c>
      <c r="D2330" s="58" t="s">
        <v>571</v>
      </c>
    </row>
    <row r="2331" spans="1:4">
      <c r="A2331" s="58" t="s">
        <v>4023</v>
      </c>
      <c r="B2331" s="58">
        <v>508306</v>
      </c>
      <c r="C2331" s="58" t="s">
        <v>588</v>
      </c>
      <c r="D2331" s="58" t="s">
        <v>995</v>
      </c>
    </row>
    <row r="2332" spans="1:4">
      <c r="A2332" s="58" t="s">
        <v>4024</v>
      </c>
      <c r="B2332" s="58">
        <v>517415</v>
      </c>
      <c r="C2332" s="58" t="s">
        <v>588</v>
      </c>
      <c r="D2332" s="58" t="s">
        <v>918</v>
      </c>
    </row>
    <row r="2333" spans="1:4">
      <c r="A2333" s="58" t="s">
        <v>4025</v>
      </c>
      <c r="B2333" s="58">
        <v>517518</v>
      </c>
      <c r="C2333" s="58" t="s">
        <v>4026</v>
      </c>
      <c r="D2333" s="58" t="s">
        <v>596</v>
      </c>
    </row>
    <row r="2334" spans="1:4">
      <c r="A2334" s="58" t="s">
        <v>4027</v>
      </c>
      <c r="B2334" s="58">
        <v>509046</v>
      </c>
      <c r="C2334" s="58" t="s">
        <v>588</v>
      </c>
      <c r="D2334" s="58" t="s">
        <v>1009</v>
      </c>
    </row>
    <row r="2335" spans="1:4">
      <c r="A2335" s="58" t="s">
        <v>4028</v>
      </c>
      <c r="B2335" s="58">
        <v>780021</v>
      </c>
      <c r="C2335" s="58" t="s">
        <v>588</v>
      </c>
      <c r="D2335" s="58" t="s">
        <v>679</v>
      </c>
    </row>
    <row r="2336" spans="1:4">
      <c r="A2336" s="58" t="s">
        <v>4029</v>
      </c>
      <c r="B2336" s="58">
        <v>541233</v>
      </c>
      <c r="C2336" s="58" t="s">
        <v>4030</v>
      </c>
      <c r="D2336" s="58" t="s">
        <v>789</v>
      </c>
    </row>
    <row r="2337" spans="1:4">
      <c r="A2337" s="58" t="s">
        <v>4031</v>
      </c>
      <c r="B2337" s="58">
        <v>533602</v>
      </c>
      <c r="C2337" s="58" t="s">
        <v>588</v>
      </c>
      <c r="D2337" s="58" t="s">
        <v>608</v>
      </c>
    </row>
    <row r="2338" spans="1:4">
      <c r="A2338" s="58" t="s">
        <v>4032</v>
      </c>
      <c r="B2338" s="58">
        <v>541196</v>
      </c>
      <c r="C2338" s="58" t="s">
        <v>588</v>
      </c>
      <c r="D2338" s="58" t="s">
        <v>672</v>
      </c>
    </row>
    <row r="2339" spans="1:4">
      <c r="A2339" s="58" t="s">
        <v>4033</v>
      </c>
      <c r="B2339" s="58" t="s">
        <v>588</v>
      </c>
      <c r="C2339" s="58" t="s">
        <v>4034</v>
      </c>
      <c r="D2339" s="58" t="s">
        <v>599</v>
      </c>
    </row>
    <row r="2340" spans="1:4">
      <c r="A2340" s="58" t="s">
        <v>4035</v>
      </c>
      <c r="B2340" s="58" t="s">
        <v>588</v>
      </c>
      <c r="C2340" s="58" t="s">
        <v>4034</v>
      </c>
      <c r="D2340" s="58" t="s">
        <v>599</v>
      </c>
    </row>
    <row r="2341" spans="1:4">
      <c r="A2341" s="58" t="s">
        <v>4036</v>
      </c>
      <c r="B2341" s="58">
        <v>500250</v>
      </c>
      <c r="C2341" s="58" t="s">
        <v>4037</v>
      </c>
      <c r="D2341" s="58" t="s">
        <v>943</v>
      </c>
    </row>
    <row r="2342" spans="1:4">
      <c r="A2342" s="58" t="s">
        <v>4038</v>
      </c>
      <c r="B2342" s="58">
        <v>533007</v>
      </c>
      <c r="C2342" s="58" t="s">
        <v>4039</v>
      </c>
      <c r="D2342" s="58" t="s">
        <v>1506</v>
      </c>
    </row>
    <row r="2343" spans="1:4">
      <c r="A2343" s="58" t="s">
        <v>4040</v>
      </c>
      <c r="B2343" s="58" t="s">
        <v>588</v>
      </c>
      <c r="C2343" s="58" t="s">
        <v>4041</v>
      </c>
      <c r="D2343" s="58" t="s">
        <v>599</v>
      </c>
    </row>
    <row r="2344" spans="1:4">
      <c r="A2344" s="58" t="s">
        <v>4042</v>
      </c>
      <c r="B2344" s="58">
        <v>526596</v>
      </c>
      <c r="C2344" s="58" t="s">
        <v>4043</v>
      </c>
      <c r="D2344" s="58" t="s">
        <v>1014</v>
      </c>
    </row>
    <row r="2345" spans="1:4">
      <c r="A2345" s="58" t="s">
        <v>4044</v>
      </c>
      <c r="B2345" s="58">
        <v>511593</v>
      </c>
      <c r="C2345" s="58" t="s">
        <v>588</v>
      </c>
      <c r="D2345" s="58" t="s">
        <v>605</v>
      </c>
    </row>
    <row r="2346" spans="1:4">
      <c r="A2346" s="58" t="s">
        <v>4045</v>
      </c>
      <c r="B2346" s="58">
        <v>531027</v>
      </c>
      <c r="C2346" s="58" t="s">
        <v>588</v>
      </c>
      <c r="D2346" s="58" t="s">
        <v>571</v>
      </c>
    </row>
    <row r="2347" spans="1:4">
      <c r="A2347" s="58" t="s">
        <v>4046</v>
      </c>
      <c r="B2347" s="58">
        <v>500253</v>
      </c>
      <c r="C2347" s="58" t="s">
        <v>4047</v>
      </c>
      <c r="D2347" s="58" t="s">
        <v>646</v>
      </c>
    </row>
    <row r="2348" spans="1:4">
      <c r="A2348" s="58" t="s">
        <v>4048</v>
      </c>
      <c r="B2348" s="58">
        <v>539927</v>
      </c>
      <c r="C2348" s="58" t="s">
        <v>588</v>
      </c>
      <c r="D2348" s="58" t="s">
        <v>672</v>
      </c>
    </row>
    <row r="2349" spans="1:4">
      <c r="A2349" s="58" t="s">
        <v>4049</v>
      </c>
      <c r="B2349" s="58">
        <v>507759</v>
      </c>
      <c r="C2349" s="58" t="s">
        <v>588</v>
      </c>
      <c r="D2349" s="58" t="s">
        <v>636</v>
      </c>
    </row>
    <row r="2350" spans="1:4">
      <c r="A2350" s="58" t="s">
        <v>4050</v>
      </c>
      <c r="B2350" s="58">
        <v>517463</v>
      </c>
      <c r="C2350" s="58" t="s">
        <v>4051</v>
      </c>
      <c r="D2350" s="58" t="s">
        <v>1130</v>
      </c>
    </row>
    <row r="2351" spans="1:4">
      <c r="A2351" s="58" t="s">
        <v>4052</v>
      </c>
      <c r="B2351" s="58">
        <v>531241</v>
      </c>
      <c r="C2351" s="58" t="s">
        <v>4053</v>
      </c>
      <c r="D2351" s="58" t="s">
        <v>1134</v>
      </c>
    </row>
    <row r="2352" spans="1:4">
      <c r="A2352" s="58" t="s">
        <v>4054</v>
      </c>
      <c r="B2352" s="58">
        <v>531633</v>
      </c>
      <c r="C2352" s="58" t="s">
        <v>4055</v>
      </c>
      <c r="D2352" s="58" t="s">
        <v>626</v>
      </c>
    </row>
    <row r="2353" spans="1:4">
      <c r="A2353" s="58" t="s">
        <v>4056</v>
      </c>
      <c r="B2353" s="58">
        <v>523457</v>
      </c>
      <c r="C2353" s="58" t="s">
        <v>4057</v>
      </c>
      <c r="D2353" s="58" t="s">
        <v>1622</v>
      </c>
    </row>
    <row r="2354" spans="1:4">
      <c r="A2354" s="58" t="s">
        <v>4058</v>
      </c>
      <c r="B2354" s="58">
        <v>523457</v>
      </c>
      <c r="C2354" s="58" t="s">
        <v>4059</v>
      </c>
      <c r="D2354" s="58" t="s">
        <v>1622</v>
      </c>
    </row>
    <row r="2355" spans="1:4">
      <c r="A2355" s="58" t="s">
        <v>4060</v>
      </c>
      <c r="B2355" s="58">
        <v>524748</v>
      </c>
      <c r="C2355" s="58" t="s">
        <v>588</v>
      </c>
      <c r="D2355" s="58" t="s">
        <v>636</v>
      </c>
    </row>
    <row r="2356" spans="1:4">
      <c r="A2356" s="58" t="s">
        <v>4061</v>
      </c>
      <c r="B2356" s="58">
        <v>526604</v>
      </c>
      <c r="C2356" s="58" t="s">
        <v>588</v>
      </c>
      <c r="D2356" s="58" t="s">
        <v>596</v>
      </c>
    </row>
    <row r="2357" spans="1:4">
      <c r="A2357" s="58" t="s">
        <v>4062</v>
      </c>
      <c r="B2357" s="58">
        <v>507912</v>
      </c>
      <c r="C2357" s="58" t="s">
        <v>588</v>
      </c>
      <c r="D2357" s="58" t="s">
        <v>571</v>
      </c>
    </row>
    <row r="2358" spans="1:4">
      <c r="A2358" s="58" t="s">
        <v>4063</v>
      </c>
      <c r="B2358" s="58">
        <v>540192</v>
      </c>
      <c r="C2358" s="58" t="s">
        <v>588</v>
      </c>
      <c r="D2358" s="58" t="s">
        <v>571</v>
      </c>
    </row>
    <row r="2359" spans="1:4">
      <c r="A2359" s="58" t="s">
        <v>4064</v>
      </c>
      <c r="B2359" s="58">
        <v>512455</v>
      </c>
      <c r="C2359" s="58" t="s">
        <v>588</v>
      </c>
      <c r="D2359" s="58" t="s">
        <v>620</v>
      </c>
    </row>
    <row r="2360" spans="1:4">
      <c r="A2360" s="58" t="s">
        <v>4065</v>
      </c>
      <c r="B2360" s="58">
        <v>539992</v>
      </c>
      <c r="C2360" s="58" t="s">
        <v>4066</v>
      </c>
      <c r="D2360" s="58" t="s">
        <v>596</v>
      </c>
    </row>
    <row r="2361" spans="1:4">
      <c r="A2361" s="58" t="s">
        <v>4067</v>
      </c>
      <c r="B2361" s="58">
        <v>590082</v>
      </c>
      <c r="C2361" s="58" t="s">
        <v>588</v>
      </c>
      <c r="D2361" s="58" t="s">
        <v>571</v>
      </c>
    </row>
    <row r="2362" spans="1:4">
      <c r="A2362" s="58" t="s">
        <v>4068</v>
      </c>
      <c r="B2362" s="58">
        <v>532740</v>
      </c>
      <c r="C2362" s="58" t="s">
        <v>4069</v>
      </c>
      <c r="D2362" s="58" t="s">
        <v>596</v>
      </c>
    </row>
    <row r="2363" spans="1:4">
      <c r="A2363" s="58" t="s">
        <v>4070</v>
      </c>
      <c r="B2363" s="58">
        <v>526568</v>
      </c>
      <c r="C2363" s="58" t="s">
        <v>588</v>
      </c>
      <c r="D2363" s="58" t="s">
        <v>995</v>
      </c>
    </row>
    <row r="2364" spans="1:4">
      <c r="A2364" s="58" t="s">
        <v>4071</v>
      </c>
      <c r="B2364" s="58">
        <v>534422</v>
      </c>
      <c r="C2364" s="58" t="s">
        <v>588</v>
      </c>
      <c r="D2364" s="58" t="s">
        <v>1058</v>
      </c>
    </row>
    <row r="2365" spans="1:4">
      <c r="A2365" s="58" t="s">
        <v>4072</v>
      </c>
      <c r="B2365" s="58">
        <v>500284</v>
      </c>
      <c r="C2365" s="58" t="s">
        <v>588</v>
      </c>
      <c r="D2365" s="58" t="s">
        <v>636</v>
      </c>
    </row>
    <row r="2366" spans="1:4">
      <c r="A2366" s="58" t="s">
        <v>4073</v>
      </c>
      <c r="B2366" s="58">
        <v>530065</v>
      </c>
      <c r="C2366" s="58" t="s">
        <v>588</v>
      </c>
      <c r="D2366" s="58" t="s">
        <v>789</v>
      </c>
    </row>
    <row r="2367" spans="1:4">
      <c r="A2367" s="58" t="s">
        <v>4074</v>
      </c>
      <c r="B2367" s="58">
        <v>540952</v>
      </c>
      <c r="C2367" s="58" t="s">
        <v>588</v>
      </c>
      <c r="D2367" s="58" t="s">
        <v>702</v>
      </c>
    </row>
    <row r="2368" spans="1:4">
      <c r="A2368" s="58" t="s">
        <v>4075</v>
      </c>
      <c r="B2368" s="58">
        <v>523475</v>
      </c>
      <c r="C2368" s="58" t="s">
        <v>588</v>
      </c>
      <c r="D2368" s="58" t="s">
        <v>648</v>
      </c>
    </row>
    <row r="2369" spans="1:4">
      <c r="A2369" s="58" t="s">
        <v>4076</v>
      </c>
      <c r="B2369" s="58">
        <v>532998</v>
      </c>
      <c r="C2369" s="58" t="s">
        <v>4077</v>
      </c>
      <c r="D2369" s="58" t="s">
        <v>1058</v>
      </c>
    </row>
    <row r="2370" spans="1:4">
      <c r="A2370" s="58" t="s">
        <v>4078</v>
      </c>
      <c r="B2370" s="58">
        <v>533343</v>
      </c>
      <c r="C2370" s="58" t="s">
        <v>4079</v>
      </c>
      <c r="D2370" s="58" t="s">
        <v>702</v>
      </c>
    </row>
    <row r="2371" spans="1:4">
      <c r="A2371" s="58" t="s">
        <v>4080</v>
      </c>
      <c r="B2371" s="58">
        <v>539227</v>
      </c>
      <c r="C2371" s="58" t="s">
        <v>588</v>
      </c>
      <c r="D2371" s="58" t="s">
        <v>596</v>
      </c>
    </row>
    <row r="2372" spans="1:4">
      <c r="A2372" s="58" t="s">
        <v>4081</v>
      </c>
      <c r="B2372" s="58">
        <v>514036</v>
      </c>
      <c r="C2372" s="58" t="s">
        <v>588</v>
      </c>
      <c r="D2372" s="58" t="s">
        <v>603</v>
      </c>
    </row>
    <row r="2373" spans="1:4">
      <c r="A2373" s="58" t="s">
        <v>4082</v>
      </c>
      <c r="B2373" s="58">
        <v>532783</v>
      </c>
      <c r="C2373" s="58" t="s">
        <v>4083</v>
      </c>
      <c r="D2373" s="58" t="s">
        <v>648</v>
      </c>
    </row>
    <row r="2374" spans="1:4">
      <c r="A2374" s="58" t="s">
        <v>4084</v>
      </c>
      <c r="B2374" s="58">
        <v>526179</v>
      </c>
      <c r="C2374" s="58" t="s">
        <v>588</v>
      </c>
      <c r="D2374" s="58" t="s">
        <v>825</v>
      </c>
    </row>
    <row r="2375" spans="1:4">
      <c r="A2375" s="58" t="s">
        <v>4085</v>
      </c>
      <c r="B2375" s="58">
        <v>512048</v>
      </c>
      <c r="C2375" s="58" t="s">
        <v>588</v>
      </c>
      <c r="D2375" s="58" t="s">
        <v>674</v>
      </c>
    </row>
    <row r="2376" spans="1:4">
      <c r="A2376" s="58" t="s">
        <v>4086</v>
      </c>
      <c r="B2376" s="58">
        <v>532796</v>
      </c>
      <c r="C2376" s="58" t="s">
        <v>4087</v>
      </c>
      <c r="D2376" s="58" t="s">
        <v>943</v>
      </c>
    </row>
    <row r="2377" spans="1:4">
      <c r="A2377" s="58" t="s">
        <v>4088</v>
      </c>
      <c r="B2377" s="58">
        <v>517206</v>
      </c>
      <c r="C2377" s="58" t="s">
        <v>4089</v>
      </c>
      <c r="D2377" s="58" t="s">
        <v>943</v>
      </c>
    </row>
    <row r="2378" spans="1:4">
      <c r="A2378" s="58" t="s">
        <v>4090</v>
      </c>
      <c r="B2378" s="58">
        <v>500257</v>
      </c>
      <c r="C2378" s="58" t="s">
        <v>4091</v>
      </c>
      <c r="D2378" s="58" t="s">
        <v>626</v>
      </c>
    </row>
    <row r="2379" spans="1:4">
      <c r="A2379" s="58" t="s">
        <v>4092</v>
      </c>
      <c r="B2379" s="58">
        <v>539542</v>
      </c>
      <c r="C2379" s="58" t="s">
        <v>4093</v>
      </c>
      <c r="D2379" s="58" t="s">
        <v>702</v>
      </c>
    </row>
    <row r="2380" spans="1:4">
      <c r="A2380" s="58" t="s">
        <v>4094</v>
      </c>
      <c r="B2380" s="58">
        <v>531402</v>
      </c>
      <c r="C2380" s="58" t="s">
        <v>588</v>
      </c>
      <c r="D2380" s="58" t="s">
        <v>610</v>
      </c>
    </row>
    <row r="2381" spans="1:4">
      <c r="A2381" s="58" t="s">
        <v>4095</v>
      </c>
      <c r="B2381" s="58">
        <v>500259</v>
      </c>
      <c r="C2381" s="58" t="s">
        <v>4096</v>
      </c>
      <c r="D2381" s="58" t="s">
        <v>626</v>
      </c>
    </row>
    <row r="2382" spans="1:4">
      <c r="A2382" s="58" t="s">
        <v>4097</v>
      </c>
      <c r="B2382" s="58">
        <v>530689</v>
      </c>
      <c r="C2382" s="58" t="s">
        <v>588</v>
      </c>
      <c r="D2382" s="58" t="s">
        <v>770</v>
      </c>
    </row>
    <row r="2383" spans="1:4">
      <c r="A2383" s="58" t="s">
        <v>4098</v>
      </c>
      <c r="B2383" s="58">
        <v>505320</v>
      </c>
      <c r="C2383" s="58" t="s">
        <v>588</v>
      </c>
      <c r="D2383" s="58" t="s">
        <v>596</v>
      </c>
    </row>
    <row r="2384" spans="1:4">
      <c r="A2384" s="58" t="s">
        <v>4099</v>
      </c>
      <c r="B2384" s="58">
        <v>534532</v>
      </c>
      <c r="C2384" s="58" t="s">
        <v>4100</v>
      </c>
      <c r="D2384" s="58" t="s">
        <v>702</v>
      </c>
    </row>
    <row r="2385" spans="1:4">
      <c r="A2385" s="58" t="s">
        <v>4101</v>
      </c>
      <c r="B2385" s="58">
        <v>526935</v>
      </c>
      <c r="C2385" s="58" t="s">
        <v>588</v>
      </c>
      <c r="D2385" s="58" t="s">
        <v>571</v>
      </c>
    </row>
    <row r="2386" spans="1:4">
      <c r="A2386" s="58" t="s">
        <v>4102</v>
      </c>
      <c r="B2386" s="58">
        <v>538890</v>
      </c>
      <c r="C2386" s="58" t="s">
        <v>588</v>
      </c>
      <c r="D2386" s="58" t="s">
        <v>603</v>
      </c>
    </row>
    <row r="2387" spans="1:4">
      <c r="A2387" s="58" t="s">
        <v>4103</v>
      </c>
      <c r="B2387" s="58">
        <v>538890</v>
      </c>
      <c r="C2387" s="58" t="s">
        <v>588</v>
      </c>
      <c r="D2387" s="58" t="s">
        <v>603</v>
      </c>
    </row>
    <row r="2388" spans="1:4">
      <c r="A2388" s="58" t="s">
        <v>4104</v>
      </c>
      <c r="B2388" s="58" t="s">
        <v>588</v>
      </c>
      <c r="C2388" s="58" t="s">
        <v>4105</v>
      </c>
      <c r="D2388" s="58" t="s">
        <v>599</v>
      </c>
    </row>
    <row r="2389" spans="1:4">
      <c r="A2389" s="58" t="s">
        <v>4106</v>
      </c>
      <c r="B2389" s="58">
        <v>506543</v>
      </c>
      <c r="C2389" s="58" t="s">
        <v>588</v>
      </c>
      <c r="D2389" s="58" t="s">
        <v>1096</v>
      </c>
    </row>
    <row r="2390" spans="1:4">
      <c r="A2390" s="58" t="s">
        <v>4107</v>
      </c>
      <c r="B2390" s="58">
        <v>532906</v>
      </c>
      <c r="C2390" s="58" t="s">
        <v>4108</v>
      </c>
      <c r="D2390" s="58" t="s">
        <v>986</v>
      </c>
    </row>
    <row r="2391" spans="1:4">
      <c r="A2391" s="58" t="s">
        <v>4109</v>
      </c>
      <c r="B2391" s="58">
        <v>507836</v>
      </c>
      <c r="C2391" s="58" t="s">
        <v>588</v>
      </c>
      <c r="D2391" s="58" t="s">
        <v>789</v>
      </c>
    </row>
    <row r="2392" spans="1:4">
      <c r="A2392" s="58" t="s">
        <v>4110</v>
      </c>
      <c r="B2392" s="58">
        <v>507836</v>
      </c>
      <c r="C2392" s="58" t="s">
        <v>588</v>
      </c>
      <c r="D2392" s="58" t="s">
        <v>789</v>
      </c>
    </row>
    <row r="2393" spans="1:4">
      <c r="A2393" s="58" t="s">
        <v>4111</v>
      </c>
      <c r="B2393" s="58">
        <v>541973</v>
      </c>
      <c r="C2393" s="58" t="s">
        <v>588</v>
      </c>
      <c r="D2393" s="58" t="s">
        <v>789</v>
      </c>
    </row>
    <row r="2394" spans="1:4">
      <c r="A2394" s="58" t="s">
        <v>4112</v>
      </c>
      <c r="B2394" s="58">
        <v>523248</v>
      </c>
      <c r="C2394" s="58" t="s">
        <v>588</v>
      </c>
      <c r="D2394" s="58" t="s">
        <v>708</v>
      </c>
    </row>
    <row r="2395" spans="1:4">
      <c r="A2395" s="58" t="s">
        <v>4113</v>
      </c>
      <c r="B2395" s="58">
        <v>501471</v>
      </c>
      <c r="C2395" s="58" t="s">
        <v>588</v>
      </c>
      <c r="D2395" s="58" t="s">
        <v>610</v>
      </c>
    </row>
    <row r="2396" spans="1:4">
      <c r="A2396" s="58" t="s">
        <v>4114</v>
      </c>
      <c r="B2396" s="58" t="s">
        <v>588</v>
      </c>
      <c r="C2396" s="58" t="s">
        <v>4115</v>
      </c>
      <c r="D2396" s="58" t="s">
        <v>599</v>
      </c>
    </row>
    <row r="2397" spans="1:4">
      <c r="A2397" s="58" t="s">
        <v>4116</v>
      </c>
      <c r="B2397" s="58">
        <v>512600</v>
      </c>
      <c r="C2397" s="58" t="s">
        <v>588</v>
      </c>
      <c r="D2397" s="58" t="s">
        <v>610</v>
      </c>
    </row>
    <row r="2398" spans="1:4">
      <c r="A2398" s="58" t="s">
        <v>4117</v>
      </c>
      <c r="B2398" s="58" t="s">
        <v>588</v>
      </c>
      <c r="C2398" s="58" t="s">
        <v>4118</v>
      </c>
      <c r="D2398" s="58" t="s">
        <v>599</v>
      </c>
    </row>
    <row r="2399" spans="1:4">
      <c r="A2399" s="58" t="s">
        <v>4119</v>
      </c>
      <c r="B2399" s="58">
        <v>539894</v>
      </c>
      <c r="C2399" s="58" t="s">
        <v>588</v>
      </c>
      <c r="D2399" s="58" t="s">
        <v>986</v>
      </c>
    </row>
    <row r="2400" spans="1:4">
      <c r="A2400" s="58" t="s">
        <v>4120</v>
      </c>
      <c r="B2400" s="58">
        <v>515093</v>
      </c>
      <c r="C2400" s="58" t="s">
        <v>4121</v>
      </c>
      <c r="D2400" s="58" t="s">
        <v>1116</v>
      </c>
    </row>
    <row r="2401" spans="1:4">
      <c r="A2401" s="58" t="s">
        <v>4122</v>
      </c>
      <c r="B2401" s="58">
        <v>780009</v>
      </c>
      <c r="C2401" s="58" t="s">
        <v>588</v>
      </c>
      <c r="D2401" s="58" t="s">
        <v>679</v>
      </c>
    </row>
    <row r="2402" spans="1:4">
      <c r="A2402" s="58" t="s">
        <v>4123</v>
      </c>
      <c r="B2402" s="58">
        <v>531497</v>
      </c>
      <c r="C2402" s="58" t="s">
        <v>4124</v>
      </c>
      <c r="D2402" s="58" t="s">
        <v>986</v>
      </c>
    </row>
    <row r="2403" spans="1:4">
      <c r="A2403" s="58" t="s">
        <v>4125</v>
      </c>
      <c r="B2403" s="58">
        <v>519279</v>
      </c>
      <c r="C2403" s="58" t="s">
        <v>588</v>
      </c>
      <c r="D2403" s="58" t="s">
        <v>786</v>
      </c>
    </row>
    <row r="2404" spans="1:4">
      <c r="A2404" s="58" t="s">
        <v>4126</v>
      </c>
      <c r="B2404" s="58">
        <v>515059</v>
      </c>
      <c r="C2404" s="58" t="s">
        <v>588</v>
      </c>
      <c r="D2404" s="58" t="s">
        <v>837</v>
      </c>
    </row>
    <row r="2405" spans="1:4">
      <c r="A2405" s="58" t="s">
        <v>4127</v>
      </c>
      <c r="B2405" s="58">
        <v>511000</v>
      </c>
      <c r="C2405" s="58" t="s">
        <v>588</v>
      </c>
      <c r="D2405" s="58" t="s">
        <v>605</v>
      </c>
    </row>
    <row r="2406" spans="1:4">
      <c r="A2406" s="58" t="s">
        <v>4128</v>
      </c>
      <c r="B2406" s="58">
        <v>531910</v>
      </c>
      <c r="C2406" s="58" t="s">
        <v>588</v>
      </c>
      <c r="D2406" s="58" t="s">
        <v>626</v>
      </c>
    </row>
    <row r="2407" spans="1:4">
      <c r="A2407" s="58" t="s">
        <v>4129</v>
      </c>
      <c r="B2407" s="58" t="s">
        <v>588</v>
      </c>
      <c r="C2407" s="58" t="s">
        <v>4130</v>
      </c>
      <c r="D2407" s="58" t="s">
        <v>599</v>
      </c>
    </row>
    <row r="2408" spans="1:4">
      <c r="A2408" s="58" t="s">
        <v>4131</v>
      </c>
      <c r="B2408" s="58" t="s">
        <v>588</v>
      </c>
      <c r="C2408" s="58" t="s">
        <v>4132</v>
      </c>
      <c r="D2408" s="58" t="s">
        <v>599</v>
      </c>
    </row>
    <row r="2409" spans="1:4">
      <c r="A2409" s="58" t="s">
        <v>4133</v>
      </c>
      <c r="B2409" s="58">
        <v>590134</v>
      </c>
      <c r="C2409" s="58" t="s">
        <v>4134</v>
      </c>
      <c r="D2409" s="58" t="s">
        <v>1096</v>
      </c>
    </row>
    <row r="2410" spans="1:4">
      <c r="A2410" s="58" t="s">
        <v>4135</v>
      </c>
      <c r="B2410" s="58">
        <v>538401</v>
      </c>
      <c r="C2410" s="58" t="s">
        <v>588</v>
      </c>
      <c r="D2410" s="58" t="s">
        <v>1130</v>
      </c>
    </row>
    <row r="2411" spans="1:4">
      <c r="A2411" s="58" t="s">
        <v>4136</v>
      </c>
      <c r="B2411" s="58">
        <v>500264</v>
      </c>
      <c r="C2411" s="58" t="s">
        <v>588</v>
      </c>
      <c r="D2411" s="58" t="s">
        <v>603</v>
      </c>
    </row>
    <row r="2412" spans="1:4">
      <c r="A2412" s="58" t="s">
        <v>4137</v>
      </c>
      <c r="B2412" s="58">
        <v>540650</v>
      </c>
      <c r="C2412" s="58" t="s">
        <v>4138</v>
      </c>
      <c r="D2412" s="58" t="s">
        <v>1286</v>
      </c>
    </row>
    <row r="2413" spans="1:4">
      <c r="A2413" s="58" t="s">
        <v>4139</v>
      </c>
      <c r="B2413" s="58">
        <v>524000</v>
      </c>
      <c r="C2413" s="58" t="s">
        <v>4140</v>
      </c>
      <c r="D2413" s="58" t="s">
        <v>605</v>
      </c>
    </row>
    <row r="2414" spans="1:4">
      <c r="A2414" s="58" t="s">
        <v>4141</v>
      </c>
      <c r="B2414" s="58">
        <v>517449</v>
      </c>
      <c r="C2414" s="58" t="s">
        <v>588</v>
      </c>
      <c r="D2414" s="58" t="s">
        <v>1506</v>
      </c>
    </row>
    <row r="2415" spans="1:4">
      <c r="A2415" s="58" t="s">
        <v>4142</v>
      </c>
      <c r="B2415" s="58">
        <v>512377</v>
      </c>
      <c r="C2415" s="58" t="s">
        <v>588</v>
      </c>
      <c r="D2415" s="58" t="s">
        <v>1009</v>
      </c>
    </row>
    <row r="2416" spans="1:4">
      <c r="A2416" s="58" t="s">
        <v>4143</v>
      </c>
      <c r="B2416" s="58">
        <v>532896</v>
      </c>
      <c r="C2416" s="58" t="s">
        <v>4144</v>
      </c>
      <c r="D2416" s="58" t="s">
        <v>582</v>
      </c>
    </row>
    <row r="2417" spans="1:4">
      <c r="A2417" s="58" t="s">
        <v>4145</v>
      </c>
      <c r="B2417" s="58">
        <v>523384</v>
      </c>
      <c r="C2417" s="58" t="s">
        <v>4146</v>
      </c>
      <c r="D2417" s="58" t="s">
        <v>605</v>
      </c>
    </row>
    <row r="2418" spans="1:4">
      <c r="A2418" s="58" t="s">
        <v>4147</v>
      </c>
      <c r="B2418" s="58">
        <v>519612</v>
      </c>
      <c r="C2418" s="58" t="s">
        <v>588</v>
      </c>
      <c r="D2418" s="58" t="s">
        <v>648</v>
      </c>
    </row>
    <row r="2419" spans="1:4">
      <c r="A2419" s="58" t="s">
        <v>4148</v>
      </c>
      <c r="B2419" s="58">
        <v>514450</v>
      </c>
      <c r="C2419" s="58" t="s">
        <v>588</v>
      </c>
      <c r="D2419" s="58" t="s">
        <v>1506</v>
      </c>
    </row>
    <row r="2420" spans="1:4">
      <c r="A2420" s="58" t="s">
        <v>4149</v>
      </c>
      <c r="B2420" s="58">
        <v>513460</v>
      </c>
      <c r="C2420" s="58" t="s">
        <v>588</v>
      </c>
      <c r="D2420" s="58" t="s">
        <v>911</v>
      </c>
    </row>
    <row r="2421" spans="1:4">
      <c r="A2421" s="58" t="s">
        <v>4150</v>
      </c>
      <c r="B2421" s="58">
        <v>513554</v>
      </c>
      <c r="C2421" s="58" t="s">
        <v>4151</v>
      </c>
      <c r="D2421" s="58" t="s">
        <v>911</v>
      </c>
    </row>
    <row r="2422" spans="1:4">
      <c r="A2422" s="58" t="s">
        <v>4152</v>
      </c>
      <c r="B2422" s="58">
        <v>531515</v>
      </c>
      <c r="C2422" s="58" t="s">
        <v>588</v>
      </c>
      <c r="D2422" s="58" t="s">
        <v>610</v>
      </c>
    </row>
    <row r="2423" spans="1:4">
      <c r="A2423" s="58" t="s">
        <v>4153</v>
      </c>
      <c r="B2423" s="58">
        <v>539957</v>
      </c>
      <c r="C2423" s="58" t="s">
        <v>4154</v>
      </c>
      <c r="D2423" s="58" t="s">
        <v>613</v>
      </c>
    </row>
    <row r="2424" spans="1:4">
      <c r="A2424" s="58" t="s">
        <v>4155</v>
      </c>
      <c r="B2424" s="58">
        <v>500108</v>
      </c>
      <c r="C2424" s="58" t="s">
        <v>4156</v>
      </c>
      <c r="D2424" s="58" t="s">
        <v>1530</v>
      </c>
    </row>
    <row r="2425" spans="1:4">
      <c r="A2425" s="58" t="s">
        <v>4157</v>
      </c>
      <c r="B2425" s="58">
        <v>530441</v>
      </c>
      <c r="C2425" s="58" t="s">
        <v>588</v>
      </c>
      <c r="D2425" s="58" t="s">
        <v>1009</v>
      </c>
    </row>
    <row r="2426" spans="1:4">
      <c r="A2426" s="58" t="s">
        <v>4158</v>
      </c>
      <c r="B2426" s="58">
        <v>530441</v>
      </c>
      <c r="C2426" s="58" t="s">
        <v>588</v>
      </c>
      <c r="D2426" s="58" t="s">
        <v>1009</v>
      </c>
    </row>
    <row r="2427" spans="1:4">
      <c r="A2427" s="58" t="s">
        <v>4159</v>
      </c>
      <c r="B2427" s="58">
        <v>505523</v>
      </c>
      <c r="C2427" s="58" t="s">
        <v>588</v>
      </c>
      <c r="D2427" s="58" t="s">
        <v>610</v>
      </c>
    </row>
    <row r="2428" spans="1:4">
      <c r="A2428" s="58" t="s">
        <v>4160</v>
      </c>
      <c r="B2428" s="58">
        <v>500266</v>
      </c>
      <c r="C2428" s="58" t="s">
        <v>4161</v>
      </c>
      <c r="D2428" s="58" t="s">
        <v>608</v>
      </c>
    </row>
    <row r="2429" spans="1:4">
      <c r="A2429" s="58" t="s">
        <v>4162</v>
      </c>
      <c r="B2429" s="58">
        <v>500265</v>
      </c>
      <c r="C2429" s="58" t="s">
        <v>4163</v>
      </c>
      <c r="D2429" s="58" t="s">
        <v>986</v>
      </c>
    </row>
    <row r="2430" spans="1:4">
      <c r="A2430" s="58" t="s">
        <v>4164</v>
      </c>
      <c r="B2430" s="58">
        <v>526795</v>
      </c>
      <c r="C2430" s="58" t="s">
        <v>588</v>
      </c>
      <c r="D2430" s="58" t="s">
        <v>660</v>
      </c>
    </row>
    <row r="2431" spans="1:4">
      <c r="A2431" s="58" t="s">
        <v>4165</v>
      </c>
      <c r="B2431" s="58">
        <v>512337</v>
      </c>
      <c r="C2431" s="58" t="s">
        <v>588</v>
      </c>
      <c r="D2431" s="58" t="s">
        <v>610</v>
      </c>
    </row>
    <row r="2432" spans="1:4">
      <c r="A2432" s="58" t="s">
        <v>4166</v>
      </c>
      <c r="B2432" s="58">
        <v>539383</v>
      </c>
      <c r="C2432" s="58" t="s">
        <v>588</v>
      </c>
      <c r="D2432" s="58" t="s">
        <v>574</v>
      </c>
    </row>
    <row r="2433" spans="1:4">
      <c r="A2433" s="58" t="s">
        <v>4167</v>
      </c>
      <c r="B2433" s="58">
        <v>531648</v>
      </c>
      <c r="C2433" s="58" t="s">
        <v>588</v>
      </c>
      <c r="D2433" s="58" t="s">
        <v>662</v>
      </c>
    </row>
    <row r="2434" spans="1:4">
      <c r="A2434" s="58" t="s">
        <v>4168</v>
      </c>
      <c r="B2434" s="58">
        <v>542677</v>
      </c>
      <c r="C2434" s="58" t="s">
        <v>4169</v>
      </c>
      <c r="D2434" s="58" t="s">
        <v>674</v>
      </c>
    </row>
    <row r="2435" spans="1:4">
      <c r="A2435" s="58" t="s">
        <v>4170</v>
      </c>
      <c r="B2435" s="58" t="s">
        <v>588</v>
      </c>
      <c r="C2435" s="58" t="s">
        <v>4171</v>
      </c>
      <c r="D2435" s="58" t="s">
        <v>599</v>
      </c>
    </row>
    <row r="2436" spans="1:4">
      <c r="A2436" s="58" t="s">
        <v>4172</v>
      </c>
      <c r="B2436" s="58" t="s">
        <v>588</v>
      </c>
      <c r="C2436" s="58" t="s">
        <v>4173</v>
      </c>
      <c r="D2436" s="58" t="s">
        <v>599</v>
      </c>
    </row>
    <row r="2437" spans="1:4">
      <c r="A2437" s="58" t="s">
        <v>4174</v>
      </c>
      <c r="B2437" s="58">
        <v>532720</v>
      </c>
      <c r="C2437" s="58" t="s">
        <v>4175</v>
      </c>
      <c r="D2437" s="58" t="s">
        <v>605</v>
      </c>
    </row>
    <row r="2438" spans="1:4">
      <c r="A2438" s="58" t="s">
        <v>4176</v>
      </c>
      <c r="B2438" s="58">
        <v>500520</v>
      </c>
      <c r="C2438" s="58" t="s">
        <v>4177</v>
      </c>
      <c r="D2438" s="58" t="s">
        <v>2515</v>
      </c>
    </row>
    <row r="2439" spans="1:4">
      <c r="A2439" s="58" t="s">
        <v>4178</v>
      </c>
      <c r="B2439" s="58">
        <v>532756</v>
      </c>
      <c r="C2439" s="58" t="s">
        <v>4179</v>
      </c>
      <c r="D2439" s="58" t="s">
        <v>1506</v>
      </c>
    </row>
    <row r="2440" spans="1:4">
      <c r="A2440" s="58" t="s">
        <v>4180</v>
      </c>
      <c r="B2440" s="58">
        <v>533088</v>
      </c>
      <c r="C2440" s="58" t="s">
        <v>4181</v>
      </c>
      <c r="D2440" s="58" t="s">
        <v>789</v>
      </c>
    </row>
    <row r="2441" spans="1:4">
      <c r="A2441" s="58" t="s">
        <v>4182</v>
      </c>
      <c r="B2441" s="58">
        <v>533088</v>
      </c>
      <c r="C2441" s="58" t="s">
        <v>4181</v>
      </c>
      <c r="D2441" s="58" t="s">
        <v>789</v>
      </c>
    </row>
    <row r="2442" spans="1:4">
      <c r="A2442" s="58" t="s">
        <v>4183</v>
      </c>
      <c r="B2442" s="58">
        <v>532313</v>
      </c>
      <c r="C2442" s="58" t="s">
        <v>4184</v>
      </c>
      <c r="D2442" s="58" t="s">
        <v>674</v>
      </c>
    </row>
    <row r="2443" spans="1:4">
      <c r="A2443" s="58" t="s">
        <v>4185</v>
      </c>
      <c r="B2443" s="58">
        <v>540768</v>
      </c>
      <c r="C2443" s="58" t="s">
        <v>4186</v>
      </c>
      <c r="D2443" s="58" t="s">
        <v>909</v>
      </c>
    </row>
    <row r="2444" spans="1:4">
      <c r="A2444" s="58" t="s">
        <v>4187</v>
      </c>
      <c r="B2444" s="58">
        <v>542503</v>
      </c>
      <c r="C2444" s="58" t="s">
        <v>4188</v>
      </c>
      <c r="D2444" s="58" t="s">
        <v>2563</v>
      </c>
    </row>
    <row r="2445" spans="1:4">
      <c r="A2445" s="58" t="s">
        <v>4189</v>
      </c>
      <c r="B2445" s="58">
        <v>590078</v>
      </c>
      <c r="C2445" s="58" t="s">
        <v>4190</v>
      </c>
      <c r="D2445" s="58" t="s">
        <v>620</v>
      </c>
    </row>
    <row r="2446" spans="1:4">
      <c r="A2446" s="58" t="s">
        <v>4191</v>
      </c>
      <c r="B2446" s="58">
        <v>513430</v>
      </c>
      <c r="C2446" s="58" t="s">
        <v>588</v>
      </c>
      <c r="D2446" s="58" t="s">
        <v>893</v>
      </c>
    </row>
    <row r="2447" spans="1:4">
      <c r="A2447" s="58" t="s">
        <v>4192</v>
      </c>
      <c r="B2447" s="58">
        <v>539289</v>
      </c>
      <c r="C2447" s="58" t="s">
        <v>4193</v>
      </c>
      <c r="D2447" s="58" t="s">
        <v>574</v>
      </c>
    </row>
    <row r="2448" spans="1:4">
      <c r="A2448" s="58" t="s">
        <v>4194</v>
      </c>
      <c r="B2448" s="58">
        <v>500267</v>
      </c>
      <c r="C2448" s="58" t="s">
        <v>588</v>
      </c>
      <c r="D2448" s="58" t="s">
        <v>1245</v>
      </c>
    </row>
    <row r="2449" spans="1:4">
      <c r="A2449" s="58" t="s">
        <v>4195</v>
      </c>
      <c r="B2449" s="58">
        <v>539229</v>
      </c>
      <c r="C2449" s="58" t="s">
        <v>588</v>
      </c>
      <c r="D2449" s="58" t="s">
        <v>577</v>
      </c>
    </row>
    <row r="2450" spans="1:4">
      <c r="A2450" s="58" t="s">
        <v>4196</v>
      </c>
      <c r="B2450" s="58">
        <v>506919</v>
      </c>
      <c r="C2450" s="58" t="s">
        <v>588</v>
      </c>
      <c r="D2450" s="58" t="s">
        <v>626</v>
      </c>
    </row>
    <row r="2451" spans="1:4">
      <c r="A2451" s="58" t="s">
        <v>4197</v>
      </c>
      <c r="B2451" s="58">
        <v>539400</v>
      </c>
      <c r="C2451" s="58" t="s">
        <v>588</v>
      </c>
      <c r="D2451" s="58" t="s">
        <v>702</v>
      </c>
    </row>
    <row r="2452" spans="1:4">
      <c r="A2452" s="58" t="s">
        <v>4198</v>
      </c>
      <c r="B2452" s="58">
        <v>539400</v>
      </c>
      <c r="C2452" s="58" t="s">
        <v>588</v>
      </c>
      <c r="D2452" s="58" t="s">
        <v>702</v>
      </c>
    </row>
    <row r="2453" spans="1:4">
      <c r="A2453" s="58" t="s">
        <v>4199</v>
      </c>
      <c r="B2453" s="58">
        <v>532728</v>
      </c>
      <c r="C2453" s="58" t="s">
        <v>4200</v>
      </c>
      <c r="D2453" s="58" t="s">
        <v>582</v>
      </c>
    </row>
    <row r="2454" spans="1:4">
      <c r="A2454" s="58" t="s">
        <v>4201</v>
      </c>
      <c r="B2454" s="58">
        <v>513269</v>
      </c>
      <c r="C2454" s="58" t="s">
        <v>4202</v>
      </c>
      <c r="D2454" s="58" t="s">
        <v>986</v>
      </c>
    </row>
    <row r="2455" spans="1:4">
      <c r="A2455" s="58" t="s">
        <v>4203</v>
      </c>
      <c r="B2455" s="58">
        <v>513269</v>
      </c>
      <c r="C2455" s="58" t="s">
        <v>4202</v>
      </c>
      <c r="D2455" s="58" t="s">
        <v>986</v>
      </c>
    </row>
    <row r="2456" spans="1:4">
      <c r="A2456" s="58" t="s">
        <v>4204</v>
      </c>
      <c r="B2456" s="58">
        <v>533169</v>
      </c>
      <c r="C2456" s="58" t="s">
        <v>4205</v>
      </c>
      <c r="D2456" s="58" t="s">
        <v>986</v>
      </c>
    </row>
    <row r="2457" spans="1:4">
      <c r="A2457" s="58" t="s">
        <v>4206</v>
      </c>
      <c r="B2457" s="58">
        <v>539045</v>
      </c>
      <c r="C2457" s="58" t="s">
        <v>4207</v>
      </c>
      <c r="D2457" s="58" t="s">
        <v>893</v>
      </c>
    </row>
    <row r="2458" spans="1:4">
      <c r="A2458" s="58" t="s">
        <v>4208</v>
      </c>
      <c r="B2458" s="58">
        <v>539046</v>
      </c>
      <c r="C2458" s="58" t="s">
        <v>4209</v>
      </c>
      <c r="D2458" s="58" t="s">
        <v>620</v>
      </c>
    </row>
    <row r="2459" spans="1:4">
      <c r="A2459" s="58" t="s">
        <v>4210</v>
      </c>
      <c r="B2459" s="58">
        <v>532932</v>
      </c>
      <c r="C2459" s="58" t="s">
        <v>4211</v>
      </c>
      <c r="D2459" s="58" t="s">
        <v>783</v>
      </c>
    </row>
    <row r="2460" spans="1:4">
      <c r="A2460" s="58" t="s">
        <v>4212</v>
      </c>
      <c r="B2460" s="58">
        <v>539044</v>
      </c>
      <c r="C2460" s="58" t="s">
        <v>4213</v>
      </c>
      <c r="D2460" s="58" t="s">
        <v>620</v>
      </c>
    </row>
    <row r="2461" spans="1:4">
      <c r="A2461" s="58" t="s">
        <v>4214</v>
      </c>
      <c r="B2461" s="58">
        <v>500268</v>
      </c>
      <c r="C2461" s="58" t="s">
        <v>4215</v>
      </c>
      <c r="D2461" s="58" t="s">
        <v>802</v>
      </c>
    </row>
    <row r="2462" spans="1:4">
      <c r="A2462" s="58" t="s">
        <v>4216</v>
      </c>
      <c r="B2462" s="58">
        <v>531213</v>
      </c>
      <c r="C2462" s="58" t="s">
        <v>4217</v>
      </c>
      <c r="D2462" s="58" t="s">
        <v>605</v>
      </c>
    </row>
    <row r="2463" spans="1:4">
      <c r="A2463" s="58" t="s">
        <v>4218</v>
      </c>
      <c r="B2463" s="58">
        <v>540402</v>
      </c>
      <c r="C2463" s="58" t="s">
        <v>588</v>
      </c>
      <c r="D2463" s="58" t="s">
        <v>674</v>
      </c>
    </row>
    <row r="2464" spans="1:4">
      <c r="A2464" s="58" t="s">
        <v>4219</v>
      </c>
      <c r="B2464" s="58" t="s">
        <v>588</v>
      </c>
      <c r="C2464" s="58" t="s">
        <v>4220</v>
      </c>
      <c r="D2464" s="58" t="s">
        <v>599</v>
      </c>
    </row>
    <row r="2465" spans="1:4">
      <c r="A2465" s="58" t="s">
        <v>4221</v>
      </c>
      <c r="B2465" s="58">
        <v>533204</v>
      </c>
      <c r="C2465" s="58" t="s">
        <v>4222</v>
      </c>
      <c r="D2465" s="58" t="s">
        <v>603</v>
      </c>
    </row>
    <row r="2466" spans="1:4">
      <c r="A2466" s="58" t="s">
        <v>4223</v>
      </c>
      <c r="B2466" s="58">
        <v>505850</v>
      </c>
      <c r="C2466" s="58" t="s">
        <v>4224</v>
      </c>
      <c r="D2466" s="58" t="s">
        <v>605</v>
      </c>
    </row>
    <row r="2467" spans="1:4">
      <c r="A2467" s="58" t="s">
        <v>4225</v>
      </c>
      <c r="B2467" s="58">
        <v>502157</v>
      </c>
      <c r="C2467" s="58" t="s">
        <v>4226</v>
      </c>
      <c r="D2467" s="58" t="s">
        <v>601</v>
      </c>
    </row>
    <row r="2468" spans="1:4">
      <c r="A2468" s="58" t="s">
        <v>4227</v>
      </c>
      <c r="B2468" s="58">
        <v>532637</v>
      </c>
      <c r="C2468" s="58" t="s">
        <v>4228</v>
      </c>
      <c r="D2468" s="58" t="s">
        <v>626</v>
      </c>
    </row>
    <row r="2469" spans="1:4">
      <c r="A2469" s="58" t="s">
        <v>4229</v>
      </c>
      <c r="B2469" s="58">
        <v>537800</v>
      </c>
      <c r="C2469" s="58" t="s">
        <v>588</v>
      </c>
      <c r="D2469" s="58" t="s">
        <v>605</v>
      </c>
    </row>
    <row r="2470" spans="1:4">
      <c r="A2470" s="58" t="s">
        <v>4230</v>
      </c>
      <c r="B2470" s="58">
        <v>514418</v>
      </c>
      <c r="C2470" s="58" t="s">
        <v>588</v>
      </c>
      <c r="D2470" s="58" t="s">
        <v>636</v>
      </c>
    </row>
    <row r="2471" spans="1:4">
      <c r="A2471" s="58" t="s">
        <v>4231</v>
      </c>
      <c r="B2471" s="58">
        <v>539275</v>
      </c>
      <c r="C2471" s="58" t="s">
        <v>588</v>
      </c>
      <c r="D2471" s="58" t="s">
        <v>786</v>
      </c>
    </row>
    <row r="2472" spans="1:4">
      <c r="A2472" s="58" t="s">
        <v>4232</v>
      </c>
      <c r="B2472" s="58">
        <v>516007</v>
      </c>
      <c r="C2472" s="58" t="s">
        <v>4233</v>
      </c>
      <c r="D2472" s="58" t="s">
        <v>1083</v>
      </c>
    </row>
    <row r="2473" spans="1:4">
      <c r="A2473" s="58" t="s">
        <v>4234</v>
      </c>
      <c r="B2473" s="58">
        <v>530011</v>
      </c>
      <c r="C2473" s="58" t="s">
        <v>4235</v>
      </c>
      <c r="D2473" s="58" t="s">
        <v>1096</v>
      </c>
    </row>
    <row r="2474" spans="1:4">
      <c r="A2474" s="58" t="s">
        <v>4236</v>
      </c>
      <c r="B2474" s="58">
        <v>500109</v>
      </c>
      <c r="C2474" s="58" t="s">
        <v>4237</v>
      </c>
      <c r="D2474" s="58" t="s">
        <v>1515</v>
      </c>
    </row>
    <row r="2475" spans="1:4">
      <c r="A2475" s="58" t="s">
        <v>4238</v>
      </c>
      <c r="B2475" s="58">
        <v>530243</v>
      </c>
      <c r="C2475" s="58" t="s">
        <v>588</v>
      </c>
      <c r="D2475" s="58" t="s">
        <v>681</v>
      </c>
    </row>
    <row r="2476" spans="1:4">
      <c r="A2476" s="58" t="s">
        <v>4239</v>
      </c>
      <c r="B2476" s="58">
        <v>507938</v>
      </c>
      <c r="C2476" s="58" t="s">
        <v>588</v>
      </c>
      <c r="D2476" s="58" t="s">
        <v>605</v>
      </c>
    </row>
    <row r="2477" spans="1:4">
      <c r="A2477" s="58" t="s">
        <v>4240</v>
      </c>
      <c r="B2477" s="58">
        <v>533078</v>
      </c>
      <c r="C2477" s="58" t="s">
        <v>588</v>
      </c>
      <c r="D2477" s="58" t="s">
        <v>674</v>
      </c>
    </row>
    <row r="2478" spans="1:4">
      <c r="A2478" s="58" t="s">
        <v>4241</v>
      </c>
      <c r="B2478" s="58">
        <v>540396</v>
      </c>
      <c r="C2478" s="58" t="s">
        <v>588</v>
      </c>
      <c r="D2478" s="58" t="s">
        <v>603</v>
      </c>
    </row>
    <row r="2479" spans="1:4">
      <c r="A2479" s="58" t="s">
        <v>4242</v>
      </c>
      <c r="B2479" s="58">
        <v>540396</v>
      </c>
      <c r="C2479" s="58" t="s">
        <v>588</v>
      </c>
      <c r="D2479" s="58" t="s">
        <v>603</v>
      </c>
    </row>
    <row r="2480" spans="1:4">
      <c r="A2480" s="58" t="s">
        <v>4243</v>
      </c>
      <c r="B2480" s="58">
        <v>541974</v>
      </c>
      <c r="C2480" s="58" t="s">
        <v>588</v>
      </c>
      <c r="D2480" s="58" t="s">
        <v>837</v>
      </c>
    </row>
    <row r="2481" spans="1:4">
      <c r="A2481" s="58" t="s">
        <v>4244</v>
      </c>
      <c r="B2481" s="58">
        <v>539207</v>
      </c>
      <c r="C2481" s="58" t="s">
        <v>4245</v>
      </c>
      <c r="D2481" s="58" t="s">
        <v>1023</v>
      </c>
    </row>
    <row r="2482" spans="1:4">
      <c r="A2482" s="58" t="s">
        <v>4246</v>
      </c>
      <c r="B2482" s="58">
        <v>530537</v>
      </c>
      <c r="C2482" s="58" t="s">
        <v>588</v>
      </c>
      <c r="D2482" s="58" t="s">
        <v>646</v>
      </c>
    </row>
    <row r="2483" spans="1:4">
      <c r="A2483" s="58" t="s">
        <v>4247</v>
      </c>
      <c r="B2483" s="58">
        <v>511758</v>
      </c>
      <c r="C2483" s="58" t="s">
        <v>588</v>
      </c>
      <c r="D2483" s="58" t="s">
        <v>605</v>
      </c>
    </row>
    <row r="2484" spans="1:4">
      <c r="A2484" s="58" t="s">
        <v>4248</v>
      </c>
      <c r="B2484" s="58">
        <v>512303</v>
      </c>
      <c r="C2484" s="58" t="s">
        <v>588</v>
      </c>
      <c r="D2484" s="58" t="s">
        <v>1009</v>
      </c>
    </row>
    <row r="2485" spans="1:4">
      <c r="A2485" s="58" t="s">
        <v>4249</v>
      </c>
      <c r="B2485" s="58">
        <v>505324</v>
      </c>
      <c r="C2485" s="58" t="s">
        <v>4250</v>
      </c>
      <c r="D2485" s="58" t="s">
        <v>596</v>
      </c>
    </row>
    <row r="2486" spans="1:4">
      <c r="A2486" s="58" t="s">
        <v>4251</v>
      </c>
      <c r="B2486" s="58">
        <v>505324</v>
      </c>
      <c r="C2486" s="58" t="s">
        <v>4250</v>
      </c>
      <c r="D2486" s="58" t="s">
        <v>596</v>
      </c>
    </row>
    <row r="2487" spans="1:4">
      <c r="A2487" s="58" t="s">
        <v>4252</v>
      </c>
      <c r="B2487" s="58">
        <v>538970</v>
      </c>
      <c r="C2487" s="58" t="s">
        <v>588</v>
      </c>
      <c r="D2487" s="58" t="s">
        <v>674</v>
      </c>
    </row>
    <row r="2488" spans="1:4">
      <c r="A2488" s="58" t="s">
        <v>4253</v>
      </c>
      <c r="B2488" s="58">
        <v>521018</v>
      </c>
      <c r="C2488" s="58" t="s">
        <v>4254</v>
      </c>
      <c r="D2488" s="58" t="s">
        <v>603</v>
      </c>
    </row>
    <row r="2489" spans="1:4">
      <c r="A2489" s="58" t="s">
        <v>4255</v>
      </c>
      <c r="B2489" s="58">
        <v>503101</v>
      </c>
      <c r="C2489" s="58" t="s">
        <v>4256</v>
      </c>
      <c r="D2489" s="58" t="s">
        <v>674</v>
      </c>
    </row>
    <row r="2490" spans="1:4">
      <c r="A2490" s="58" t="s">
        <v>4257</v>
      </c>
      <c r="B2490" s="58">
        <v>502250</v>
      </c>
      <c r="C2490" s="58" t="s">
        <v>588</v>
      </c>
      <c r="D2490" s="58" t="s">
        <v>1116</v>
      </c>
    </row>
    <row r="2491" spans="1:4">
      <c r="A2491" s="58" t="s">
        <v>4258</v>
      </c>
      <c r="B2491" s="58">
        <v>513544</v>
      </c>
      <c r="C2491" s="58" t="s">
        <v>588</v>
      </c>
      <c r="D2491" s="58" t="s">
        <v>662</v>
      </c>
    </row>
    <row r="2492" spans="1:4">
      <c r="A2492" s="58" t="s">
        <v>4259</v>
      </c>
      <c r="B2492" s="58">
        <v>530543</v>
      </c>
      <c r="C2492" s="58" t="s">
        <v>588</v>
      </c>
      <c r="D2492" s="58" t="s">
        <v>674</v>
      </c>
    </row>
    <row r="2493" spans="1:4">
      <c r="A2493" s="58" t="s">
        <v>4260</v>
      </c>
      <c r="B2493" s="58">
        <v>540254</v>
      </c>
      <c r="C2493" s="58" t="s">
        <v>588</v>
      </c>
      <c r="D2493" s="58" t="s">
        <v>605</v>
      </c>
    </row>
    <row r="2494" spans="1:4">
      <c r="A2494" s="58" t="s">
        <v>4261</v>
      </c>
      <c r="B2494" s="58">
        <v>500206</v>
      </c>
      <c r="C2494" s="58" t="s">
        <v>588</v>
      </c>
      <c r="D2494" s="58" t="s">
        <v>605</v>
      </c>
    </row>
    <row r="2495" spans="1:4">
      <c r="A2495" s="58" t="s">
        <v>4262</v>
      </c>
      <c r="B2495" s="58">
        <v>531642</v>
      </c>
      <c r="C2495" s="58" t="s">
        <v>4263</v>
      </c>
      <c r="D2495" s="58" t="s">
        <v>770</v>
      </c>
    </row>
    <row r="2496" spans="1:4">
      <c r="A2496" s="58" t="s">
        <v>4264</v>
      </c>
      <c r="B2496" s="58" t="s">
        <v>588</v>
      </c>
      <c r="C2496" s="58" t="s">
        <v>4265</v>
      </c>
      <c r="D2496" s="58" t="s">
        <v>599</v>
      </c>
    </row>
    <row r="2497" spans="1:4">
      <c r="A2497" s="58" t="s">
        <v>4266</v>
      </c>
      <c r="B2497" s="58" t="s">
        <v>588</v>
      </c>
      <c r="C2497" s="58" t="s">
        <v>4265</v>
      </c>
      <c r="D2497" s="58" t="s">
        <v>599</v>
      </c>
    </row>
    <row r="2498" spans="1:4">
      <c r="A2498" s="58" t="s">
        <v>4267</v>
      </c>
      <c r="B2498" s="58">
        <v>531503</v>
      </c>
      <c r="C2498" s="58" t="s">
        <v>588</v>
      </c>
      <c r="D2498" s="58" t="s">
        <v>603</v>
      </c>
    </row>
    <row r="2499" spans="1:4">
      <c r="A2499" s="58" t="s">
        <v>4268</v>
      </c>
      <c r="B2499" s="58">
        <v>526891</v>
      </c>
      <c r="C2499" s="58" t="s">
        <v>588</v>
      </c>
      <c r="D2499" s="58" t="s">
        <v>571</v>
      </c>
    </row>
    <row r="2500" spans="1:4">
      <c r="A2500" s="58" t="s">
        <v>4269</v>
      </c>
      <c r="B2500" s="58">
        <v>524404</v>
      </c>
      <c r="C2500" s="58" t="s">
        <v>4270</v>
      </c>
      <c r="D2500" s="58" t="s">
        <v>626</v>
      </c>
    </row>
    <row r="2501" spans="1:4">
      <c r="A2501" s="58" t="s">
        <v>4271</v>
      </c>
      <c r="B2501" s="58" t="s">
        <v>588</v>
      </c>
      <c r="C2501" s="58" t="s">
        <v>4272</v>
      </c>
      <c r="D2501" s="58" t="s">
        <v>599</v>
      </c>
    </row>
    <row r="2502" spans="1:4">
      <c r="A2502" s="58" t="s">
        <v>4273</v>
      </c>
      <c r="B2502" s="58">
        <v>517467</v>
      </c>
      <c r="C2502" s="58" t="s">
        <v>588</v>
      </c>
      <c r="D2502" s="58" t="s">
        <v>886</v>
      </c>
    </row>
    <row r="2503" spans="1:4">
      <c r="A2503" s="58" t="s">
        <v>4274</v>
      </c>
      <c r="B2503" s="58">
        <v>523566</v>
      </c>
      <c r="C2503" s="58" t="s">
        <v>588</v>
      </c>
      <c r="D2503" s="58" t="s">
        <v>674</v>
      </c>
    </row>
    <row r="2504" spans="1:4">
      <c r="A2504" s="58" t="s">
        <v>4275</v>
      </c>
      <c r="B2504" s="58">
        <v>531540</v>
      </c>
      <c r="C2504" s="58" t="s">
        <v>588</v>
      </c>
      <c r="D2504" s="58" t="s">
        <v>986</v>
      </c>
    </row>
    <row r="2505" spans="1:4">
      <c r="A2505" s="58" t="s">
        <v>4276</v>
      </c>
      <c r="B2505" s="58">
        <v>531319</v>
      </c>
      <c r="C2505" s="58" t="s">
        <v>588</v>
      </c>
      <c r="D2505" s="58" t="s">
        <v>605</v>
      </c>
    </row>
    <row r="2506" spans="1:4">
      <c r="A2506" s="58" t="s">
        <v>4277</v>
      </c>
      <c r="B2506" s="58">
        <v>532500</v>
      </c>
      <c r="C2506" s="58" t="s">
        <v>4278</v>
      </c>
      <c r="D2506" s="58" t="s">
        <v>2515</v>
      </c>
    </row>
    <row r="2507" spans="1:4">
      <c r="A2507" s="58" t="s">
        <v>4279</v>
      </c>
      <c r="B2507" s="58">
        <v>532500</v>
      </c>
      <c r="C2507" s="58" t="s">
        <v>4278</v>
      </c>
      <c r="D2507" s="58" t="s">
        <v>2515</v>
      </c>
    </row>
    <row r="2508" spans="1:4">
      <c r="A2508" s="58" t="s">
        <v>4280</v>
      </c>
      <c r="B2508" s="58" t="s">
        <v>588</v>
      </c>
      <c r="C2508" s="58" t="s">
        <v>4281</v>
      </c>
      <c r="D2508" s="58" t="s">
        <v>599</v>
      </c>
    </row>
    <row r="2509" spans="1:4">
      <c r="A2509" s="58" t="s">
        <v>4282</v>
      </c>
      <c r="B2509" s="58">
        <v>540749</v>
      </c>
      <c r="C2509" s="58" t="s">
        <v>4283</v>
      </c>
      <c r="D2509" s="58" t="s">
        <v>605</v>
      </c>
    </row>
    <row r="2510" spans="1:4">
      <c r="A2510" s="58" t="s">
        <v>4284</v>
      </c>
      <c r="B2510" s="58" t="s">
        <v>588</v>
      </c>
      <c r="C2510" s="58" t="s">
        <v>4285</v>
      </c>
      <c r="D2510" s="58" t="s">
        <v>679</v>
      </c>
    </row>
    <row r="2511" spans="1:4">
      <c r="A2511" s="58" t="s">
        <v>4286</v>
      </c>
      <c r="B2511" s="58">
        <v>523704</v>
      </c>
      <c r="C2511" s="58" t="s">
        <v>4287</v>
      </c>
      <c r="D2511" s="58" t="s">
        <v>681</v>
      </c>
    </row>
    <row r="2512" spans="1:4">
      <c r="A2512" s="58" t="s">
        <v>4288</v>
      </c>
      <c r="B2512" s="58">
        <v>506867</v>
      </c>
      <c r="C2512" s="58" t="s">
        <v>588</v>
      </c>
      <c r="D2512" s="58" t="s">
        <v>603</v>
      </c>
    </row>
    <row r="2513" spans="1:4">
      <c r="A2513" s="58" t="s">
        <v>4289</v>
      </c>
      <c r="B2513" s="58">
        <v>511768</v>
      </c>
      <c r="C2513" s="58" t="s">
        <v>588</v>
      </c>
      <c r="D2513" s="58" t="s">
        <v>605</v>
      </c>
    </row>
    <row r="2514" spans="1:4">
      <c r="A2514" s="58" t="s">
        <v>4290</v>
      </c>
      <c r="B2514" s="58">
        <v>511688</v>
      </c>
      <c r="C2514" s="58" t="s">
        <v>588</v>
      </c>
      <c r="D2514" s="58" t="s">
        <v>605</v>
      </c>
    </row>
    <row r="2515" spans="1:4">
      <c r="A2515" s="58" t="s">
        <v>4291</v>
      </c>
      <c r="B2515" s="58">
        <v>540704</v>
      </c>
      <c r="C2515" s="58" t="s">
        <v>4292</v>
      </c>
      <c r="D2515" s="58" t="s">
        <v>594</v>
      </c>
    </row>
    <row r="2516" spans="1:4">
      <c r="A2516" s="58" t="s">
        <v>4293</v>
      </c>
      <c r="B2516" s="58">
        <v>539219</v>
      </c>
      <c r="C2516" s="58" t="s">
        <v>588</v>
      </c>
      <c r="D2516" s="58" t="s">
        <v>1506</v>
      </c>
    </row>
    <row r="2517" spans="1:4">
      <c r="A2517" s="58" t="s">
        <v>4294</v>
      </c>
      <c r="B2517" s="58">
        <v>500248</v>
      </c>
      <c r="C2517" s="58" t="s">
        <v>588</v>
      </c>
      <c r="D2517" s="58" t="s">
        <v>708</v>
      </c>
    </row>
    <row r="2518" spans="1:4">
      <c r="A2518" s="58" t="s">
        <v>4295</v>
      </c>
      <c r="B2518" s="58">
        <v>523371</v>
      </c>
      <c r="C2518" s="58" t="s">
        <v>4296</v>
      </c>
      <c r="D2518" s="58" t="s">
        <v>1286</v>
      </c>
    </row>
    <row r="2519" spans="1:4">
      <c r="A2519" s="58" t="s">
        <v>4297</v>
      </c>
      <c r="B2519" s="58">
        <v>539981</v>
      </c>
      <c r="C2519" s="58" t="s">
        <v>4298</v>
      </c>
      <c r="D2519" s="58" t="s">
        <v>754</v>
      </c>
    </row>
    <row r="2520" spans="1:4">
      <c r="A2520" s="58" t="s">
        <v>4299</v>
      </c>
      <c r="B2520" s="58">
        <v>534563</v>
      </c>
      <c r="C2520" s="58" t="s">
        <v>4300</v>
      </c>
      <c r="D2520" s="58" t="s">
        <v>596</v>
      </c>
    </row>
    <row r="2521" spans="1:4">
      <c r="A2521" s="58" t="s">
        <v>4301</v>
      </c>
      <c r="B2521" s="58">
        <v>500271</v>
      </c>
      <c r="C2521" s="58" t="s">
        <v>4302</v>
      </c>
      <c r="D2521" s="58" t="s">
        <v>2997</v>
      </c>
    </row>
    <row r="2522" spans="1:4">
      <c r="A2522" s="58" t="s">
        <v>4303</v>
      </c>
      <c r="B2522" s="58">
        <v>539981</v>
      </c>
      <c r="C2522" s="58" t="s">
        <v>4304</v>
      </c>
      <c r="D2522" s="58" t="s">
        <v>754</v>
      </c>
    </row>
    <row r="2523" spans="1:4">
      <c r="A2523" s="58" t="s">
        <v>4305</v>
      </c>
      <c r="B2523" s="58">
        <v>539940</v>
      </c>
      <c r="C2523" s="58" t="s">
        <v>4306</v>
      </c>
      <c r="D2523" s="58" t="s">
        <v>754</v>
      </c>
    </row>
    <row r="2524" spans="1:4">
      <c r="A2524" s="58" t="s">
        <v>4307</v>
      </c>
      <c r="B2524" s="58">
        <v>534338</v>
      </c>
      <c r="C2524" s="58" t="s">
        <v>588</v>
      </c>
      <c r="D2524" s="58" t="s">
        <v>674</v>
      </c>
    </row>
    <row r="2525" spans="1:4">
      <c r="A2525" s="58" t="s">
        <v>4308</v>
      </c>
      <c r="B2525" s="58">
        <v>526538</v>
      </c>
      <c r="C2525" s="58" t="s">
        <v>588</v>
      </c>
      <c r="D2525" s="58" t="s">
        <v>626</v>
      </c>
    </row>
    <row r="2526" spans="1:4">
      <c r="A2526" s="58" t="s">
        <v>4309</v>
      </c>
      <c r="B2526" s="58">
        <v>540401</v>
      </c>
      <c r="C2526" s="58" t="s">
        <v>588</v>
      </c>
      <c r="D2526" s="58" t="s">
        <v>610</v>
      </c>
    </row>
    <row r="2527" spans="1:4">
      <c r="A2527" s="58" t="s">
        <v>4310</v>
      </c>
      <c r="B2527" s="58">
        <v>539519</v>
      </c>
      <c r="C2527" s="58" t="s">
        <v>588</v>
      </c>
      <c r="D2527" s="58" t="s">
        <v>622</v>
      </c>
    </row>
    <row r="2528" spans="1:4">
      <c r="A2528" s="58" t="s">
        <v>4311</v>
      </c>
      <c r="B2528" s="58">
        <v>531221</v>
      </c>
      <c r="C2528" s="58" t="s">
        <v>588</v>
      </c>
      <c r="D2528" s="58" t="s">
        <v>1116</v>
      </c>
    </row>
    <row r="2529" spans="1:4">
      <c r="A2529" s="58" t="s">
        <v>4312</v>
      </c>
      <c r="B2529" s="58">
        <v>531680</v>
      </c>
      <c r="C2529" s="58" t="s">
        <v>588</v>
      </c>
      <c r="D2529" s="58" t="s">
        <v>702</v>
      </c>
    </row>
    <row r="2530" spans="1:4">
      <c r="A2530" s="58" t="s">
        <v>4313</v>
      </c>
      <c r="B2530" s="58">
        <v>522249</v>
      </c>
      <c r="C2530" s="58" t="s">
        <v>4314</v>
      </c>
      <c r="D2530" s="58" t="s">
        <v>603</v>
      </c>
    </row>
    <row r="2531" spans="1:4">
      <c r="A2531" s="58" t="s">
        <v>4315</v>
      </c>
      <c r="B2531" s="58">
        <v>523792</v>
      </c>
      <c r="C2531" s="58" t="s">
        <v>4316</v>
      </c>
      <c r="D2531" s="58" t="s">
        <v>596</v>
      </c>
    </row>
    <row r="2532" spans="1:4">
      <c r="A2532" s="58" t="s">
        <v>4317</v>
      </c>
      <c r="B2532" s="58">
        <v>533152</v>
      </c>
      <c r="C2532" s="58" t="s">
        <v>4318</v>
      </c>
      <c r="D2532" s="58" t="s">
        <v>986</v>
      </c>
    </row>
    <row r="2533" spans="1:4">
      <c r="A2533" s="58" t="s">
        <v>4319</v>
      </c>
      <c r="B2533" s="58">
        <v>532852</v>
      </c>
      <c r="C2533" s="58" t="s">
        <v>4320</v>
      </c>
      <c r="D2533" s="58" t="s">
        <v>608</v>
      </c>
    </row>
    <row r="2534" spans="1:4">
      <c r="A2534" s="58" t="s">
        <v>4321</v>
      </c>
      <c r="B2534" s="58">
        <v>532654</v>
      </c>
      <c r="C2534" s="58" t="s">
        <v>4322</v>
      </c>
      <c r="D2534" s="58" t="s">
        <v>995</v>
      </c>
    </row>
    <row r="2535" spans="1:4">
      <c r="A2535" s="58" t="s">
        <v>4323</v>
      </c>
      <c r="B2535" s="58">
        <v>532654</v>
      </c>
      <c r="C2535" s="58" t="s">
        <v>4322</v>
      </c>
      <c r="D2535" s="58" t="s">
        <v>995</v>
      </c>
    </row>
    <row r="2536" spans="1:4">
      <c r="A2536" s="58" t="s">
        <v>4324</v>
      </c>
      <c r="B2536" s="58">
        <v>532629</v>
      </c>
      <c r="C2536" s="58" t="s">
        <v>4325</v>
      </c>
      <c r="D2536" s="58" t="s">
        <v>986</v>
      </c>
    </row>
    <row r="2537" spans="1:4">
      <c r="A2537" s="58" t="s">
        <v>4326</v>
      </c>
      <c r="B2537" s="58">
        <v>512267</v>
      </c>
      <c r="C2537" s="58" t="s">
        <v>588</v>
      </c>
      <c r="D2537" s="58" t="s">
        <v>591</v>
      </c>
    </row>
    <row r="2538" spans="1:4">
      <c r="A2538" s="58" t="s">
        <v>4327</v>
      </c>
      <c r="B2538" s="58">
        <v>531146</v>
      </c>
      <c r="C2538" s="58" t="s">
        <v>588</v>
      </c>
      <c r="D2538" s="58" t="s">
        <v>626</v>
      </c>
    </row>
    <row r="2539" spans="1:4">
      <c r="A2539" s="58" t="s">
        <v>4328</v>
      </c>
      <c r="B2539" s="58">
        <v>523144</v>
      </c>
      <c r="C2539" s="58" t="s">
        <v>588</v>
      </c>
      <c r="D2539" s="58" t="s">
        <v>626</v>
      </c>
    </row>
    <row r="2540" spans="1:4">
      <c r="A2540" s="58" t="s">
        <v>4329</v>
      </c>
      <c r="B2540" s="58">
        <v>539938</v>
      </c>
      <c r="C2540" s="58" t="s">
        <v>4330</v>
      </c>
      <c r="D2540" s="58" t="s">
        <v>571</v>
      </c>
    </row>
    <row r="2541" spans="1:4">
      <c r="A2541" s="58" t="s">
        <v>4331</v>
      </c>
      <c r="B2541" s="58">
        <v>540937</v>
      </c>
      <c r="C2541" s="58" t="s">
        <v>588</v>
      </c>
      <c r="D2541" s="58" t="s">
        <v>626</v>
      </c>
    </row>
    <row r="2542" spans="1:4">
      <c r="A2542" s="58" t="s">
        <v>4332</v>
      </c>
      <c r="B2542" s="58">
        <v>526301</v>
      </c>
      <c r="C2542" s="58" t="s">
        <v>588</v>
      </c>
      <c r="D2542" s="58" t="s">
        <v>777</v>
      </c>
    </row>
    <row r="2543" spans="1:4">
      <c r="A2543" s="58" t="s">
        <v>4333</v>
      </c>
      <c r="B2543" s="58">
        <v>538834</v>
      </c>
      <c r="C2543" s="58" t="s">
        <v>588</v>
      </c>
      <c r="D2543" s="58" t="s">
        <v>605</v>
      </c>
    </row>
    <row r="2544" spans="1:4">
      <c r="A2544" s="58" t="s">
        <v>4334</v>
      </c>
      <c r="B2544" s="58">
        <v>512505</v>
      </c>
      <c r="C2544" s="58" t="s">
        <v>588</v>
      </c>
      <c r="D2544" s="58" t="s">
        <v>911</v>
      </c>
    </row>
    <row r="2545" spans="1:4">
      <c r="A2545" s="58" t="s">
        <v>4335</v>
      </c>
      <c r="B2545" s="58">
        <v>540519</v>
      </c>
      <c r="C2545" s="58" t="s">
        <v>588</v>
      </c>
      <c r="D2545" s="58" t="s">
        <v>596</v>
      </c>
    </row>
    <row r="2546" spans="1:4">
      <c r="A2546" s="58" t="s">
        <v>4336</v>
      </c>
      <c r="B2546" s="58">
        <v>511276</v>
      </c>
      <c r="C2546" s="58" t="s">
        <v>588</v>
      </c>
      <c r="D2546" s="58" t="s">
        <v>786</v>
      </c>
    </row>
    <row r="2547" spans="1:4">
      <c r="A2547" s="58" t="s">
        <v>4337</v>
      </c>
      <c r="B2547" s="58">
        <v>531176</v>
      </c>
      <c r="C2547" s="58" t="s">
        <v>588</v>
      </c>
      <c r="D2547" s="58" t="s">
        <v>605</v>
      </c>
    </row>
    <row r="2548" spans="1:4">
      <c r="A2548" s="58" t="s">
        <v>4338</v>
      </c>
      <c r="B2548" s="58">
        <v>531417</v>
      </c>
      <c r="C2548" s="58" t="s">
        <v>588</v>
      </c>
      <c r="D2548" s="58" t="s">
        <v>605</v>
      </c>
    </row>
    <row r="2549" spans="1:4">
      <c r="A2549" s="58" t="s">
        <v>4339</v>
      </c>
      <c r="B2549" s="58">
        <v>532105</v>
      </c>
      <c r="C2549" s="58" t="s">
        <v>588</v>
      </c>
      <c r="D2549" s="58" t="s">
        <v>1009</v>
      </c>
    </row>
    <row r="2550" spans="1:4">
      <c r="A2550" s="58" t="s">
        <v>4340</v>
      </c>
      <c r="B2550" s="58">
        <v>532105</v>
      </c>
      <c r="C2550" s="58" t="s">
        <v>588</v>
      </c>
      <c r="D2550" s="58" t="s">
        <v>1009</v>
      </c>
    </row>
    <row r="2551" spans="1:4">
      <c r="A2551" s="58" t="s">
        <v>4341</v>
      </c>
      <c r="B2551" s="58">
        <v>539767</v>
      </c>
      <c r="C2551" s="58" t="s">
        <v>588</v>
      </c>
      <c r="D2551" s="58" t="s">
        <v>674</v>
      </c>
    </row>
    <row r="2552" spans="1:4">
      <c r="A2552" s="58" t="s">
        <v>4342</v>
      </c>
      <c r="B2552" s="58">
        <v>532408</v>
      </c>
      <c r="C2552" s="58" t="s">
        <v>4343</v>
      </c>
      <c r="D2552" s="58" t="s">
        <v>681</v>
      </c>
    </row>
    <row r="2553" spans="1:4">
      <c r="A2553" s="58" t="s">
        <v>4344</v>
      </c>
      <c r="B2553" s="58">
        <v>541352</v>
      </c>
      <c r="C2553" s="58" t="s">
        <v>588</v>
      </c>
      <c r="D2553" s="58" t="s">
        <v>668</v>
      </c>
    </row>
    <row r="2554" spans="1:4">
      <c r="A2554" s="58" t="s">
        <v>4345</v>
      </c>
      <c r="B2554" s="58">
        <v>532865</v>
      </c>
      <c r="C2554" s="58" t="s">
        <v>4346</v>
      </c>
      <c r="D2554" s="58" t="s">
        <v>748</v>
      </c>
    </row>
    <row r="2555" spans="1:4">
      <c r="A2555" s="58" t="s">
        <v>4347</v>
      </c>
      <c r="B2555" s="58">
        <v>511367</v>
      </c>
      <c r="C2555" s="58" t="s">
        <v>588</v>
      </c>
      <c r="D2555" s="58" t="s">
        <v>605</v>
      </c>
    </row>
    <row r="2556" spans="1:4">
      <c r="A2556" s="58" t="s">
        <v>4348</v>
      </c>
      <c r="B2556" s="58">
        <v>511367</v>
      </c>
      <c r="C2556" s="58" t="s">
        <v>588</v>
      </c>
      <c r="D2556" s="58" t="s">
        <v>605</v>
      </c>
    </row>
    <row r="2557" spans="1:4">
      <c r="A2557" s="58" t="s">
        <v>4349</v>
      </c>
      <c r="B2557" s="58">
        <v>539012</v>
      </c>
      <c r="C2557" s="58" t="s">
        <v>588</v>
      </c>
      <c r="D2557" s="58" t="s">
        <v>594</v>
      </c>
    </row>
    <row r="2558" spans="1:4">
      <c r="A2558" s="58" t="s">
        <v>4350</v>
      </c>
      <c r="B2558" s="58">
        <v>540730</v>
      </c>
      <c r="C2558" s="58" t="s">
        <v>588</v>
      </c>
      <c r="D2558" s="58" t="s">
        <v>610</v>
      </c>
    </row>
    <row r="2559" spans="1:4">
      <c r="A2559" s="58" t="s">
        <v>4351</v>
      </c>
      <c r="B2559" s="58">
        <v>511740</v>
      </c>
      <c r="C2559" s="58" t="s">
        <v>588</v>
      </c>
      <c r="D2559" s="58" t="s">
        <v>646</v>
      </c>
    </row>
    <row r="2560" spans="1:4">
      <c r="A2560" s="58" t="s">
        <v>4352</v>
      </c>
      <c r="B2560" s="58">
        <v>511377</v>
      </c>
      <c r="C2560" s="58" t="s">
        <v>588</v>
      </c>
      <c r="D2560" s="58" t="s">
        <v>605</v>
      </c>
    </row>
    <row r="2561" spans="1:4">
      <c r="A2561" s="58" t="s">
        <v>4353</v>
      </c>
      <c r="B2561" s="58">
        <v>511738</v>
      </c>
      <c r="C2561" s="58" t="s">
        <v>588</v>
      </c>
      <c r="D2561" s="58" t="s">
        <v>571</v>
      </c>
    </row>
    <row r="2562" spans="1:4">
      <c r="A2562" s="58" t="s">
        <v>4354</v>
      </c>
      <c r="B2562" s="58">
        <v>532307</v>
      </c>
      <c r="C2562" s="58" t="s">
        <v>4355</v>
      </c>
      <c r="D2562" s="58" t="s">
        <v>681</v>
      </c>
    </row>
    <row r="2563" spans="1:4">
      <c r="A2563" s="58" t="s">
        <v>4356</v>
      </c>
      <c r="B2563" s="58">
        <v>531127</v>
      </c>
      <c r="C2563" s="58" t="s">
        <v>588</v>
      </c>
      <c r="D2563" s="58" t="s">
        <v>605</v>
      </c>
    </row>
    <row r="2564" spans="1:4">
      <c r="A2564" s="58" t="s">
        <v>4357</v>
      </c>
      <c r="B2564" s="58">
        <v>523828</v>
      </c>
      <c r="C2564" s="58" t="s">
        <v>4358</v>
      </c>
      <c r="D2564" s="58" t="s">
        <v>943</v>
      </c>
    </row>
    <row r="2565" spans="1:4">
      <c r="A2565" s="58" t="s">
        <v>4359</v>
      </c>
      <c r="B2565" s="58">
        <v>531727</v>
      </c>
      <c r="C2565" s="58" t="s">
        <v>588</v>
      </c>
      <c r="D2565" s="58" t="s">
        <v>943</v>
      </c>
    </row>
    <row r="2566" spans="1:4">
      <c r="A2566" s="58" t="s">
        <v>4360</v>
      </c>
      <c r="B2566" s="58">
        <v>539126</v>
      </c>
      <c r="C2566" s="58" t="s">
        <v>4361</v>
      </c>
      <c r="D2566" s="58" t="s">
        <v>1183</v>
      </c>
    </row>
    <row r="2567" spans="1:4">
      <c r="A2567" s="58" t="s">
        <v>4362</v>
      </c>
      <c r="B2567" s="58">
        <v>538942</v>
      </c>
      <c r="C2567" s="58" t="s">
        <v>588</v>
      </c>
      <c r="D2567" s="58" t="s">
        <v>1009</v>
      </c>
    </row>
    <row r="2568" spans="1:4">
      <c r="A2568" s="58" t="s">
        <v>4363</v>
      </c>
      <c r="B2568" s="58">
        <v>526235</v>
      </c>
      <c r="C2568" s="58" t="s">
        <v>4364</v>
      </c>
      <c r="D2568" s="58" t="s">
        <v>577</v>
      </c>
    </row>
    <row r="2569" spans="1:4">
      <c r="A2569" s="58" t="s">
        <v>4365</v>
      </c>
      <c r="B2569" s="58">
        <v>500126</v>
      </c>
      <c r="C2569" s="58" t="s">
        <v>4366</v>
      </c>
      <c r="D2569" s="58" t="s">
        <v>626</v>
      </c>
    </row>
    <row r="2570" spans="1:4">
      <c r="A2570" s="58" t="s">
        <v>4367</v>
      </c>
      <c r="B2570" s="58">
        <v>538964</v>
      </c>
      <c r="C2570" s="58" t="s">
        <v>588</v>
      </c>
      <c r="D2570" s="58" t="s">
        <v>626</v>
      </c>
    </row>
    <row r="2571" spans="1:4">
      <c r="A2571" s="58" t="s">
        <v>4368</v>
      </c>
      <c r="B2571" s="58">
        <v>531357</v>
      </c>
      <c r="C2571" s="58" t="s">
        <v>588</v>
      </c>
      <c r="D2571" s="58" t="s">
        <v>610</v>
      </c>
    </row>
    <row r="2572" spans="1:4">
      <c r="A2572" s="58" t="s">
        <v>4369</v>
      </c>
      <c r="B2572" s="58">
        <v>512415</v>
      </c>
      <c r="C2572" s="58" t="s">
        <v>588</v>
      </c>
      <c r="D2572" s="58" t="s">
        <v>1009</v>
      </c>
    </row>
    <row r="2573" spans="1:4">
      <c r="A2573" s="58" t="s">
        <v>4370</v>
      </c>
      <c r="B2573" s="58">
        <v>500274</v>
      </c>
      <c r="C2573" s="58" t="s">
        <v>588</v>
      </c>
      <c r="D2573" s="58" t="s">
        <v>626</v>
      </c>
    </row>
    <row r="2574" spans="1:4">
      <c r="A2574" s="58" t="s">
        <v>4371</v>
      </c>
      <c r="B2574" s="58">
        <v>531810</v>
      </c>
      <c r="C2574" s="58" t="s">
        <v>588</v>
      </c>
      <c r="D2574" s="58" t="s">
        <v>911</v>
      </c>
    </row>
    <row r="2575" spans="1:4">
      <c r="A2575" s="58" t="s">
        <v>4372</v>
      </c>
      <c r="B2575" s="58">
        <v>531810</v>
      </c>
      <c r="C2575" s="58" t="s">
        <v>588</v>
      </c>
      <c r="D2575" s="58" t="s">
        <v>911</v>
      </c>
    </row>
    <row r="2576" spans="1:4">
      <c r="A2576" s="58" t="s">
        <v>4373</v>
      </c>
      <c r="B2576" s="58">
        <v>513335</v>
      </c>
      <c r="C2576" s="58" t="s">
        <v>4374</v>
      </c>
      <c r="D2576" s="58" t="s">
        <v>1506</v>
      </c>
    </row>
    <row r="2577" spans="1:4">
      <c r="A2577" s="58" t="s">
        <v>4375</v>
      </c>
      <c r="B2577" s="58">
        <v>532990</v>
      </c>
      <c r="C2577" s="58" t="s">
        <v>4376</v>
      </c>
      <c r="D2577" s="58" t="s">
        <v>620</v>
      </c>
    </row>
    <row r="2578" spans="1:4">
      <c r="A2578" s="58" t="s">
        <v>4377</v>
      </c>
      <c r="B2578" s="58">
        <v>500159</v>
      </c>
      <c r="C2578" s="58" t="s">
        <v>588</v>
      </c>
      <c r="D2578" s="58" t="s">
        <v>582</v>
      </c>
    </row>
    <row r="2579" spans="1:4">
      <c r="A2579" s="58" t="s">
        <v>4378</v>
      </c>
      <c r="B2579" s="58">
        <v>542650</v>
      </c>
      <c r="C2579" s="58" t="s">
        <v>4379</v>
      </c>
      <c r="D2579" s="58" t="s">
        <v>777</v>
      </c>
    </row>
    <row r="2580" spans="1:4">
      <c r="A2580" s="58" t="s">
        <v>4380</v>
      </c>
      <c r="B2580" s="58">
        <v>540150</v>
      </c>
      <c r="C2580" s="58" t="s">
        <v>588</v>
      </c>
      <c r="D2580" s="58" t="s">
        <v>986</v>
      </c>
    </row>
    <row r="2581" spans="1:4">
      <c r="A2581" s="58" t="s">
        <v>4381</v>
      </c>
      <c r="B2581" s="58">
        <v>513496</v>
      </c>
      <c r="C2581" s="58" t="s">
        <v>588</v>
      </c>
      <c r="D2581" s="58" t="s">
        <v>3099</v>
      </c>
    </row>
    <row r="2582" spans="1:4">
      <c r="A2582" s="58" t="s">
        <v>4382</v>
      </c>
      <c r="B2582" s="58">
        <v>531613</v>
      </c>
      <c r="C2582" s="58" t="s">
        <v>4383</v>
      </c>
      <c r="D2582" s="58" t="s">
        <v>1144</v>
      </c>
    </row>
    <row r="2583" spans="1:4">
      <c r="A2583" s="58" t="s">
        <v>4384</v>
      </c>
      <c r="B2583" s="58">
        <v>526622</v>
      </c>
      <c r="C2583" s="58" t="s">
        <v>588</v>
      </c>
      <c r="D2583" s="58" t="s">
        <v>909</v>
      </c>
    </row>
    <row r="2584" spans="1:4">
      <c r="A2584" s="58" t="s">
        <v>4385</v>
      </c>
      <c r="B2584" s="58">
        <v>526622</v>
      </c>
      <c r="C2584" s="58" t="s">
        <v>588</v>
      </c>
      <c r="D2584" s="58" t="s">
        <v>909</v>
      </c>
    </row>
    <row r="2585" spans="1:4">
      <c r="A2585" s="58" t="s">
        <v>4386</v>
      </c>
      <c r="B2585" s="58">
        <v>513721</v>
      </c>
      <c r="C2585" s="58" t="s">
        <v>588</v>
      </c>
      <c r="D2585" s="58" t="s">
        <v>620</v>
      </c>
    </row>
    <row r="2586" spans="1:4">
      <c r="A2586" s="58" t="s">
        <v>4387</v>
      </c>
      <c r="B2586" s="58">
        <v>532850</v>
      </c>
      <c r="C2586" s="58" t="s">
        <v>4388</v>
      </c>
      <c r="D2586" s="58" t="s">
        <v>1130</v>
      </c>
    </row>
    <row r="2587" spans="1:4">
      <c r="A2587" s="58" t="s">
        <v>4389</v>
      </c>
      <c r="B2587" s="58">
        <v>523343</v>
      </c>
      <c r="C2587" s="58" t="s">
        <v>588</v>
      </c>
      <c r="D2587" s="58" t="s">
        <v>605</v>
      </c>
    </row>
    <row r="2588" spans="1:4">
      <c r="A2588" s="58" t="s">
        <v>4390</v>
      </c>
      <c r="B2588" s="58">
        <v>523343</v>
      </c>
      <c r="C2588" s="58" t="s">
        <v>588</v>
      </c>
      <c r="D2588" s="58" t="s">
        <v>605</v>
      </c>
    </row>
    <row r="2589" spans="1:4">
      <c r="A2589" s="58" t="s">
        <v>4391</v>
      </c>
      <c r="B2589" s="58">
        <v>526251</v>
      </c>
      <c r="C2589" s="58" t="s">
        <v>588</v>
      </c>
      <c r="D2589" s="58" t="s">
        <v>571</v>
      </c>
    </row>
    <row r="2590" spans="1:4">
      <c r="A2590" s="58" t="s">
        <v>4392</v>
      </c>
      <c r="B2590" s="58">
        <v>500277</v>
      </c>
      <c r="C2590" s="58" t="s">
        <v>588</v>
      </c>
      <c r="D2590" s="58" t="s">
        <v>603</v>
      </c>
    </row>
    <row r="2591" spans="1:4">
      <c r="A2591" s="58" t="s">
        <v>4393</v>
      </c>
      <c r="B2591" s="58">
        <v>531192</v>
      </c>
      <c r="C2591" s="58" t="s">
        <v>588</v>
      </c>
      <c r="D2591" s="58" t="s">
        <v>605</v>
      </c>
    </row>
    <row r="2592" spans="1:4">
      <c r="A2592" s="58" t="s">
        <v>4394</v>
      </c>
      <c r="B2592" s="58">
        <v>540744</v>
      </c>
      <c r="C2592" s="58" t="s">
        <v>588</v>
      </c>
      <c r="D2592" s="58" t="s">
        <v>620</v>
      </c>
    </row>
    <row r="2593" spans="1:4">
      <c r="A2593" s="58" t="s">
        <v>4395</v>
      </c>
      <c r="B2593" s="58">
        <v>533310</v>
      </c>
      <c r="C2593" s="58" t="s">
        <v>4396</v>
      </c>
      <c r="D2593" s="58" t="s">
        <v>4397</v>
      </c>
    </row>
    <row r="2594" spans="1:4">
      <c r="A2594" s="58" t="s">
        <v>4398</v>
      </c>
      <c r="B2594" s="58">
        <v>526570</v>
      </c>
      <c r="C2594" s="58" t="s">
        <v>588</v>
      </c>
      <c r="D2594" s="58" t="s">
        <v>1116</v>
      </c>
    </row>
    <row r="2595" spans="1:4">
      <c r="A2595" s="58" t="s">
        <v>4399</v>
      </c>
      <c r="B2595" s="58">
        <v>538895</v>
      </c>
      <c r="C2595" s="58" t="s">
        <v>588</v>
      </c>
      <c r="D2595" s="58" t="s">
        <v>610</v>
      </c>
    </row>
    <row r="2596" spans="1:4">
      <c r="A2596" s="58" t="s">
        <v>4400</v>
      </c>
      <c r="B2596" s="58">
        <v>541337</v>
      </c>
      <c r="C2596" s="58" t="s">
        <v>588</v>
      </c>
      <c r="D2596" s="58" t="s">
        <v>865</v>
      </c>
    </row>
    <row r="2597" spans="1:4">
      <c r="A2597" s="58" t="s">
        <v>4401</v>
      </c>
      <c r="B2597" s="58">
        <v>531338</v>
      </c>
      <c r="C2597" s="58" t="s">
        <v>588</v>
      </c>
      <c r="D2597" s="58" t="s">
        <v>1116</v>
      </c>
    </row>
    <row r="2598" spans="1:4">
      <c r="A2598" s="58" t="s">
        <v>4402</v>
      </c>
      <c r="B2598" s="58">
        <v>511018</v>
      </c>
      <c r="C2598" s="58" t="s">
        <v>588</v>
      </c>
      <c r="D2598" s="58" t="s">
        <v>1009</v>
      </c>
    </row>
    <row r="2599" spans="1:4">
      <c r="A2599" s="58" t="s">
        <v>4403</v>
      </c>
      <c r="B2599" s="58">
        <v>507621</v>
      </c>
      <c r="C2599" s="58" t="s">
        <v>588</v>
      </c>
      <c r="D2599" s="58" t="s">
        <v>648</v>
      </c>
    </row>
    <row r="2600" spans="1:4">
      <c r="A2600" s="58" t="s">
        <v>4404</v>
      </c>
      <c r="B2600" s="58">
        <v>511187</v>
      </c>
      <c r="C2600" s="58" t="s">
        <v>588</v>
      </c>
      <c r="D2600" s="58" t="s">
        <v>1009</v>
      </c>
    </row>
    <row r="2601" spans="1:4">
      <c r="A2601" s="58" t="s">
        <v>4405</v>
      </c>
      <c r="B2601" s="58" t="s">
        <v>588</v>
      </c>
      <c r="C2601" s="58" t="s">
        <v>4406</v>
      </c>
      <c r="D2601" s="58" t="s">
        <v>599</v>
      </c>
    </row>
    <row r="2602" spans="1:4">
      <c r="A2602" s="58" t="s">
        <v>4407</v>
      </c>
      <c r="B2602" s="58">
        <v>531456</v>
      </c>
      <c r="C2602" s="58" t="s">
        <v>588</v>
      </c>
      <c r="D2602" s="58" t="s">
        <v>603</v>
      </c>
    </row>
    <row r="2603" spans="1:4">
      <c r="A2603" s="58" t="s">
        <v>4408</v>
      </c>
      <c r="B2603" s="58">
        <v>538962</v>
      </c>
      <c r="C2603" s="58" t="s">
        <v>4409</v>
      </c>
      <c r="D2603" s="58" t="s">
        <v>943</v>
      </c>
    </row>
    <row r="2604" spans="1:4">
      <c r="A2604" s="58" t="s">
        <v>4410</v>
      </c>
      <c r="B2604" s="58">
        <v>539303</v>
      </c>
      <c r="C2604" s="58" t="s">
        <v>588</v>
      </c>
      <c r="D2604" s="58" t="s">
        <v>605</v>
      </c>
    </row>
    <row r="2605" spans="1:4">
      <c r="A2605" s="58" t="s">
        <v>4411</v>
      </c>
      <c r="B2605" s="58">
        <v>532539</v>
      </c>
      <c r="C2605" s="58" t="s">
        <v>4412</v>
      </c>
      <c r="D2605" s="58" t="s">
        <v>943</v>
      </c>
    </row>
    <row r="2606" spans="1:4">
      <c r="A2606" s="58" t="s">
        <v>4413</v>
      </c>
      <c r="B2606" s="58">
        <v>517344</v>
      </c>
      <c r="C2606" s="58" t="s">
        <v>4414</v>
      </c>
      <c r="D2606" s="58" t="s">
        <v>681</v>
      </c>
    </row>
    <row r="2607" spans="1:4">
      <c r="A2607" s="58" t="s">
        <v>4415</v>
      </c>
      <c r="B2607" s="58">
        <v>517344</v>
      </c>
      <c r="C2607" s="58" t="s">
        <v>4414</v>
      </c>
      <c r="D2607" s="58" t="s">
        <v>681</v>
      </c>
    </row>
    <row r="2608" spans="1:4">
      <c r="A2608" s="58" t="s">
        <v>4416</v>
      </c>
      <c r="B2608" s="58">
        <v>532819</v>
      </c>
      <c r="C2608" s="58" t="s">
        <v>4417</v>
      </c>
      <c r="D2608" s="58" t="s">
        <v>574</v>
      </c>
    </row>
    <row r="2609" spans="1:4">
      <c r="A2609" s="58" t="s">
        <v>4418</v>
      </c>
      <c r="B2609" s="58">
        <v>523373</v>
      </c>
      <c r="C2609" s="58" t="s">
        <v>588</v>
      </c>
      <c r="D2609" s="58" t="s">
        <v>702</v>
      </c>
    </row>
    <row r="2610" spans="1:4">
      <c r="A2610" s="58" t="s">
        <v>4419</v>
      </c>
      <c r="B2610" s="58">
        <v>523373</v>
      </c>
      <c r="C2610" s="58" t="s">
        <v>588</v>
      </c>
      <c r="D2610" s="58" t="s">
        <v>702</v>
      </c>
    </row>
    <row r="2611" spans="1:4">
      <c r="A2611" s="58" t="s">
        <v>4420</v>
      </c>
      <c r="B2611" s="58">
        <v>532164</v>
      </c>
      <c r="C2611" s="58" t="s">
        <v>588</v>
      </c>
      <c r="D2611" s="58" t="s">
        <v>605</v>
      </c>
    </row>
    <row r="2612" spans="1:4">
      <c r="A2612" s="58" t="s">
        <v>4421</v>
      </c>
      <c r="B2612" s="58">
        <v>505797</v>
      </c>
      <c r="C2612" s="58" t="s">
        <v>588</v>
      </c>
      <c r="D2612" s="58" t="s">
        <v>773</v>
      </c>
    </row>
    <row r="2613" spans="1:4">
      <c r="A2613" s="58" t="s">
        <v>4422</v>
      </c>
      <c r="B2613" s="58">
        <v>500279</v>
      </c>
      <c r="C2613" s="58" t="s">
        <v>4423</v>
      </c>
      <c r="D2613" s="58" t="s">
        <v>957</v>
      </c>
    </row>
    <row r="2614" spans="1:4">
      <c r="A2614" s="58" t="s">
        <v>4424</v>
      </c>
      <c r="B2614" s="58">
        <v>505336</v>
      </c>
      <c r="C2614" s="58" t="s">
        <v>588</v>
      </c>
      <c r="D2614" s="58" t="s">
        <v>596</v>
      </c>
    </row>
    <row r="2615" spans="1:4">
      <c r="A2615" s="58" t="s">
        <v>4425</v>
      </c>
      <c r="B2615" s="58">
        <v>505336</v>
      </c>
      <c r="C2615" s="58" t="s">
        <v>588</v>
      </c>
      <c r="D2615" s="58" t="s">
        <v>596</v>
      </c>
    </row>
    <row r="2616" spans="1:4">
      <c r="A2616" s="58" t="s">
        <v>4426</v>
      </c>
      <c r="B2616" s="58">
        <v>526642</v>
      </c>
      <c r="C2616" s="58" t="s">
        <v>4427</v>
      </c>
      <c r="D2616" s="58" t="s">
        <v>1014</v>
      </c>
    </row>
    <row r="2617" spans="1:4">
      <c r="A2617" s="58" t="s">
        <v>4428</v>
      </c>
      <c r="B2617" s="58">
        <v>539220</v>
      </c>
      <c r="C2617" s="58" t="s">
        <v>588</v>
      </c>
      <c r="D2617" s="58" t="s">
        <v>702</v>
      </c>
    </row>
    <row r="2618" spans="1:4">
      <c r="A2618" s="58" t="s">
        <v>4429</v>
      </c>
      <c r="B2618" s="58">
        <v>541195</v>
      </c>
      <c r="C2618" s="58" t="s">
        <v>4430</v>
      </c>
      <c r="D2618" s="58" t="s">
        <v>911</v>
      </c>
    </row>
    <row r="2619" spans="1:4">
      <c r="A2619" s="58" t="s">
        <v>4431</v>
      </c>
      <c r="B2619" s="58">
        <v>539594</v>
      </c>
      <c r="C2619" s="58" t="s">
        <v>588</v>
      </c>
      <c r="D2619" s="58" t="s">
        <v>786</v>
      </c>
    </row>
    <row r="2620" spans="1:4">
      <c r="A2620" s="58" t="s">
        <v>4432</v>
      </c>
      <c r="B2620" s="58" t="s">
        <v>588</v>
      </c>
      <c r="C2620" s="58" t="s">
        <v>4433</v>
      </c>
      <c r="D2620" s="58" t="s">
        <v>599</v>
      </c>
    </row>
    <row r="2621" spans="1:4">
      <c r="A2621" s="58" t="s">
        <v>4434</v>
      </c>
      <c r="B2621" s="58">
        <v>523782</v>
      </c>
      <c r="C2621" s="58" t="s">
        <v>588</v>
      </c>
      <c r="D2621" s="58" t="s">
        <v>610</v>
      </c>
    </row>
    <row r="2622" spans="1:4">
      <c r="A2622" s="58" t="s">
        <v>4435</v>
      </c>
      <c r="B2622" s="58">
        <v>523782</v>
      </c>
      <c r="C2622" s="58" t="s">
        <v>588</v>
      </c>
      <c r="D2622" s="58" t="s">
        <v>610</v>
      </c>
    </row>
    <row r="2623" spans="1:4">
      <c r="A2623" s="58" t="s">
        <v>4436</v>
      </c>
      <c r="B2623" s="58">
        <v>540078</v>
      </c>
      <c r="C2623" s="58" t="s">
        <v>588</v>
      </c>
      <c r="D2623" s="58" t="s">
        <v>783</v>
      </c>
    </row>
    <row r="2624" spans="1:4">
      <c r="A2624" s="58" t="s">
        <v>4437</v>
      </c>
      <c r="B2624" s="58" t="s">
        <v>588</v>
      </c>
      <c r="C2624" s="58" t="s">
        <v>4438</v>
      </c>
      <c r="D2624" s="58" t="s">
        <v>599</v>
      </c>
    </row>
    <row r="2625" spans="1:4">
      <c r="A2625" s="58" t="s">
        <v>4439</v>
      </c>
      <c r="B2625" s="58">
        <v>522036</v>
      </c>
      <c r="C2625" s="58" t="s">
        <v>4440</v>
      </c>
      <c r="D2625" s="58" t="s">
        <v>773</v>
      </c>
    </row>
    <row r="2626" spans="1:4">
      <c r="A2626" s="58" t="s">
        <v>4441</v>
      </c>
      <c r="B2626" s="58">
        <v>522241</v>
      </c>
      <c r="C2626" s="58" t="s">
        <v>4442</v>
      </c>
      <c r="D2626" s="58" t="s">
        <v>1506</v>
      </c>
    </row>
    <row r="2627" spans="1:4">
      <c r="A2627" s="58" t="s">
        <v>4443</v>
      </c>
      <c r="B2627" s="58">
        <v>509196</v>
      </c>
      <c r="C2627" s="58" t="s">
        <v>4444</v>
      </c>
      <c r="D2627" s="58" t="s">
        <v>4445</v>
      </c>
    </row>
    <row r="2628" spans="1:4">
      <c r="A2628" s="58" t="s">
        <v>4446</v>
      </c>
      <c r="B2628" s="58" t="s">
        <v>588</v>
      </c>
      <c r="C2628" s="58" t="s">
        <v>4447</v>
      </c>
      <c r="D2628" s="58" t="s">
        <v>599</v>
      </c>
    </row>
    <row r="2629" spans="1:4">
      <c r="A2629" s="58" t="s">
        <v>4448</v>
      </c>
      <c r="B2629" s="58">
        <v>513377</v>
      </c>
      <c r="C2629" s="58" t="s">
        <v>4449</v>
      </c>
      <c r="D2629" s="58" t="s">
        <v>610</v>
      </c>
    </row>
    <row r="2630" spans="1:4">
      <c r="A2630" s="58" t="s">
        <v>4450</v>
      </c>
      <c r="B2630" s="58">
        <v>503772</v>
      </c>
      <c r="C2630" s="58" t="s">
        <v>588</v>
      </c>
      <c r="D2630" s="58" t="s">
        <v>610</v>
      </c>
    </row>
    <row r="2631" spans="1:4">
      <c r="A2631" s="58" t="s">
        <v>4451</v>
      </c>
      <c r="B2631" s="58">
        <v>503015</v>
      </c>
      <c r="C2631" s="58" t="s">
        <v>588</v>
      </c>
      <c r="D2631" s="58" t="s">
        <v>610</v>
      </c>
    </row>
    <row r="2632" spans="1:4">
      <c r="A2632" s="58" t="s">
        <v>4452</v>
      </c>
      <c r="B2632" s="58">
        <v>539762</v>
      </c>
      <c r="C2632" s="58" t="s">
        <v>588</v>
      </c>
      <c r="D2632" s="58" t="s">
        <v>786</v>
      </c>
    </row>
    <row r="2633" spans="1:4">
      <c r="A2633" s="58" t="s">
        <v>4453</v>
      </c>
      <c r="B2633" s="58">
        <v>519287</v>
      </c>
      <c r="C2633" s="58" t="s">
        <v>588</v>
      </c>
      <c r="D2633" s="58" t="s">
        <v>648</v>
      </c>
    </row>
    <row r="2634" spans="1:4">
      <c r="A2634" s="58" t="s">
        <v>4454</v>
      </c>
      <c r="B2634" s="58">
        <v>503015</v>
      </c>
      <c r="C2634" s="58" t="s">
        <v>588</v>
      </c>
      <c r="D2634" s="58" t="s">
        <v>610</v>
      </c>
    </row>
    <row r="2635" spans="1:4">
      <c r="A2635" s="58" t="s">
        <v>4455</v>
      </c>
      <c r="B2635" s="58">
        <v>509760</v>
      </c>
      <c r="C2635" s="58" t="s">
        <v>588</v>
      </c>
      <c r="D2635" s="58" t="s">
        <v>571</v>
      </c>
    </row>
    <row r="2636" spans="1:4">
      <c r="A2636" s="58" t="s">
        <v>4456</v>
      </c>
      <c r="B2636" s="58">
        <v>513303</v>
      </c>
      <c r="C2636" s="58" t="s">
        <v>4457</v>
      </c>
      <c r="D2636" s="58" t="s">
        <v>4458</v>
      </c>
    </row>
    <row r="2637" spans="1:4">
      <c r="A2637" s="58" t="s">
        <v>4459</v>
      </c>
      <c r="B2637" s="58">
        <v>537092</v>
      </c>
      <c r="C2637" s="58" t="s">
        <v>588</v>
      </c>
      <c r="D2637" s="58" t="s">
        <v>571</v>
      </c>
    </row>
    <row r="2638" spans="1:4">
      <c r="A2638" s="58" t="s">
        <v>4460</v>
      </c>
      <c r="B2638" s="58">
        <v>519003</v>
      </c>
      <c r="C2638" s="58" t="s">
        <v>588</v>
      </c>
      <c r="D2638" s="58" t="s">
        <v>786</v>
      </c>
    </row>
    <row r="2639" spans="1:4">
      <c r="A2639" s="58" t="s">
        <v>4461</v>
      </c>
      <c r="B2639" s="58">
        <v>500890</v>
      </c>
      <c r="C2639" s="58" t="s">
        <v>4462</v>
      </c>
      <c r="D2639" s="58" t="s">
        <v>1068</v>
      </c>
    </row>
    <row r="2640" spans="1:4">
      <c r="A2640" s="58" t="s">
        <v>4463</v>
      </c>
      <c r="B2640" s="58">
        <v>503776</v>
      </c>
      <c r="C2640" s="58" t="s">
        <v>588</v>
      </c>
      <c r="D2640" s="58" t="s">
        <v>732</v>
      </c>
    </row>
    <row r="2641" spans="1:4">
      <c r="A2641" s="58" t="s">
        <v>4464</v>
      </c>
      <c r="B2641" s="58">
        <v>506261</v>
      </c>
      <c r="C2641" s="58" t="s">
        <v>588</v>
      </c>
      <c r="D2641" s="58" t="s">
        <v>886</v>
      </c>
    </row>
    <row r="2642" spans="1:4">
      <c r="A2642" s="58" t="s">
        <v>4465</v>
      </c>
      <c r="B2642" s="58" t="s">
        <v>588</v>
      </c>
      <c r="C2642" s="58" t="s">
        <v>4466</v>
      </c>
      <c r="D2642" s="58" t="s">
        <v>599</v>
      </c>
    </row>
    <row r="2643" spans="1:4">
      <c r="A2643" s="58" t="s">
        <v>4467</v>
      </c>
      <c r="B2643" s="58">
        <v>531453</v>
      </c>
      <c r="C2643" s="58" t="s">
        <v>4468</v>
      </c>
      <c r="D2643" s="58" t="s">
        <v>603</v>
      </c>
    </row>
    <row r="2644" spans="1:4">
      <c r="A2644" s="58" t="s">
        <v>4469</v>
      </c>
      <c r="B2644" s="58">
        <v>530169</v>
      </c>
      <c r="C2644" s="58" t="s">
        <v>588</v>
      </c>
      <c r="D2644" s="58" t="s">
        <v>582</v>
      </c>
    </row>
    <row r="2645" spans="1:4">
      <c r="A2645" s="58" t="s">
        <v>4470</v>
      </c>
      <c r="B2645" s="58">
        <v>532140</v>
      </c>
      <c r="C2645" s="58" t="s">
        <v>588</v>
      </c>
      <c r="D2645" s="58" t="s">
        <v>603</v>
      </c>
    </row>
    <row r="2646" spans="1:4">
      <c r="A2646" s="58" t="s">
        <v>4471</v>
      </c>
      <c r="B2646" s="58">
        <v>530047</v>
      </c>
      <c r="C2646" s="58" t="s">
        <v>4472</v>
      </c>
      <c r="D2646" s="58" t="s">
        <v>603</v>
      </c>
    </row>
    <row r="2647" spans="1:4">
      <c r="A2647" s="58" t="s">
        <v>4473</v>
      </c>
      <c r="B2647" s="58">
        <v>533286</v>
      </c>
      <c r="C2647" s="58" t="s">
        <v>4474</v>
      </c>
      <c r="D2647" s="58" t="s">
        <v>568</v>
      </c>
    </row>
    <row r="2648" spans="1:4">
      <c r="A2648" s="58" t="s">
        <v>4475</v>
      </c>
      <c r="B2648" s="58" t="s">
        <v>588</v>
      </c>
      <c r="C2648" s="58" t="s">
        <v>4476</v>
      </c>
      <c r="D2648" s="58" t="s">
        <v>599</v>
      </c>
    </row>
    <row r="2649" spans="1:4">
      <c r="A2649" s="58" t="s">
        <v>4477</v>
      </c>
      <c r="B2649" s="58">
        <v>533080</v>
      </c>
      <c r="C2649" s="58" t="s">
        <v>4478</v>
      </c>
      <c r="D2649" s="58" t="s">
        <v>783</v>
      </c>
    </row>
    <row r="2650" spans="1:4">
      <c r="A2650" s="58" t="s">
        <v>4479</v>
      </c>
      <c r="B2650" s="58">
        <v>526263</v>
      </c>
      <c r="C2650" s="58" t="s">
        <v>4480</v>
      </c>
      <c r="D2650" s="58" t="s">
        <v>918</v>
      </c>
    </row>
    <row r="2651" spans="1:4">
      <c r="A2651" s="58" t="s">
        <v>4481</v>
      </c>
      <c r="B2651" s="58">
        <v>511551</v>
      </c>
      <c r="C2651" s="58" t="s">
        <v>588</v>
      </c>
      <c r="D2651" s="58" t="s">
        <v>571</v>
      </c>
    </row>
    <row r="2652" spans="1:4">
      <c r="A2652" s="58" t="s">
        <v>4482</v>
      </c>
      <c r="B2652" s="58">
        <v>535910</v>
      </c>
      <c r="C2652" s="58" t="s">
        <v>588</v>
      </c>
      <c r="D2652" s="58" t="s">
        <v>605</v>
      </c>
    </row>
    <row r="2653" spans="1:4">
      <c r="A2653" s="58" t="s">
        <v>4483</v>
      </c>
      <c r="B2653" s="58">
        <v>532078</v>
      </c>
      <c r="C2653" s="58" t="s">
        <v>588</v>
      </c>
      <c r="D2653" s="58" t="s">
        <v>620</v>
      </c>
    </row>
    <row r="2654" spans="1:4">
      <c r="A2654" s="58" t="s">
        <v>4484</v>
      </c>
      <c r="B2654" s="58">
        <v>513446</v>
      </c>
      <c r="C2654" s="58" t="s">
        <v>4485</v>
      </c>
      <c r="D2654" s="58" t="s">
        <v>620</v>
      </c>
    </row>
    <row r="2655" spans="1:4">
      <c r="A2655" s="58" t="s">
        <v>4486</v>
      </c>
      <c r="B2655" s="58">
        <v>532723</v>
      </c>
      <c r="C2655" s="58" t="s">
        <v>588</v>
      </c>
      <c r="D2655" s="58" t="s">
        <v>674</v>
      </c>
    </row>
    <row r="2656" spans="1:4">
      <c r="A2656" s="58" t="s">
        <v>4487</v>
      </c>
      <c r="B2656" s="58">
        <v>505343</v>
      </c>
      <c r="C2656" s="58" t="s">
        <v>588</v>
      </c>
      <c r="D2656" s="58" t="s">
        <v>1009</v>
      </c>
    </row>
    <row r="2657" spans="1:4">
      <c r="A2657" s="58" t="s">
        <v>4488</v>
      </c>
      <c r="B2657" s="58">
        <v>505343</v>
      </c>
      <c r="C2657" s="58" t="s">
        <v>588</v>
      </c>
      <c r="D2657" s="58" t="s">
        <v>1009</v>
      </c>
    </row>
    <row r="2658" spans="1:4">
      <c r="A2658" s="58" t="s">
        <v>4489</v>
      </c>
      <c r="B2658" s="58">
        <v>524084</v>
      </c>
      <c r="C2658" s="58" t="s">
        <v>4490</v>
      </c>
      <c r="D2658" s="58" t="s">
        <v>732</v>
      </c>
    </row>
    <row r="2659" spans="1:4">
      <c r="A2659" s="58" t="s">
        <v>4491</v>
      </c>
      <c r="B2659" s="58">
        <v>524084</v>
      </c>
      <c r="C2659" s="58" t="s">
        <v>4490</v>
      </c>
      <c r="D2659" s="58" t="s">
        <v>732</v>
      </c>
    </row>
    <row r="2660" spans="1:4">
      <c r="A2660" s="58" t="s">
        <v>4492</v>
      </c>
      <c r="B2660" s="58">
        <v>538836</v>
      </c>
      <c r="C2660" s="58" t="s">
        <v>4493</v>
      </c>
      <c r="D2660" s="58" t="s">
        <v>702</v>
      </c>
    </row>
    <row r="2661" spans="1:4">
      <c r="A2661" s="58" t="s">
        <v>4494</v>
      </c>
      <c r="B2661" s="58">
        <v>530167</v>
      </c>
      <c r="C2661" s="58" t="s">
        <v>588</v>
      </c>
      <c r="D2661" s="58" t="s">
        <v>605</v>
      </c>
    </row>
    <row r="2662" spans="1:4">
      <c r="A2662" s="58" t="s">
        <v>4495</v>
      </c>
      <c r="B2662" s="58">
        <v>539199</v>
      </c>
      <c r="C2662" s="58" t="s">
        <v>588</v>
      </c>
      <c r="D2662" s="58" t="s">
        <v>571</v>
      </c>
    </row>
    <row r="2663" spans="1:4">
      <c r="A2663" s="58" t="s">
        <v>4496</v>
      </c>
      <c r="B2663" s="58">
        <v>532621</v>
      </c>
      <c r="C2663" s="58" t="s">
        <v>4497</v>
      </c>
      <c r="D2663" s="58" t="s">
        <v>603</v>
      </c>
    </row>
    <row r="2664" spans="1:4">
      <c r="A2664" s="58" t="s">
        <v>4498</v>
      </c>
      <c r="B2664" s="58">
        <v>511549</v>
      </c>
      <c r="C2664" s="58" t="s">
        <v>588</v>
      </c>
      <c r="D2664" s="58" t="s">
        <v>605</v>
      </c>
    </row>
    <row r="2665" spans="1:4">
      <c r="A2665" s="58" t="s">
        <v>4499</v>
      </c>
      <c r="B2665" s="58">
        <v>500288</v>
      </c>
      <c r="C2665" s="58" t="s">
        <v>4500</v>
      </c>
      <c r="D2665" s="58" t="s">
        <v>626</v>
      </c>
    </row>
    <row r="2666" spans="1:4">
      <c r="A2666" s="58" t="s">
        <v>4501</v>
      </c>
      <c r="B2666" s="58">
        <v>526237</v>
      </c>
      <c r="C2666" s="58" t="s">
        <v>588</v>
      </c>
      <c r="D2666" s="58" t="s">
        <v>605</v>
      </c>
    </row>
    <row r="2667" spans="1:4">
      <c r="A2667" s="58" t="s">
        <v>4502</v>
      </c>
      <c r="B2667" s="58">
        <v>523160</v>
      </c>
      <c r="C2667" s="58" t="s">
        <v>588</v>
      </c>
      <c r="D2667" s="58" t="s">
        <v>773</v>
      </c>
    </row>
    <row r="2668" spans="1:4">
      <c r="A2668" s="58" t="s">
        <v>4503</v>
      </c>
      <c r="B2668" s="58">
        <v>523160</v>
      </c>
      <c r="C2668" s="58" t="s">
        <v>588</v>
      </c>
      <c r="D2668" s="58" t="s">
        <v>773</v>
      </c>
    </row>
    <row r="2669" spans="1:4">
      <c r="A2669" s="58" t="s">
        <v>4504</v>
      </c>
      <c r="B2669" s="58">
        <v>513305</v>
      </c>
      <c r="C2669" s="58" t="s">
        <v>4505</v>
      </c>
      <c r="D2669" s="58" t="s">
        <v>1009</v>
      </c>
    </row>
    <row r="2670" spans="1:4">
      <c r="A2670" s="58" t="s">
        <v>4506</v>
      </c>
      <c r="B2670" s="58">
        <v>532407</v>
      </c>
      <c r="C2670" s="58" t="s">
        <v>588</v>
      </c>
      <c r="D2670" s="58" t="s">
        <v>681</v>
      </c>
    </row>
    <row r="2671" spans="1:4">
      <c r="A2671" s="58" t="s">
        <v>4507</v>
      </c>
      <c r="B2671" s="58" t="s">
        <v>588</v>
      </c>
      <c r="C2671" s="58" t="s">
        <v>4508</v>
      </c>
      <c r="D2671" s="58" t="s">
        <v>679</v>
      </c>
    </row>
    <row r="2672" spans="1:4">
      <c r="A2672" s="58" t="s">
        <v>4509</v>
      </c>
      <c r="B2672" s="58">
        <v>517334</v>
      </c>
      <c r="C2672" s="58" t="s">
        <v>4510</v>
      </c>
      <c r="D2672" s="58" t="s">
        <v>943</v>
      </c>
    </row>
    <row r="2673" spans="1:4">
      <c r="A2673" s="58" t="s">
        <v>4511</v>
      </c>
      <c r="B2673" s="58">
        <v>532892</v>
      </c>
      <c r="C2673" s="58" t="s">
        <v>4512</v>
      </c>
      <c r="D2673" s="58" t="s">
        <v>605</v>
      </c>
    </row>
    <row r="2674" spans="1:4">
      <c r="A2674" s="58" t="s">
        <v>4513</v>
      </c>
      <c r="B2674" s="58">
        <v>590115</v>
      </c>
      <c r="C2674" s="58" t="s">
        <v>4514</v>
      </c>
      <c r="D2674" s="58" t="s">
        <v>571</v>
      </c>
    </row>
    <row r="2675" spans="1:4">
      <c r="A2675" s="58" t="s">
        <v>4515</v>
      </c>
      <c r="B2675" s="58">
        <v>533385</v>
      </c>
      <c r="C2675" s="58" t="s">
        <v>4516</v>
      </c>
      <c r="D2675" s="58" t="s">
        <v>571</v>
      </c>
    </row>
    <row r="2676" spans="1:4">
      <c r="A2676" s="58" t="s">
        <v>4517</v>
      </c>
      <c r="B2676" s="58">
        <v>507522</v>
      </c>
      <c r="C2676" s="58" t="s">
        <v>588</v>
      </c>
      <c r="D2676" s="58" t="s">
        <v>1219</v>
      </c>
    </row>
    <row r="2677" spans="1:4">
      <c r="A2677" s="58" t="s">
        <v>4518</v>
      </c>
      <c r="B2677" s="58">
        <v>526299</v>
      </c>
      <c r="C2677" s="58" t="s">
        <v>4519</v>
      </c>
      <c r="D2677" s="58" t="s">
        <v>574</v>
      </c>
    </row>
    <row r="2678" spans="1:4">
      <c r="A2678" s="58" t="s">
        <v>4520</v>
      </c>
      <c r="B2678" s="58">
        <v>500450</v>
      </c>
      <c r="C2678" s="58" t="s">
        <v>588</v>
      </c>
      <c r="D2678" s="58" t="s">
        <v>571</v>
      </c>
    </row>
    <row r="2679" spans="1:4">
      <c r="A2679" s="58" t="s">
        <v>4521</v>
      </c>
      <c r="B2679" s="58">
        <v>526143</v>
      </c>
      <c r="C2679" s="58" t="s">
        <v>588</v>
      </c>
      <c r="D2679" s="58" t="s">
        <v>783</v>
      </c>
    </row>
    <row r="2680" spans="1:4">
      <c r="A2680" s="58" t="s">
        <v>4522</v>
      </c>
      <c r="B2680" s="58">
        <v>532440</v>
      </c>
      <c r="C2680" s="58" t="s">
        <v>4523</v>
      </c>
      <c r="D2680" s="58" t="s">
        <v>2578</v>
      </c>
    </row>
    <row r="2681" spans="1:4">
      <c r="A2681" s="58" t="s">
        <v>4524</v>
      </c>
      <c r="B2681" s="58">
        <v>540809</v>
      </c>
      <c r="C2681" s="58" t="s">
        <v>588</v>
      </c>
      <c r="D2681" s="58" t="s">
        <v>610</v>
      </c>
    </row>
    <row r="2682" spans="1:4">
      <c r="A2682" s="58" t="s">
        <v>4525</v>
      </c>
      <c r="B2682" s="58">
        <v>500290</v>
      </c>
      <c r="C2682" s="58" t="s">
        <v>4526</v>
      </c>
      <c r="D2682" s="58" t="s">
        <v>1068</v>
      </c>
    </row>
    <row r="2683" spans="1:4">
      <c r="A2683" s="58" t="s">
        <v>4527</v>
      </c>
      <c r="B2683" s="58">
        <v>532376</v>
      </c>
      <c r="C2683" s="58" t="s">
        <v>4528</v>
      </c>
      <c r="D2683" s="58" t="s">
        <v>734</v>
      </c>
    </row>
    <row r="2684" spans="1:4">
      <c r="A2684" s="58" t="s">
        <v>4529</v>
      </c>
      <c r="B2684" s="58">
        <v>512065</v>
      </c>
      <c r="C2684" s="58" t="s">
        <v>588</v>
      </c>
      <c r="D2684" s="58" t="s">
        <v>605</v>
      </c>
    </row>
    <row r="2685" spans="1:4">
      <c r="A2685" s="58" t="s">
        <v>4530</v>
      </c>
      <c r="B2685" s="58">
        <v>532650</v>
      </c>
      <c r="C2685" s="58" t="s">
        <v>4531</v>
      </c>
      <c r="D2685" s="58" t="s">
        <v>911</v>
      </c>
    </row>
    <row r="2686" spans="1:4">
      <c r="A2686" s="58" t="s">
        <v>4532</v>
      </c>
      <c r="B2686" s="58">
        <v>508922</v>
      </c>
      <c r="C2686" s="58" t="s">
        <v>588</v>
      </c>
      <c r="D2686" s="58" t="s">
        <v>1632</v>
      </c>
    </row>
    <row r="2687" spans="1:4">
      <c r="A2687" s="58" t="s">
        <v>4533</v>
      </c>
      <c r="B2687" s="58">
        <v>508922</v>
      </c>
      <c r="C2687" s="58" t="s">
        <v>588</v>
      </c>
      <c r="D2687" s="58" t="s">
        <v>1632</v>
      </c>
    </row>
    <row r="2688" spans="1:4">
      <c r="A2688" s="58" t="s">
        <v>4534</v>
      </c>
      <c r="B2688" s="58" t="s">
        <v>588</v>
      </c>
      <c r="C2688" s="58" t="s">
        <v>4535</v>
      </c>
      <c r="D2688" s="58" t="s">
        <v>1632</v>
      </c>
    </row>
    <row r="2689" spans="1:4">
      <c r="A2689" s="58" t="s">
        <v>4536</v>
      </c>
      <c r="B2689" s="58">
        <v>542597</v>
      </c>
      <c r="C2689" s="58" t="s">
        <v>4537</v>
      </c>
      <c r="D2689" s="58" t="s">
        <v>954</v>
      </c>
    </row>
    <row r="2690" spans="1:4">
      <c r="A2690" s="58" t="s">
        <v>4538</v>
      </c>
      <c r="B2690" s="58">
        <v>534312</v>
      </c>
      <c r="C2690" s="58" t="s">
        <v>4539</v>
      </c>
      <c r="D2690" s="58" t="s">
        <v>693</v>
      </c>
    </row>
    <row r="2691" spans="1:4">
      <c r="A2691" s="58" t="s">
        <v>4540</v>
      </c>
      <c r="B2691" s="58">
        <v>531919</v>
      </c>
      <c r="C2691" s="58" t="s">
        <v>588</v>
      </c>
      <c r="D2691" s="58" t="s">
        <v>608</v>
      </c>
    </row>
    <row r="2692" spans="1:4">
      <c r="A2692" s="58" t="s">
        <v>4541</v>
      </c>
      <c r="B2692" s="58">
        <v>539819</v>
      </c>
      <c r="C2692" s="58" t="s">
        <v>588</v>
      </c>
      <c r="D2692" s="58" t="s">
        <v>571</v>
      </c>
    </row>
    <row r="2693" spans="1:4">
      <c r="A2693" s="58" t="s">
        <v>4542</v>
      </c>
      <c r="B2693" s="58">
        <v>538743</v>
      </c>
      <c r="C2693" s="58" t="s">
        <v>588</v>
      </c>
      <c r="D2693" s="58" t="s">
        <v>574</v>
      </c>
    </row>
    <row r="2694" spans="1:4">
      <c r="A2694" s="58" t="s">
        <v>4543</v>
      </c>
      <c r="B2694" s="58">
        <v>532097</v>
      </c>
      <c r="C2694" s="58" t="s">
        <v>4544</v>
      </c>
      <c r="D2694" s="58" t="s">
        <v>986</v>
      </c>
    </row>
    <row r="2695" spans="1:4">
      <c r="A2695" s="58" t="s">
        <v>4545</v>
      </c>
      <c r="B2695" s="58">
        <v>500460</v>
      </c>
      <c r="C2695" s="58" t="s">
        <v>4546</v>
      </c>
      <c r="D2695" s="58" t="s">
        <v>620</v>
      </c>
    </row>
    <row r="2696" spans="1:4">
      <c r="A2696" s="58" t="s">
        <v>4547</v>
      </c>
      <c r="B2696" s="58">
        <v>523832</v>
      </c>
      <c r="C2696" s="58" t="s">
        <v>4548</v>
      </c>
      <c r="D2696" s="58" t="s">
        <v>706</v>
      </c>
    </row>
    <row r="2697" spans="1:4">
      <c r="A2697" s="58" t="s">
        <v>4549</v>
      </c>
      <c r="B2697" s="58">
        <v>530341</v>
      </c>
      <c r="C2697" s="58" t="s">
        <v>588</v>
      </c>
      <c r="D2697" s="58" t="s">
        <v>571</v>
      </c>
    </row>
    <row r="2698" spans="1:4">
      <c r="A2698" s="58" t="s">
        <v>4550</v>
      </c>
      <c r="B2698" s="58">
        <v>535204</v>
      </c>
      <c r="C2698" s="58" t="s">
        <v>588</v>
      </c>
      <c r="D2698" s="58" t="s">
        <v>610</v>
      </c>
    </row>
    <row r="2699" spans="1:4">
      <c r="A2699" s="58" t="s">
        <v>4551</v>
      </c>
      <c r="B2699" s="58">
        <v>532357</v>
      </c>
      <c r="C2699" s="58" t="s">
        <v>4552</v>
      </c>
      <c r="D2699" s="58" t="s">
        <v>591</v>
      </c>
    </row>
    <row r="2700" spans="1:4">
      <c r="A2700" s="58" t="s">
        <v>4553</v>
      </c>
      <c r="B2700" s="58">
        <v>501477</v>
      </c>
      <c r="C2700" s="58" t="s">
        <v>588</v>
      </c>
      <c r="D2700" s="58" t="s">
        <v>610</v>
      </c>
    </row>
    <row r="2701" spans="1:4">
      <c r="A2701" s="58" t="s">
        <v>4554</v>
      </c>
      <c r="B2701" s="58">
        <v>501477</v>
      </c>
      <c r="C2701" s="58" t="s">
        <v>588</v>
      </c>
      <c r="D2701" s="58" t="s">
        <v>610</v>
      </c>
    </row>
    <row r="2702" spans="1:4">
      <c r="A2702" s="58" t="s">
        <v>4555</v>
      </c>
      <c r="B2702" s="58">
        <v>534091</v>
      </c>
      <c r="C2702" s="58" t="s">
        <v>4556</v>
      </c>
      <c r="D2702" s="58" t="s">
        <v>608</v>
      </c>
    </row>
    <row r="2703" spans="1:4">
      <c r="A2703" s="58" t="s">
        <v>4557</v>
      </c>
      <c r="B2703" s="58">
        <v>534091</v>
      </c>
      <c r="C2703" s="58" t="s">
        <v>4556</v>
      </c>
      <c r="D2703" s="58" t="s">
        <v>608</v>
      </c>
    </row>
    <row r="2704" spans="1:4">
      <c r="A2704" s="58" t="s">
        <v>4558</v>
      </c>
      <c r="B2704" s="58">
        <v>526169</v>
      </c>
      <c r="C2704" s="58" t="s">
        <v>588</v>
      </c>
      <c r="D2704" s="58" t="s">
        <v>1068</v>
      </c>
    </row>
    <row r="2705" spans="1:4">
      <c r="A2705" s="58" t="s">
        <v>4559</v>
      </c>
      <c r="B2705" s="58">
        <v>526169</v>
      </c>
      <c r="C2705" s="58" t="s">
        <v>588</v>
      </c>
      <c r="D2705" s="58" t="s">
        <v>1068</v>
      </c>
    </row>
    <row r="2706" spans="1:4">
      <c r="A2706" s="58" t="s">
        <v>4560</v>
      </c>
      <c r="B2706" s="58">
        <v>505594</v>
      </c>
      <c r="C2706" s="58" t="s">
        <v>588</v>
      </c>
      <c r="D2706" s="58" t="s">
        <v>1009</v>
      </c>
    </row>
    <row r="2707" spans="1:4">
      <c r="A2707" s="58" t="s">
        <v>4561</v>
      </c>
      <c r="B2707" s="58">
        <v>504356</v>
      </c>
      <c r="C2707" s="58" t="s">
        <v>588</v>
      </c>
      <c r="D2707" s="58" t="s">
        <v>1009</v>
      </c>
    </row>
    <row r="2708" spans="1:4">
      <c r="A2708" s="58" t="s">
        <v>4562</v>
      </c>
      <c r="B2708" s="58">
        <v>520059</v>
      </c>
      <c r="C2708" s="58" t="s">
        <v>4563</v>
      </c>
      <c r="D2708" s="58" t="s">
        <v>943</v>
      </c>
    </row>
    <row r="2709" spans="1:4">
      <c r="A2709" s="58" t="s">
        <v>4564</v>
      </c>
      <c r="B2709" s="58">
        <v>520043</v>
      </c>
      <c r="C2709" s="58" t="s">
        <v>4565</v>
      </c>
      <c r="D2709" s="58" t="s">
        <v>943</v>
      </c>
    </row>
    <row r="2710" spans="1:4">
      <c r="A2710" s="58" t="s">
        <v>4566</v>
      </c>
      <c r="B2710" s="58">
        <v>511200</v>
      </c>
      <c r="C2710" s="58" t="s">
        <v>588</v>
      </c>
      <c r="D2710" s="58" t="s">
        <v>1009</v>
      </c>
    </row>
    <row r="2711" spans="1:4">
      <c r="A2711" s="58" t="s">
        <v>4567</v>
      </c>
      <c r="B2711" s="58">
        <v>511401</v>
      </c>
      <c r="C2711" s="58" t="s">
        <v>4568</v>
      </c>
      <c r="D2711" s="58" t="s">
        <v>571</v>
      </c>
    </row>
    <row r="2712" spans="1:4">
      <c r="A2712" s="58" t="s">
        <v>4569</v>
      </c>
      <c r="B2712" s="58">
        <v>531821</v>
      </c>
      <c r="C2712" s="58" t="s">
        <v>588</v>
      </c>
      <c r="D2712" s="58" t="s">
        <v>571</v>
      </c>
    </row>
    <row r="2713" spans="1:4">
      <c r="A2713" s="58" t="s">
        <v>4570</v>
      </c>
      <c r="B2713" s="58">
        <v>515037</v>
      </c>
      <c r="C2713" s="58" t="s">
        <v>4571</v>
      </c>
      <c r="D2713" s="58" t="s">
        <v>865</v>
      </c>
    </row>
    <row r="2714" spans="1:4">
      <c r="A2714" s="58" t="s">
        <v>4572</v>
      </c>
      <c r="B2714" s="58">
        <v>540366</v>
      </c>
      <c r="C2714" s="58" t="s">
        <v>4573</v>
      </c>
      <c r="D2714" s="58" t="s">
        <v>1325</v>
      </c>
    </row>
    <row r="2715" spans="1:4">
      <c r="A2715" s="58" t="s">
        <v>4574</v>
      </c>
      <c r="B2715" s="58">
        <v>511766</v>
      </c>
      <c r="C2715" s="58" t="s">
        <v>4575</v>
      </c>
      <c r="D2715" s="58" t="s">
        <v>605</v>
      </c>
    </row>
    <row r="2716" spans="1:4">
      <c r="A2716" s="58" t="s">
        <v>4576</v>
      </c>
      <c r="B2716" s="58">
        <v>533398</v>
      </c>
      <c r="C2716" s="58" t="s">
        <v>4577</v>
      </c>
      <c r="D2716" s="58" t="s">
        <v>605</v>
      </c>
    </row>
    <row r="2717" spans="1:4">
      <c r="A2717" s="58" t="s">
        <v>4578</v>
      </c>
      <c r="B2717" s="58">
        <v>532991</v>
      </c>
      <c r="C2717" s="58" t="s">
        <v>4579</v>
      </c>
      <c r="D2717" s="58" t="s">
        <v>674</v>
      </c>
    </row>
    <row r="2718" spans="1:4">
      <c r="A2718" s="58" t="s">
        <v>4580</v>
      </c>
      <c r="B2718" s="58">
        <v>538862</v>
      </c>
      <c r="C2718" s="58" t="s">
        <v>588</v>
      </c>
      <c r="D2718" s="58" t="s">
        <v>571</v>
      </c>
    </row>
    <row r="2719" spans="1:4">
      <c r="A2719" s="58" t="s">
        <v>4581</v>
      </c>
      <c r="B2719" s="58">
        <v>506734</v>
      </c>
      <c r="C2719" s="58" t="s">
        <v>588</v>
      </c>
      <c r="D2719" s="58" t="s">
        <v>636</v>
      </c>
    </row>
    <row r="2720" spans="1:4">
      <c r="A2720" s="58" t="s">
        <v>4582</v>
      </c>
      <c r="B2720" s="58">
        <v>535205</v>
      </c>
      <c r="C2720" s="58" t="s">
        <v>588</v>
      </c>
      <c r="D2720" s="58" t="s">
        <v>610</v>
      </c>
    </row>
    <row r="2721" spans="1:4">
      <c r="A2721" s="58" t="s">
        <v>4583</v>
      </c>
      <c r="B2721" s="58" t="s">
        <v>588</v>
      </c>
      <c r="C2721" s="58" t="s">
        <v>4584</v>
      </c>
      <c r="D2721" s="58" t="s">
        <v>679</v>
      </c>
    </row>
    <row r="2722" spans="1:4">
      <c r="A2722" s="58" t="s">
        <v>4585</v>
      </c>
      <c r="B2722" s="58">
        <v>512024</v>
      </c>
      <c r="C2722" s="58" t="s">
        <v>588</v>
      </c>
      <c r="D2722" s="58" t="s">
        <v>662</v>
      </c>
    </row>
    <row r="2723" spans="1:4">
      <c r="A2723" s="58" t="s">
        <v>4586</v>
      </c>
      <c r="B2723" s="58">
        <v>530897</v>
      </c>
      <c r="C2723" s="58" t="s">
        <v>588</v>
      </c>
      <c r="D2723" s="58" t="s">
        <v>777</v>
      </c>
    </row>
    <row r="2724" spans="1:4">
      <c r="A2724" s="58" t="s">
        <v>4587</v>
      </c>
      <c r="B2724" s="58">
        <v>516082</v>
      </c>
      <c r="C2724" s="58" t="s">
        <v>4588</v>
      </c>
      <c r="D2724" s="58" t="s">
        <v>582</v>
      </c>
    </row>
    <row r="2725" spans="1:4">
      <c r="A2725" s="58" t="s">
        <v>4589</v>
      </c>
      <c r="B2725" s="58">
        <v>532623</v>
      </c>
      <c r="C2725" s="58" t="s">
        <v>588</v>
      </c>
      <c r="D2725" s="58" t="s">
        <v>610</v>
      </c>
    </row>
    <row r="2726" spans="1:4">
      <c r="A2726" s="58" t="s">
        <v>4590</v>
      </c>
      <c r="B2726" s="58">
        <v>512279</v>
      </c>
      <c r="C2726" s="58" t="s">
        <v>588</v>
      </c>
      <c r="D2726" s="58" t="s">
        <v>1009</v>
      </c>
    </row>
    <row r="2727" spans="1:4">
      <c r="A2727" s="58" t="s">
        <v>4591</v>
      </c>
      <c r="B2727" s="58">
        <v>524709</v>
      </c>
      <c r="C2727" s="58" t="s">
        <v>4592</v>
      </c>
      <c r="D2727" s="58" t="s">
        <v>732</v>
      </c>
    </row>
    <row r="2728" spans="1:4">
      <c r="A2728" s="58" t="s">
        <v>4593</v>
      </c>
      <c r="B2728" s="58" t="s">
        <v>588</v>
      </c>
      <c r="C2728" s="58" t="s">
        <v>4594</v>
      </c>
      <c r="D2728" s="58" t="s">
        <v>679</v>
      </c>
    </row>
    <row r="2729" spans="1:4">
      <c r="A2729" s="58" t="s">
        <v>4595</v>
      </c>
      <c r="B2729" s="58">
        <v>531832</v>
      </c>
      <c r="C2729" s="58" t="s">
        <v>588</v>
      </c>
      <c r="D2729" s="58" t="s">
        <v>786</v>
      </c>
    </row>
    <row r="2730" spans="1:4">
      <c r="A2730" s="58" t="s">
        <v>4596</v>
      </c>
      <c r="B2730" s="58">
        <v>539917</v>
      </c>
      <c r="C2730" s="58" t="s">
        <v>4597</v>
      </c>
      <c r="D2730" s="58" t="s">
        <v>1096</v>
      </c>
    </row>
    <row r="2731" spans="1:4">
      <c r="A2731" s="58" t="s">
        <v>4598</v>
      </c>
      <c r="B2731" s="58">
        <v>534184</v>
      </c>
      <c r="C2731" s="58" t="s">
        <v>4599</v>
      </c>
      <c r="D2731" s="58" t="s">
        <v>651</v>
      </c>
    </row>
    <row r="2732" spans="1:4">
      <c r="A2732" s="58" t="s">
        <v>4600</v>
      </c>
      <c r="B2732" s="58">
        <v>532362</v>
      </c>
      <c r="C2732" s="58" t="s">
        <v>588</v>
      </c>
      <c r="D2732" s="58" t="s">
        <v>620</v>
      </c>
    </row>
    <row r="2733" spans="1:4">
      <c r="A2733" s="58" t="s">
        <v>4601</v>
      </c>
      <c r="B2733" s="58">
        <v>532895</v>
      </c>
      <c r="C2733" s="58" t="s">
        <v>4602</v>
      </c>
      <c r="D2733" s="58" t="s">
        <v>608</v>
      </c>
    </row>
    <row r="2734" spans="1:4">
      <c r="A2734" s="58" t="s">
        <v>4603</v>
      </c>
      <c r="B2734" s="58">
        <v>521109</v>
      </c>
      <c r="C2734" s="58" t="s">
        <v>4604</v>
      </c>
      <c r="D2734" s="58" t="s">
        <v>603</v>
      </c>
    </row>
    <row r="2735" spans="1:4">
      <c r="A2735" s="58" t="s">
        <v>4605</v>
      </c>
      <c r="B2735" s="58">
        <v>532952</v>
      </c>
      <c r="C2735" s="58" t="s">
        <v>4606</v>
      </c>
      <c r="D2735" s="58" t="s">
        <v>608</v>
      </c>
    </row>
    <row r="2736" spans="1:4">
      <c r="A2736" s="58" t="s">
        <v>4607</v>
      </c>
      <c r="B2736" s="58">
        <v>519136</v>
      </c>
      <c r="C2736" s="58" t="s">
        <v>4608</v>
      </c>
      <c r="D2736" s="58" t="s">
        <v>603</v>
      </c>
    </row>
    <row r="2737" spans="1:4">
      <c r="A2737" s="58" t="s">
        <v>4609</v>
      </c>
      <c r="B2737" s="58">
        <v>523391</v>
      </c>
      <c r="C2737" s="58" t="s">
        <v>4610</v>
      </c>
      <c r="D2737" s="58" t="s">
        <v>603</v>
      </c>
    </row>
    <row r="2738" spans="1:4">
      <c r="A2738" s="58" t="s">
        <v>4611</v>
      </c>
      <c r="B2738" s="58">
        <v>500296</v>
      </c>
      <c r="C2738" s="58" t="s">
        <v>4612</v>
      </c>
      <c r="D2738" s="58" t="s">
        <v>603</v>
      </c>
    </row>
    <row r="2739" spans="1:4">
      <c r="A2739" s="58" t="s">
        <v>4613</v>
      </c>
      <c r="B2739" s="58">
        <v>541418</v>
      </c>
      <c r="C2739" s="58" t="s">
        <v>588</v>
      </c>
      <c r="D2739" s="58" t="s">
        <v>648</v>
      </c>
    </row>
    <row r="2740" spans="1:4">
      <c r="A2740" s="58" t="s">
        <v>4614</v>
      </c>
      <c r="B2740" s="58">
        <v>531212</v>
      </c>
      <c r="C2740" s="58" t="s">
        <v>588</v>
      </c>
      <c r="D2740" s="58" t="s">
        <v>605</v>
      </c>
    </row>
    <row r="2741" spans="1:4">
      <c r="A2741" s="58" t="s">
        <v>4615</v>
      </c>
      <c r="B2741" s="58">
        <v>532256</v>
      </c>
      <c r="C2741" s="58" t="s">
        <v>4616</v>
      </c>
      <c r="D2741" s="58" t="s">
        <v>605</v>
      </c>
    </row>
    <row r="2742" spans="1:4">
      <c r="A2742" s="58" t="s">
        <v>4617</v>
      </c>
      <c r="B2742" s="58">
        <v>538395</v>
      </c>
      <c r="C2742" s="58" t="s">
        <v>588</v>
      </c>
      <c r="D2742" s="58" t="s">
        <v>571</v>
      </c>
    </row>
    <row r="2743" spans="1:4">
      <c r="A2743" s="58" t="s">
        <v>4618</v>
      </c>
      <c r="B2743" s="58">
        <v>532641</v>
      </c>
      <c r="C2743" s="58" t="s">
        <v>4619</v>
      </c>
      <c r="D2743" s="58" t="s">
        <v>603</v>
      </c>
    </row>
    <row r="2744" spans="1:4">
      <c r="A2744" s="58" t="s">
        <v>4620</v>
      </c>
      <c r="B2744" s="58" t="s">
        <v>588</v>
      </c>
      <c r="C2744" s="58" t="s">
        <v>4621</v>
      </c>
      <c r="D2744" s="58" t="s">
        <v>599</v>
      </c>
    </row>
    <row r="2745" spans="1:4">
      <c r="A2745" s="58" t="s">
        <v>4622</v>
      </c>
      <c r="B2745" s="58">
        <v>539551</v>
      </c>
      <c r="C2745" s="58" t="s">
        <v>4623</v>
      </c>
      <c r="D2745" s="58" t="s">
        <v>1058</v>
      </c>
    </row>
    <row r="2746" spans="1:4">
      <c r="A2746" s="58" t="s">
        <v>4624</v>
      </c>
      <c r="B2746" s="58">
        <v>540080</v>
      </c>
      <c r="C2746" s="58" t="s">
        <v>588</v>
      </c>
      <c r="D2746" s="58" t="s">
        <v>620</v>
      </c>
    </row>
    <row r="2747" spans="1:4">
      <c r="A2747" s="58" t="s">
        <v>4625</v>
      </c>
      <c r="B2747" s="58">
        <v>519455</v>
      </c>
      <c r="C2747" s="58" t="s">
        <v>588</v>
      </c>
      <c r="D2747" s="58" t="s">
        <v>702</v>
      </c>
    </row>
    <row r="2748" spans="1:4">
      <c r="A2748" s="58" t="s">
        <v>4626</v>
      </c>
      <c r="B2748" s="58">
        <v>540204</v>
      </c>
      <c r="C2748" s="58" t="s">
        <v>4627</v>
      </c>
      <c r="D2748" s="58" t="s">
        <v>672</v>
      </c>
    </row>
    <row r="2749" spans="1:4">
      <c r="A2749" s="58" t="s">
        <v>4628</v>
      </c>
      <c r="B2749" s="58">
        <v>531416</v>
      </c>
      <c r="C2749" s="58" t="s">
        <v>588</v>
      </c>
      <c r="D2749" s="58" t="s">
        <v>674</v>
      </c>
    </row>
    <row r="2750" spans="1:4">
      <c r="A2750" s="58" t="s">
        <v>4629</v>
      </c>
      <c r="B2750" s="58" t="s">
        <v>588</v>
      </c>
      <c r="C2750" s="58" t="s">
        <v>4630</v>
      </c>
      <c r="D2750" s="58" t="s">
        <v>599</v>
      </c>
    </row>
    <row r="2751" spans="1:4">
      <c r="A2751" s="58" t="s">
        <v>4631</v>
      </c>
      <c r="B2751" s="58">
        <v>526739</v>
      </c>
      <c r="C2751" s="58" t="s">
        <v>588</v>
      </c>
      <c r="D2751" s="58" t="s">
        <v>748</v>
      </c>
    </row>
    <row r="2752" spans="1:4">
      <c r="A2752" s="58" t="s">
        <v>4632</v>
      </c>
      <c r="B2752" s="58">
        <v>517431</v>
      </c>
      <c r="C2752" s="58" t="s">
        <v>4633</v>
      </c>
      <c r="D2752" s="58" t="s">
        <v>708</v>
      </c>
    </row>
    <row r="2753" spans="1:4">
      <c r="A2753" s="58" t="s">
        <v>4634</v>
      </c>
      <c r="B2753" s="58">
        <v>539595</v>
      </c>
      <c r="C2753" s="58" t="s">
        <v>588</v>
      </c>
      <c r="D2753" s="58" t="s">
        <v>571</v>
      </c>
    </row>
    <row r="2754" spans="1:4">
      <c r="A2754" s="58" t="s">
        <v>4635</v>
      </c>
      <c r="B2754" s="58">
        <v>524816</v>
      </c>
      <c r="C2754" s="58" t="s">
        <v>4636</v>
      </c>
      <c r="D2754" s="58" t="s">
        <v>626</v>
      </c>
    </row>
    <row r="2755" spans="1:4">
      <c r="A2755" s="58" t="s">
        <v>4637</v>
      </c>
      <c r="B2755" s="58">
        <v>537291</v>
      </c>
      <c r="C2755" s="58" t="s">
        <v>4638</v>
      </c>
      <c r="D2755" s="58" t="s">
        <v>786</v>
      </c>
    </row>
    <row r="2756" spans="1:4">
      <c r="A2756" s="58" t="s">
        <v>4639</v>
      </c>
      <c r="B2756" s="58">
        <v>537291</v>
      </c>
      <c r="C2756" s="58" t="s">
        <v>4638</v>
      </c>
      <c r="D2756" s="58" t="s">
        <v>786</v>
      </c>
    </row>
    <row r="2757" spans="1:4">
      <c r="A2757" s="58" t="s">
        <v>4640</v>
      </c>
      <c r="B2757" s="58">
        <v>502407</v>
      </c>
      <c r="C2757" s="58" t="s">
        <v>588</v>
      </c>
      <c r="D2757" s="58" t="s">
        <v>582</v>
      </c>
    </row>
    <row r="2758" spans="1:4">
      <c r="A2758" s="58" t="s">
        <v>4641</v>
      </c>
      <c r="B2758" s="58">
        <v>532234</v>
      </c>
      <c r="C2758" s="58" t="s">
        <v>4642</v>
      </c>
      <c r="D2758" s="58" t="s">
        <v>893</v>
      </c>
    </row>
    <row r="2759" spans="1:4">
      <c r="A2759" s="58" t="s">
        <v>4643</v>
      </c>
      <c r="B2759" s="58">
        <v>523630</v>
      </c>
      <c r="C2759" s="58" t="s">
        <v>4644</v>
      </c>
      <c r="D2759" s="58" t="s">
        <v>1096</v>
      </c>
    </row>
    <row r="2760" spans="1:4">
      <c r="A2760" s="58" t="s">
        <v>4645</v>
      </c>
      <c r="B2760" s="58">
        <v>531289</v>
      </c>
      <c r="C2760" s="58" t="s">
        <v>588</v>
      </c>
      <c r="D2760" s="58" t="s">
        <v>911</v>
      </c>
    </row>
    <row r="2761" spans="1:4">
      <c r="A2761" s="58" t="s">
        <v>4646</v>
      </c>
      <c r="B2761" s="58">
        <v>531651</v>
      </c>
      <c r="C2761" s="58" t="s">
        <v>588</v>
      </c>
      <c r="D2761" s="58" t="s">
        <v>620</v>
      </c>
    </row>
    <row r="2762" spans="1:4">
      <c r="A2762" s="58" t="s">
        <v>4647</v>
      </c>
      <c r="B2762" s="58">
        <v>507813</v>
      </c>
      <c r="C2762" s="58" t="s">
        <v>588</v>
      </c>
      <c r="D2762" s="58" t="s">
        <v>1622</v>
      </c>
    </row>
    <row r="2763" spans="1:4">
      <c r="A2763" s="58" t="s">
        <v>4648</v>
      </c>
      <c r="B2763" s="58">
        <v>500298</v>
      </c>
      <c r="C2763" s="58" t="s">
        <v>588</v>
      </c>
      <c r="D2763" s="58" t="s">
        <v>636</v>
      </c>
    </row>
    <row r="2764" spans="1:4">
      <c r="A2764" s="58" t="s">
        <v>4649</v>
      </c>
      <c r="B2764" s="58">
        <v>526616</v>
      </c>
      <c r="C2764" s="58" t="s">
        <v>588</v>
      </c>
      <c r="D2764" s="58" t="s">
        <v>708</v>
      </c>
    </row>
    <row r="2765" spans="1:4">
      <c r="A2765" s="58" t="s">
        <v>4650</v>
      </c>
      <c r="B2765" s="58">
        <v>531287</v>
      </c>
      <c r="C2765" s="58" t="s">
        <v>588</v>
      </c>
      <c r="D2765" s="58" t="s">
        <v>708</v>
      </c>
    </row>
    <row r="2766" spans="1:4">
      <c r="A2766" s="58" t="s">
        <v>4651</v>
      </c>
      <c r="B2766" s="58">
        <v>516062</v>
      </c>
      <c r="C2766" s="58" t="s">
        <v>588</v>
      </c>
      <c r="D2766" s="58" t="s">
        <v>1083</v>
      </c>
    </row>
    <row r="2767" spans="1:4">
      <c r="A2767" s="58" t="s">
        <v>4652</v>
      </c>
      <c r="B2767" s="58">
        <v>504882</v>
      </c>
      <c r="C2767" s="58" t="s">
        <v>588</v>
      </c>
      <c r="D2767" s="58" t="s">
        <v>674</v>
      </c>
    </row>
    <row r="2768" spans="1:4">
      <c r="A2768" s="58" t="s">
        <v>4653</v>
      </c>
      <c r="B2768" s="58">
        <v>504882</v>
      </c>
      <c r="C2768" s="58" t="s">
        <v>588</v>
      </c>
      <c r="D2768" s="58" t="s">
        <v>674</v>
      </c>
    </row>
    <row r="2769" spans="1:4">
      <c r="A2769" s="58" t="s">
        <v>4654</v>
      </c>
      <c r="B2769" s="58">
        <v>513179</v>
      </c>
      <c r="C2769" s="58" t="s">
        <v>4655</v>
      </c>
      <c r="D2769" s="58" t="s">
        <v>620</v>
      </c>
    </row>
    <row r="2770" spans="1:4">
      <c r="A2770" s="58" t="s">
        <v>4656</v>
      </c>
      <c r="B2770" s="58">
        <v>530119</v>
      </c>
      <c r="C2770" s="58" t="s">
        <v>588</v>
      </c>
      <c r="D2770" s="58" t="s">
        <v>837</v>
      </c>
    </row>
    <row r="2771" spans="1:4">
      <c r="A2771" s="58" t="s">
        <v>4657</v>
      </c>
      <c r="B2771" s="58">
        <v>531834</v>
      </c>
      <c r="C2771" s="58" t="s">
        <v>588</v>
      </c>
      <c r="D2771" s="58" t="s">
        <v>786</v>
      </c>
    </row>
    <row r="2772" spans="1:4">
      <c r="A2772" s="58" t="s">
        <v>4658</v>
      </c>
      <c r="B2772" s="58">
        <v>524654</v>
      </c>
      <c r="C2772" s="58" t="s">
        <v>588</v>
      </c>
      <c r="D2772" s="58" t="s">
        <v>626</v>
      </c>
    </row>
    <row r="2773" spans="1:4">
      <c r="A2773" s="58" t="s">
        <v>4659</v>
      </c>
      <c r="B2773" s="58">
        <v>538926</v>
      </c>
      <c r="C2773" s="58" t="s">
        <v>588</v>
      </c>
      <c r="D2773" s="58" t="s">
        <v>786</v>
      </c>
    </row>
    <row r="2774" spans="1:4">
      <c r="A2774" s="58" t="s">
        <v>4660</v>
      </c>
      <c r="B2774" s="58">
        <v>513023</v>
      </c>
      <c r="C2774" s="58" t="s">
        <v>4661</v>
      </c>
      <c r="D2774" s="58" t="s">
        <v>727</v>
      </c>
    </row>
    <row r="2775" spans="1:4">
      <c r="A2775" s="58" t="s">
        <v>4662</v>
      </c>
      <c r="B2775" s="58">
        <v>539521</v>
      </c>
      <c r="C2775" s="58" t="s">
        <v>588</v>
      </c>
      <c r="D2775" s="58" t="s">
        <v>571</v>
      </c>
    </row>
    <row r="2776" spans="1:4">
      <c r="A2776" s="58" t="s">
        <v>4663</v>
      </c>
      <c r="B2776" s="58">
        <v>532504</v>
      </c>
      <c r="C2776" s="58" t="s">
        <v>4664</v>
      </c>
      <c r="D2776" s="58" t="s">
        <v>636</v>
      </c>
    </row>
    <row r="2777" spans="1:4">
      <c r="A2777" s="58" t="s">
        <v>4665</v>
      </c>
      <c r="B2777" s="58">
        <v>531494</v>
      </c>
      <c r="C2777" s="58" t="s">
        <v>588</v>
      </c>
      <c r="D2777" s="58" t="s">
        <v>674</v>
      </c>
    </row>
    <row r="2778" spans="1:4">
      <c r="A2778" s="58" t="s">
        <v>4666</v>
      </c>
      <c r="B2778" s="58">
        <v>539332</v>
      </c>
      <c r="C2778" s="58" t="s">
        <v>4667</v>
      </c>
      <c r="D2778" s="58" t="s">
        <v>711</v>
      </c>
    </row>
    <row r="2779" spans="1:4">
      <c r="A2779" s="58" t="s">
        <v>4668</v>
      </c>
      <c r="B2779" s="58">
        <v>539525</v>
      </c>
      <c r="C2779" s="58" t="s">
        <v>588</v>
      </c>
      <c r="D2779" s="58" t="s">
        <v>622</v>
      </c>
    </row>
    <row r="2780" spans="1:4">
      <c r="A2780" s="58" t="s">
        <v>4669</v>
      </c>
      <c r="B2780" s="58">
        <v>508989</v>
      </c>
      <c r="C2780" s="58" t="s">
        <v>4670</v>
      </c>
      <c r="D2780" s="58" t="s">
        <v>1112</v>
      </c>
    </row>
    <row r="2781" spans="1:4">
      <c r="A2781" s="58" t="s">
        <v>4671</v>
      </c>
      <c r="B2781" s="58">
        <v>538668</v>
      </c>
      <c r="C2781" s="58" t="s">
        <v>588</v>
      </c>
      <c r="D2781" s="58" t="s">
        <v>605</v>
      </c>
    </row>
    <row r="2782" spans="1:4">
      <c r="A2782" s="58" t="s">
        <v>4672</v>
      </c>
      <c r="B2782" s="58">
        <v>523242</v>
      </c>
      <c r="C2782" s="58" t="s">
        <v>588</v>
      </c>
      <c r="D2782" s="58" t="s">
        <v>1014</v>
      </c>
    </row>
    <row r="2783" spans="1:4">
      <c r="A2783" s="58" t="s">
        <v>4673</v>
      </c>
      <c r="B2783" s="58">
        <v>534309</v>
      </c>
      <c r="C2783" s="58" t="s">
        <v>4674</v>
      </c>
      <c r="D2783" s="58" t="s">
        <v>986</v>
      </c>
    </row>
    <row r="2784" spans="1:4">
      <c r="A2784" s="58" t="s">
        <v>4675</v>
      </c>
      <c r="B2784" s="58">
        <v>534309</v>
      </c>
      <c r="C2784" s="58" t="s">
        <v>4674</v>
      </c>
      <c r="D2784" s="58" t="s">
        <v>986</v>
      </c>
    </row>
    <row r="2785" spans="1:4">
      <c r="A2785" s="58" t="s">
        <v>4676</v>
      </c>
      <c r="B2785" s="58">
        <v>519506</v>
      </c>
      <c r="C2785" s="58" t="s">
        <v>588</v>
      </c>
      <c r="D2785" s="58" t="s">
        <v>648</v>
      </c>
    </row>
    <row r="2786" spans="1:4">
      <c r="A2786" s="58" t="s">
        <v>4677</v>
      </c>
      <c r="B2786" s="58">
        <v>531452</v>
      </c>
      <c r="C2786" s="58" t="s">
        <v>588</v>
      </c>
      <c r="D2786" s="58" t="s">
        <v>605</v>
      </c>
    </row>
    <row r="2787" spans="1:4">
      <c r="A2787" s="58" t="s">
        <v>4678</v>
      </c>
      <c r="B2787" s="58">
        <v>500294</v>
      </c>
      <c r="C2787" s="58" t="s">
        <v>4679</v>
      </c>
      <c r="D2787" s="58" t="s">
        <v>986</v>
      </c>
    </row>
    <row r="2788" spans="1:4">
      <c r="A2788" s="58" t="s">
        <v>4680</v>
      </c>
      <c r="B2788" s="58">
        <v>502168</v>
      </c>
      <c r="C2788" s="58" t="s">
        <v>4681</v>
      </c>
      <c r="D2788" s="58" t="s">
        <v>601</v>
      </c>
    </row>
    <row r="2789" spans="1:4">
      <c r="A2789" s="58" t="s">
        <v>4682</v>
      </c>
      <c r="B2789" s="58">
        <v>530557</v>
      </c>
      <c r="C2789" s="58" t="s">
        <v>588</v>
      </c>
      <c r="D2789" s="58" t="s">
        <v>571</v>
      </c>
    </row>
    <row r="2790" spans="1:4">
      <c r="A2790" s="58" t="s">
        <v>4683</v>
      </c>
      <c r="B2790" s="58">
        <v>511535</v>
      </c>
      <c r="C2790" s="58" t="s">
        <v>588</v>
      </c>
      <c r="D2790" s="58" t="s">
        <v>571</v>
      </c>
    </row>
    <row r="2791" spans="1:4">
      <c r="A2791" s="58" t="s">
        <v>4684</v>
      </c>
      <c r="B2791" s="58">
        <v>532649</v>
      </c>
      <c r="C2791" s="58" t="s">
        <v>4685</v>
      </c>
      <c r="D2791" s="58" t="s">
        <v>626</v>
      </c>
    </row>
    <row r="2792" spans="1:4">
      <c r="A2792" s="58" t="s">
        <v>4686</v>
      </c>
      <c r="B2792" s="58">
        <v>508670</v>
      </c>
      <c r="C2792" s="58" t="s">
        <v>588</v>
      </c>
      <c r="D2792" s="58" t="s">
        <v>995</v>
      </c>
    </row>
    <row r="2793" spans="1:4">
      <c r="A2793" s="58" t="s">
        <v>4687</v>
      </c>
      <c r="B2793" s="58">
        <v>531049</v>
      </c>
      <c r="C2793" s="58" t="s">
        <v>588</v>
      </c>
      <c r="D2793" s="58" t="s">
        <v>1116</v>
      </c>
    </row>
    <row r="2794" spans="1:4">
      <c r="A2794" s="58" t="s">
        <v>4688</v>
      </c>
      <c r="B2794" s="58">
        <v>539409</v>
      </c>
      <c r="C2794" s="58" t="s">
        <v>588</v>
      </c>
      <c r="D2794" s="58" t="s">
        <v>610</v>
      </c>
    </row>
    <row r="2795" spans="1:4">
      <c r="A2795" s="58" t="s">
        <v>4689</v>
      </c>
      <c r="B2795" s="58">
        <v>537838</v>
      </c>
      <c r="C2795" s="58" t="s">
        <v>588</v>
      </c>
      <c r="D2795" s="58" t="s">
        <v>610</v>
      </c>
    </row>
    <row r="2796" spans="1:4">
      <c r="A2796" s="58" t="s">
        <v>4690</v>
      </c>
      <c r="B2796" s="58">
        <v>519560</v>
      </c>
      <c r="C2796" s="58" t="s">
        <v>588</v>
      </c>
      <c r="D2796" s="58" t="s">
        <v>786</v>
      </c>
    </row>
    <row r="2797" spans="1:4">
      <c r="A2797" s="58" t="s">
        <v>4691</v>
      </c>
      <c r="B2797" s="58">
        <v>539016</v>
      </c>
      <c r="C2797" s="58" t="s">
        <v>588</v>
      </c>
      <c r="D2797" s="58" t="s">
        <v>605</v>
      </c>
    </row>
    <row r="2798" spans="1:4">
      <c r="A2798" s="58" t="s">
        <v>4692</v>
      </c>
      <c r="B2798" s="58">
        <v>532864</v>
      </c>
      <c r="C2798" s="58" t="s">
        <v>4693</v>
      </c>
      <c r="D2798" s="58" t="s">
        <v>1506</v>
      </c>
    </row>
    <row r="2799" spans="1:4">
      <c r="A2799" s="58" t="s">
        <v>4694</v>
      </c>
      <c r="B2799" s="58">
        <v>504112</v>
      </c>
      <c r="C2799" s="58" t="s">
        <v>4695</v>
      </c>
      <c r="D2799" s="58" t="s">
        <v>2212</v>
      </c>
    </row>
    <row r="2800" spans="1:4">
      <c r="A2800" s="58" t="s">
        <v>4696</v>
      </c>
      <c r="B2800" s="58">
        <v>514332</v>
      </c>
      <c r="C2800" s="58" t="s">
        <v>588</v>
      </c>
      <c r="D2800" s="58" t="s">
        <v>674</v>
      </c>
    </row>
    <row r="2801" spans="1:4">
      <c r="A2801" s="58" t="s">
        <v>4697</v>
      </c>
      <c r="B2801" s="58">
        <v>526195</v>
      </c>
      <c r="C2801" s="58" t="s">
        <v>588</v>
      </c>
      <c r="D2801" s="58" t="s">
        <v>702</v>
      </c>
    </row>
    <row r="2802" spans="1:4">
      <c r="A2802" s="58" t="s">
        <v>4698</v>
      </c>
      <c r="B2802" s="58">
        <v>526195</v>
      </c>
      <c r="C2802" s="58" t="s">
        <v>588</v>
      </c>
      <c r="D2802" s="58" t="s">
        <v>702</v>
      </c>
    </row>
    <row r="2803" spans="1:4">
      <c r="A2803" s="58" t="s">
        <v>4699</v>
      </c>
      <c r="B2803" s="58">
        <v>542665</v>
      </c>
      <c r="C2803" s="58" t="s">
        <v>4700</v>
      </c>
      <c r="D2803" s="58" t="s">
        <v>748</v>
      </c>
    </row>
    <row r="2804" spans="1:4">
      <c r="A2804" s="58" t="s">
        <v>4701</v>
      </c>
      <c r="B2804" s="58">
        <v>512522</v>
      </c>
      <c r="C2804" s="58" t="s">
        <v>588</v>
      </c>
      <c r="D2804" s="58" t="s">
        <v>610</v>
      </c>
    </row>
    <row r="2805" spans="1:4">
      <c r="A2805" s="58" t="s">
        <v>4702</v>
      </c>
      <c r="B2805" s="58">
        <v>505355</v>
      </c>
      <c r="C2805" s="58" t="s">
        <v>4703</v>
      </c>
      <c r="D2805" s="58" t="s">
        <v>1009</v>
      </c>
    </row>
    <row r="2806" spans="1:4">
      <c r="A2806" s="58" t="s">
        <v>4704</v>
      </c>
      <c r="B2806" s="58">
        <v>500790</v>
      </c>
      <c r="C2806" s="58" t="s">
        <v>340</v>
      </c>
      <c r="D2806" s="58" t="s">
        <v>648</v>
      </c>
    </row>
    <row r="2807" spans="1:4">
      <c r="A2807" s="58" t="s">
        <v>4705</v>
      </c>
      <c r="B2807" s="58">
        <v>500790</v>
      </c>
      <c r="C2807" s="58" t="s">
        <v>340</v>
      </c>
      <c r="D2807" s="58" t="s">
        <v>648</v>
      </c>
    </row>
    <row r="2808" spans="1:4">
      <c r="A2808" s="58" t="s">
        <v>4706</v>
      </c>
      <c r="B2808" s="58">
        <v>509040</v>
      </c>
      <c r="C2808" s="58" t="s">
        <v>588</v>
      </c>
      <c r="D2808" s="58" t="s">
        <v>681</v>
      </c>
    </row>
    <row r="2809" spans="1:4">
      <c r="A2809" s="58" t="s">
        <v>4707</v>
      </c>
      <c r="B2809" s="58">
        <v>509040</v>
      </c>
      <c r="C2809" s="58" t="s">
        <v>588</v>
      </c>
      <c r="D2809" s="58" t="s">
        <v>681</v>
      </c>
    </row>
    <row r="2810" spans="1:4">
      <c r="A2810" s="58" t="s">
        <v>4708</v>
      </c>
      <c r="B2810" s="58">
        <v>542117</v>
      </c>
      <c r="C2810" s="58" t="s">
        <v>588</v>
      </c>
      <c r="D2810" s="58" t="s">
        <v>679</v>
      </c>
    </row>
    <row r="2811" spans="1:4">
      <c r="A2811" s="58" t="s">
        <v>4709</v>
      </c>
      <c r="B2811" s="58">
        <v>511658</v>
      </c>
      <c r="C2811" s="58" t="s">
        <v>588</v>
      </c>
      <c r="D2811" s="58" t="s">
        <v>681</v>
      </c>
    </row>
    <row r="2812" spans="1:4">
      <c r="A2812" s="58" t="s">
        <v>4710</v>
      </c>
      <c r="B2812" s="58">
        <v>523558</v>
      </c>
      <c r="C2812" s="58" t="s">
        <v>588</v>
      </c>
      <c r="D2812" s="58" t="s">
        <v>1130</v>
      </c>
    </row>
    <row r="2813" spans="1:4">
      <c r="A2813" s="58" t="s">
        <v>4711</v>
      </c>
      <c r="B2813" s="58">
        <v>532798</v>
      </c>
      <c r="C2813" s="58" t="s">
        <v>4712</v>
      </c>
      <c r="D2813" s="58" t="s">
        <v>754</v>
      </c>
    </row>
    <row r="2814" spans="1:4">
      <c r="A2814" s="58" t="s">
        <v>4713</v>
      </c>
      <c r="B2814" s="58">
        <v>532887</v>
      </c>
      <c r="C2814" s="58" t="s">
        <v>4714</v>
      </c>
      <c r="D2814" s="58" t="s">
        <v>631</v>
      </c>
    </row>
    <row r="2815" spans="1:4">
      <c r="A2815" s="58" t="s">
        <v>4715</v>
      </c>
      <c r="B2815" s="58">
        <v>524558</v>
      </c>
      <c r="C2815" s="58" t="s">
        <v>4716</v>
      </c>
      <c r="D2815" s="58" t="s">
        <v>626</v>
      </c>
    </row>
    <row r="2816" spans="1:4">
      <c r="A2816" s="58" t="s">
        <v>4717</v>
      </c>
      <c r="B2816" s="58">
        <v>532529</v>
      </c>
      <c r="C2816" s="58" t="s">
        <v>4718</v>
      </c>
      <c r="D2816" s="58" t="s">
        <v>1325</v>
      </c>
    </row>
    <row r="2817" spans="1:4">
      <c r="A2817" s="58" t="s">
        <v>4719</v>
      </c>
      <c r="B2817" s="58">
        <v>540243</v>
      </c>
      <c r="C2817" s="58" t="s">
        <v>588</v>
      </c>
      <c r="D2817" s="58" t="s">
        <v>610</v>
      </c>
    </row>
    <row r="2818" spans="1:4">
      <c r="A2818" s="58" t="s">
        <v>4720</v>
      </c>
      <c r="B2818" s="58">
        <v>508867</v>
      </c>
      <c r="C2818" s="58" t="s">
        <v>588</v>
      </c>
      <c r="D2818" s="58" t="s">
        <v>681</v>
      </c>
    </row>
    <row r="2819" spans="1:4">
      <c r="A2819" s="58" t="s">
        <v>4721</v>
      </c>
      <c r="B2819" s="58">
        <v>501479</v>
      </c>
      <c r="C2819" s="58" t="s">
        <v>588</v>
      </c>
      <c r="D2819" s="58" t="s">
        <v>610</v>
      </c>
    </row>
    <row r="2820" spans="1:4">
      <c r="A2820" s="58" t="s">
        <v>4722</v>
      </c>
      <c r="B2820" s="58">
        <v>536644</v>
      </c>
      <c r="C2820" s="58" t="s">
        <v>588</v>
      </c>
      <c r="D2820" s="58" t="s">
        <v>610</v>
      </c>
    </row>
    <row r="2821" spans="1:4">
      <c r="A2821" s="58" t="s">
        <v>4723</v>
      </c>
      <c r="B2821" s="58">
        <v>540900</v>
      </c>
      <c r="C2821" s="58" t="s">
        <v>4724</v>
      </c>
      <c r="D2821" s="58" t="s">
        <v>574</v>
      </c>
    </row>
    <row r="2822" spans="1:4">
      <c r="A2822" s="58" t="s">
        <v>4725</v>
      </c>
      <c r="B2822" s="58">
        <v>532416</v>
      </c>
      <c r="C2822" s="58" t="s">
        <v>4726</v>
      </c>
      <c r="D2822" s="58" t="s">
        <v>1112</v>
      </c>
    </row>
    <row r="2823" spans="1:4">
      <c r="A2823" s="58" t="s">
        <v>4727</v>
      </c>
      <c r="B2823" s="58">
        <v>538874</v>
      </c>
      <c r="C2823" s="58" t="s">
        <v>588</v>
      </c>
      <c r="D2823" s="58" t="s">
        <v>571</v>
      </c>
    </row>
    <row r="2824" spans="1:4">
      <c r="A2824" s="58" t="s">
        <v>4728</v>
      </c>
      <c r="B2824" s="58">
        <v>524774</v>
      </c>
      <c r="C2824" s="58" t="s">
        <v>588</v>
      </c>
      <c r="D2824" s="58" t="s">
        <v>626</v>
      </c>
    </row>
    <row r="2825" spans="1:4">
      <c r="A2825" s="58" t="s">
        <v>4729</v>
      </c>
      <c r="B2825" s="58">
        <v>517554</v>
      </c>
      <c r="C2825" s="58" t="s">
        <v>588</v>
      </c>
      <c r="D2825" s="58" t="s">
        <v>668</v>
      </c>
    </row>
    <row r="2826" spans="1:4">
      <c r="A2826" s="58" t="s">
        <v>4730</v>
      </c>
      <c r="B2826" s="58">
        <v>533098</v>
      </c>
      <c r="C2826" s="58" t="s">
        <v>4731</v>
      </c>
      <c r="D2826" s="58" t="s">
        <v>727</v>
      </c>
    </row>
    <row r="2827" spans="1:4">
      <c r="A2827" s="58" t="s">
        <v>4732</v>
      </c>
      <c r="B2827" s="58">
        <v>526721</v>
      </c>
      <c r="C2827" s="58" t="s">
        <v>588</v>
      </c>
      <c r="D2827" s="58" t="s">
        <v>766</v>
      </c>
    </row>
    <row r="2828" spans="1:4">
      <c r="A2828" s="58" t="s">
        <v>4733</v>
      </c>
      <c r="B2828" s="58">
        <v>523209</v>
      </c>
      <c r="C2828" s="58" t="s">
        <v>588</v>
      </c>
      <c r="D2828" s="58" t="s">
        <v>605</v>
      </c>
    </row>
    <row r="2829" spans="1:4">
      <c r="A2829" s="58" t="s">
        <v>4734</v>
      </c>
      <c r="B2829" s="58">
        <v>512103</v>
      </c>
      <c r="C2829" s="58" t="s">
        <v>588</v>
      </c>
      <c r="D2829" s="58" t="s">
        <v>1116</v>
      </c>
    </row>
    <row r="2830" spans="1:4">
      <c r="A2830" s="58" t="s">
        <v>4735</v>
      </c>
      <c r="B2830" s="58">
        <v>531083</v>
      </c>
      <c r="C2830" s="58" t="s">
        <v>588</v>
      </c>
      <c r="D2830" s="58" t="s">
        <v>681</v>
      </c>
    </row>
    <row r="2831" spans="1:4">
      <c r="A2831" s="58" t="s">
        <v>4736</v>
      </c>
      <c r="B2831" s="58">
        <v>500304</v>
      </c>
      <c r="C2831" s="58" t="s">
        <v>4737</v>
      </c>
      <c r="D2831" s="58" t="s">
        <v>1073</v>
      </c>
    </row>
    <row r="2832" spans="1:4">
      <c r="A2832" s="58" t="s">
        <v>4738</v>
      </c>
      <c r="B2832" s="58">
        <v>532541</v>
      </c>
      <c r="C2832" s="58" t="s">
        <v>4739</v>
      </c>
      <c r="D2832" s="58" t="s">
        <v>574</v>
      </c>
    </row>
    <row r="2833" spans="1:4">
      <c r="A2833" s="58" t="s">
        <v>4740</v>
      </c>
      <c r="B2833" s="58">
        <v>526159</v>
      </c>
      <c r="C2833" s="58" t="s">
        <v>588</v>
      </c>
      <c r="D2833" s="58" t="s">
        <v>610</v>
      </c>
    </row>
    <row r="2834" spans="1:4">
      <c r="A2834" s="58" t="s">
        <v>4741</v>
      </c>
      <c r="B2834" s="58">
        <v>531272</v>
      </c>
      <c r="C2834" s="58" t="s">
        <v>588</v>
      </c>
      <c r="D2834" s="58" t="s">
        <v>605</v>
      </c>
    </row>
    <row r="2835" spans="1:4">
      <c r="A2835" s="58" t="s">
        <v>4742</v>
      </c>
      <c r="B2835" s="58">
        <v>530377</v>
      </c>
      <c r="C2835" s="58" t="s">
        <v>4743</v>
      </c>
      <c r="D2835" s="58" t="s">
        <v>674</v>
      </c>
    </row>
    <row r="2836" spans="1:4">
      <c r="A2836" s="58" t="s">
        <v>4744</v>
      </c>
      <c r="B2836" s="58">
        <v>542231</v>
      </c>
      <c r="C2836" s="58" t="s">
        <v>4745</v>
      </c>
      <c r="D2836" s="58" t="s">
        <v>674</v>
      </c>
    </row>
    <row r="2837" spans="1:4">
      <c r="A2837" s="58" t="s">
        <v>4746</v>
      </c>
      <c r="B2837" s="58">
        <v>502294</v>
      </c>
      <c r="C2837" s="58" t="s">
        <v>588</v>
      </c>
      <c r="D2837" s="58" t="s">
        <v>1116</v>
      </c>
    </row>
    <row r="2838" spans="1:4">
      <c r="A2838" s="58" t="s">
        <v>4747</v>
      </c>
      <c r="B2838" s="58">
        <v>530129</v>
      </c>
      <c r="C2838" s="58" t="s">
        <v>588</v>
      </c>
      <c r="D2838" s="58" t="s">
        <v>911</v>
      </c>
    </row>
    <row r="2839" spans="1:4">
      <c r="A2839" s="58" t="s">
        <v>4748</v>
      </c>
      <c r="B2839" s="58">
        <v>523385</v>
      </c>
      <c r="C2839" s="58" t="s">
        <v>4749</v>
      </c>
      <c r="D2839" s="58" t="s">
        <v>708</v>
      </c>
    </row>
    <row r="2840" spans="1:4">
      <c r="A2840" s="58" t="s">
        <v>4750</v>
      </c>
      <c r="B2840" s="58">
        <v>512004</v>
      </c>
      <c r="C2840" s="58" t="s">
        <v>588</v>
      </c>
      <c r="D2840" s="58" t="s">
        <v>1009</v>
      </c>
    </row>
    <row r="2841" spans="1:4">
      <c r="A2841" s="58" t="s">
        <v>4751</v>
      </c>
      <c r="B2841" s="58">
        <v>531598</v>
      </c>
      <c r="C2841" s="58" t="s">
        <v>588</v>
      </c>
      <c r="D2841" s="58" t="s">
        <v>648</v>
      </c>
    </row>
    <row r="2842" spans="1:4">
      <c r="A2842" s="58" t="s">
        <v>4752</v>
      </c>
      <c r="B2842" s="58">
        <v>530971</v>
      </c>
      <c r="C2842" s="58" t="s">
        <v>588</v>
      </c>
      <c r="D2842" s="58" t="s">
        <v>610</v>
      </c>
    </row>
    <row r="2843" spans="1:4">
      <c r="A2843" s="58" t="s">
        <v>4753</v>
      </c>
      <c r="B2843" s="58">
        <v>511714</v>
      </c>
      <c r="C2843" s="58" t="s">
        <v>588</v>
      </c>
      <c r="D2843" s="58" t="s">
        <v>674</v>
      </c>
    </row>
    <row r="2844" spans="1:4">
      <c r="A2844" s="58" t="s">
        <v>4754</v>
      </c>
      <c r="B2844" s="58">
        <v>539843</v>
      </c>
      <c r="C2844" s="58" t="s">
        <v>588</v>
      </c>
      <c r="D2844" s="58" t="s">
        <v>574</v>
      </c>
    </row>
    <row r="2845" spans="1:4">
      <c r="A2845" s="58" t="s">
        <v>4755</v>
      </c>
      <c r="B2845" s="58">
        <v>532986</v>
      </c>
      <c r="C2845" s="58" t="s">
        <v>588</v>
      </c>
      <c r="D2845" s="58" t="s">
        <v>986</v>
      </c>
    </row>
    <row r="2846" spans="1:4">
      <c r="A2846" s="58" t="s">
        <v>4756</v>
      </c>
      <c r="B2846" s="58" t="s">
        <v>588</v>
      </c>
      <c r="C2846" s="58" t="s">
        <v>4757</v>
      </c>
      <c r="D2846" s="58" t="s">
        <v>679</v>
      </c>
    </row>
    <row r="2847" spans="1:4">
      <c r="A2847" s="58" t="s">
        <v>4758</v>
      </c>
      <c r="B2847" s="58">
        <v>512425</v>
      </c>
      <c r="C2847" s="58" t="s">
        <v>588</v>
      </c>
      <c r="D2847" s="58" t="s">
        <v>610</v>
      </c>
    </row>
    <row r="2848" spans="1:4">
      <c r="A2848" s="58" t="s">
        <v>4759</v>
      </c>
      <c r="B2848" s="58">
        <v>500307</v>
      </c>
      <c r="C2848" s="58" t="s">
        <v>588</v>
      </c>
      <c r="D2848" s="58" t="s">
        <v>1009</v>
      </c>
    </row>
    <row r="2849" spans="1:4">
      <c r="A2849" s="58" t="s">
        <v>4760</v>
      </c>
      <c r="B2849" s="58">
        <v>539311</v>
      </c>
      <c r="C2849" s="58" t="s">
        <v>588</v>
      </c>
      <c r="D2849" s="58" t="s">
        <v>571</v>
      </c>
    </row>
    <row r="2850" spans="1:4">
      <c r="A2850" s="58" t="s">
        <v>4761</v>
      </c>
      <c r="B2850" s="58">
        <v>539311</v>
      </c>
      <c r="C2850" s="58" t="s">
        <v>588</v>
      </c>
      <c r="D2850" s="58" t="s">
        <v>571</v>
      </c>
    </row>
    <row r="2851" spans="1:4">
      <c r="A2851" s="58" t="s">
        <v>4762</v>
      </c>
      <c r="B2851" s="58">
        <v>532722</v>
      </c>
      <c r="C2851" s="58" t="s">
        <v>4763</v>
      </c>
      <c r="D2851" s="58" t="s">
        <v>865</v>
      </c>
    </row>
    <row r="2852" spans="1:4">
      <c r="A2852" s="58" t="s">
        <v>4764</v>
      </c>
      <c r="B2852" s="58">
        <v>533202</v>
      </c>
      <c r="C2852" s="58" t="s">
        <v>4765</v>
      </c>
      <c r="D2852" s="58" t="s">
        <v>674</v>
      </c>
    </row>
    <row r="2853" spans="1:4">
      <c r="A2853" s="58" t="s">
        <v>4766</v>
      </c>
      <c r="B2853" s="58">
        <v>508875</v>
      </c>
      <c r="C2853" s="58" t="s">
        <v>588</v>
      </c>
      <c r="D2853" s="58" t="s">
        <v>1009</v>
      </c>
    </row>
    <row r="2854" spans="1:4">
      <c r="A2854" s="58" t="s">
        <v>4767</v>
      </c>
      <c r="B2854" s="58">
        <v>532854</v>
      </c>
      <c r="C2854" s="58" t="s">
        <v>4768</v>
      </c>
      <c r="D2854" s="58" t="s">
        <v>596</v>
      </c>
    </row>
    <row r="2855" spans="1:4">
      <c r="A2855" s="58" t="s">
        <v>4769</v>
      </c>
      <c r="B2855" s="58">
        <v>532698</v>
      </c>
      <c r="C2855" s="58" t="s">
        <v>4770</v>
      </c>
      <c r="D2855" s="58" t="s">
        <v>603</v>
      </c>
    </row>
    <row r="2856" spans="1:4">
      <c r="A2856" s="58" t="s">
        <v>4771</v>
      </c>
      <c r="B2856" s="58" t="s">
        <v>588</v>
      </c>
      <c r="C2856" s="58" t="s">
        <v>4772</v>
      </c>
      <c r="D2856" s="58" t="s">
        <v>599</v>
      </c>
    </row>
    <row r="2857" spans="1:4">
      <c r="A2857" s="58" t="s">
        <v>4773</v>
      </c>
      <c r="B2857" s="58">
        <v>506532</v>
      </c>
      <c r="C2857" s="58" t="s">
        <v>588</v>
      </c>
      <c r="D2857" s="58" t="s">
        <v>748</v>
      </c>
    </row>
    <row r="2858" spans="1:4">
      <c r="A2858" s="58" t="s">
        <v>4774</v>
      </c>
      <c r="B2858" s="58">
        <v>506532</v>
      </c>
      <c r="C2858" s="58" t="s">
        <v>588</v>
      </c>
      <c r="D2858" s="58" t="s">
        <v>748</v>
      </c>
    </row>
    <row r="2859" spans="1:4">
      <c r="A2859" s="58" t="s">
        <v>4775</v>
      </c>
      <c r="B2859" s="58">
        <v>512381</v>
      </c>
      <c r="C2859" s="58" t="s">
        <v>588</v>
      </c>
      <c r="D2859" s="58" t="s">
        <v>610</v>
      </c>
    </row>
    <row r="2860" spans="1:4">
      <c r="A2860" s="58" t="s">
        <v>4776</v>
      </c>
      <c r="B2860" s="58">
        <v>512245</v>
      </c>
      <c r="C2860" s="58" t="s">
        <v>588</v>
      </c>
      <c r="D2860" s="58" t="s">
        <v>1009</v>
      </c>
    </row>
    <row r="2861" spans="1:4">
      <c r="A2861" s="58" t="s">
        <v>4777</v>
      </c>
      <c r="B2861" s="58">
        <v>538772</v>
      </c>
      <c r="C2861" s="58" t="s">
        <v>588</v>
      </c>
      <c r="D2861" s="58" t="s">
        <v>605</v>
      </c>
    </row>
    <row r="2862" spans="1:4">
      <c r="A2862" s="58" t="s">
        <v>4778</v>
      </c>
      <c r="B2862" s="58">
        <v>519494</v>
      </c>
      <c r="C2862" s="58" t="s">
        <v>4779</v>
      </c>
      <c r="D2862" s="58" t="s">
        <v>837</v>
      </c>
    </row>
    <row r="2863" spans="1:4">
      <c r="A2863" s="58" t="s">
        <v>4780</v>
      </c>
      <c r="B2863" s="58">
        <v>513683</v>
      </c>
      <c r="C2863" s="58" t="s">
        <v>4781</v>
      </c>
      <c r="D2863" s="58" t="s">
        <v>727</v>
      </c>
    </row>
    <row r="2864" spans="1:4">
      <c r="A2864" s="58" t="s">
        <v>4782</v>
      </c>
      <c r="B2864" s="58">
        <v>513683</v>
      </c>
      <c r="C2864" s="58" t="s">
        <v>4783</v>
      </c>
      <c r="D2864" s="58" t="s">
        <v>727</v>
      </c>
    </row>
    <row r="2865" spans="1:4">
      <c r="A2865" s="58" t="s">
        <v>4784</v>
      </c>
      <c r="B2865" s="58">
        <v>526371</v>
      </c>
      <c r="C2865" s="58" t="s">
        <v>4785</v>
      </c>
      <c r="D2865" s="58" t="s">
        <v>568</v>
      </c>
    </row>
    <row r="2866" spans="1:4">
      <c r="A2866" s="58" t="s">
        <v>4786</v>
      </c>
      <c r="B2866" s="58">
        <v>500730</v>
      </c>
      <c r="C2866" s="58" t="s">
        <v>4787</v>
      </c>
      <c r="D2866" s="58" t="s">
        <v>748</v>
      </c>
    </row>
    <row r="2867" spans="1:4">
      <c r="A2867" s="58" t="s">
        <v>4788</v>
      </c>
      <c r="B2867" s="58">
        <v>532481</v>
      </c>
      <c r="C2867" s="58" t="s">
        <v>4789</v>
      </c>
      <c r="D2867" s="58" t="s">
        <v>1183</v>
      </c>
    </row>
    <row r="2868" spans="1:4">
      <c r="A2868" s="58" t="s">
        <v>4790</v>
      </c>
      <c r="B2868" s="58" t="s">
        <v>588</v>
      </c>
      <c r="C2868" s="58" t="s">
        <v>4791</v>
      </c>
      <c r="D2868" s="58" t="s">
        <v>679</v>
      </c>
    </row>
    <row r="2869" spans="1:4">
      <c r="A2869" s="58" t="s">
        <v>4792</v>
      </c>
      <c r="B2869" s="58">
        <v>524414</v>
      </c>
      <c r="C2869" s="58" t="s">
        <v>588</v>
      </c>
      <c r="D2869" s="58" t="s">
        <v>610</v>
      </c>
    </row>
    <row r="2870" spans="1:4">
      <c r="A2870" s="58" t="s">
        <v>4793</v>
      </c>
      <c r="B2870" s="58">
        <v>534615</v>
      </c>
      <c r="C2870" s="58" t="s">
        <v>4794</v>
      </c>
      <c r="D2870" s="58" t="s">
        <v>909</v>
      </c>
    </row>
    <row r="2871" spans="1:4">
      <c r="A2871" s="58" t="s">
        <v>4795</v>
      </c>
      <c r="B2871" s="58">
        <v>542628</v>
      </c>
      <c r="C2871" s="58" t="s">
        <v>4796</v>
      </c>
      <c r="D2871" s="58" t="s">
        <v>954</v>
      </c>
    </row>
    <row r="2872" spans="1:4">
      <c r="A2872" s="58" t="s">
        <v>4797</v>
      </c>
      <c r="B2872" s="58">
        <v>539110</v>
      </c>
      <c r="C2872" s="58" t="s">
        <v>588</v>
      </c>
      <c r="D2872" s="58" t="s">
        <v>605</v>
      </c>
    </row>
    <row r="2873" spans="1:4">
      <c r="A2873" s="58" t="s">
        <v>4798</v>
      </c>
      <c r="B2873" s="58">
        <v>540698</v>
      </c>
      <c r="C2873" s="58" t="s">
        <v>588</v>
      </c>
      <c r="D2873" s="58" t="s">
        <v>610</v>
      </c>
    </row>
    <row r="2874" spans="1:4">
      <c r="A2874" s="58" t="s">
        <v>4799</v>
      </c>
      <c r="B2874" s="58">
        <v>531465</v>
      </c>
      <c r="C2874" s="58" t="s">
        <v>588</v>
      </c>
      <c r="D2874" s="58" t="s">
        <v>610</v>
      </c>
    </row>
    <row r="2875" spans="1:4">
      <c r="A2875" s="58" t="s">
        <v>4800</v>
      </c>
      <c r="B2875" s="58">
        <v>513566</v>
      </c>
      <c r="C2875" s="58" t="s">
        <v>588</v>
      </c>
      <c r="D2875" s="58" t="s">
        <v>620</v>
      </c>
    </row>
    <row r="2876" spans="1:4">
      <c r="A2876" s="58" t="s">
        <v>4801</v>
      </c>
      <c r="B2876" s="58">
        <v>530733</v>
      </c>
      <c r="C2876" s="58" t="s">
        <v>588</v>
      </c>
      <c r="D2876" s="58" t="s">
        <v>1112</v>
      </c>
    </row>
    <row r="2877" spans="1:4">
      <c r="A2877" s="58" t="s">
        <v>4802</v>
      </c>
      <c r="B2877" s="58">
        <v>530733</v>
      </c>
      <c r="C2877" s="58" t="s">
        <v>588</v>
      </c>
      <c r="D2877" s="58" t="s">
        <v>1112</v>
      </c>
    </row>
    <row r="2878" spans="1:4">
      <c r="A2878" s="58" t="s">
        <v>4803</v>
      </c>
      <c r="B2878" s="58">
        <v>500672</v>
      </c>
      <c r="C2878" s="58" t="s">
        <v>588</v>
      </c>
      <c r="D2878" s="58" t="s">
        <v>626</v>
      </c>
    </row>
    <row r="2879" spans="1:4">
      <c r="A2879" s="58" t="s">
        <v>4804</v>
      </c>
      <c r="B2879" s="58">
        <v>500672</v>
      </c>
      <c r="C2879" s="58" t="s">
        <v>588</v>
      </c>
      <c r="D2879" s="58" t="s">
        <v>626</v>
      </c>
    </row>
    <row r="2880" spans="1:4">
      <c r="A2880" s="58" t="s">
        <v>4805</v>
      </c>
      <c r="B2880" s="58">
        <v>530127</v>
      </c>
      <c r="C2880" s="58" t="s">
        <v>588</v>
      </c>
      <c r="D2880" s="58" t="s">
        <v>571</v>
      </c>
    </row>
    <row r="2881" spans="1:4">
      <c r="A2881" s="58" t="s">
        <v>4806</v>
      </c>
      <c r="B2881" s="58">
        <v>530367</v>
      </c>
      <c r="C2881" s="58" t="s">
        <v>4807</v>
      </c>
      <c r="D2881" s="58" t="s">
        <v>596</v>
      </c>
    </row>
    <row r="2882" spans="1:4">
      <c r="A2882" s="58" t="s">
        <v>4808</v>
      </c>
      <c r="B2882" s="58">
        <v>535458</v>
      </c>
      <c r="C2882" s="58" t="s">
        <v>4809</v>
      </c>
      <c r="D2882" s="58" t="s">
        <v>773</v>
      </c>
    </row>
    <row r="2883" spans="1:4">
      <c r="A2883" s="58" t="s">
        <v>4810</v>
      </c>
      <c r="B2883" s="58">
        <v>526723</v>
      </c>
      <c r="C2883" s="58" t="s">
        <v>588</v>
      </c>
      <c r="D2883" s="58" t="s">
        <v>2756</v>
      </c>
    </row>
    <row r="2884" spans="1:4">
      <c r="A2884" s="58" t="s">
        <v>4811</v>
      </c>
      <c r="B2884" s="58">
        <v>532555</v>
      </c>
      <c r="C2884" s="58" t="s">
        <v>4812</v>
      </c>
      <c r="D2884" s="58" t="s">
        <v>727</v>
      </c>
    </row>
    <row r="2885" spans="1:4">
      <c r="A2885" s="58" t="s">
        <v>4813</v>
      </c>
      <c r="B2885" s="58">
        <v>533015</v>
      </c>
      <c r="C2885" s="58" t="s">
        <v>4814</v>
      </c>
      <c r="D2885" s="58" t="s">
        <v>1533</v>
      </c>
    </row>
    <row r="2886" spans="1:4">
      <c r="A2886" s="58" t="s">
        <v>4815</v>
      </c>
      <c r="B2886" s="58">
        <v>533015</v>
      </c>
      <c r="C2886" s="58" t="s">
        <v>4814</v>
      </c>
      <c r="D2886" s="58" t="s">
        <v>1533</v>
      </c>
    </row>
    <row r="2887" spans="1:4">
      <c r="A2887" s="58" t="s">
        <v>4816</v>
      </c>
      <c r="B2887" s="58">
        <v>531209</v>
      </c>
      <c r="C2887" s="58" t="s">
        <v>4817</v>
      </c>
      <c r="D2887" s="58" t="s">
        <v>681</v>
      </c>
    </row>
    <row r="2888" spans="1:4">
      <c r="A2888" s="58" t="s">
        <v>4818</v>
      </c>
      <c r="B2888" s="58">
        <v>531304</v>
      </c>
      <c r="C2888" s="58" t="s">
        <v>588</v>
      </c>
      <c r="D2888" s="58" t="s">
        <v>603</v>
      </c>
    </row>
    <row r="2889" spans="1:4">
      <c r="A2889" s="58" t="s">
        <v>4819</v>
      </c>
      <c r="B2889" s="58">
        <v>524764</v>
      </c>
      <c r="C2889" s="58" t="s">
        <v>588</v>
      </c>
      <c r="D2889" s="58" t="s">
        <v>636</v>
      </c>
    </row>
    <row r="2890" spans="1:4">
      <c r="A2890" s="58" t="s">
        <v>4820</v>
      </c>
      <c r="B2890" s="58">
        <v>524764</v>
      </c>
      <c r="C2890" s="58" t="s">
        <v>588</v>
      </c>
      <c r="D2890" s="58" t="s">
        <v>636</v>
      </c>
    </row>
    <row r="2891" spans="1:4">
      <c r="A2891" s="58" t="s">
        <v>4821</v>
      </c>
      <c r="B2891" s="58">
        <v>530219</v>
      </c>
      <c r="C2891" s="58" t="s">
        <v>588</v>
      </c>
      <c r="D2891" s="58" t="s">
        <v>702</v>
      </c>
    </row>
    <row r="2892" spans="1:4">
      <c r="A2892" s="58" t="s">
        <v>4822</v>
      </c>
      <c r="B2892" s="58">
        <v>531819</v>
      </c>
      <c r="C2892" s="58" t="s">
        <v>588</v>
      </c>
      <c r="D2892" s="58" t="s">
        <v>610</v>
      </c>
    </row>
    <row r="2893" spans="1:4">
      <c r="A2893" s="58" t="s">
        <v>4823</v>
      </c>
      <c r="B2893" s="58">
        <v>531819</v>
      </c>
      <c r="C2893" s="58" t="s">
        <v>588</v>
      </c>
      <c r="D2893" s="58" t="s">
        <v>610</v>
      </c>
    </row>
    <row r="2894" spans="1:4">
      <c r="A2894" s="58" t="s">
        <v>4824</v>
      </c>
      <c r="B2894" s="58">
        <v>504378</v>
      </c>
      <c r="C2894" s="58" t="s">
        <v>588</v>
      </c>
      <c r="D2894" s="58" t="s">
        <v>610</v>
      </c>
    </row>
    <row r="2895" spans="1:4">
      <c r="A2895" s="58" t="s">
        <v>4825</v>
      </c>
      <c r="B2895" s="58">
        <v>539116</v>
      </c>
      <c r="C2895" s="58" t="s">
        <v>588</v>
      </c>
      <c r="D2895" s="58" t="s">
        <v>610</v>
      </c>
    </row>
    <row r="2896" spans="1:4">
      <c r="A2896" s="58" t="s">
        <v>4826</v>
      </c>
      <c r="B2896" s="58">
        <v>512489</v>
      </c>
      <c r="C2896" s="58" t="s">
        <v>588</v>
      </c>
      <c r="D2896" s="58" t="s">
        <v>605</v>
      </c>
    </row>
    <row r="2897" spans="1:4">
      <c r="A2897" s="58" t="s">
        <v>4827</v>
      </c>
      <c r="B2897" s="58">
        <v>538547</v>
      </c>
      <c r="C2897" s="58" t="s">
        <v>588</v>
      </c>
      <c r="D2897" s="58" t="s">
        <v>837</v>
      </c>
    </row>
    <row r="2898" spans="1:4">
      <c r="A2898" s="58" t="s">
        <v>4828</v>
      </c>
      <c r="B2898" s="58">
        <v>533273</v>
      </c>
      <c r="C2898" s="58" t="s">
        <v>4829</v>
      </c>
      <c r="D2898" s="58" t="s">
        <v>674</v>
      </c>
    </row>
    <row r="2899" spans="1:4">
      <c r="A2899" s="58" t="s">
        <v>4830</v>
      </c>
      <c r="B2899" s="58">
        <v>535657</v>
      </c>
      <c r="C2899" s="58" t="s">
        <v>588</v>
      </c>
      <c r="D2899" s="58" t="s">
        <v>574</v>
      </c>
    </row>
    <row r="2900" spans="1:4">
      <c r="A2900" s="58" t="s">
        <v>4831</v>
      </c>
      <c r="B2900" s="58">
        <v>519491</v>
      </c>
      <c r="C2900" s="58" t="s">
        <v>588</v>
      </c>
      <c r="D2900" s="58" t="s">
        <v>783</v>
      </c>
    </row>
    <row r="2901" spans="1:4">
      <c r="A2901" s="58" t="s">
        <v>4832</v>
      </c>
      <c r="B2901" s="58">
        <v>519491</v>
      </c>
      <c r="C2901" s="58" t="s">
        <v>588</v>
      </c>
      <c r="D2901" s="58" t="s">
        <v>783</v>
      </c>
    </row>
    <row r="2902" spans="1:4">
      <c r="A2902" s="58" t="s">
        <v>4833</v>
      </c>
      <c r="B2902" s="58">
        <v>538019</v>
      </c>
      <c r="C2902" s="58" t="s">
        <v>588</v>
      </c>
      <c r="D2902" s="58" t="s">
        <v>668</v>
      </c>
    </row>
    <row r="2903" spans="1:4">
      <c r="A2903" s="58" t="s">
        <v>4834</v>
      </c>
      <c r="B2903" s="58">
        <v>540405</v>
      </c>
      <c r="C2903" s="58" t="s">
        <v>588</v>
      </c>
      <c r="D2903" s="58" t="s">
        <v>668</v>
      </c>
    </row>
    <row r="2904" spans="1:4">
      <c r="A2904" s="58" t="s">
        <v>4835</v>
      </c>
      <c r="B2904" s="58">
        <v>533008</v>
      </c>
      <c r="C2904" s="58" t="s">
        <v>4836</v>
      </c>
      <c r="D2904" s="58" t="s">
        <v>620</v>
      </c>
    </row>
    <row r="2905" spans="1:4">
      <c r="A2905" s="58" t="s">
        <v>4837</v>
      </c>
      <c r="B2905" s="58">
        <v>538894</v>
      </c>
      <c r="C2905" s="58" t="s">
        <v>588</v>
      </c>
      <c r="D2905" s="58" t="s">
        <v>571</v>
      </c>
    </row>
    <row r="2906" spans="1:4">
      <c r="A2906" s="58" t="s">
        <v>4838</v>
      </c>
      <c r="B2906" s="58">
        <v>540416</v>
      </c>
      <c r="C2906" s="58" t="s">
        <v>588</v>
      </c>
      <c r="D2906" s="58" t="s">
        <v>594</v>
      </c>
    </row>
    <row r="2907" spans="1:4">
      <c r="A2907" s="58" t="s">
        <v>4839</v>
      </c>
      <c r="B2907" s="58">
        <v>531996</v>
      </c>
      <c r="C2907" s="58" t="s">
        <v>588</v>
      </c>
      <c r="D2907" s="58" t="s">
        <v>605</v>
      </c>
    </row>
    <row r="2908" spans="1:4">
      <c r="A2908" s="58" t="s">
        <v>4840</v>
      </c>
      <c r="B2908" s="58">
        <v>530175</v>
      </c>
      <c r="C2908" s="58" t="s">
        <v>588</v>
      </c>
      <c r="D2908" s="58" t="s">
        <v>681</v>
      </c>
    </row>
    <row r="2909" spans="1:4">
      <c r="A2909" s="58" t="s">
        <v>4841</v>
      </c>
      <c r="B2909" s="58">
        <v>539570</v>
      </c>
      <c r="C2909" s="58" t="s">
        <v>588</v>
      </c>
      <c r="D2909" s="58" t="s">
        <v>574</v>
      </c>
    </row>
    <row r="2910" spans="1:4">
      <c r="A2910" s="58" t="s">
        <v>4842</v>
      </c>
      <c r="B2910" s="58">
        <v>500312</v>
      </c>
      <c r="C2910" s="58" t="s">
        <v>4843</v>
      </c>
      <c r="D2910" s="58" t="s">
        <v>651</v>
      </c>
    </row>
    <row r="2911" spans="1:4">
      <c r="A2911" s="58" t="s">
        <v>4844</v>
      </c>
      <c r="B2911" s="58">
        <v>533106</v>
      </c>
      <c r="C2911" s="58" t="s">
        <v>4845</v>
      </c>
      <c r="D2911" s="58" t="s">
        <v>651</v>
      </c>
    </row>
    <row r="2912" spans="1:4">
      <c r="A2912" s="58" t="s">
        <v>4846</v>
      </c>
      <c r="B2912" s="58">
        <v>500313</v>
      </c>
      <c r="C2912" s="58" t="s">
        <v>4847</v>
      </c>
      <c r="D2912" s="58" t="s">
        <v>929</v>
      </c>
    </row>
    <row r="2913" spans="1:4">
      <c r="A2913" s="58" t="s">
        <v>4848</v>
      </c>
      <c r="B2913" s="58">
        <v>533106</v>
      </c>
      <c r="C2913" s="58" t="s">
        <v>4845</v>
      </c>
      <c r="D2913" s="58" t="s">
        <v>651</v>
      </c>
    </row>
    <row r="2914" spans="1:4">
      <c r="A2914" s="58" t="s">
        <v>4849</v>
      </c>
      <c r="B2914" s="58">
        <v>526415</v>
      </c>
      <c r="C2914" s="58" t="s">
        <v>588</v>
      </c>
      <c r="D2914" s="58" t="s">
        <v>1086</v>
      </c>
    </row>
    <row r="2915" spans="1:4">
      <c r="A2915" s="58" t="s">
        <v>4850</v>
      </c>
      <c r="B2915" s="58">
        <v>526415</v>
      </c>
      <c r="C2915" s="58" t="s">
        <v>588</v>
      </c>
      <c r="D2915" s="58" t="s">
        <v>1086</v>
      </c>
    </row>
    <row r="2916" spans="1:4">
      <c r="A2916" s="58" t="s">
        <v>4851</v>
      </c>
      <c r="B2916" s="58">
        <v>532439</v>
      </c>
      <c r="C2916" s="58" t="s">
        <v>4852</v>
      </c>
      <c r="D2916" s="58" t="s">
        <v>596</v>
      </c>
    </row>
    <row r="2917" spans="1:4">
      <c r="A2917" s="58" t="s">
        <v>4853</v>
      </c>
      <c r="B2917" s="58">
        <v>521105</v>
      </c>
      <c r="C2917" s="58" t="s">
        <v>588</v>
      </c>
      <c r="D2917" s="58" t="s">
        <v>3343</v>
      </c>
    </row>
    <row r="2918" spans="1:4">
      <c r="A2918" s="58" t="s">
        <v>4854</v>
      </c>
      <c r="B2918" s="58">
        <v>534190</v>
      </c>
      <c r="C2918" s="58" t="s">
        <v>588</v>
      </c>
      <c r="D2918" s="58" t="s">
        <v>1086</v>
      </c>
    </row>
    <row r="2919" spans="1:4">
      <c r="A2919" s="58" t="s">
        <v>4855</v>
      </c>
      <c r="B2919" s="58">
        <v>507609</v>
      </c>
      <c r="C2919" s="58" t="s">
        <v>588</v>
      </c>
      <c r="D2919" s="58" t="s">
        <v>786</v>
      </c>
    </row>
    <row r="2920" spans="1:4">
      <c r="A2920" s="58" t="s">
        <v>4856</v>
      </c>
      <c r="B2920" s="58">
        <v>531092</v>
      </c>
      <c r="C2920" s="58" t="s">
        <v>4857</v>
      </c>
      <c r="D2920" s="58" t="s">
        <v>986</v>
      </c>
    </row>
    <row r="2921" spans="1:4">
      <c r="A2921" s="58" t="s">
        <v>4858</v>
      </c>
      <c r="B2921" s="58">
        <v>538537</v>
      </c>
      <c r="C2921" s="58" t="s">
        <v>588</v>
      </c>
      <c r="D2921" s="58" t="s">
        <v>610</v>
      </c>
    </row>
    <row r="2922" spans="1:4">
      <c r="A2922" s="58" t="s">
        <v>4859</v>
      </c>
      <c r="B2922" s="58">
        <v>520021</v>
      </c>
      <c r="C2922" s="58" t="s">
        <v>4860</v>
      </c>
      <c r="D2922" s="58" t="s">
        <v>943</v>
      </c>
    </row>
    <row r="2923" spans="1:4">
      <c r="A2923" s="58" t="s">
        <v>4861</v>
      </c>
      <c r="B2923" s="58">
        <v>532880</v>
      </c>
      <c r="C2923" s="58" t="s">
        <v>4862</v>
      </c>
      <c r="D2923" s="58" t="s">
        <v>674</v>
      </c>
    </row>
    <row r="2924" spans="1:4">
      <c r="A2924" s="58" t="s">
        <v>4863</v>
      </c>
      <c r="B2924" s="58" t="s">
        <v>588</v>
      </c>
      <c r="C2924" s="58" t="s">
        <v>4864</v>
      </c>
      <c r="D2924" s="58" t="s">
        <v>599</v>
      </c>
    </row>
    <row r="2925" spans="1:4">
      <c r="A2925" s="58" t="s">
        <v>4865</v>
      </c>
      <c r="B2925" s="58" t="s">
        <v>588</v>
      </c>
      <c r="C2925" s="58" t="s">
        <v>4864</v>
      </c>
      <c r="D2925" s="58" t="s">
        <v>599</v>
      </c>
    </row>
    <row r="2926" spans="1:4">
      <c r="A2926" s="58" t="s">
        <v>4866</v>
      </c>
      <c r="B2926" s="58">
        <v>531496</v>
      </c>
      <c r="C2926" s="58" t="s">
        <v>588</v>
      </c>
      <c r="D2926" s="58" t="s">
        <v>603</v>
      </c>
    </row>
    <row r="2927" spans="1:4">
      <c r="A2927" s="58" t="s">
        <v>4867</v>
      </c>
      <c r="B2927" s="58">
        <v>532167</v>
      </c>
      <c r="C2927" s="58" t="s">
        <v>588</v>
      </c>
      <c r="D2927" s="58" t="s">
        <v>636</v>
      </c>
    </row>
    <row r="2928" spans="1:4">
      <c r="A2928" s="58" t="s">
        <v>4868</v>
      </c>
      <c r="B2928" s="58">
        <v>533317</v>
      </c>
      <c r="C2928" s="58" t="s">
        <v>4869</v>
      </c>
      <c r="D2928" s="58" t="s">
        <v>748</v>
      </c>
    </row>
    <row r="2929" spans="1:4">
      <c r="A2929" s="58" t="s">
        <v>4870</v>
      </c>
      <c r="B2929" s="58">
        <v>532340</v>
      </c>
      <c r="C2929" s="58" t="s">
        <v>588</v>
      </c>
      <c r="D2929" s="58" t="s">
        <v>681</v>
      </c>
    </row>
    <row r="2930" spans="1:4">
      <c r="A2930" s="58" t="s">
        <v>4871</v>
      </c>
      <c r="B2930" s="58">
        <v>514324</v>
      </c>
      <c r="C2930" s="58" t="s">
        <v>588</v>
      </c>
      <c r="D2930" s="58" t="s">
        <v>603</v>
      </c>
    </row>
    <row r="2931" spans="1:4">
      <c r="A2931" s="58" t="s">
        <v>4872</v>
      </c>
      <c r="B2931" s="58">
        <v>514324</v>
      </c>
      <c r="C2931" s="58" t="s">
        <v>588</v>
      </c>
      <c r="D2931" s="58" t="s">
        <v>603</v>
      </c>
    </row>
    <row r="2932" spans="1:4">
      <c r="A2932" s="58" t="s">
        <v>4873</v>
      </c>
      <c r="B2932" s="58" t="s">
        <v>588</v>
      </c>
      <c r="C2932" s="58" t="s">
        <v>4874</v>
      </c>
      <c r="D2932" s="58" t="s">
        <v>599</v>
      </c>
    </row>
    <row r="2933" spans="1:4">
      <c r="A2933" s="58" t="s">
        <v>4875</v>
      </c>
      <c r="B2933" s="58">
        <v>533632</v>
      </c>
      <c r="C2933" s="58" t="s">
        <v>4876</v>
      </c>
      <c r="D2933" s="58" t="s">
        <v>608</v>
      </c>
    </row>
    <row r="2934" spans="1:4">
      <c r="A2934" s="58" t="s">
        <v>4877</v>
      </c>
      <c r="B2934" s="58">
        <v>530805</v>
      </c>
      <c r="C2934" s="58" t="s">
        <v>588</v>
      </c>
      <c r="D2934" s="58" t="s">
        <v>672</v>
      </c>
    </row>
    <row r="2935" spans="1:4">
      <c r="A2935" s="58" t="s">
        <v>4878</v>
      </c>
      <c r="B2935" s="58">
        <v>535647</v>
      </c>
      <c r="C2935" s="58" t="s">
        <v>588</v>
      </c>
      <c r="D2935" s="58" t="s">
        <v>591</v>
      </c>
    </row>
    <row r="2936" spans="1:4">
      <c r="A2936" s="58" t="s">
        <v>4879</v>
      </c>
      <c r="B2936" s="58">
        <v>532944</v>
      </c>
      <c r="C2936" s="58" t="s">
        <v>4880</v>
      </c>
      <c r="D2936" s="58" t="s">
        <v>1533</v>
      </c>
    </row>
    <row r="2937" spans="1:4">
      <c r="A2937" s="58" t="s">
        <v>4881</v>
      </c>
      <c r="B2937" s="58">
        <v>540386</v>
      </c>
      <c r="C2937" s="58" t="s">
        <v>588</v>
      </c>
      <c r="D2937" s="58" t="s">
        <v>571</v>
      </c>
    </row>
    <row r="2938" spans="1:4">
      <c r="A2938" s="58" t="s">
        <v>4882</v>
      </c>
      <c r="B2938" s="58">
        <v>517536</v>
      </c>
      <c r="C2938" s="58" t="s">
        <v>4883</v>
      </c>
      <c r="D2938" s="58" t="s">
        <v>574</v>
      </c>
    </row>
    <row r="2939" spans="1:4">
      <c r="A2939" s="58" t="s">
        <v>4884</v>
      </c>
      <c r="B2939" s="58" t="s">
        <v>588</v>
      </c>
      <c r="C2939" s="58" t="s">
        <v>4885</v>
      </c>
      <c r="D2939" s="58" t="s">
        <v>599</v>
      </c>
    </row>
    <row r="2940" spans="1:4">
      <c r="A2940" s="58" t="s">
        <v>4886</v>
      </c>
      <c r="B2940" s="58">
        <v>530135</v>
      </c>
      <c r="C2940" s="58" t="s">
        <v>4887</v>
      </c>
      <c r="D2940" s="58" t="s">
        <v>622</v>
      </c>
    </row>
    <row r="2941" spans="1:4">
      <c r="A2941" s="58" t="s">
        <v>4888</v>
      </c>
      <c r="B2941" s="58">
        <v>531254</v>
      </c>
      <c r="C2941" s="58" t="s">
        <v>588</v>
      </c>
      <c r="D2941" s="58" t="s">
        <v>605</v>
      </c>
    </row>
    <row r="2942" spans="1:4">
      <c r="A2942" s="58" t="s">
        <v>4889</v>
      </c>
      <c r="B2942" s="58">
        <v>532391</v>
      </c>
      <c r="C2942" s="58" t="s">
        <v>4890</v>
      </c>
      <c r="D2942" s="58" t="s">
        <v>1752</v>
      </c>
    </row>
    <row r="2943" spans="1:4">
      <c r="A2943" s="58" t="s">
        <v>4891</v>
      </c>
      <c r="B2943" s="58">
        <v>532391</v>
      </c>
      <c r="C2943" s="58" t="s">
        <v>4890</v>
      </c>
      <c r="D2943" s="58" t="s">
        <v>1752</v>
      </c>
    </row>
    <row r="2944" spans="1:4">
      <c r="A2944" s="58" t="s">
        <v>4892</v>
      </c>
      <c r="B2944" s="58">
        <v>539598</v>
      </c>
      <c r="C2944" s="58" t="s">
        <v>588</v>
      </c>
      <c r="D2944" s="58" t="s">
        <v>605</v>
      </c>
    </row>
    <row r="2945" spans="1:4">
      <c r="A2945" s="58" t="s">
        <v>4893</v>
      </c>
      <c r="B2945" s="58">
        <v>532466</v>
      </c>
      <c r="C2945" s="58" t="s">
        <v>4894</v>
      </c>
      <c r="D2945" s="58" t="s">
        <v>574</v>
      </c>
    </row>
    <row r="2946" spans="1:4">
      <c r="A2946" s="58" t="s">
        <v>4895</v>
      </c>
      <c r="B2946" s="58">
        <v>512626</v>
      </c>
      <c r="C2946" s="58" t="s">
        <v>4896</v>
      </c>
      <c r="D2946" s="58" t="s">
        <v>603</v>
      </c>
    </row>
    <row r="2947" spans="1:4">
      <c r="A2947" s="58" t="s">
        <v>4897</v>
      </c>
      <c r="B2947" s="58">
        <v>524372</v>
      </c>
      <c r="C2947" s="58" t="s">
        <v>4898</v>
      </c>
      <c r="D2947" s="58" t="s">
        <v>626</v>
      </c>
    </row>
    <row r="2948" spans="1:4">
      <c r="A2948" s="58" t="s">
        <v>4899</v>
      </c>
      <c r="B2948" s="58">
        <v>531157</v>
      </c>
      <c r="C2948" s="58" t="s">
        <v>588</v>
      </c>
      <c r="D2948" s="58" t="s">
        <v>748</v>
      </c>
    </row>
    <row r="2949" spans="1:4">
      <c r="A2949" s="58" t="s">
        <v>4900</v>
      </c>
      <c r="B2949" s="58">
        <v>513121</v>
      </c>
      <c r="C2949" s="58" t="s">
        <v>4901</v>
      </c>
      <c r="D2949" s="58" t="s">
        <v>748</v>
      </c>
    </row>
    <row r="2950" spans="1:4">
      <c r="A2950" s="58" t="s">
        <v>4902</v>
      </c>
      <c r="B2950" s="58">
        <v>504879</v>
      </c>
      <c r="C2950" s="58" t="s">
        <v>4903</v>
      </c>
      <c r="D2950" s="58" t="s">
        <v>1506</v>
      </c>
    </row>
    <row r="2951" spans="1:4">
      <c r="A2951" s="58" t="s">
        <v>4904</v>
      </c>
      <c r="B2951" s="58">
        <v>530365</v>
      </c>
      <c r="C2951" s="58" t="s">
        <v>4905</v>
      </c>
      <c r="D2951" s="58" t="s">
        <v>865</v>
      </c>
    </row>
    <row r="2952" spans="1:4">
      <c r="A2952" s="58" t="s">
        <v>4906</v>
      </c>
      <c r="B2952" s="58">
        <v>507690</v>
      </c>
      <c r="C2952" s="58" t="s">
        <v>588</v>
      </c>
      <c r="D2952" s="58" t="s">
        <v>1023</v>
      </c>
    </row>
    <row r="2953" spans="1:4">
      <c r="A2953" s="58" t="s">
        <v>4907</v>
      </c>
      <c r="B2953" s="58">
        <v>535754</v>
      </c>
      <c r="C2953" s="58" t="s">
        <v>4908</v>
      </c>
      <c r="D2953" s="58" t="s">
        <v>601</v>
      </c>
    </row>
    <row r="2954" spans="1:4">
      <c r="A2954" s="58" t="s">
        <v>4909</v>
      </c>
      <c r="B2954" s="58">
        <v>541301</v>
      </c>
      <c r="C2954" s="58" t="s">
        <v>4910</v>
      </c>
      <c r="D2954" s="58" t="s">
        <v>957</v>
      </c>
    </row>
    <row r="2955" spans="1:4">
      <c r="A2955" s="58" t="s">
        <v>4911</v>
      </c>
      <c r="B2955" s="58">
        <v>533263</v>
      </c>
      <c r="C2955" s="58" t="s">
        <v>4912</v>
      </c>
      <c r="D2955" s="58" t="s">
        <v>727</v>
      </c>
    </row>
    <row r="2956" spans="1:4">
      <c r="A2956" s="58" t="s">
        <v>4913</v>
      </c>
      <c r="B2956" s="58">
        <v>502420</v>
      </c>
      <c r="C2956" s="58" t="s">
        <v>4914</v>
      </c>
      <c r="D2956" s="58" t="s">
        <v>582</v>
      </c>
    </row>
    <row r="2957" spans="1:4">
      <c r="A2957" s="58" t="s">
        <v>4915</v>
      </c>
      <c r="B2957" s="58">
        <v>526325</v>
      </c>
      <c r="C2957" s="58" t="s">
        <v>4916</v>
      </c>
      <c r="D2957" s="58" t="s">
        <v>783</v>
      </c>
    </row>
    <row r="2958" spans="1:4">
      <c r="A2958" s="58" t="s">
        <v>4917</v>
      </c>
      <c r="B2958" s="58">
        <v>534076</v>
      </c>
      <c r="C2958" s="58" t="s">
        <v>4918</v>
      </c>
      <c r="D2958" s="58" t="s">
        <v>773</v>
      </c>
    </row>
    <row r="2959" spans="1:4">
      <c r="A2959" s="58" t="s">
        <v>4919</v>
      </c>
      <c r="B2959" s="58">
        <v>531512</v>
      </c>
      <c r="C2959" s="58" t="s">
        <v>588</v>
      </c>
      <c r="D2959" s="58" t="s">
        <v>591</v>
      </c>
    </row>
    <row r="2960" spans="1:4">
      <c r="A2960" s="58" t="s">
        <v>4920</v>
      </c>
      <c r="B2960" s="58">
        <v>500078</v>
      </c>
      <c r="C2960" s="58" t="s">
        <v>588</v>
      </c>
      <c r="D2960" s="58" t="s">
        <v>636</v>
      </c>
    </row>
    <row r="2961" spans="1:4">
      <c r="A2961" s="58" t="s">
        <v>4921</v>
      </c>
      <c r="B2961" s="58">
        <v>500315</v>
      </c>
      <c r="C2961" s="58" t="s">
        <v>4922</v>
      </c>
      <c r="D2961" s="58" t="s">
        <v>906</v>
      </c>
    </row>
    <row r="2962" spans="1:4">
      <c r="A2962" s="58" t="s">
        <v>4923</v>
      </c>
      <c r="B2962" s="58">
        <v>506579</v>
      </c>
      <c r="C2962" s="58" t="s">
        <v>4924</v>
      </c>
      <c r="D2962" s="58" t="s">
        <v>636</v>
      </c>
    </row>
    <row r="2963" spans="1:4">
      <c r="A2963" s="58" t="s">
        <v>4925</v>
      </c>
      <c r="B2963" s="58">
        <v>500314</v>
      </c>
      <c r="C2963" s="58" t="s">
        <v>4926</v>
      </c>
      <c r="D2963" s="58" t="s">
        <v>789</v>
      </c>
    </row>
    <row r="2964" spans="1:4">
      <c r="A2964" s="58" t="s">
        <v>4927</v>
      </c>
      <c r="B2964" s="58">
        <v>532817</v>
      </c>
      <c r="C2964" s="58" t="s">
        <v>4928</v>
      </c>
      <c r="D2964" s="58" t="s">
        <v>1116</v>
      </c>
    </row>
    <row r="2965" spans="1:4">
      <c r="A2965" s="58" t="s">
        <v>4929</v>
      </c>
      <c r="B2965" s="58">
        <v>531859</v>
      </c>
      <c r="C2965" s="58" t="s">
        <v>588</v>
      </c>
      <c r="D2965" s="58" t="s">
        <v>1506</v>
      </c>
    </row>
    <row r="2966" spans="1:4">
      <c r="A2966" s="58" t="s">
        <v>4930</v>
      </c>
      <c r="B2966" s="58">
        <v>541206</v>
      </c>
      <c r="C2966" s="58" t="s">
        <v>588</v>
      </c>
      <c r="D2966" s="58" t="s">
        <v>909</v>
      </c>
    </row>
    <row r="2967" spans="1:4">
      <c r="A2967" s="58" t="s">
        <v>4931</v>
      </c>
      <c r="B2967" s="58">
        <v>531626</v>
      </c>
      <c r="C2967" s="58" t="s">
        <v>588</v>
      </c>
      <c r="D2967" s="58" t="s">
        <v>702</v>
      </c>
    </row>
    <row r="2968" spans="1:4">
      <c r="A2968" s="58" t="s">
        <v>4932</v>
      </c>
      <c r="B2968" s="58">
        <v>531626</v>
      </c>
      <c r="C2968" s="58" t="s">
        <v>588</v>
      </c>
      <c r="D2968" s="58" t="s">
        <v>702</v>
      </c>
    </row>
    <row r="2969" spans="1:4">
      <c r="A2969" s="58" t="s">
        <v>4933</v>
      </c>
      <c r="B2969" s="58">
        <v>539015</v>
      </c>
      <c r="C2969" s="58" t="s">
        <v>4934</v>
      </c>
      <c r="D2969" s="58" t="s">
        <v>1325</v>
      </c>
    </row>
    <row r="2970" spans="1:4">
      <c r="A2970" s="58" t="s">
        <v>4935</v>
      </c>
      <c r="B2970" s="58">
        <v>539287</v>
      </c>
      <c r="C2970" s="58" t="s">
        <v>4936</v>
      </c>
      <c r="D2970" s="58" t="s">
        <v>626</v>
      </c>
    </row>
    <row r="2971" spans="1:4">
      <c r="A2971" s="58" t="s">
        <v>4937</v>
      </c>
      <c r="B2971" s="58">
        <v>530173</v>
      </c>
      <c r="C2971" s="58" t="s">
        <v>588</v>
      </c>
      <c r="D2971" s="58" t="s">
        <v>702</v>
      </c>
    </row>
    <row r="2972" spans="1:4">
      <c r="A2972" s="58" t="s">
        <v>4938</v>
      </c>
      <c r="B2972" s="58">
        <v>501179</v>
      </c>
      <c r="C2972" s="58" t="s">
        <v>588</v>
      </c>
      <c r="D2972" s="58" t="s">
        <v>608</v>
      </c>
    </row>
    <row r="2973" spans="1:4">
      <c r="A2973" s="58" t="s">
        <v>4939</v>
      </c>
      <c r="B2973" s="58">
        <v>509782</v>
      </c>
      <c r="C2973" s="58" t="s">
        <v>588</v>
      </c>
      <c r="D2973" s="58" t="s">
        <v>1009</v>
      </c>
    </row>
    <row r="2974" spans="1:4">
      <c r="A2974" s="58" t="s">
        <v>4940</v>
      </c>
      <c r="B2974" s="58">
        <v>540198</v>
      </c>
      <c r="C2974" s="58" t="s">
        <v>588</v>
      </c>
      <c r="D2974" s="58" t="s">
        <v>603</v>
      </c>
    </row>
    <row r="2975" spans="1:4">
      <c r="A2975" s="58" t="s">
        <v>4941</v>
      </c>
      <c r="B2975" s="58">
        <v>500317</v>
      </c>
      <c r="C2975" s="58" t="s">
        <v>4942</v>
      </c>
      <c r="D2975" s="58" t="s">
        <v>608</v>
      </c>
    </row>
    <row r="2976" spans="1:4">
      <c r="A2976" s="58" t="s">
        <v>4943</v>
      </c>
      <c r="B2976" s="58">
        <v>539290</v>
      </c>
      <c r="C2976" s="58" t="s">
        <v>4944</v>
      </c>
      <c r="D2976" s="58" t="s">
        <v>608</v>
      </c>
    </row>
    <row r="2977" spans="1:4">
      <c r="A2977" s="58" t="s">
        <v>4945</v>
      </c>
      <c r="B2977" s="58">
        <v>509099</v>
      </c>
      <c r="C2977" s="58" t="s">
        <v>588</v>
      </c>
      <c r="D2977" s="58" t="s">
        <v>1009</v>
      </c>
    </row>
    <row r="2978" spans="1:4">
      <c r="A2978" s="58" t="s">
        <v>4946</v>
      </c>
      <c r="B2978" s="58">
        <v>531065</v>
      </c>
      <c r="C2978" s="58" t="s">
        <v>588</v>
      </c>
      <c r="D2978" s="58" t="s">
        <v>1286</v>
      </c>
    </row>
    <row r="2979" spans="1:4">
      <c r="A2979" s="58" t="s">
        <v>4947</v>
      </c>
      <c r="B2979" s="58">
        <v>514460</v>
      </c>
      <c r="C2979" s="58" t="s">
        <v>588</v>
      </c>
      <c r="D2979" s="58" t="s">
        <v>610</v>
      </c>
    </row>
    <row r="2980" spans="1:4">
      <c r="A2980" s="58" t="s">
        <v>4948</v>
      </c>
      <c r="B2980" s="58">
        <v>523151</v>
      </c>
      <c r="C2980" s="58" t="s">
        <v>588</v>
      </c>
      <c r="D2980" s="58" t="s">
        <v>672</v>
      </c>
    </row>
    <row r="2981" spans="1:4">
      <c r="A2981" s="58" t="s">
        <v>4949</v>
      </c>
      <c r="B2981" s="58">
        <v>514330</v>
      </c>
      <c r="C2981" s="58" t="s">
        <v>588</v>
      </c>
      <c r="D2981" s="58" t="s">
        <v>603</v>
      </c>
    </row>
    <row r="2982" spans="1:4">
      <c r="A2982" s="58" t="s">
        <v>4950</v>
      </c>
      <c r="B2982" s="58">
        <v>530741</v>
      </c>
      <c r="C2982" s="58" t="s">
        <v>588</v>
      </c>
      <c r="D2982" s="58" t="s">
        <v>668</v>
      </c>
    </row>
    <row r="2983" spans="1:4">
      <c r="A2983" s="58" t="s">
        <v>4951</v>
      </c>
      <c r="B2983" s="58">
        <v>539291</v>
      </c>
      <c r="C2983" s="58" t="s">
        <v>588</v>
      </c>
      <c r="D2983" s="58" t="s">
        <v>786</v>
      </c>
    </row>
    <row r="2984" spans="1:4">
      <c r="A2984" s="58" t="s">
        <v>4952</v>
      </c>
      <c r="B2984" s="58">
        <v>539352</v>
      </c>
      <c r="C2984" s="58" t="s">
        <v>588</v>
      </c>
      <c r="D2984" s="58" t="s">
        <v>591</v>
      </c>
    </row>
    <row r="2985" spans="1:4">
      <c r="A2985" s="58" t="s">
        <v>4953</v>
      </c>
      <c r="B2985" s="58">
        <v>513403</v>
      </c>
      <c r="C2985" s="58" t="s">
        <v>588</v>
      </c>
      <c r="D2985" s="58" t="s">
        <v>620</v>
      </c>
    </row>
    <row r="2986" spans="1:4">
      <c r="A2986" s="58" t="s">
        <v>4954</v>
      </c>
      <c r="B2986" s="58">
        <v>523862</v>
      </c>
      <c r="C2986" s="58" t="s">
        <v>588</v>
      </c>
      <c r="D2986" s="58" t="s">
        <v>605</v>
      </c>
    </row>
    <row r="2987" spans="1:4">
      <c r="A2987" s="58" t="s">
        <v>4955</v>
      </c>
      <c r="B2987" s="58">
        <v>523483</v>
      </c>
      <c r="C2987" s="58" t="s">
        <v>588</v>
      </c>
      <c r="D2987" s="58" t="s">
        <v>1116</v>
      </c>
    </row>
    <row r="2988" spans="1:4">
      <c r="A2988" s="58" t="s">
        <v>4956</v>
      </c>
      <c r="B2988" s="58">
        <v>538963</v>
      </c>
      <c r="C2988" s="58" t="s">
        <v>588</v>
      </c>
      <c r="D2988" s="58" t="s">
        <v>911</v>
      </c>
    </row>
    <row r="2989" spans="1:4">
      <c r="A2989" s="58" t="s">
        <v>4957</v>
      </c>
      <c r="B2989" s="58">
        <v>531395</v>
      </c>
      <c r="C2989" s="58" t="s">
        <v>588</v>
      </c>
      <c r="D2989" s="58" t="s">
        <v>603</v>
      </c>
    </row>
    <row r="2990" spans="1:4">
      <c r="A2990" s="58" t="s">
        <v>4958</v>
      </c>
      <c r="B2990" s="58">
        <v>532350</v>
      </c>
      <c r="C2990" s="58" t="s">
        <v>588</v>
      </c>
      <c r="D2990" s="58" t="s">
        <v>591</v>
      </c>
    </row>
    <row r="2991" spans="1:4">
      <c r="A2991" s="58" t="s">
        <v>4959</v>
      </c>
      <c r="B2991" s="58">
        <v>526905</v>
      </c>
      <c r="C2991" s="58" t="s">
        <v>588</v>
      </c>
      <c r="D2991" s="58" t="s">
        <v>636</v>
      </c>
    </row>
    <row r="2992" spans="1:4">
      <c r="A2992" s="58" t="s">
        <v>4960</v>
      </c>
      <c r="B2992" s="58">
        <v>517230</v>
      </c>
      <c r="C2992" s="58" t="s">
        <v>4961</v>
      </c>
      <c r="D2992" s="58" t="s">
        <v>610</v>
      </c>
    </row>
    <row r="2993" spans="1:4">
      <c r="A2993" s="58" t="s">
        <v>4962</v>
      </c>
      <c r="B2993" s="58">
        <v>532827</v>
      </c>
      <c r="C2993" s="58" t="s">
        <v>4963</v>
      </c>
      <c r="D2993" s="58" t="s">
        <v>702</v>
      </c>
    </row>
    <row r="2994" spans="1:4">
      <c r="A2994" s="58" t="s">
        <v>4964</v>
      </c>
      <c r="B2994" s="58">
        <v>532900</v>
      </c>
      <c r="C2994" s="58" t="s">
        <v>4965</v>
      </c>
      <c r="D2994" s="58" t="s">
        <v>605</v>
      </c>
    </row>
    <row r="2995" spans="1:4">
      <c r="A2995" s="58" t="s">
        <v>4966</v>
      </c>
      <c r="B2995" s="58">
        <v>540648</v>
      </c>
      <c r="C2995" s="58" t="s">
        <v>4967</v>
      </c>
      <c r="D2995" s="58" t="s">
        <v>608</v>
      </c>
    </row>
    <row r="2996" spans="1:4">
      <c r="A2996" s="58" t="s">
        <v>4968</v>
      </c>
      <c r="B2996" s="58">
        <v>539121</v>
      </c>
      <c r="C2996" s="58" t="s">
        <v>588</v>
      </c>
      <c r="D2996" s="58" t="s">
        <v>893</v>
      </c>
    </row>
    <row r="2997" spans="1:4">
      <c r="A2997" s="58" t="s">
        <v>4969</v>
      </c>
      <c r="B2997" s="58">
        <v>541444</v>
      </c>
      <c r="C2997" s="58" t="s">
        <v>588</v>
      </c>
      <c r="D2997" s="58" t="s">
        <v>702</v>
      </c>
    </row>
    <row r="2998" spans="1:4">
      <c r="A2998" s="58" t="s">
        <v>4970</v>
      </c>
      <c r="B2998" s="58">
        <v>532521</v>
      </c>
      <c r="C2998" s="58" t="s">
        <v>4971</v>
      </c>
      <c r="D2998" s="58" t="s">
        <v>681</v>
      </c>
    </row>
    <row r="2999" spans="1:4">
      <c r="A2999" s="58" t="s">
        <v>4972</v>
      </c>
      <c r="B2999" s="58">
        <v>511597</v>
      </c>
      <c r="C2999" s="58" t="s">
        <v>588</v>
      </c>
      <c r="D2999" s="58" t="s">
        <v>605</v>
      </c>
    </row>
    <row r="3000" spans="1:4">
      <c r="A3000" s="58" t="s">
        <v>4973</v>
      </c>
      <c r="B3000" s="58">
        <v>517397</v>
      </c>
      <c r="C3000" s="58" t="s">
        <v>588</v>
      </c>
      <c r="D3000" s="58" t="s">
        <v>1130</v>
      </c>
    </row>
    <row r="3001" spans="1:4">
      <c r="A3001" s="58" t="s">
        <v>4974</v>
      </c>
      <c r="B3001" s="58">
        <v>517397</v>
      </c>
      <c r="C3001" s="58" t="s">
        <v>588</v>
      </c>
      <c r="D3001" s="58" t="s">
        <v>1130</v>
      </c>
    </row>
    <row r="3002" spans="1:4">
      <c r="A3002" s="58" t="s">
        <v>4975</v>
      </c>
      <c r="B3002" s="58">
        <v>511525</v>
      </c>
      <c r="C3002" s="58" t="s">
        <v>588</v>
      </c>
      <c r="D3002" s="58" t="s">
        <v>681</v>
      </c>
    </row>
    <row r="3003" spans="1:4">
      <c r="A3003" s="58" t="s">
        <v>4976</v>
      </c>
      <c r="B3003" s="58">
        <v>531349</v>
      </c>
      <c r="C3003" s="58" t="s">
        <v>4977</v>
      </c>
      <c r="D3003" s="58" t="s">
        <v>926</v>
      </c>
    </row>
    <row r="3004" spans="1:4">
      <c r="A3004" s="58" t="s">
        <v>4978</v>
      </c>
      <c r="B3004" s="58" t="s">
        <v>588</v>
      </c>
      <c r="C3004" s="58" t="s">
        <v>4979</v>
      </c>
      <c r="D3004" s="58" t="s">
        <v>599</v>
      </c>
    </row>
    <row r="3005" spans="1:4">
      <c r="A3005" s="58" t="s">
        <v>4980</v>
      </c>
      <c r="B3005" s="58">
        <v>538742</v>
      </c>
      <c r="C3005" s="58" t="s">
        <v>588</v>
      </c>
      <c r="D3005" s="58" t="s">
        <v>610</v>
      </c>
    </row>
    <row r="3006" spans="1:4">
      <c r="A3006" s="58" t="s">
        <v>4981</v>
      </c>
      <c r="B3006" s="58">
        <v>538860</v>
      </c>
      <c r="C3006" s="58" t="s">
        <v>588</v>
      </c>
      <c r="D3006" s="58" t="s">
        <v>605</v>
      </c>
    </row>
    <row r="3007" spans="1:4">
      <c r="A3007" s="58" t="s">
        <v>4982</v>
      </c>
      <c r="B3007" s="58">
        <v>524820</v>
      </c>
      <c r="C3007" s="58" t="s">
        <v>4983</v>
      </c>
      <c r="D3007" s="58" t="s">
        <v>798</v>
      </c>
    </row>
    <row r="3008" spans="1:4">
      <c r="A3008" s="58" t="s">
        <v>4984</v>
      </c>
      <c r="B3008" s="58">
        <v>508941</v>
      </c>
      <c r="C3008" s="58" t="s">
        <v>588</v>
      </c>
      <c r="D3008" s="58" t="s">
        <v>773</v>
      </c>
    </row>
    <row r="3009" spans="1:4">
      <c r="A3009" s="58" t="s">
        <v>4985</v>
      </c>
      <c r="B3009" s="58">
        <v>504093</v>
      </c>
      <c r="C3009" s="58" t="s">
        <v>588</v>
      </c>
      <c r="D3009" s="58" t="s">
        <v>1134</v>
      </c>
    </row>
    <row r="3010" spans="1:4">
      <c r="A3010" s="58" t="s">
        <v>4986</v>
      </c>
      <c r="B3010" s="58">
        <v>513511</v>
      </c>
      <c r="C3010" s="58" t="s">
        <v>588</v>
      </c>
      <c r="D3010" s="58" t="s">
        <v>620</v>
      </c>
    </row>
    <row r="3011" spans="1:4">
      <c r="A3011" s="58" t="s">
        <v>4987</v>
      </c>
      <c r="B3011" s="58">
        <v>531726</v>
      </c>
      <c r="C3011" s="58" t="s">
        <v>588</v>
      </c>
      <c r="D3011" s="58" t="s">
        <v>626</v>
      </c>
    </row>
    <row r="3012" spans="1:4">
      <c r="A3012" s="58" t="s">
        <v>4988</v>
      </c>
      <c r="B3012" s="58">
        <v>506122</v>
      </c>
      <c r="C3012" s="58" t="s">
        <v>588</v>
      </c>
      <c r="D3012" s="58" t="s">
        <v>943</v>
      </c>
    </row>
    <row r="3013" spans="1:4">
      <c r="A3013" s="58" t="s">
        <v>4989</v>
      </c>
      <c r="B3013" s="58">
        <v>531280</v>
      </c>
      <c r="C3013" s="58" t="s">
        <v>588</v>
      </c>
      <c r="D3013" s="58" t="s">
        <v>783</v>
      </c>
    </row>
    <row r="3014" spans="1:4">
      <c r="A3014" s="58" t="s">
        <v>4990</v>
      </c>
      <c r="B3014" s="58">
        <v>534796</v>
      </c>
      <c r="C3014" s="58" t="s">
        <v>588</v>
      </c>
      <c r="D3014" s="58" t="s">
        <v>708</v>
      </c>
    </row>
    <row r="3015" spans="1:4">
      <c r="A3015" s="58" t="s">
        <v>4991</v>
      </c>
      <c r="B3015" s="58" t="s">
        <v>588</v>
      </c>
      <c r="C3015" s="58" t="s">
        <v>4992</v>
      </c>
      <c r="D3015" s="58" t="s">
        <v>599</v>
      </c>
    </row>
    <row r="3016" spans="1:4">
      <c r="A3016" s="58" t="s">
        <v>4993</v>
      </c>
      <c r="B3016" s="58">
        <v>539143</v>
      </c>
      <c r="C3016" s="58" t="s">
        <v>588</v>
      </c>
      <c r="D3016" s="58" t="s">
        <v>577</v>
      </c>
    </row>
    <row r="3017" spans="1:4">
      <c r="A3017" s="58" t="s">
        <v>4994</v>
      </c>
      <c r="B3017" s="58">
        <v>500322</v>
      </c>
      <c r="C3017" s="58" t="s">
        <v>588</v>
      </c>
      <c r="D3017" s="58" t="s">
        <v>601</v>
      </c>
    </row>
    <row r="3018" spans="1:4">
      <c r="A3018" s="58" t="s">
        <v>4995</v>
      </c>
      <c r="B3018" s="58">
        <v>513359</v>
      </c>
      <c r="C3018" s="58" t="s">
        <v>4996</v>
      </c>
      <c r="D3018" s="58" t="s">
        <v>865</v>
      </c>
    </row>
    <row r="3019" spans="1:4">
      <c r="A3019" s="58" t="s">
        <v>4997</v>
      </c>
      <c r="B3019" s="58">
        <v>533211</v>
      </c>
      <c r="C3019" s="58" t="s">
        <v>4998</v>
      </c>
      <c r="D3019" s="58" t="s">
        <v>626</v>
      </c>
    </row>
    <row r="3020" spans="1:4">
      <c r="A3020" s="58" t="s">
        <v>4999</v>
      </c>
      <c r="B3020" s="58">
        <v>539889</v>
      </c>
      <c r="C3020" s="58" t="s">
        <v>5000</v>
      </c>
      <c r="D3020" s="58" t="s">
        <v>648</v>
      </c>
    </row>
    <row r="3021" spans="1:4">
      <c r="A3021" s="58" t="s">
        <v>5001</v>
      </c>
      <c r="B3021" s="58">
        <v>531255</v>
      </c>
      <c r="C3021" s="58" t="s">
        <v>588</v>
      </c>
      <c r="D3021" s="58" t="s">
        <v>605</v>
      </c>
    </row>
    <row r="3022" spans="1:4">
      <c r="A3022" s="58" t="s">
        <v>5002</v>
      </c>
      <c r="B3022" s="58">
        <v>530555</v>
      </c>
      <c r="C3022" s="58" t="s">
        <v>5003</v>
      </c>
      <c r="D3022" s="58" t="s">
        <v>886</v>
      </c>
    </row>
    <row r="3023" spans="1:4">
      <c r="A3023" s="58" t="s">
        <v>5004</v>
      </c>
      <c r="B3023" s="58">
        <v>507970</v>
      </c>
      <c r="C3023" s="58" t="s">
        <v>588</v>
      </c>
      <c r="D3023" s="58" t="s">
        <v>770</v>
      </c>
    </row>
    <row r="3024" spans="1:4">
      <c r="A3024" s="58" t="s">
        <v>5005</v>
      </c>
      <c r="B3024" s="58">
        <v>507970</v>
      </c>
      <c r="C3024" s="58" t="s">
        <v>588</v>
      </c>
      <c r="D3024" s="58" t="s">
        <v>770</v>
      </c>
    </row>
    <row r="3025" spans="1:4">
      <c r="A3025" s="58" t="s">
        <v>5006</v>
      </c>
      <c r="B3025" s="58">
        <v>524689</v>
      </c>
      <c r="C3025" s="58" t="s">
        <v>5007</v>
      </c>
      <c r="D3025" s="58" t="s">
        <v>626</v>
      </c>
    </row>
    <row r="3026" spans="1:4">
      <c r="A3026" s="58" t="s">
        <v>5008</v>
      </c>
      <c r="B3026" s="58">
        <v>524689</v>
      </c>
      <c r="C3026" s="58" t="s">
        <v>5007</v>
      </c>
      <c r="D3026" s="58" t="s">
        <v>626</v>
      </c>
    </row>
    <row r="3027" spans="1:4">
      <c r="A3027" s="58" t="s">
        <v>5009</v>
      </c>
      <c r="B3027" s="58">
        <v>539481</v>
      </c>
      <c r="C3027" s="58" t="s">
        <v>588</v>
      </c>
      <c r="D3027" s="58" t="s">
        <v>605</v>
      </c>
    </row>
    <row r="3028" spans="1:4">
      <c r="A3028" s="58" t="s">
        <v>5010</v>
      </c>
      <c r="B3028" s="58" t="s">
        <v>588</v>
      </c>
      <c r="C3028" s="58" t="s">
        <v>5011</v>
      </c>
      <c r="D3028" s="58" t="s">
        <v>599</v>
      </c>
    </row>
    <row r="3029" spans="1:4">
      <c r="A3029" s="58" t="s">
        <v>5012</v>
      </c>
      <c r="B3029" s="58">
        <v>524628</v>
      </c>
      <c r="C3029" s="58" t="s">
        <v>588</v>
      </c>
      <c r="D3029" s="58" t="s">
        <v>610</v>
      </c>
    </row>
    <row r="3030" spans="1:4">
      <c r="A3030" s="58" t="s">
        <v>5013</v>
      </c>
      <c r="B3030" s="58">
        <v>532911</v>
      </c>
      <c r="C3030" s="58" t="s">
        <v>588</v>
      </c>
      <c r="D3030" s="58" t="s">
        <v>674</v>
      </c>
    </row>
    <row r="3031" spans="1:4">
      <c r="A3031" s="58" t="s">
        <v>5014</v>
      </c>
      <c r="B3031" s="58">
        <v>540359</v>
      </c>
      <c r="C3031" s="58" t="s">
        <v>588</v>
      </c>
      <c r="D3031" s="58" t="s">
        <v>626</v>
      </c>
    </row>
    <row r="3032" spans="1:4">
      <c r="A3032" s="58" t="s">
        <v>5015</v>
      </c>
      <c r="B3032" s="58">
        <v>540467</v>
      </c>
      <c r="C3032" s="58" t="s">
        <v>588</v>
      </c>
      <c r="D3032" s="58" t="s">
        <v>702</v>
      </c>
    </row>
    <row r="3033" spans="1:4">
      <c r="A3033" s="58" t="s">
        <v>5016</v>
      </c>
      <c r="B3033" s="58">
        <v>780017</v>
      </c>
      <c r="C3033" s="58" t="s">
        <v>588</v>
      </c>
      <c r="D3033" s="58" t="s">
        <v>679</v>
      </c>
    </row>
    <row r="3034" spans="1:4">
      <c r="A3034" s="58" t="s">
        <v>5017</v>
      </c>
      <c r="B3034" s="58">
        <v>506128</v>
      </c>
      <c r="C3034" s="58" t="s">
        <v>588</v>
      </c>
      <c r="D3034" s="58" t="s">
        <v>626</v>
      </c>
    </row>
    <row r="3035" spans="1:4">
      <c r="A3035" s="58" t="s">
        <v>5018</v>
      </c>
      <c r="B3035" s="58">
        <v>511702</v>
      </c>
      <c r="C3035" s="58" t="s">
        <v>588</v>
      </c>
      <c r="D3035" s="58" t="s">
        <v>605</v>
      </c>
    </row>
    <row r="3036" spans="1:4">
      <c r="A3036" s="58" t="s">
        <v>5019</v>
      </c>
      <c r="B3036" s="58">
        <v>511176</v>
      </c>
      <c r="C3036" s="58" t="s">
        <v>588</v>
      </c>
      <c r="D3036" s="58" t="s">
        <v>674</v>
      </c>
    </row>
    <row r="3037" spans="1:4">
      <c r="A3037" s="58" t="s">
        <v>5020</v>
      </c>
      <c r="B3037" s="58">
        <v>532780</v>
      </c>
      <c r="C3037" s="58" t="s">
        <v>5021</v>
      </c>
      <c r="D3037" s="58" t="s">
        <v>674</v>
      </c>
    </row>
    <row r="3038" spans="1:4">
      <c r="A3038" s="58" t="s">
        <v>5022</v>
      </c>
      <c r="B3038" s="58">
        <v>526349</v>
      </c>
      <c r="C3038" s="58" t="s">
        <v>588</v>
      </c>
      <c r="D3038" s="58" t="s">
        <v>943</v>
      </c>
    </row>
    <row r="3039" spans="1:4">
      <c r="A3039" s="58" t="s">
        <v>5023</v>
      </c>
      <c r="B3039" s="58">
        <v>541347</v>
      </c>
      <c r="C3039" s="58" t="s">
        <v>588</v>
      </c>
      <c r="D3039" s="58" t="s">
        <v>1286</v>
      </c>
    </row>
    <row r="3040" spans="1:4">
      <c r="A3040" s="58" t="s">
        <v>5024</v>
      </c>
      <c r="B3040" s="58">
        <v>521080</v>
      </c>
      <c r="C3040" s="58" t="s">
        <v>588</v>
      </c>
      <c r="D3040" s="58" t="s">
        <v>603</v>
      </c>
    </row>
    <row r="3041" spans="1:4">
      <c r="A3041" s="58" t="s">
        <v>5025</v>
      </c>
      <c r="B3041" s="58" t="s">
        <v>588</v>
      </c>
      <c r="C3041" s="58" t="s">
        <v>5026</v>
      </c>
      <c r="D3041" s="58" t="s">
        <v>599</v>
      </c>
    </row>
    <row r="3042" spans="1:4">
      <c r="A3042" s="58" t="s">
        <v>5027</v>
      </c>
      <c r="B3042" s="58">
        <v>500456</v>
      </c>
      <c r="C3042" s="58" t="s">
        <v>588</v>
      </c>
      <c r="D3042" s="58" t="s">
        <v>965</v>
      </c>
    </row>
    <row r="3043" spans="1:4">
      <c r="A3043" s="58" t="s">
        <v>5028</v>
      </c>
      <c r="B3043" s="58">
        <v>511734</v>
      </c>
      <c r="C3043" s="58" t="s">
        <v>588</v>
      </c>
      <c r="D3043" s="58" t="s">
        <v>605</v>
      </c>
    </row>
    <row r="3044" spans="1:4">
      <c r="A3044" s="58" t="s">
        <v>5029</v>
      </c>
      <c r="B3044" s="58">
        <v>503092</v>
      </c>
      <c r="C3044" s="58" t="s">
        <v>588</v>
      </c>
      <c r="D3044" s="58" t="s">
        <v>603</v>
      </c>
    </row>
    <row r="3045" spans="1:4">
      <c r="A3045" s="58" t="s">
        <v>5030</v>
      </c>
      <c r="B3045" s="58">
        <v>539401</v>
      </c>
      <c r="C3045" s="58" t="s">
        <v>588</v>
      </c>
      <c r="D3045" s="58" t="s">
        <v>702</v>
      </c>
    </row>
    <row r="3046" spans="1:4">
      <c r="A3046" s="58" t="s">
        <v>5031</v>
      </c>
      <c r="B3046" s="58">
        <v>531120</v>
      </c>
      <c r="C3046" s="58" t="s">
        <v>5032</v>
      </c>
      <c r="D3046" s="58" t="s">
        <v>986</v>
      </c>
    </row>
    <row r="3047" spans="1:4">
      <c r="A3047" s="58" t="s">
        <v>5033</v>
      </c>
      <c r="B3047" s="58">
        <v>526381</v>
      </c>
      <c r="C3047" s="58" t="s">
        <v>5034</v>
      </c>
      <c r="D3047" s="58" t="s">
        <v>660</v>
      </c>
    </row>
    <row r="3048" spans="1:4">
      <c r="A3048" s="58" t="s">
        <v>5035</v>
      </c>
      <c r="B3048" s="58">
        <v>517417</v>
      </c>
      <c r="C3048" s="58" t="s">
        <v>588</v>
      </c>
      <c r="D3048" s="58" t="s">
        <v>596</v>
      </c>
    </row>
    <row r="3049" spans="1:4">
      <c r="A3049" s="58" t="s">
        <v>5036</v>
      </c>
      <c r="B3049" s="58">
        <v>517417</v>
      </c>
      <c r="C3049" s="58" t="s">
        <v>588</v>
      </c>
      <c r="D3049" s="58" t="s">
        <v>596</v>
      </c>
    </row>
    <row r="3050" spans="1:4">
      <c r="A3050" s="58" t="s">
        <v>5037</v>
      </c>
      <c r="B3050" s="58">
        <v>524031</v>
      </c>
      <c r="C3050" s="58" t="s">
        <v>588</v>
      </c>
      <c r="D3050" s="58" t="s">
        <v>674</v>
      </c>
    </row>
    <row r="3051" spans="1:4">
      <c r="A3051" s="58" t="s">
        <v>5038</v>
      </c>
      <c r="B3051" s="58">
        <v>514326</v>
      </c>
      <c r="C3051" s="58" t="s">
        <v>5039</v>
      </c>
      <c r="D3051" s="58" t="s">
        <v>603</v>
      </c>
    </row>
    <row r="3052" spans="1:4">
      <c r="A3052" s="58" t="s">
        <v>5040</v>
      </c>
      <c r="B3052" s="58">
        <v>514326</v>
      </c>
      <c r="C3052" s="58" t="s">
        <v>5039</v>
      </c>
      <c r="D3052" s="58" t="s">
        <v>603</v>
      </c>
    </row>
    <row r="3053" spans="1:4">
      <c r="A3053" s="58" t="s">
        <v>5041</v>
      </c>
      <c r="B3053" s="58">
        <v>539113</v>
      </c>
      <c r="C3053" s="58" t="s">
        <v>588</v>
      </c>
      <c r="D3053" s="58" t="s">
        <v>605</v>
      </c>
    </row>
    <row r="3054" spans="1:4">
      <c r="A3054" s="58" t="s">
        <v>5042</v>
      </c>
      <c r="B3054" s="58">
        <v>532742</v>
      </c>
      <c r="C3054" s="58" t="s">
        <v>588</v>
      </c>
      <c r="D3054" s="58" t="s">
        <v>748</v>
      </c>
    </row>
    <row r="3055" spans="1:4">
      <c r="A3055" s="58" t="s">
        <v>5043</v>
      </c>
      <c r="B3055" s="58">
        <v>535658</v>
      </c>
      <c r="C3055" s="58" t="s">
        <v>588</v>
      </c>
      <c r="D3055" s="58" t="s">
        <v>605</v>
      </c>
    </row>
    <row r="3056" spans="1:4">
      <c r="A3056" s="58" t="s">
        <v>5044</v>
      </c>
      <c r="B3056" s="58">
        <v>532676</v>
      </c>
      <c r="C3056" s="58" t="s">
        <v>5045</v>
      </c>
      <c r="D3056" s="58" t="s">
        <v>986</v>
      </c>
    </row>
    <row r="3057" spans="1:4">
      <c r="A3057" s="58" t="s">
        <v>5046</v>
      </c>
      <c r="B3057" s="58">
        <v>514087</v>
      </c>
      <c r="C3057" s="58" t="s">
        <v>588</v>
      </c>
      <c r="D3057" s="58" t="s">
        <v>603</v>
      </c>
    </row>
    <row r="3058" spans="1:4">
      <c r="A3058" s="58" t="s">
        <v>5047</v>
      </c>
      <c r="B3058" s="58">
        <v>534809</v>
      </c>
      <c r="C3058" s="58" t="s">
        <v>5048</v>
      </c>
      <c r="D3058" s="58" t="s">
        <v>702</v>
      </c>
    </row>
    <row r="3059" spans="1:4">
      <c r="A3059" s="58" t="s">
        <v>5049</v>
      </c>
      <c r="B3059" s="58">
        <v>517119</v>
      </c>
      <c r="C3059" s="58" t="s">
        <v>588</v>
      </c>
      <c r="D3059" s="58" t="s">
        <v>913</v>
      </c>
    </row>
    <row r="3060" spans="1:4">
      <c r="A3060" s="58" t="s">
        <v>5050</v>
      </c>
      <c r="B3060" s="58">
        <v>538730</v>
      </c>
      <c r="C3060" s="58" t="s">
        <v>5051</v>
      </c>
      <c r="D3060" s="58" t="s">
        <v>610</v>
      </c>
    </row>
    <row r="3061" spans="1:4">
      <c r="A3061" s="58" t="s">
        <v>5052</v>
      </c>
      <c r="B3061" s="58">
        <v>532808</v>
      </c>
      <c r="C3061" s="58" t="s">
        <v>5053</v>
      </c>
      <c r="D3061" s="58" t="s">
        <v>702</v>
      </c>
    </row>
    <row r="3062" spans="1:4">
      <c r="A3062" s="58" t="s">
        <v>5054</v>
      </c>
      <c r="B3062" s="58">
        <v>523260</v>
      </c>
      <c r="C3062" s="58" t="s">
        <v>5055</v>
      </c>
      <c r="D3062" s="58" t="s">
        <v>783</v>
      </c>
    </row>
    <row r="3063" spans="1:4">
      <c r="A3063" s="58" t="s">
        <v>5056</v>
      </c>
      <c r="B3063" s="58">
        <v>539273</v>
      </c>
      <c r="C3063" s="58" t="s">
        <v>588</v>
      </c>
      <c r="D3063" s="58" t="s">
        <v>1077</v>
      </c>
    </row>
    <row r="3064" spans="1:4">
      <c r="A3064" s="58" t="s">
        <v>5057</v>
      </c>
      <c r="B3064" s="58">
        <v>524136</v>
      </c>
      <c r="C3064" s="58" t="s">
        <v>588</v>
      </c>
      <c r="D3064" s="58" t="s">
        <v>2404</v>
      </c>
    </row>
    <row r="3065" spans="1:4">
      <c r="A3065" s="58" t="s">
        <v>5058</v>
      </c>
      <c r="B3065" s="58">
        <v>531352</v>
      </c>
      <c r="C3065" s="58" t="s">
        <v>588</v>
      </c>
      <c r="D3065" s="58" t="s">
        <v>603</v>
      </c>
    </row>
    <row r="3066" spans="1:4">
      <c r="A3066" s="58" t="s">
        <v>5059</v>
      </c>
      <c r="B3066" s="58">
        <v>503031</v>
      </c>
      <c r="C3066" s="58" t="s">
        <v>5060</v>
      </c>
      <c r="D3066" s="58" t="s">
        <v>674</v>
      </c>
    </row>
    <row r="3067" spans="1:4">
      <c r="A3067" s="58" t="s">
        <v>5061</v>
      </c>
      <c r="B3067" s="58">
        <v>539333</v>
      </c>
      <c r="C3067" s="58" t="s">
        <v>5062</v>
      </c>
      <c r="D3067" s="58" t="s">
        <v>674</v>
      </c>
    </row>
    <row r="3068" spans="1:4">
      <c r="A3068" s="58" t="s">
        <v>5063</v>
      </c>
      <c r="B3068" s="58">
        <v>513228</v>
      </c>
      <c r="C3068" s="58" t="s">
        <v>5064</v>
      </c>
      <c r="D3068" s="58" t="s">
        <v>620</v>
      </c>
    </row>
    <row r="3069" spans="1:4">
      <c r="A3069" s="58" t="s">
        <v>5065</v>
      </c>
      <c r="B3069" s="58" t="s">
        <v>588</v>
      </c>
      <c r="C3069" s="58" t="s">
        <v>5066</v>
      </c>
      <c r="D3069" s="58" t="s">
        <v>599</v>
      </c>
    </row>
    <row r="3070" spans="1:4">
      <c r="A3070" s="58" t="s">
        <v>5067</v>
      </c>
      <c r="B3070" s="58">
        <v>500329</v>
      </c>
      <c r="C3070" s="58" t="s">
        <v>588</v>
      </c>
      <c r="D3070" s="58" t="s">
        <v>591</v>
      </c>
    </row>
    <row r="3071" spans="1:4">
      <c r="A3071" s="58" t="s">
        <v>5068</v>
      </c>
      <c r="B3071" s="58">
        <v>524210</v>
      </c>
      <c r="C3071" s="58" t="s">
        <v>588</v>
      </c>
      <c r="D3071" s="58" t="s">
        <v>636</v>
      </c>
    </row>
    <row r="3072" spans="1:4">
      <c r="A3072" s="58" t="s">
        <v>5069</v>
      </c>
      <c r="B3072" s="58">
        <v>524210</v>
      </c>
      <c r="C3072" s="58" t="s">
        <v>588</v>
      </c>
      <c r="D3072" s="58" t="s">
        <v>636</v>
      </c>
    </row>
    <row r="3073" spans="1:4">
      <c r="A3073" s="58" t="s">
        <v>5070</v>
      </c>
      <c r="B3073" s="58">
        <v>501144</v>
      </c>
      <c r="C3073" s="58" t="s">
        <v>588</v>
      </c>
      <c r="D3073" s="58" t="s">
        <v>1009</v>
      </c>
    </row>
    <row r="3074" spans="1:4">
      <c r="A3074" s="58" t="s">
        <v>5071</v>
      </c>
      <c r="B3074" s="58" t="s">
        <v>588</v>
      </c>
      <c r="C3074" s="58" t="s">
        <v>5072</v>
      </c>
      <c r="D3074" s="58" t="s">
        <v>599</v>
      </c>
    </row>
    <row r="3075" spans="1:4">
      <c r="A3075" s="58" t="s">
        <v>5073</v>
      </c>
      <c r="B3075" s="58">
        <v>521062</v>
      </c>
      <c r="C3075" s="58" t="s">
        <v>588</v>
      </c>
      <c r="D3075" s="58" t="s">
        <v>1325</v>
      </c>
    </row>
    <row r="3076" spans="1:4">
      <c r="A3076" s="58" t="s">
        <v>5074</v>
      </c>
      <c r="B3076" s="58">
        <v>526435</v>
      </c>
      <c r="C3076" s="58" t="s">
        <v>588</v>
      </c>
      <c r="D3076" s="58" t="s">
        <v>582</v>
      </c>
    </row>
    <row r="3077" spans="1:4">
      <c r="A3077" s="58" t="s">
        <v>5075</v>
      </c>
      <c r="B3077" s="58">
        <v>504132</v>
      </c>
      <c r="C3077" s="58" t="s">
        <v>588</v>
      </c>
      <c r="D3077" s="58" t="s">
        <v>773</v>
      </c>
    </row>
    <row r="3078" spans="1:4">
      <c r="A3078" s="58" t="s">
        <v>5076</v>
      </c>
      <c r="B3078" s="58">
        <v>533179</v>
      </c>
      <c r="C3078" s="58" t="s">
        <v>5077</v>
      </c>
      <c r="D3078" s="58" t="s">
        <v>574</v>
      </c>
    </row>
    <row r="3079" spans="1:4">
      <c r="A3079" s="58" t="s">
        <v>5078</v>
      </c>
      <c r="B3079" s="58">
        <v>517172</v>
      </c>
      <c r="C3079" s="58" t="s">
        <v>588</v>
      </c>
      <c r="D3079" s="58" t="s">
        <v>1130</v>
      </c>
    </row>
    <row r="3080" spans="1:4">
      <c r="A3080" s="58" t="s">
        <v>5079</v>
      </c>
      <c r="B3080" s="58">
        <v>530381</v>
      </c>
      <c r="C3080" s="58" t="s">
        <v>5080</v>
      </c>
      <c r="D3080" s="58" t="s">
        <v>986</v>
      </c>
    </row>
    <row r="3081" spans="1:4">
      <c r="A3081" s="58" t="s">
        <v>5081</v>
      </c>
      <c r="B3081" s="58">
        <v>532522</v>
      </c>
      <c r="C3081" s="58" t="s">
        <v>5082</v>
      </c>
      <c r="D3081" s="58" t="s">
        <v>798</v>
      </c>
    </row>
    <row r="3082" spans="1:4">
      <c r="A3082" s="58" t="s">
        <v>5083</v>
      </c>
      <c r="B3082" s="58">
        <v>500680</v>
      </c>
      <c r="C3082" s="58" t="s">
        <v>5084</v>
      </c>
      <c r="D3082" s="58" t="s">
        <v>626</v>
      </c>
    </row>
    <row r="3083" spans="1:4">
      <c r="A3083" s="58" t="s">
        <v>5085</v>
      </c>
      <c r="B3083" s="58">
        <v>531769</v>
      </c>
      <c r="C3083" s="58" t="s">
        <v>588</v>
      </c>
      <c r="D3083" s="58" t="s">
        <v>681</v>
      </c>
    </row>
    <row r="3084" spans="1:4">
      <c r="A3084" s="58" t="s">
        <v>5086</v>
      </c>
      <c r="B3084" s="58">
        <v>533581</v>
      </c>
      <c r="C3084" s="58" t="s">
        <v>5087</v>
      </c>
      <c r="D3084" s="58" t="s">
        <v>957</v>
      </c>
    </row>
    <row r="3085" spans="1:4">
      <c r="A3085" s="58" t="s">
        <v>5088</v>
      </c>
      <c r="B3085" s="58">
        <v>526747</v>
      </c>
      <c r="C3085" s="58" t="s">
        <v>588</v>
      </c>
      <c r="D3085" s="58" t="s">
        <v>893</v>
      </c>
    </row>
    <row r="3086" spans="1:4">
      <c r="A3086" s="58" t="s">
        <v>5089</v>
      </c>
      <c r="B3086" s="58">
        <v>531281</v>
      </c>
      <c r="C3086" s="58" t="s">
        <v>588</v>
      </c>
      <c r="D3086" s="58" t="s">
        <v>1116</v>
      </c>
    </row>
    <row r="3087" spans="1:4">
      <c r="A3087" s="58" t="s">
        <v>5090</v>
      </c>
      <c r="B3087" s="58">
        <v>500143</v>
      </c>
      <c r="C3087" s="58" t="s">
        <v>588</v>
      </c>
      <c r="D3087" s="58" t="s">
        <v>610</v>
      </c>
    </row>
    <row r="3088" spans="1:4">
      <c r="A3088" s="58" t="s">
        <v>5091</v>
      </c>
      <c r="B3088" s="58">
        <v>512026</v>
      </c>
      <c r="C3088" s="58" t="s">
        <v>588</v>
      </c>
      <c r="D3088" s="58" t="s">
        <v>610</v>
      </c>
    </row>
    <row r="3089" spans="1:4">
      <c r="A3089" s="58" t="s">
        <v>5092</v>
      </c>
      <c r="B3089" s="58">
        <v>523620</v>
      </c>
      <c r="C3089" s="58" t="s">
        <v>588</v>
      </c>
      <c r="D3089" s="58" t="s">
        <v>626</v>
      </c>
    </row>
    <row r="3090" spans="1:4">
      <c r="A3090" s="58" t="s">
        <v>5093</v>
      </c>
      <c r="B3090" s="58">
        <v>506590</v>
      </c>
      <c r="C3090" s="58" t="s">
        <v>5094</v>
      </c>
      <c r="D3090" s="58" t="s">
        <v>5095</v>
      </c>
    </row>
    <row r="3091" spans="1:4">
      <c r="A3091" s="58" t="s">
        <v>5096</v>
      </c>
      <c r="B3091" s="58">
        <v>526481</v>
      </c>
      <c r="C3091" s="58" t="s">
        <v>588</v>
      </c>
      <c r="D3091" s="58" t="s">
        <v>702</v>
      </c>
    </row>
    <row r="3092" spans="1:4">
      <c r="A3092" s="58" t="s">
        <v>5097</v>
      </c>
      <c r="B3092" s="58">
        <v>537839</v>
      </c>
      <c r="C3092" s="58" t="s">
        <v>588</v>
      </c>
      <c r="D3092" s="58" t="s">
        <v>789</v>
      </c>
    </row>
    <row r="3093" spans="1:4">
      <c r="A3093" s="58" t="s">
        <v>5098</v>
      </c>
      <c r="B3093" s="58">
        <v>509084</v>
      </c>
      <c r="C3093" s="58" t="s">
        <v>588</v>
      </c>
      <c r="D3093" s="58" t="s">
        <v>1009</v>
      </c>
    </row>
    <row r="3094" spans="1:4">
      <c r="A3094" s="58" t="s">
        <v>5099</v>
      </c>
      <c r="B3094" s="58">
        <v>526588</v>
      </c>
      <c r="C3094" s="58" t="s">
        <v>588</v>
      </c>
      <c r="D3094" s="58" t="s">
        <v>1824</v>
      </c>
    </row>
    <row r="3095" spans="1:4">
      <c r="A3095" s="58" t="s">
        <v>5100</v>
      </c>
      <c r="B3095" s="58">
        <v>526588</v>
      </c>
      <c r="C3095" s="58" t="s">
        <v>588</v>
      </c>
      <c r="D3095" s="58" t="s">
        <v>1824</v>
      </c>
    </row>
    <row r="3096" spans="1:4">
      <c r="A3096" s="58" t="s">
        <v>5101</v>
      </c>
      <c r="B3096" s="58">
        <v>524808</v>
      </c>
      <c r="C3096" s="58" t="s">
        <v>588</v>
      </c>
      <c r="D3096" s="58" t="s">
        <v>732</v>
      </c>
    </row>
    <row r="3097" spans="1:4">
      <c r="A3097" s="58" t="s">
        <v>5102</v>
      </c>
      <c r="B3097" s="58">
        <v>524808</v>
      </c>
      <c r="C3097" s="58" t="s">
        <v>588</v>
      </c>
      <c r="D3097" s="58" t="s">
        <v>732</v>
      </c>
    </row>
    <row r="3098" spans="1:4">
      <c r="A3098" s="58" t="s">
        <v>5103</v>
      </c>
      <c r="B3098" s="58">
        <v>523642</v>
      </c>
      <c r="C3098" s="58" t="s">
        <v>5104</v>
      </c>
      <c r="D3098" s="58" t="s">
        <v>732</v>
      </c>
    </row>
    <row r="3099" spans="1:4">
      <c r="A3099" s="58" t="s">
        <v>5105</v>
      </c>
      <c r="B3099" s="58">
        <v>530305</v>
      </c>
      <c r="C3099" s="58" t="s">
        <v>588</v>
      </c>
      <c r="D3099" s="58" t="s">
        <v>1286</v>
      </c>
    </row>
    <row r="3100" spans="1:4">
      <c r="A3100" s="58" t="s">
        <v>5106</v>
      </c>
      <c r="B3100" s="58">
        <v>507498</v>
      </c>
      <c r="C3100" s="58" t="s">
        <v>588</v>
      </c>
      <c r="D3100" s="58" t="s">
        <v>1286</v>
      </c>
    </row>
    <row r="3101" spans="1:4">
      <c r="A3101" s="58" t="s">
        <v>5107</v>
      </c>
      <c r="B3101" s="58">
        <v>532355</v>
      </c>
      <c r="C3101" s="58" t="s">
        <v>588</v>
      </c>
      <c r="D3101" s="58" t="s">
        <v>591</v>
      </c>
    </row>
    <row r="3102" spans="1:4">
      <c r="A3102" s="58" t="s">
        <v>5108</v>
      </c>
      <c r="B3102" s="58">
        <v>500331</v>
      </c>
      <c r="C3102" s="58" t="s">
        <v>5109</v>
      </c>
      <c r="D3102" s="58" t="s">
        <v>748</v>
      </c>
    </row>
    <row r="3103" spans="1:4">
      <c r="A3103" s="58" t="s">
        <v>5110</v>
      </c>
      <c r="B3103" s="58">
        <v>500327</v>
      </c>
      <c r="C3103" s="58" t="s">
        <v>5111</v>
      </c>
      <c r="D3103" s="58" t="s">
        <v>708</v>
      </c>
    </row>
    <row r="3104" spans="1:4">
      <c r="A3104" s="58" t="s">
        <v>5112</v>
      </c>
      <c r="B3104" s="58">
        <v>539883</v>
      </c>
      <c r="C3104" s="58" t="s">
        <v>5113</v>
      </c>
      <c r="D3104" s="58" t="s">
        <v>754</v>
      </c>
    </row>
    <row r="3105" spans="1:4">
      <c r="A3105" s="58" t="s">
        <v>5114</v>
      </c>
      <c r="B3105" s="58">
        <v>519439</v>
      </c>
      <c r="C3105" s="58" t="s">
        <v>588</v>
      </c>
      <c r="D3105" s="58" t="s">
        <v>837</v>
      </c>
    </row>
    <row r="3106" spans="1:4">
      <c r="A3106" s="58" t="s">
        <v>5115</v>
      </c>
      <c r="B3106" s="58">
        <v>531879</v>
      </c>
      <c r="C3106" s="58" t="s">
        <v>5116</v>
      </c>
      <c r="D3106" s="58" t="s">
        <v>1219</v>
      </c>
    </row>
    <row r="3107" spans="1:4">
      <c r="A3107" s="58" t="s">
        <v>5117</v>
      </c>
      <c r="B3107" s="58">
        <v>514300</v>
      </c>
      <c r="C3107" s="58" t="s">
        <v>5118</v>
      </c>
      <c r="D3107" s="58" t="s">
        <v>603</v>
      </c>
    </row>
    <row r="3108" spans="1:4">
      <c r="A3108" s="58" t="s">
        <v>5119</v>
      </c>
      <c r="B3108" s="58">
        <v>507864</v>
      </c>
      <c r="C3108" s="58" t="s">
        <v>588</v>
      </c>
      <c r="D3108" s="58" t="s">
        <v>571</v>
      </c>
    </row>
    <row r="3109" spans="1:4">
      <c r="A3109" s="58" t="s">
        <v>5120</v>
      </c>
      <c r="B3109" s="58">
        <v>500302</v>
      </c>
      <c r="C3109" s="58" t="s">
        <v>5121</v>
      </c>
      <c r="D3109" s="58" t="s">
        <v>626</v>
      </c>
    </row>
    <row r="3110" spans="1:4">
      <c r="A3110" s="58" t="s">
        <v>5122</v>
      </c>
      <c r="B3110" s="58">
        <v>532979</v>
      </c>
      <c r="C3110" s="58" t="s">
        <v>5123</v>
      </c>
      <c r="D3110" s="58" t="s">
        <v>626</v>
      </c>
    </row>
    <row r="3111" spans="1:4">
      <c r="A3111" s="58" t="s">
        <v>5124</v>
      </c>
      <c r="B3111" s="58">
        <v>530683</v>
      </c>
      <c r="C3111" s="58" t="s">
        <v>588</v>
      </c>
      <c r="D3111" s="58" t="s">
        <v>783</v>
      </c>
    </row>
    <row r="3112" spans="1:4">
      <c r="A3112" s="58" t="s">
        <v>5125</v>
      </c>
      <c r="B3112" s="58">
        <v>513519</v>
      </c>
      <c r="C3112" s="58" t="s">
        <v>5126</v>
      </c>
      <c r="D3112" s="58" t="s">
        <v>886</v>
      </c>
    </row>
    <row r="3113" spans="1:4">
      <c r="A3113" s="58" t="s">
        <v>5127</v>
      </c>
      <c r="B3113" s="58">
        <v>500333</v>
      </c>
      <c r="C3113" s="58" t="s">
        <v>588</v>
      </c>
      <c r="D3113" s="58" t="s">
        <v>1068</v>
      </c>
    </row>
    <row r="3114" spans="1:4">
      <c r="A3114" s="58" t="s">
        <v>5128</v>
      </c>
      <c r="B3114" s="58">
        <v>523105</v>
      </c>
      <c r="C3114" s="58" t="s">
        <v>588</v>
      </c>
      <c r="D3114" s="58" t="s">
        <v>783</v>
      </c>
    </row>
    <row r="3115" spans="1:4">
      <c r="A3115" s="58" t="s">
        <v>5129</v>
      </c>
      <c r="B3115" s="58">
        <v>523648</v>
      </c>
      <c r="C3115" s="58" t="s">
        <v>5130</v>
      </c>
      <c r="D3115" s="58" t="s">
        <v>748</v>
      </c>
    </row>
    <row r="3116" spans="1:4">
      <c r="A3116" s="58" t="s">
        <v>5131</v>
      </c>
      <c r="B3116" s="58">
        <v>523648</v>
      </c>
      <c r="C3116" s="58" t="s">
        <v>5130</v>
      </c>
      <c r="D3116" s="58" t="s">
        <v>748</v>
      </c>
    </row>
    <row r="3117" spans="1:4">
      <c r="A3117" s="58" t="s">
        <v>5132</v>
      </c>
      <c r="B3117" s="58">
        <v>534060</v>
      </c>
      <c r="C3117" s="58" t="s">
        <v>588</v>
      </c>
      <c r="D3117" s="58" t="s">
        <v>605</v>
      </c>
    </row>
    <row r="3118" spans="1:4">
      <c r="A3118" s="58" t="s">
        <v>5133</v>
      </c>
      <c r="B3118" s="58">
        <v>532366</v>
      </c>
      <c r="C3118" s="58" t="s">
        <v>5134</v>
      </c>
      <c r="D3118" s="58" t="s">
        <v>605</v>
      </c>
    </row>
    <row r="3119" spans="1:4">
      <c r="A3119" s="58" t="s">
        <v>5135</v>
      </c>
      <c r="B3119" s="58">
        <v>540173</v>
      </c>
      <c r="C3119" s="58" t="s">
        <v>5136</v>
      </c>
      <c r="D3119" s="58" t="s">
        <v>646</v>
      </c>
    </row>
    <row r="3120" spans="1:4">
      <c r="A3120" s="58" t="s">
        <v>5137</v>
      </c>
      <c r="B3120" s="58">
        <v>539150</v>
      </c>
      <c r="C3120" s="58" t="s">
        <v>5138</v>
      </c>
      <c r="D3120" s="58" t="s">
        <v>1183</v>
      </c>
    </row>
    <row r="3121" spans="1:4">
      <c r="A3121" s="58" t="s">
        <v>5139</v>
      </c>
      <c r="B3121" s="58">
        <v>532803</v>
      </c>
      <c r="C3121" s="58" t="s">
        <v>5140</v>
      </c>
      <c r="D3121" s="58" t="s">
        <v>786</v>
      </c>
    </row>
    <row r="3122" spans="1:4">
      <c r="A3122" s="58" t="s">
        <v>5141</v>
      </c>
      <c r="B3122" s="58">
        <v>539195</v>
      </c>
      <c r="C3122" s="58" t="s">
        <v>588</v>
      </c>
      <c r="D3122" s="58" t="s">
        <v>636</v>
      </c>
    </row>
    <row r="3123" spans="1:4">
      <c r="A3123" s="58" t="s">
        <v>5142</v>
      </c>
      <c r="B3123" s="58">
        <v>523628</v>
      </c>
      <c r="C3123" s="58" t="s">
        <v>5143</v>
      </c>
      <c r="D3123" s="58" t="s">
        <v>674</v>
      </c>
    </row>
    <row r="3124" spans="1:4">
      <c r="A3124" s="58" t="s">
        <v>5144</v>
      </c>
      <c r="B3124" s="58">
        <v>524570</v>
      </c>
      <c r="C3124" s="58" t="s">
        <v>5145</v>
      </c>
      <c r="D3124" s="58" t="s">
        <v>748</v>
      </c>
    </row>
    <row r="3125" spans="1:4">
      <c r="A3125" s="58" t="s">
        <v>5146</v>
      </c>
      <c r="B3125" s="58">
        <v>532486</v>
      </c>
      <c r="C3125" s="58" t="s">
        <v>5147</v>
      </c>
      <c r="D3125" s="58" t="s">
        <v>1116</v>
      </c>
    </row>
    <row r="3126" spans="1:4">
      <c r="A3126" s="58" t="s">
        <v>5148</v>
      </c>
      <c r="B3126" s="58">
        <v>526687</v>
      </c>
      <c r="C3126" s="58" t="s">
        <v>588</v>
      </c>
      <c r="D3126" s="58" t="s">
        <v>789</v>
      </c>
    </row>
    <row r="3127" spans="1:4">
      <c r="A3127" s="58" t="s">
        <v>5149</v>
      </c>
      <c r="B3127" s="58">
        <v>540717</v>
      </c>
      <c r="C3127" s="58" t="s">
        <v>588</v>
      </c>
      <c r="D3127" s="58" t="s">
        <v>610</v>
      </c>
    </row>
    <row r="3128" spans="1:4">
      <c r="A3128" s="58" t="s">
        <v>5150</v>
      </c>
      <c r="B3128" s="58">
        <v>507645</v>
      </c>
      <c r="C3128" s="58" t="s">
        <v>588</v>
      </c>
      <c r="D3128" s="58" t="s">
        <v>748</v>
      </c>
    </row>
    <row r="3129" spans="1:4">
      <c r="A3129" s="58" t="s">
        <v>5151</v>
      </c>
      <c r="B3129" s="58">
        <v>531768</v>
      </c>
      <c r="C3129" s="58" t="s">
        <v>5152</v>
      </c>
      <c r="D3129" s="58" t="s">
        <v>1752</v>
      </c>
    </row>
    <row r="3130" spans="1:4">
      <c r="A3130" s="58" t="s">
        <v>5153</v>
      </c>
      <c r="B3130" s="58">
        <v>542652</v>
      </c>
      <c r="C3130" s="58" t="s">
        <v>5154</v>
      </c>
      <c r="D3130" s="58" t="s">
        <v>886</v>
      </c>
    </row>
    <row r="3131" spans="1:4">
      <c r="A3131" s="58" t="s">
        <v>5155</v>
      </c>
      <c r="B3131" s="58">
        <v>506605</v>
      </c>
      <c r="C3131" s="58" t="s">
        <v>588</v>
      </c>
      <c r="D3131" s="58" t="s">
        <v>636</v>
      </c>
    </row>
    <row r="3132" spans="1:4">
      <c r="A3132" s="58" t="s">
        <v>5156</v>
      </c>
      <c r="B3132" s="58">
        <v>531397</v>
      </c>
      <c r="C3132" s="58" t="s">
        <v>588</v>
      </c>
      <c r="D3132" s="58" t="s">
        <v>783</v>
      </c>
    </row>
    <row r="3133" spans="1:4">
      <c r="A3133" s="58" t="s">
        <v>5157</v>
      </c>
      <c r="B3133" s="58">
        <v>514486</v>
      </c>
      <c r="C3133" s="58" t="s">
        <v>588</v>
      </c>
      <c r="D3133" s="58" t="s">
        <v>603</v>
      </c>
    </row>
    <row r="3134" spans="1:4">
      <c r="A3134" s="58" t="s">
        <v>5158</v>
      </c>
      <c r="B3134" s="58">
        <v>531454</v>
      </c>
      <c r="C3134" s="58" t="s">
        <v>588</v>
      </c>
      <c r="D3134" s="58" t="s">
        <v>965</v>
      </c>
    </row>
    <row r="3135" spans="1:4">
      <c r="A3135" s="58" t="s">
        <v>5159</v>
      </c>
      <c r="B3135" s="58">
        <v>531454</v>
      </c>
      <c r="C3135" s="58" t="s">
        <v>588</v>
      </c>
      <c r="D3135" s="58" t="s">
        <v>965</v>
      </c>
    </row>
    <row r="3136" spans="1:4">
      <c r="A3136" s="58" t="s">
        <v>5160</v>
      </c>
      <c r="B3136" s="58">
        <v>537573</v>
      </c>
      <c r="C3136" s="58" t="s">
        <v>588</v>
      </c>
      <c r="D3136" s="58" t="s">
        <v>708</v>
      </c>
    </row>
    <row r="3137" spans="1:4">
      <c r="A3137" s="58" t="s">
        <v>5161</v>
      </c>
      <c r="B3137" s="58">
        <v>526043</v>
      </c>
      <c r="C3137" s="58" t="s">
        <v>588</v>
      </c>
      <c r="D3137" s="58" t="s">
        <v>596</v>
      </c>
    </row>
    <row r="3138" spans="1:4">
      <c r="A3138" s="58" t="s">
        <v>5162</v>
      </c>
      <c r="B3138" s="58">
        <v>524051</v>
      </c>
      <c r="C3138" s="58" t="s">
        <v>5163</v>
      </c>
      <c r="D3138" s="58" t="s">
        <v>636</v>
      </c>
    </row>
    <row r="3139" spans="1:4">
      <c r="A3139" s="58" t="s">
        <v>5164</v>
      </c>
      <c r="B3139" s="58">
        <v>539354</v>
      </c>
      <c r="C3139" s="58" t="s">
        <v>588</v>
      </c>
      <c r="D3139" s="58" t="s">
        <v>783</v>
      </c>
    </row>
    <row r="3140" spans="1:4">
      <c r="A3140" s="58" t="s">
        <v>5165</v>
      </c>
      <c r="B3140" s="58">
        <v>512481</v>
      </c>
      <c r="C3140" s="58" t="s">
        <v>588</v>
      </c>
      <c r="D3140" s="58" t="s">
        <v>605</v>
      </c>
    </row>
    <row r="3141" spans="1:4">
      <c r="A3141" s="58" t="s">
        <v>5166</v>
      </c>
      <c r="B3141" s="58">
        <v>512481</v>
      </c>
      <c r="C3141" s="58" t="s">
        <v>588</v>
      </c>
      <c r="D3141" s="58" t="s">
        <v>605</v>
      </c>
    </row>
    <row r="3142" spans="1:4">
      <c r="A3142" s="58" t="s">
        <v>5167</v>
      </c>
      <c r="B3142" s="58">
        <v>532626</v>
      </c>
      <c r="C3142" s="58" t="s">
        <v>588</v>
      </c>
      <c r="D3142" s="58" t="s">
        <v>2832</v>
      </c>
    </row>
    <row r="3143" spans="1:4">
      <c r="A3143" s="58" t="s">
        <v>5168</v>
      </c>
      <c r="B3143" s="58">
        <v>532460</v>
      </c>
      <c r="C3143" s="58" t="s">
        <v>5169</v>
      </c>
      <c r="D3143" s="58" t="s">
        <v>1286</v>
      </c>
    </row>
    <row r="3144" spans="1:4">
      <c r="A3144" s="58" t="s">
        <v>5170</v>
      </c>
      <c r="B3144" s="58">
        <v>532011</v>
      </c>
      <c r="C3144" s="58" t="s">
        <v>588</v>
      </c>
      <c r="D3144" s="58" t="s">
        <v>591</v>
      </c>
    </row>
    <row r="3145" spans="1:4">
      <c r="A3145" s="58" t="s">
        <v>5171</v>
      </c>
      <c r="B3145" s="58">
        <v>540727</v>
      </c>
      <c r="C3145" s="58" t="s">
        <v>588</v>
      </c>
      <c r="D3145" s="58" t="s">
        <v>1506</v>
      </c>
    </row>
    <row r="3146" spans="1:4">
      <c r="A3146" s="58" t="s">
        <v>5172</v>
      </c>
      <c r="B3146" s="58">
        <v>519359</v>
      </c>
      <c r="C3146" s="58" t="s">
        <v>588</v>
      </c>
      <c r="D3146" s="58" t="s">
        <v>837</v>
      </c>
    </row>
    <row r="3147" spans="1:4">
      <c r="A3147" s="58" t="s">
        <v>5173</v>
      </c>
      <c r="B3147" s="58">
        <v>531870</v>
      </c>
      <c r="C3147" s="58" t="s">
        <v>588</v>
      </c>
      <c r="D3147" s="58" t="s">
        <v>986</v>
      </c>
    </row>
    <row r="3148" spans="1:4">
      <c r="A3148" s="58" t="s">
        <v>5174</v>
      </c>
      <c r="B3148" s="58">
        <v>532933</v>
      </c>
      <c r="C3148" s="58" t="s">
        <v>588</v>
      </c>
      <c r="D3148" s="58" t="s">
        <v>943</v>
      </c>
    </row>
    <row r="3149" spans="1:4">
      <c r="A3149" s="58" t="s">
        <v>5175</v>
      </c>
      <c r="B3149" s="58" t="s">
        <v>588</v>
      </c>
      <c r="C3149" s="58" t="s">
        <v>5176</v>
      </c>
      <c r="D3149" s="58" t="s">
        <v>599</v>
      </c>
    </row>
    <row r="3150" spans="1:4">
      <c r="A3150" s="58" t="s">
        <v>5177</v>
      </c>
      <c r="B3150" s="58">
        <v>532810</v>
      </c>
      <c r="C3150" s="58" t="s">
        <v>5178</v>
      </c>
      <c r="D3150" s="58" t="s">
        <v>605</v>
      </c>
    </row>
    <row r="3151" spans="1:4">
      <c r="A3151" s="58" t="s">
        <v>5179</v>
      </c>
      <c r="B3151" s="58">
        <v>532898</v>
      </c>
      <c r="C3151" s="58" t="s">
        <v>5180</v>
      </c>
      <c r="D3151" s="58" t="s">
        <v>727</v>
      </c>
    </row>
    <row r="3152" spans="1:4">
      <c r="A3152" s="58" t="s">
        <v>5181</v>
      </c>
      <c r="B3152" s="58">
        <v>532898</v>
      </c>
      <c r="C3152" s="58" t="s">
        <v>5180</v>
      </c>
      <c r="D3152" s="58" t="s">
        <v>727</v>
      </c>
    </row>
    <row r="3153" spans="1:4">
      <c r="A3153" s="58" t="s">
        <v>5182</v>
      </c>
      <c r="B3153" s="58">
        <v>539302</v>
      </c>
      <c r="C3153" s="58" t="s">
        <v>5183</v>
      </c>
      <c r="D3153" s="58" t="s">
        <v>986</v>
      </c>
    </row>
    <row r="3154" spans="1:4">
      <c r="A3154" s="58" t="s">
        <v>5184</v>
      </c>
      <c r="B3154" s="58" t="s">
        <v>588</v>
      </c>
      <c r="C3154" s="58" t="s">
        <v>5185</v>
      </c>
      <c r="D3154" s="58" t="s">
        <v>599</v>
      </c>
    </row>
    <row r="3155" spans="1:4">
      <c r="A3155" s="58" t="s">
        <v>5186</v>
      </c>
      <c r="B3155" s="58">
        <v>538731</v>
      </c>
      <c r="C3155" s="58" t="s">
        <v>588</v>
      </c>
      <c r="D3155" s="58" t="s">
        <v>766</v>
      </c>
    </row>
    <row r="3156" spans="1:4">
      <c r="A3156" s="58" t="s">
        <v>5187</v>
      </c>
      <c r="B3156" s="58">
        <v>532934</v>
      </c>
      <c r="C3156" s="58" t="s">
        <v>5188</v>
      </c>
      <c r="D3156" s="58" t="s">
        <v>943</v>
      </c>
    </row>
    <row r="3157" spans="1:4">
      <c r="A3157" s="58" t="s">
        <v>5189</v>
      </c>
      <c r="B3157" s="58">
        <v>539351</v>
      </c>
      <c r="C3157" s="58" t="s">
        <v>5190</v>
      </c>
      <c r="D3157" s="58" t="s">
        <v>648</v>
      </c>
    </row>
    <row r="3158" spans="1:4">
      <c r="A3158" s="58" t="s">
        <v>5191</v>
      </c>
      <c r="B3158" s="58">
        <v>540027</v>
      </c>
      <c r="C3158" s="58" t="s">
        <v>588</v>
      </c>
      <c r="D3158" s="58" t="s">
        <v>589</v>
      </c>
    </row>
    <row r="3159" spans="1:4">
      <c r="A3159" s="58" t="s">
        <v>5192</v>
      </c>
      <c r="B3159" s="58">
        <v>540027</v>
      </c>
      <c r="C3159" s="58" t="s">
        <v>588</v>
      </c>
      <c r="D3159" s="58" t="s">
        <v>589</v>
      </c>
    </row>
    <row r="3160" spans="1:4">
      <c r="A3160" s="58" t="s">
        <v>5193</v>
      </c>
      <c r="B3160" s="58">
        <v>531855</v>
      </c>
      <c r="C3160" s="58" t="s">
        <v>588</v>
      </c>
      <c r="D3160" s="58" t="s">
        <v>620</v>
      </c>
    </row>
    <row r="3161" spans="1:4">
      <c r="A3161" s="58" t="s">
        <v>5194</v>
      </c>
      <c r="B3161" s="58">
        <v>506042</v>
      </c>
      <c r="C3161" s="58" t="s">
        <v>588</v>
      </c>
      <c r="D3161" s="58" t="s">
        <v>620</v>
      </c>
    </row>
    <row r="3162" spans="1:4">
      <c r="A3162" s="58" t="s">
        <v>5195</v>
      </c>
      <c r="B3162" s="58">
        <v>513532</v>
      </c>
      <c r="C3162" s="58" t="s">
        <v>588</v>
      </c>
      <c r="D3162" s="58" t="s">
        <v>943</v>
      </c>
    </row>
    <row r="3163" spans="1:4">
      <c r="A3163" s="58" t="s">
        <v>5196</v>
      </c>
      <c r="B3163" s="58">
        <v>530095</v>
      </c>
      <c r="C3163" s="58" t="s">
        <v>588</v>
      </c>
      <c r="D3163" s="58" t="s">
        <v>620</v>
      </c>
    </row>
    <row r="3164" spans="1:4">
      <c r="A3164" s="58" t="s">
        <v>5197</v>
      </c>
      <c r="B3164" s="58">
        <v>533178</v>
      </c>
      <c r="C3164" s="58" t="s">
        <v>5198</v>
      </c>
      <c r="D3164" s="58" t="s">
        <v>603</v>
      </c>
    </row>
    <row r="3165" spans="1:4">
      <c r="A3165" s="58" t="s">
        <v>5199</v>
      </c>
      <c r="B3165" s="58">
        <v>500192</v>
      </c>
      <c r="C3165" s="58" t="s">
        <v>588</v>
      </c>
      <c r="D3165" s="58" t="s">
        <v>603</v>
      </c>
    </row>
    <row r="3166" spans="1:4">
      <c r="A3166" s="58" t="s">
        <v>5200</v>
      </c>
      <c r="B3166" s="58">
        <v>522205</v>
      </c>
      <c r="C3166" s="58" t="s">
        <v>5201</v>
      </c>
      <c r="D3166" s="58" t="s">
        <v>986</v>
      </c>
    </row>
    <row r="3167" spans="1:4">
      <c r="A3167" s="58" t="s">
        <v>5202</v>
      </c>
      <c r="B3167" s="58">
        <v>531746</v>
      </c>
      <c r="C3167" s="58" t="s">
        <v>5203</v>
      </c>
      <c r="D3167" s="58" t="s">
        <v>674</v>
      </c>
    </row>
    <row r="3168" spans="1:4">
      <c r="A3168" s="58" t="s">
        <v>5204</v>
      </c>
      <c r="B3168" s="58">
        <v>533605</v>
      </c>
      <c r="C3168" s="58" t="s">
        <v>5205</v>
      </c>
      <c r="D3168" s="58" t="s">
        <v>986</v>
      </c>
    </row>
    <row r="3169" spans="1:4">
      <c r="A3169" s="58" t="s">
        <v>5206</v>
      </c>
      <c r="B3169" s="58">
        <v>506022</v>
      </c>
      <c r="C3169" s="58" t="s">
        <v>5207</v>
      </c>
      <c r="D3169" s="58" t="s">
        <v>620</v>
      </c>
    </row>
    <row r="3170" spans="1:4">
      <c r="A3170" s="58" t="s">
        <v>5208</v>
      </c>
      <c r="B3170" s="58">
        <v>542684</v>
      </c>
      <c r="C3170" s="58" t="s">
        <v>5209</v>
      </c>
      <c r="D3170" s="58" t="s">
        <v>708</v>
      </c>
    </row>
    <row r="3171" spans="1:4">
      <c r="A3171" s="58" t="s">
        <v>5210</v>
      </c>
      <c r="B3171" s="58">
        <v>533239</v>
      </c>
      <c r="C3171" s="58" t="s">
        <v>5211</v>
      </c>
      <c r="D3171" s="58" t="s">
        <v>986</v>
      </c>
    </row>
    <row r="3172" spans="1:4">
      <c r="A3172" s="58" t="s">
        <v>5212</v>
      </c>
      <c r="B3172" s="58">
        <v>531437</v>
      </c>
      <c r="C3172" s="58" t="s">
        <v>588</v>
      </c>
      <c r="D3172" s="58" t="s">
        <v>603</v>
      </c>
    </row>
    <row r="3173" spans="1:4">
      <c r="A3173" s="58" t="s">
        <v>5213</v>
      </c>
      <c r="B3173" s="58">
        <v>531172</v>
      </c>
      <c r="C3173" s="58" t="s">
        <v>588</v>
      </c>
      <c r="D3173" s="58" t="s">
        <v>603</v>
      </c>
    </row>
    <row r="3174" spans="1:4">
      <c r="A3174" s="58" t="s">
        <v>5214</v>
      </c>
      <c r="B3174" s="58">
        <v>519014</v>
      </c>
      <c r="C3174" s="58" t="s">
        <v>588</v>
      </c>
      <c r="D3174" s="58" t="s">
        <v>603</v>
      </c>
    </row>
    <row r="3175" spans="1:4">
      <c r="A3175" s="58" t="s">
        <v>5215</v>
      </c>
      <c r="B3175" s="58">
        <v>519014</v>
      </c>
      <c r="C3175" s="58" t="s">
        <v>588</v>
      </c>
      <c r="D3175" s="58" t="s">
        <v>603</v>
      </c>
    </row>
    <row r="3176" spans="1:4">
      <c r="A3176" s="58" t="s">
        <v>5216</v>
      </c>
      <c r="B3176" s="58">
        <v>540724</v>
      </c>
      <c r="C3176" s="58" t="s">
        <v>5217</v>
      </c>
      <c r="D3176" s="58" t="s">
        <v>648</v>
      </c>
    </row>
    <row r="3177" spans="1:4">
      <c r="A3177" s="58" t="s">
        <v>5218</v>
      </c>
      <c r="B3177" s="58">
        <v>526490</v>
      </c>
      <c r="C3177" s="58" t="s">
        <v>588</v>
      </c>
      <c r="D3177" s="58" t="s">
        <v>1083</v>
      </c>
    </row>
    <row r="3178" spans="1:4">
      <c r="A3178" s="58" t="s">
        <v>5219</v>
      </c>
      <c r="B3178" s="58">
        <v>531257</v>
      </c>
      <c r="C3178" s="58" t="s">
        <v>588</v>
      </c>
      <c r="D3178" s="58" t="s">
        <v>748</v>
      </c>
    </row>
    <row r="3179" spans="1:4">
      <c r="A3179" s="58" t="s">
        <v>5220</v>
      </c>
      <c r="B3179" s="58">
        <v>540901</v>
      </c>
      <c r="C3179" s="58" t="s">
        <v>5221</v>
      </c>
      <c r="D3179" s="58" t="s">
        <v>589</v>
      </c>
    </row>
    <row r="3180" spans="1:4">
      <c r="A3180" s="58" t="s">
        <v>5222</v>
      </c>
      <c r="B3180" s="58">
        <v>506107</v>
      </c>
      <c r="C3180" s="58" t="s">
        <v>588</v>
      </c>
      <c r="D3180" s="58" t="s">
        <v>1009</v>
      </c>
    </row>
    <row r="3181" spans="1:4">
      <c r="A3181" s="58" t="s">
        <v>5223</v>
      </c>
      <c r="B3181" s="58">
        <v>539636</v>
      </c>
      <c r="C3181" s="58" t="s">
        <v>5224</v>
      </c>
      <c r="D3181" s="58" t="s">
        <v>943</v>
      </c>
    </row>
    <row r="3182" spans="1:4">
      <c r="A3182" s="58" t="s">
        <v>5225</v>
      </c>
      <c r="B3182" s="58">
        <v>523874</v>
      </c>
      <c r="C3182" s="58" t="s">
        <v>588</v>
      </c>
      <c r="D3182" s="58" t="s">
        <v>610</v>
      </c>
    </row>
    <row r="3183" spans="1:4">
      <c r="A3183" s="58" t="s">
        <v>5226</v>
      </c>
      <c r="B3183" s="58">
        <v>517258</v>
      </c>
      <c r="C3183" s="58" t="s">
        <v>588</v>
      </c>
      <c r="D3183" s="58" t="s">
        <v>1130</v>
      </c>
    </row>
    <row r="3184" spans="1:4">
      <c r="A3184" s="58" t="s">
        <v>5227</v>
      </c>
      <c r="B3184" s="58">
        <v>523539</v>
      </c>
      <c r="C3184" s="58" t="s">
        <v>5228</v>
      </c>
      <c r="D3184" s="58" t="s">
        <v>1506</v>
      </c>
    </row>
    <row r="3185" spans="1:4">
      <c r="A3185" s="58" t="s">
        <v>5229</v>
      </c>
      <c r="B3185" s="58">
        <v>523539</v>
      </c>
      <c r="C3185" s="58" t="s">
        <v>5228</v>
      </c>
      <c r="D3185" s="58" t="s">
        <v>1506</v>
      </c>
    </row>
    <row r="3186" spans="1:4">
      <c r="A3186" s="58" t="s">
        <v>5230</v>
      </c>
      <c r="B3186" s="58" t="s">
        <v>588</v>
      </c>
      <c r="C3186" s="58" t="s">
        <v>5231</v>
      </c>
      <c r="D3186" s="58" t="s">
        <v>679</v>
      </c>
    </row>
    <row r="3187" spans="1:4">
      <c r="A3187" s="58" t="s">
        <v>5232</v>
      </c>
      <c r="B3187" s="58">
        <v>530669</v>
      </c>
      <c r="C3187" s="58" t="s">
        <v>588</v>
      </c>
      <c r="D3187" s="58" t="s">
        <v>571</v>
      </c>
    </row>
    <row r="3188" spans="1:4">
      <c r="A3188" s="58" t="s">
        <v>5233</v>
      </c>
      <c r="B3188" s="58">
        <v>530331</v>
      </c>
      <c r="C3188" s="58" t="s">
        <v>588</v>
      </c>
      <c r="D3188" s="58" t="s">
        <v>603</v>
      </c>
    </row>
    <row r="3189" spans="1:4">
      <c r="A3189" s="58" t="s">
        <v>5234</v>
      </c>
      <c r="B3189" s="58">
        <v>780007</v>
      </c>
      <c r="C3189" s="58" t="s">
        <v>588</v>
      </c>
      <c r="D3189" s="58" t="s">
        <v>679</v>
      </c>
    </row>
    <row r="3190" spans="1:4">
      <c r="A3190" s="58" t="s">
        <v>5235</v>
      </c>
      <c r="B3190" s="58">
        <v>526247</v>
      </c>
      <c r="C3190" s="58" t="s">
        <v>5236</v>
      </c>
      <c r="D3190" s="58" t="s">
        <v>748</v>
      </c>
    </row>
    <row r="3191" spans="1:4">
      <c r="A3191" s="58" t="s">
        <v>5237</v>
      </c>
      <c r="B3191" s="58">
        <v>500540</v>
      </c>
      <c r="C3191" s="58" t="s">
        <v>5238</v>
      </c>
      <c r="D3191" s="58" t="s">
        <v>596</v>
      </c>
    </row>
    <row r="3192" spans="1:4">
      <c r="A3192" s="58" t="s">
        <v>5239</v>
      </c>
      <c r="B3192" s="58">
        <v>513291</v>
      </c>
      <c r="C3192" s="58" t="s">
        <v>588</v>
      </c>
      <c r="D3192" s="58" t="s">
        <v>911</v>
      </c>
    </row>
    <row r="3193" spans="1:4">
      <c r="A3193" s="58" t="s">
        <v>5240</v>
      </c>
      <c r="B3193" s="58">
        <v>514354</v>
      </c>
      <c r="C3193" s="58" t="s">
        <v>5241</v>
      </c>
      <c r="D3193" s="58" t="s">
        <v>636</v>
      </c>
    </row>
    <row r="3194" spans="1:4">
      <c r="A3194" s="58" t="s">
        <v>5242</v>
      </c>
      <c r="B3194" s="58">
        <v>509835</v>
      </c>
      <c r="C3194" s="58" t="s">
        <v>588</v>
      </c>
      <c r="D3194" s="58" t="s">
        <v>603</v>
      </c>
    </row>
    <row r="3195" spans="1:4">
      <c r="A3195" s="58" t="s">
        <v>5243</v>
      </c>
      <c r="B3195" s="58">
        <v>531802</v>
      </c>
      <c r="C3195" s="58" t="s">
        <v>588</v>
      </c>
      <c r="D3195" s="58" t="s">
        <v>674</v>
      </c>
    </row>
    <row r="3196" spans="1:4">
      <c r="A3196" s="58" t="s">
        <v>5244</v>
      </c>
      <c r="B3196" s="58">
        <v>509077</v>
      </c>
      <c r="C3196" s="58" t="s">
        <v>5245</v>
      </c>
      <c r="D3196" s="58" t="s">
        <v>2188</v>
      </c>
    </row>
    <row r="3197" spans="1:4">
      <c r="A3197" s="58" t="s">
        <v>5246</v>
      </c>
      <c r="B3197" s="58">
        <v>533274</v>
      </c>
      <c r="C3197" s="58" t="s">
        <v>5247</v>
      </c>
      <c r="D3197" s="58" t="s">
        <v>674</v>
      </c>
    </row>
    <row r="3198" spans="1:4">
      <c r="A3198" s="58" t="s">
        <v>5248</v>
      </c>
      <c r="B3198" s="58">
        <v>540293</v>
      </c>
      <c r="C3198" s="58" t="s">
        <v>5249</v>
      </c>
      <c r="D3198" s="58" t="s">
        <v>943</v>
      </c>
    </row>
    <row r="3199" spans="1:4">
      <c r="A3199" s="58" t="s">
        <v>5250</v>
      </c>
      <c r="B3199" s="58">
        <v>519262</v>
      </c>
      <c r="C3199" s="58" t="s">
        <v>588</v>
      </c>
      <c r="D3199" s="58" t="s">
        <v>786</v>
      </c>
    </row>
    <row r="3200" spans="1:4">
      <c r="A3200" s="58" t="s">
        <v>5251</v>
      </c>
      <c r="B3200" s="58">
        <v>531246</v>
      </c>
      <c r="C3200" s="58" t="s">
        <v>588</v>
      </c>
      <c r="D3200" s="58" t="s">
        <v>837</v>
      </c>
    </row>
    <row r="3201" spans="1:4">
      <c r="A3201" s="58" t="s">
        <v>5252</v>
      </c>
      <c r="B3201" s="58">
        <v>530589</v>
      </c>
      <c r="C3201" s="58" t="s">
        <v>588</v>
      </c>
      <c r="D3201" s="58" t="s">
        <v>708</v>
      </c>
    </row>
    <row r="3202" spans="1:4">
      <c r="A3202" s="58" t="s">
        <v>5253</v>
      </c>
      <c r="B3202" s="58">
        <v>535514</v>
      </c>
      <c r="C3202" s="58" t="s">
        <v>588</v>
      </c>
      <c r="D3202" s="58" t="s">
        <v>605</v>
      </c>
    </row>
    <row r="3203" spans="1:4">
      <c r="A3203" s="58" t="s">
        <v>5254</v>
      </c>
      <c r="B3203" s="58">
        <v>540404</v>
      </c>
      <c r="C3203" s="58" t="s">
        <v>588</v>
      </c>
      <c r="D3203" s="58" t="s">
        <v>786</v>
      </c>
    </row>
    <row r="3204" spans="1:4">
      <c r="A3204" s="58" t="s">
        <v>5255</v>
      </c>
      <c r="B3204" s="58">
        <v>532748</v>
      </c>
      <c r="C3204" s="58" t="s">
        <v>5256</v>
      </c>
      <c r="D3204" s="58" t="s">
        <v>591</v>
      </c>
    </row>
    <row r="3205" spans="1:4">
      <c r="A3205" s="58" t="s">
        <v>5257</v>
      </c>
      <c r="B3205" s="58">
        <v>519299</v>
      </c>
      <c r="C3205" s="58" t="s">
        <v>588</v>
      </c>
      <c r="D3205" s="58" t="s">
        <v>837</v>
      </c>
    </row>
    <row r="3206" spans="1:4">
      <c r="A3206" s="58" t="s">
        <v>5258</v>
      </c>
      <c r="B3206" s="58">
        <v>530695</v>
      </c>
      <c r="C3206" s="58" t="s">
        <v>588</v>
      </c>
      <c r="D3206" s="58" t="s">
        <v>674</v>
      </c>
    </row>
    <row r="3207" spans="1:4">
      <c r="A3207" s="58" t="s">
        <v>5259</v>
      </c>
      <c r="B3207" s="58">
        <v>500337</v>
      </c>
      <c r="C3207" s="58" t="s">
        <v>5260</v>
      </c>
      <c r="D3207" s="58" t="s">
        <v>571</v>
      </c>
    </row>
    <row r="3208" spans="1:4">
      <c r="A3208" s="58" t="s">
        <v>5261</v>
      </c>
      <c r="B3208" s="58">
        <v>521149</v>
      </c>
      <c r="C3208" s="58" t="s">
        <v>588</v>
      </c>
      <c r="D3208" s="58" t="s">
        <v>674</v>
      </c>
    </row>
    <row r="3209" spans="1:4">
      <c r="A3209" s="58" t="s">
        <v>5262</v>
      </c>
      <c r="B3209" s="58">
        <v>521149</v>
      </c>
      <c r="C3209" s="58" t="s">
        <v>588</v>
      </c>
      <c r="D3209" s="58" t="s">
        <v>674</v>
      </c>
    </row>
    <row r="3210" spans="1:4">
      <c r="A3210" s="58" t="s">
        <v>5263</v>
      </c>
      <c r="B3210" s="58">
        <v>531735</v>
      </c>
      <c r="C3210" s="58" t="s">
        <v>588</v>
      </c>
      <c r="D3210" s="58" t="s">
        <v>605</v>
      </c>
    </row>
    <row r="3211" spans="1:4">
      <c r="A3211" s="58" t="s">
        <v>5264</v>
      </c>
      <c r="B3211" s="58">
        <v>500338</v>
      </c>
      <c r="C3211" s="58" t="s">
        <v>5265</v>
      </c>
      <c r="D3211" s="58" t="s">
        <v>601</v>
      </c>
    </row>
    <row r="3212" spans="1:4">
      <c r="A3212" s="58" t="s">
        <v>5266</v>
      </c>
      <c r="B3212" s="58">
        <v>512217</v>
      </c>
      <c r="C3212" s="58" t="s">
        <v>588</v>
      </c>
      <c r="D3212" s="58" t="s">
        <v>605</v>
      </c>
    </row>
    <row r="3213" spans="1:4">
      <c r="A3213" s="58" t="s">
        <v>5267</v>
      </c>
      <c r="B3213" s="58">
        <v>531688</v>
      </c>
      <c r="C3213" s="58" t="s">
        <v>588</v>
      </c>
      <c r="D3213" s="58" t="s">
        <v>681</v>
      </c>
    </row>
    <row r="3214" spans="1:4">
      <c r="A3214" s="58" t="s">
        <v>5268</v>
      </c>
      <c r="B3214" s="58">
        <v>531688</v>
      </c>
      <c r="C3214" s="58" t="s">
        <v>588</v>
      </c>
      <c r="D3214" s="58" t="s">
        <v>681</v>
      </c>
    </row>
    <row r="3215" spans="1:4">
      <c r="A3215" s="58" t="s">
        <v>5269</v>
      </c>
      <c r="B3215" s="58" t="s">
        <v>588</v>
      </c>
      <c r="C3215" s="58" t="s">
        <v>5270</v>
      </c>
      <c r="D3215" s="58" t="s">
        <v>599</v>
      </c>
    </row>
    <row r="3216" spans="1:4">
      <c r="A3216" s="58" t="s">
        <v>5271</v>
      </c>
      <c r="B3216" s="58">
        <v>539359</v>
      </c>
      <c r="C3216" s="58" t="s">
        <v>588</v>
      </c>
      <c r="D3216" s="58" t="s">
        <v>1506</v>
      </c>
    </row>
    <row r="3217" spans="1:4">
      <c r="A3217" s="58" t="s">
        <v>5272</v>
      </c>
      <c r="B3217" s="58">
        <v>532387</v>
      </c>
      <c r="C3217" s="58" t="s">
        <v>5273</v>
      </c>
      <c r="D3217" s="58" t="s">
        <v>591</v>
      </c>
    </row>
    <row r="3218" spans="1:4">
      <c r="A3218" s="58" t="s">
        <v>5274</v>
      </c>
      <c r="B3218" s="58">
        <v>524580</v>
      </c>
      <c r="C3218" s="58" t="s">
        <v>588</v>
      </c>
      <c r="D3218" s="58" t="s">
        <v>610</v>
      </c>
    </row>
    <row r="3219" spans="1:4">
      <c r="A3219" s="58" t="s">
        <v>5275</v>
      </c>
      <c r="B3219" s="58">
        <v>511557</v>
      </c>
      <c r="C3219" s="58" t="s">
        <v>588</v>
      </c>
      <c r="D3219" s="58" t="s">
        <v>1009</v>
      </c>
    </row>
    <row r="3220" spans="1:4">
      <c r="A3220" s="58" t="s">
        <v>5276</v>
      </c>
      <c r="B3220" s="58">
        <v>512105</v>
      </c>
      <c r="C3220" s="58" t="s">
        <v>588</v>
      </c>
      <c r="D3220" s="58" t="s">
        <v>1009</v>
      </c>
    </row>
    <row r="3221" spans="1:4">
      <c r="A3221" s="58" t="s">
        <v>5277</v>
      </c>
      <c r="B3221" s="58">
        <v>526009</v>
      </c>
      <c r="C3221" s="58" t="s">
        <v>588</v>
      </c>
      <c r="D3221" s="58" t="s">
        <v>610</v>
      </c>
    </row>
    <row r="3222" spans="1:4">
      <c r="A3222" s="58" t="s">
        <v>5278</v>
      </c>
      <c r="B3222" s="58">
        <v>526009</v>
      </c>
      <c r="C3222" s="58" t="s">
        <v>588</v>
      </c>
      <c r="D3222" s="58" t="s">
        <v>610</v>
      </c>
    </row>
    <row r="3223" spans="1:4">
      <c r="A3223" s="58" t="s">
        <v>5279</v>
      </c>
      <c r="B3223" s="58" t="s">
        <v>588</v>
      </c>
      <c r="C3223" s="58" t="s">
        <v>5280</v>
      </c>
      <c r="D3223" s="58" t="s">
        <v>610</v>
      </c>
    </row>
    <row r="3224" spans="1:4">
      <c r="A3224" s="58" t="s">
        <v>5281</v>
      </c>
      <c r="B3224" s="58">
        <v>500459</v>
      </c>
      <c r="C3224" s="58" t="s">
        <v>5282</v>
      </c>
      <c r="D3224" s="58" t="s">
        <v>770</v>
      </c>
    </row>
    <row r="3225" spans="1:4">
      <c r="A3225" s="58" t="s">
        <v>5283</v>
      </c>
      <c r="B3225" s="58">
        <v>531265</v>
      </c>
      <c r="C3225" s="58" t="s">
        <v>588</v>
      </c>
      <c r="D3225" s="58" t="s">
        <v>668</v>
      </c>
    </row>
    <row r="3226" spans="1:4">
      <c r="A3226" s="58" t="s">
        <v>5284</v>
      </c>
      <c r="B3226" s="58" t="s">
        <v>588</v>
      </c>
      <c r="C3226" s="58" t="s">
        <v>5285</v>
      </c>
      <c r="D3226" s="58" t="s">
        <v>599</v>
      </c>
    </row>
    <row r="3227" spans="1:4">
      <c r="A3227" s="58" t="s">
        <v>5286</v>
      </c>
      <c r="B3227" s="58">
        <v>526494</v>
      </c>
      <c r="C3227" s="58" t="s">
        <v>588</v>
      </c>
      <c r="D3227" s="58" t="s">
        <v>783</v>
      </c>
    </row>
    <row r="3228" spans="1:4">
      <c r="A3228" s="58" t="s">
        <v>5287</v>
      </c>
      <c r="B3228" s="58">
        <v>590057</v>
      </c>
      <c r="C3228" s="58" t="s">
        <v>5288</v>
      </c>
      <c r="D3228" s="58" t="s">
        <v>681</v>
      </c>
    </row>
    <row r="3229" spans="1:4">
      <c r="A3229" s="58" t="s">
        <v>5289</v>
      </c>
      <c r="B3229" s="58">
        <v>590057</v>
      </c>
      <c r="C3229" s="58" t="s">
        <v>5288</v>
      </c>
      <c r="D3229" s="58" t="s">
        <v>681</v>
      </c>
    </row>
    <row r="3230" spans="1:4">
      <c r="A3230" s="58" t="s">
        <v>5290</v>
      </c>
      <c r="B3230" s="58">
        <v>540703</v>
      </c>
      <c r="C3230" s="58" t="s">
        <v>588</v>
      </c>
      <c r="D3230" s="58" t="s">
        <v>672</v>
      </c>
    </row>
    <row r="3231" spans="1:4">
      <c r="A3231" s="58" t="s">
        <v>5291</v>
      </c>
      <c r="B3231" s="58">
        <v>532647</v>
      </c>
      <c r="C3231" s="58" t="s">
        <v>5292</v>
      </c>
      <c r="D3231" s="58" t="s">
        <v>702</v>
      </c>
    </row>
    <row r="3232" spans="1:4">
      <c r="A3232" s="58" t="s">
        <v>5293</v>
      </c>
      <c r="B3232" s="58">
        <v>532647</v>
      </c>
      <c r="C3232" s="58" t="s">
        <v>5292</v>
      </c>
      <c r="D3232" s="58" t="s">
        <v>702</v>
      </c>
    </row>
    <row r="3233" spans="1:4">
      <c r="A3233" s="58" t="s">
        <v>5294</v>
      </c>
      <c r="B3233" s="58">
        <v>534675</v>
      </c>
      <c r="C3233" s="58" t="s">
        <v>5295</v>
      </c>
      <c r="D3233" s="58" t="s">
        <v>674</v>
      </c>
    </row>
    <row r="3234" spans="1:4">
      <c r="A3234" s="58" t="s">
        <v>5296</v>
      </c>
      <c r="B3234" s="58">
        <v>505502</v>
      </c>
      <c r="C3234" s="58" t="s">
        <v>588</v>
      </c>
      <c r="D3234" s="58" t="s">
        <v>571</v>
      </c>
    </row>
    <row r="3235" spans="1:4">
      <c r="A3235" s="58" t="s">
        <v>5297</v>
      </c>
      <c r="B3235" s="58">
        <v>526801</v>
      </c>
      <c r="C3235" s="58" t="s">
        <v>5298</v>
      </c>
      <c r="D3235" s="58" t="s">
        <v>986</v>
      </c>
    </row>
    <row r="3236" spans="1:4">
      <c r="A3236" s="58" t="s">
        <v>5299</v>
      </c>
      <c r="B3236" s="58">
        <v>540544</v>
      </c>
      <c r="C3236" s="58" t="s">
        <v>5300</v>
      </c>
      <c r="D3236" s="58" t="s">
        <v>986</v>
      </c>
    </row>
    <row r="3237" spans="1:4">
      <c r="A3237" s="58" t="s">
        <v>5301</v>
      </c>
      <c r="B3237" s="58">
        <v>532524</v>
      </c>
      <c r="C3237" s="58" t="s">
        <v>5302</v>
      </c>
      <c r="D3237" s="58" t="s">
        <v>727</v>
      </c>
    </row>
    <row r="3238" spans="1:4">
      <c r="A3238" s="58" t="s">
        <v>5303</v>
      </c>
      <c r="B3238" s="58">
        <v>533344</v>
      </c>
      <c r="C3238" s="58" t="s">
        <v>5304</v>
      </c>
      <c r="D3238" s="58" t="s">
        <v>605</v>
      </c>
    </row>
    <row r="3239" spans="1:4">
      <c r="A3239" s="58" t="s">
        <v>5305</v>
      </c>
      <c r="B3239" s="58">
        <v>532524</v>
      </c>
      <c r="C3239" s="58" t="s">
        <v>5302</v>
      </c>
      <c r="D3239" s="58" t="s">
        <v>727</v>
      </c>
    </row>
    <row r="3240" spans="1:4">
      <c r="A3240" s="58" t="s">
        <v>5306</v>
      </c>
      <c r="B3240" s="58">
        <v>539006</v>
      </c>
      <c r="C3240" s="58" t="s">
        <v>588</v>
      </c>
      <c r="D3240" s="58" t="s">
        <v>1506</v>
      </c>
    </row>
    <row r="3241" spans="1:4">
      <c r="A3241" s="58" t="s">
        <v>5307</v>
      </c>
      <c r="B3241" s="58">
        <v>509220</v>
      </c>
      <c r="C3241" s="58" t="s">
        <v>5308</v>
      </c>
      <c r="D3241" s="58" t="s">
        <v>610</v>
      </c>
    </row>
    <row r="3242" spans="1:4">
      <c r="A3242" s="58" t="s">
        <v>5309</v>
      </c>
      <c r="B3242" s="58">
        <v>539785</v>
      </c>
      <c r="C3242" s="58" t="s">
        <v>5310</v>
      </c>
      <c r="D3242" s="58" t="s">
        <v>582</v>
      </c>
    </row>
    <row r="3243" spans="1:4">
      <c r="A3243" s="58" t="s">
        <v>5311</v>
      </c>
      <c r="B3243" s="58">
        <v>512591</v>
      </c>
      <c r="C3243" s="58" t="s">
        <v>588</v>
      </c>
      <c r="D3243" s="58" t="s">
        <v>610</v>
      </c>
    </row>
    <row r="3244" spans="1:4">
      <c r="A3244" s="58" t="s">
        <v>5312</v>
      </c>
      <c r="B3244" s="58" t="s">
        <v>588</v>
      </c>
      <c r="C3244" s="58" t="s">
        <v>5313</v>
      </c>
      <c r="D3244" s="58" t="s">
        <v>599</v>
      </c>
    </row>
    <row r="3245" spans="1:4">
      <c r="A3245" s="58" t="s">
        <v>5314</v>
      </c>
      <c r="B3245" s="58">
        <v>512461</v>
      </c>
      <c r="C3245" s="58" t="s">
        <v>588</v>
      </c>
      <c r="D3245" s="58" t="s">
        <v>610</v>
      </c>
    </row>
    <row r="3246" spans="1:4">
      <c r="A3246" s="58" t="s">
        <v>5315</v>
      </c>
      <c r="B3246" s="58">
        <v>512099</v>
      </c>
      <c r="C3246" s="58" t="s">
        <v>588</v>
      </c>
      <c r="D3246" s="58" t="s">
        <v>702</v>
      </c>
    </row>
    <row r="3247" spans="1:4">
      <c r="A3247" s="58" t="s">
        <v>5316</v>
      </c>
      <c r="B3247" s="58">
        <v>532693</v>
      </c>
      <c r="C3247" s="58" t="s">
        <v>5317</v>
      </c>
      <c r="D3247" s="58" t="s">
        <v>986</v>
      </c>
    </row>
    <row r="3248" spans="1:4">
      <c r="A3248" s="58" t="s">
        <v>5318</v>
      </c>
      <c r="B3248" s="58">
        <v>533295</v>
      </c>
      <c r="C3248" s="58" t="s">
        <v>5319</v>
      </c>
      <c r="D3248" s="58" t="s">
        <v>906</v>
      </c>
    </row>
    <row r="3249" spans="1:4">
      <c r="A3249" s="58" t="s">
        <v>5320</v>
      </c>
      <c r="B3249" s="58">
        <v>506852</v>
      </c>
      <c r="C3249" s="58" t="s">
        <v>588</v>
      </c>
      <c r="D3249" s="58" t="s">
        <v>636</v>
      </c>
    </row>
    <row r="3250" spans="1:4">
      <c r="A3250" s="58" t="s">
        <v>5321</v>
      </c>
      <c r="B3250" s="58">
        <v>506618</v>
      </c>
      <c r="C3250" s="58" t="s">
        <v>5322</v>
      </c>
      <c r="D3250" s="58" t="s">
        <v>732</v>
      </c>
    </row>
    <row r="3251" spans="1:4">
      <c r="A3251" s="58" t="s">
        <v>5323</v>
      </c>
      <c r="B3251" s="58">
        <v>500346</v>
      </c>
      <c r="C3251" s="58" t="s">
        <v>588</v>
      </c>
      <c r="D3251" s="58" t="s">
        <v>734</v>
      </c>
    </row>
    <row r="3252" spans="1:4">
      <c r="A3252" s="58" t="s">
        <v>5324</v>
      </c>
      <c r="B3252" s="58">
        <v>532461</v>
      </c>
      <c r="C3252" s="58" t="s">
        <v>5325</v>
      </c>
      <c r="D3252" s="58" t="s">
        <v>906</v>
      </c>
    </row>
    <row r="3253" spans="1:4">
      <c r="A3253" s="58" t="s">
        <v>5326</v>
      </c>
      <c r="B3253" s="58">
        <v>532891</v>
      </c>
      <c r="C3253" s="58" t="s">
        <v>5327</v>
      </c>
      <c r="D3253" s="58" t="s">
        <v>674</v>
      </c>
    </row>
    <row r="3254" spans="1:4">
      <c r="A3254" s="58" t="s">
        <v>5328</v>
      </c>
      <c r="B3254" s="58">
        <v>540492</v>
      </c>
      <c r="C3254" s="58" t="s">
        <v>588</v>
      </c>
      <c r="D3254" s="58" t="s">
        <v>610</v>
      </c>
    </row>
    <row r="3255" spans="1:4">
      <c r="A3255" s="58" t="s">
        <v>5329</v>
      </c>
      <c r="B3255" s="58">
        <v>523315</v>
      </c>
      <c r="C3255" s="58" t="s">
        <v>588</v>
      </c>
      <c r="D3255" s="58" t="s">
        <v>582</v>
      </c>
    </row>
    <row r="3256" spans="1:4">
      <c r="A3256" s="58" t="s">
        <v>5330</v>
      </c>
      <c r="B3256" s="58">
        <v>538993</v>
      </c>
      <c r="C3256" s="58" t="s">
        <v>588</v>
      </c>
      <c r="D3256" s="58" t="s">
        <v>674</v>
      </c>
    </row>
    <row r="3257" spans="1:4">
      <c r="A3257" s="58" t="s">
        <v>5331</v>
      </c>
      <c r="B3257" s="58">
        <v>540159</v>
      </c>
      <c r="C3257" s="58" t="s">
        <v>588</v>
      </c>
      <c r="D3257" s="58" t="s">
        <v>591</v>
      </c>
    </row>
    <row r="3258" spans="1:4">
      <c r="A3258" s="58" t="s">
        <v>5332</v>
      </c>
      <c r="B3258" s="58">
        <v>538647</v>
      </c>
      <c r="C3258" s="58" t="s">
        <v>588</v>
      </c>
      <c r="D3258" s="58" t="s">
        <v>605</v>
      </c>
    </row>
    <row r="3259" spans="1:4">
      <c r="A3259" s="58" t="s">
        <v>5333</v>
      </c>
      <c r="B3259" s="58" t="s">
        <v>588</v>
      </c>
      <c r="C3259" s="58" t="s">
        <v>5334</v>
      </c>
      <c r="D3259" s="58" t="s">
        <v>599</v>
      </c>
    </row>
    <row r="3260" spans="1:4">
      <c r="A3260" s="58" t="s">
        <v>5335</v>
      </c>
      <c r="B3260" s="58">
        <v>531562</v>
      </c>
      <c r="C3260" s="58" t="s">
        <v>588</v>
      </c>
      <c r="D3260" s="58" t="s">
        <v>603</v>
      </c>
    </row>
    <row r="3261" spans="1:4">
      <c r="A3261" s="58" t="s">
        <v>5336</v>
      </c>
      <c r="B3261" s="58">
        <v>517556</v>
      </c>
      <c r="C3261" s="58" t="s">
        <v>5337</v>
      </c>
      <c r="D3261" s="58" t="s">
        <v>674</v>
      </c>
    </row>
    <row r="3262" spans="1:4">
      <c r="A3262" s="58" t="s">
        <v>5338</v>
      </c>
      <c r="B3262" s="58">
        <v>532689</v>
      </c>
      <c r="C3262" s="58" t="s">
        <v>5339</v>
      </c>
      <c r="D3262" s="58" t="s">
        <v>589</v>
      </c>
    </row>
    <row r="3263" spans="1:4">
      <c r="A3263" s="58" t="s">
        <v>5340</v>
      </c>
      <c r="B3263" s="58">
        <v>536659</v>
      </c>
      <c r="C3263" s="58" t="s">
        <v>588</v>
      </c>
      <c r="D3263" s="58" t="s">
        <v>986</v>
      </c>
    </row>
    <row r="3264" spans="1:4">
      <c r="A3264" s="58" t="s">
        <v>5341</v>
      </c>
      <c r="B3264" s="58">
        <v>534109</v>
      </c>
      <c r="C3264" s="58" t="s">
        <v>588</v>
      </c>
      <c r="D3264" s="58" t="s">
        <v>605</v>
      </c>
    </row>
    <row r="3265" spans="1:4">
      <c r="A3265" s="58" t="s">
        <v>5342</v>
      </c>
      <c r="B3265" s="58">
        <v>511116</v>
      </c>
      <c r="C3265" s="58" t="s">
        <v>588</v>
      </c>
      <c r="D3265" s="58" t="s">
        <v>1530</v>
      </c>
    </row>
    <row r="3266" spans="1:4">
      <c r="A3266" s="58" t="s">
        <v>5343</v>
      </c>
      <c r="B3266" s="58">
        <v>538596</v>
      </c>
      <c r="C3266" s="58" t="s">
        <v>588</v>
      </c>
      <c r="D3266" s="58" t="s">
        <v>674</v>
      </c>
    </row>
    <row r="3267" spans="1:4">
      <c r="A3267" s="58" t="s">
        <v>5344</v>
      </c>
      <c r="B3267" s="58">
        <v>530281</v>
      </c>
      <c r="C3267" s="58" t="s">
        <v>588</v>
      </c>
      <c r="D3267" s="58" t="s">
        <v>783</v>
      </c>
    </row>
    <row r="3268" spans="1:4">
      <c r="A3268" s="58" t="s">
        <v>5345</v>
      </c>
      <c r="B3268" s="58">
        <v>530281</v>
      </c>
      <c r="C3268" s="58" t="s">
        <v>588</v>
      </c>
      <c r="D3268" s="58" t="s">
        <v>783</v>
      </c>
    </row>
    <row r="3269" spans="1:4">
      <c r="A3269" s="58" t="s">
        <v>5346</v>
      </c>
      <c r="B3269" s="58">
        <v>590099</v>
      </c>
      <c r="C3269" s="58" t="s">
        <v>5347</v>
      </c>
      <c r="D3269" s="58" t="s">
        <v>571</v>
      </c>
    </row>
    <row r="3270" spans="1:4">
      <c r="A3270" s="58" t="s">
        <v>5348</v>
      </c>
      <c r="B3270" s="58">
        <v>590110</v>
      </c>
      <c r="C3270" s="58" t="s">
        <v>5349</v>
      </c>
      <c r="D3270" s="58" t="s">
        <v>571</v>
      </c>
    </row>
    <row r="3271" spans="1:4">
      <c r="A3271" s="58" t="s">
        <v>5350</v>
      </c>
      <c r="B3271" s="58">
        <v>539978</v>
      </c>
      <c r="C3271" s="58" t="s">
        <v>5351</v>
      </c>
      <c r="D3271" s="58" t="s">
        <v>577</v>
      </c>
    </row>
    <row r="3272" spans="1:4">
      <c r="A3272" s="58" t="s">
        <v>5352</v>
      </c>
      <c r="B3272" s="58">
        <v>539962</v>
      </c>
      <c r="C3272" s="58" t="s">
        <v>588</v>
      </c>
      <c r="D3272" s="58" t="s">
        <v>605</v>
      </c>
    </row>
    <row r="3273" spans="1:4">
      <c r="A3273" s="58" t="s">
        <v>5353</v>
      </c>
      <c r="B3273" s="58">
        <v>535719</v>
      </c>
      <c r="C3273" s="58" t="s">
        <v>588</v>
      </c>
      <c r="D3273" s="58" t="s">
        <v>574</v>
      </c>
    </row>
    <row r="3274" spans="1:4">
      <c r="A3274" s="58" t="s">
        <v>5354</v>
      </c>
      <c r="B3274" s="58">
        <v>535719</v>
      </c>
      <c r="C3274" s="58" t="s">
        <v>588</v>
      </c>
      <c r="D3274" s="58" t="s">
        <v>574</v>
      </c>
    </row>
    <row r="3275" spans="1:4">
      <c r="A3275" s="58" t="s">
        <v>5355</v>
      </c>
      <c r="B3275" s="58">
        <v>539678</v>
      </c>
      <c r="C3275" s="58" t="s">
        <v>5356</v>
      </c>
      <c r="D3275" s="58" t="s">
        <v>681</v>
      </c>
    </row>
    <row r="3276" spans="1:4">
      <c r="A3276" s="58" t="s">
        <v>5357</v>
      </c>
      <c r="B3276" s="58">
        <v>532866</v>
      </c>
      <c r="C3276" s="58" t="s">
        <v>5358</v>
      </c>
      <c r="D3276" s="58" t="s">
        <v>574</v>
      </c>
    </row>
    <row r="3277" spans="1:4">
      <c r="A3277" s="58" t="s">
        <v>5359</v>
      </c>
      <c r="B3277" s="58">
        <v>532024</v>
      </c>
      <c r="C3277" s="58" t="s">
        <v>588</v>
      </c>
      <c r="D3277" s="58" t="s">
        <v>571</v>
      </c>
    </row>
    <row r="3278" spans="1:4">
      <c r="A3278" s="58" t="s">
        <v>5360</v>
      </c>
      <c r="B3278" s="58">
        <v>536456</v>
      </c>
      <c r="C3278" s="58" t="s">
        <v>588</v>
      </c>
      <c r="D3278" s="58" t="s">
        <v>786</v>
      </c>
    </row>
    <row r="3279" spans="1:4">
      <c r="A3279" s="58" t="s">
        <v>5361</v>
      </c>
      <c r="B3279" s="58">
        <v>509845</v>
      </c>
      <c r="C3279" s="58" t="s">
        <v>588</v>
      </c>
      <c r="D3279" s="58" t="s">
        <v>674</v>
      </c>
    </row>
    <row r="3280" spans="1:4">
      <c r="A3280" s="58" t="s">
        <v>5362</v>
      </c>
      <c r="B3280" s="58" t="s">
        <v>588</v>
      </c>
      <c r="C3280" s="58" t="s">
        <v>5363</v>
      </c>
      <c r="D3280" s="58" t="s">
        <v>599</v>
      </c>
    </row>
    <row r="3281" spans="1:4">
      <c r="A3281" s="58" t="s">
        <v>5364</v>
      </c>
      <c r="B3281" s="58">
        <v>533284</v>
      </c>
      <c r="C3281" s="58" t="s">
        <v>5365</v>
      </c>
      <c r="D3281" s="58" t="s">
        <v>986</v>
      </c>
    </row>
    <row r="3282" spans="1:4">
      <c r="A3282" s="58" t="s">
        <v>5366</v>
      </c>
      <c r="B3282" s="58">
        <v>530917</v>
      </c>
      <c r="C3282" s="58" t="s">
        <v>588</v>
      </c>
      <c r="D3282" s="58" t="s">
        <v>1009</v>
      </c>
    </row>
    <row r="3283" spans="1:4">
      <c r="A3283" s="58" t="s">
        <v>5367</v>
      </c>
      <c r="B3283" s="58">
        <v>517447</v>
      </c>
      <c r="C3283" s="58" t="s">
        <v>5368</v>
      </c>
      <c r="D3283" s="58" t="s">
        <v>681</v>
      </c>
    </row>
    <row r="3284" spans="1:4">
      <c r="A3284" s="58" t="s">
        <v>5369</v>
      </c>
      <c r="B3284" s="58">
        <v>517447</v>
      </c>
      <c r="C3284" s="58" t="s">
        <v>5368</v>
      </c>
      <c r="D3284" s="58" t="s">
        <v>681</v>
      </c>
    </row>
    <row r="3285" spans="1:4">
      <c r="A3285" s="58" t="s">
        <v>5370</v>
      </c>
      <c r="B3285" s="58">
        <v>532735</v>
      </c>
      <c r="C3285" s="58" t="s">
        <v>5371</v>
      </c>
      <c r="D3285" s="58" t="s">
        <v>574</v>
      </c>
    </row>
    <row r="3286" spans="1:4">
      <c r="A3286" s="58" t="s">
        <v>5372</v>
      </c>
      <c r="B3286" s="58">
        <v>512565</v>
      </c>
      <c r="C3286" s="58" t="s">
        <v>588</v>
      </c>
      <c r="D3286" s="58" t="s">
        <v>786</v>
      </c>
    </row>
    <row r="3287" spans="1:4">
      <c r="A3287" s="58" t="s">
        <v>5373</v>
      </c>
      <c r="B3287" s="58">
        <v>538119</v>
      </c>
      <c r="C3287" s="58" t="s">
        <v>588</v>
      </c>
      <c r="D3287" s="58" t="s">
        <v>603</v>
      </c>
    </row>
    <row r="3288" spans="1:4">
      <c r="A3288" s="58" t="s">
        <v>5374</v>
      </c>
      <c r="B3288" s="58">
        <v>524502</v>
      </c>
      <c r="C3288" s="58" t="s">
        <v>588</v>
      </c>
      <c r="D3288" s="58" t="s">
        <v>1752</v>
      </c>
    </row>
    <row r="3289" spans="1:4">
      <c r="A3289" s="58" t="s">
        <v>5375</v>
      </c>
      <c r="B3289" s="58">
        <v>524502</v>
      </c>
      <c r="C3289" s="58" t="s">
        <v>588</v>
      </c>
      <c r="D3289" s="58" t="s">
        <v>1752</v>
      </c>
    </row>
    <row r="3290" spans="1:4">
      <c r="A3290" s="58" t="s">
        <v>5376</v>
      </c>
      <c r="B3290" s="58">
        <v>502271</v>
      </c>
      <c r="C3290" s="58" t="s">
        <v>588</v>
      </c>
      <c r="D3290" s="58" t="s">
        <v>773</v>
      </c>
    </row>
    <row r="3291" spans="1:4">
      <c r="A3291" s="58" t="s">
        <v>5377</v>
      </c>
      <c r="B3291" s="58">
        <v>520073</v>
      </c>
      <c r="C3291" s="58" t="s">
        <v>588</v>
      </c>
      <c r="D3291" s="58" t="s">
        <v>943</v>
      </c>
    </row>
    <row r="3292" spans="1:4">
      <c r="A3292" s="58" t="s">
        <v>5378</v>
      </c>
      <c r="B3292" s="58">
        <v>590070</v>
      </c>
      <c r="C3292" s="58" t="s">
        <v>5379</v>
      </c>
      <c r="D3292" s="58" t="s">
        <v>591</v>
      </c>
    </row>
    <row r="3293" spans="1:4">
      <c r="A3293" s="58" t="s">
        <v>5380</v>
      </c>
      <c r="B3293" s="58">
        <v>590070</v>
      </c>
      <c r="C3293" s="58" t="s">
        <v>5379</v>
      </c>
      <c r="D3293" s="58" t="s">
        <v>591</v>
      </c>
    </row>
    <row r="3294" spans="1:4">
      <c r="A3294" s="58" t="s">
        <v>5381</v>
      </c>
      <c r="B3294" s="58">
        <v>532692</v>
      </c>
      <c r="C3294" s="58" t="s">
        <v>5382</v>
      </c>
      <c r="D3294" s="58" t="s">
        <v>783</v>
      </c>
    </row>
    <row r="3295" spans="1:4">
      <c r="A3295" s="58" t="s">
        <v>5383</v>
      </c>
      <c r="B3295" s="58">
        <v>539673</v>
      </c>
      <c r="C3295" s="58" t="s">
        <v>588</v>
      </c>
      <c r="D3295" s="58" t="s">
        <v>622</v>
      </c>
    </row>
    <row r="3296" spans="1:4">
      <c r="A3296" s="58" t="s">
        <v>5384</v>
      </c>
      <c r="B3296" s="58">
        <v>531273</v>
      </c>
      <c r="C3296" s="58" t="s">
        <v>588</v>
      </c>
      <c r="D3296" s="58" t="s">
        <v>674</v>
      </c>
    </row>
    <row r="3297" spans="1:4">
      <c r="A3297" s="58" t="s">
        <v>5385</v>
      </c>
      <c r="B3297" s="58">
        <v>531273</v>
      </c>
      <c r="C3297" s="58" t="s">
        <v>588</v>
      </c>
      <c r="D3297" s="58" t="s">
        <v>674</v>
      </c>
    </row>
    <row r="3298" spans="1:4">
      <c r="A3298" s="58" t="s">
        <v>5386</v>
      </c>
      <c r="B3298" s="58">
        <v>539814</v>
      </c>
      <c r="C3298" s="58" t="s">
        <v>588</v>
      </c>
      <c r="D3298" s="58" t="s">
        <v>610</v>
      </c>
    </row>
    <row r="3299" spans="1:4">
      <c r="A3299" s="58" t="s">
        <v>5387</v>
      </c>
      <c r="B3299" s="58">
        <v>540125</v>
      </c>
      <c r="C3299" s="58" t="s">
        <v>588</v>
      </c>
      <c r="D3299" s="58" t="s">
        <v>702</v>
      </c>
    </row>
    <row r="3300" spans="1:4">
      <c r="A3300" s="58" t="s">
        <v>5388</v>
      </c>
      <c r="B3300" s="58">
        <v>532497</v>
      </c>
      <c r="C3300" s="58" t="s">
        <v>5389</v>
      </c>
      <c r="D3300" s="58" t="s">
        <v>1219</v>
      </c>
    </row>
    <row r="3301" spans="1:4">
      <c r="A3301" s="58" t="s">
        <v>5390</v>
      </c>
      <c r="B3301" s="58">
        <v>531412</v>
      </c>
      <c r="C3301" s="58" t="s">
        <v>588</v>
      </c>
      <c r="D3301" s="58" t="s">
        <v>770</v>
      </c>
    </row>
    <row r="3302" spans="1:4">
      <c r="A3302" s="58" t="s">
        <v>5391</v>
      </c>
      <c r="B3302" s="58">
        <v>531412</v>
      </c>
      <c r="C3302" s="58" t="s">
        <v>588</v>
      </c>
      <c r="D3302" s="58" t="s">
        <v>770</v>
      </c>
    </row>
    <row r="3303" spans="1:4">
      <c r="A3303" s="58" t="s">
        <v>5392</v>
      </c>
      <c r="B3303" s="58">
        <v>539837</v>
      </c>
      <c r="C3303" s="58" t="s">
        <v>588</v>
      </c>
      <c r="D3303" s="58" t="s">
        <v>773</v>
      </c>
    </row>
    <row r="3304" spans="1:4">
      <c r="A3304" s="58" t="s">
        <v>5393</v>
      </c>
      <c r="B3304" s="58">
        <v>526813</v>
      </c>
      <c r="C3304" s="58" t="s">
        <v>588</v>
      </c>
      <c r="D3304" s="58" t="s">
        <v>2756</v>
      </c>
    </row>
    <row r="3305" spans="1:4">
      <c r="A3305" s="58" t="s">
        <v>5394</v>
      </c>
      <c r="B3305" s="58">
        <v>531552</v>
      </c>
      <c r="C3305" s="58" t="s">
        <v>588</v>
      </c>
      <c r="D3305" s="58" t="s">
        <v>674</v>
      </c>
    </row>
    <row r="3306" spans="1:4">
      <c r="A3306" s="58" t="s">
        <v>5395</v>
      </c>
      <c r="B3306" s="58">
        <v>538921</v>
      </c>
      <c r="C3306" s="58" t="s">
        <v>588</v>
      </c>
      <c r="D3306" s="58" t="s">
        <v>786</v>
      </c>
    </row>
    <row r="3307" spans="1:4">
      <c r="A3307" s="58" t="s">
        <v>5396</v>
      </c>
      <c r="B3307" s="58">
        <v>514316</v>
      </c>
      <c r="C3307" s="58" t="s">
        <v>588</v>
      </c>
      <c r="D3307" s="58" t="s">
        <v>603</v>
      </c>
    </row>
    <row r="3308" spans="1:4">
      <c r="A3308" s="58" t="s">
        <v>5397</v>
      </c>
      <c r="B3308" s="58">
        <v>531887</v>
      </c>
      <c r="C3308" s="58" t="s">
        <v>588</v>
      </c>
      <c r="D3308" s="58" t="s">
        <v>702</v>
      </c>
    </row>
    <row r="3309" spans="1:4">
      <c r="A3309" s="58" t="s">
        <v>5398</v>
      </c>
      <c r="B3309" s="58">
        <v>540270</v>
      </c>
      <c r="C3309" s="58" t="s">
        <v>588</v>
      </c>
      <c r="D3309" s="58" t="s">
        <v>610</v>
      </c>
    </row>
    <row r="3310" spans="1:4">
      <c r="A3310" s="58" t="s">
        <v>5399</v>
      </c>
      <c r="B3310" s="58">
        <v>542649</v>
      </c>
      <c r="C3310" s="58" t="s">
        <v>5400</v>
      </c>
      <c r="D3310" s="58" t="s">
        <v>5401</v>
      </c>
    </row>
    <row r="3311" spans="1:4">
      <c r="A3311" s="58" t="s">
        <v>5402</v>
      </c>
      <c r="B3311" s="58">
        <v>500339</v>
      </c>
      <c r="C3311" s="58" t="s">
        <v>5403</v>
      </c>
      <c r="D3311" s="58" t="s">
        <v>802</v>
      </c>
    </row>
    <row r="3312" spans="1:4">
      <c r="A3312" s="58" t="s">
        <v>5404</v>
      </c>
      <c r="B3312" s="58">
        <v>532441</v>
      </c>
      <c r="C3312" s="58" t="s">
        <v>588</v>
      </c>
      <c r="D3312" s="58" t="s">
        <v>603</v>
      </c>
    </row>
    <row r="3313" spans="1:4">
      <c r="A3313" s="58" t="s">
        <v>5405</v>
      </c>
      <c r="B3313" s="58">
        <v>531694</v>
      </c>
      <c r="C3313" s="58" t="s">
        <v>588</v>
      </c>
      <c r="D3313" s="58" t="s">
        <v>674</v>
      </c>
    </row>
    <row r="3314" spans="1:4">
      <c r="A3314" s="58" t="s">
        <v>5406</v>
      </c>
      <c r="B3314" s="58">
        <v>523523</v>
      </c>
      <c r="C3314" s="58" t="s">
        <v>5407</v>
      </c>
      <c r="D3314" s="58" t="s">
        <v>582</v>
      </c>
    </row>
    <row r="3315" spans="1:4">
      <c r="A3315" s="58" t="s">
        <v>5408</v>
      </c>
      <c r="B3315" s="58">
        <v>530111</v>
      </c>
      <c r="C3315" s="58" t="s">
        <v>588</v>
      </c>
      <c r="D3315" s="58" t="s">
        <v>783</v>
      </c>
    </row>
    <row r="3316" spans="1:4">
      <c r="A3316" s="58" t="s">
        <v>5409</v>
      </c>
      <c r="B3316" s="58">
        <v>530699</v>
      </c>
      <c r="C3316" s="58" t="s">
        <v>5410</v>
      </c>
      <c r="D3316" s="58" t="s">
        <v>603</v>
      </c>
    </row>
    <row r="3317" spans="1:4">
      <c r="A3317" s="58" t="s">
        <v>5411</v>
      </c>
      <c r="B3317" s="58">
        <v>532826</v>
      </c>
      <c r="C3317" s="58" t="s">
        <v>5412</v>
      </c>
      <c r="D3317" s="58" t="s">
        <v>1325</v>
      </c>
    </row>
    <row r="3318" spans="1:4">
      <c r="A3318" s="58" t="s">
        <v>5413</v>
      </c>
      <c r="B3318" s="58">
        <v>503127</v>
      </c>
      <c r="C3318" s="58" t="s">
        <v>588</v>
      </c>
      <c r="D3318" s="58" t="s">
        <v>577</v>
      </c>
    </row>
    <row r="3319" spans="1:4">
      <c r="A3319" s="58" t="s">
        <v>5414</v>
      </c>
      <c r="B3319" s="58">
        <v>532503</v>
      </c>
      <c r="C3319" s="58" t="s">
        <v>588</v>
      </c>
      <c r="D3319" s="58" t="s">
        <v>603</v>
      </c>
    </row>
    <row r="3320" spans="1:4">
      <c r="A3320" s="58" t="s">
        <v>5415</v>
      </c>
      <c r="B3320" s="58">
        <v>538707</v>
      </c>
      <c r="C3320" s="58" t="s">
        <v>588</v>
      </c>
      <c r="D3320" s="58" t="s">
        <v>783</v>
      </c>
    </row>
    <row r="3321" spans="1:4">
      <c r="A3321" s="58" t="s">
        <v>5416</v>
      </c>
      <c r="B3321" s="58">
        <v>526873</v>
      </c>
      <c r="C3321" s="58" t="s">
        <v>588</v>
      </c>
      <c r="D3321" s="58" t="s">
        <v>798</v>
      </c>
    </row>
    <row r="3322" spans="1:4">
      <c r="A3322" s="58" t="s">
        <v>5417</v>
      </c>
      <c r="B3322" s="58">
        <v>530253</v>
      </c>
      <c r="C3322" s="58" t="s">
        <v>588</v>
      </c>
      <c r="D3322" s="58" t="s">
        <v>911</v>
      </c>
    </row>
    <row r="3323" spans="1:4">
      <c r="A3323" s="58" t="s">
        <v>5418</v>
      </c>
      <c r="B3323" s="58">
        <v>507962</v>
      </c>
      <c r="C3323" s="58" t="s">
        <v>588</v>
      </c>
      <c r="D3323" s="58" t="s">
        <v>605</v>
      </c>
    </row>
    <row r="3324" spans="1:4">
      <c r="A3324" s="58" t="s">
        <v>5419</v>
      </c>
      <c r="B3324" s="58">
        <v>526662</v>
      </c>
      <c r="C3324" s="58" t="s">
        <v>5420</v>
      </c>
      <c r="D3324" s="58" t="s">
        <v>986</v>
      </c>
    </row>
    <row r="3325" spans="1:4">
      <c r="A3325" s="58" t="s">
        <v>5421</v>
      </c>
      <c r="B3325" s="58">
        <v>531500</v>
      </c>
      <c r="C3325" s="58" t="s">
        <v>5422</v>
      </c>
      <c r="D3325" s="58" t="s">
        <v>702</v>
      </c>
    </row>
    <row r="3326" spans="1:4">
      <c r="A3326" s="58" t="s">
        <v>5423</v>
      </c>
      <c r="B3326" s="58">
        <v>526823</v>
      </c>
      <c r="C3326" s="58" t="s">
        <v>588</v>
      </c>
      <c r="D3326" s="58" t="s">
        <v>674</v>
      </c>
    </row>
    <row r="3327" spans="1:4">
      <c r="A3327" s="58" t="s">
        <v>5424</v>
      </c>
      <c r="B3327" s="58">
        <v>514028</v>
      </c>
      <c r="C3327" s="58" t="s">
        <v>588</v>
      </c>
      <c r="D3327" s="58" t="s">
        <v>603</v>
      </c>
    </row>
    <row r="3328" spans="1:4">
      <c r="A3328" s="58" t="s">
        <v>5425</v>
      </c>
      <c r="B3328" s="58">
        <v>539495</v>
      </c>
      <c r="C3328" s="58" t="s">
        <v>588</v>
      </c>
      <c r="D3328" s="58" t="s">
        <v>605</v>
      </c>
    </row>
    <row r="3329" spans="1:4">
      <c r="A3329" s="58" t="s">
        <v>5426</v>
      </c>
      <c r="B3329" s="58">
        <v>513369</v>
      </c>
      <c r="C3329" s="58" t="s">
        <v>588</v>
      </c>
      <c r="D3329" s="58" t="s">
        <v>1506</v>
      </c>
    </row>
    <row r="3330" spans="1:4">
      <c r="A3330" s="58" t="s">
        <v>5427</v>
      </c>
      <c r="B3330" s="58" t="s">
        <v>588</v>
      </c>
      <c r="C3330" s="58" t="s">
        <v>5428</v>
      </c>
      <c r="D3330" s="58" t="s">
        <v>599</v>
      </c>
    </row>
    <row r="3331" spans="1:4">
      <c r="A3331" s="58" t="s">
        <v>5429</v>
      </c>
      <c r="B3331" s="58">
        <v>541601</v>
      </c>
      <c r="C3331" s="58" t="s">
        <v>588</v>
      </c>
      <c r="D3331" s="58" t="s">
        <v>626</v>
      </c>
    </row>
    <row r="3332" spans="1:4">
      <c r="A3332" s="58" t="s">
        <v>5430</v>
      </c>
      <c r="B3332" s="58">
        <v>522257</v>
      </c>
      <c r="C3332" s="58" t="s">
        <v>588</v>
      </c>
      <c r="D3332" s="58" t="s">
        <v>596</v>
      </c>
    </row>
    <row r="3333" spans="1:4">
      <c r="A3333" s="58" t="s">
        <v>5431</v>
      </c>
      <c r="B3333" s="58">
        <v>517522</v>
      </c>
      <c r="C3333" s="58" t="s">
        <v>588</v>
      </c>
      <c r="D3333" s="58" t="s">
        <v>943</v>
      </c>
    </row>
    <row r="3334" spans="1:4">
      <c r="A3334" s="58" t="s">
        <v>5432</v>
      </c>
      <c r="B3334" s="58">
        <v>512409</v>
      </c>
      <c r="C3334" s="58" t="s">
        <v>588</v>
      </c>
      <c r="D3334" s="58" t="s">
        <v>605</v>
      </c>
    </row>
    <row r="3335" spans="1:4">
      <c r="A3335" s="58" t="s">
        <v>5433</v>
      </c>
      <c r="B3335" s="58" t="s">
        <v>588</v>
      </c>
      <c r="C3335" s="58" t="s">
        <v>5434</v>
      </c>
      <c r="D3335" s="58" t="s">
        <v>599</v>
      </c>
    </row>
    <row r="3336" spans="1:4">
      <c r="A3336" s="58" t="s">
        <v>5435</v>
      </c>
      <c r="B3336" s="58">
        <v>500354</v>
      </c>
      <c r="C3336" s="58" t="s">
        <v>5436</v>
      </c>
      <c r="D3336" s="58" t="s">
        <v>1286</v>
      </c>
    </row>
    <row r="3337" spans="1:4">
      <c r="A3337" s="58" t="s">
        <v>5437</v>
      </c>
      <c r="B3337" s="58">
        <v>532665</v>
      </c>
      <c r="C3337" s="58" t="s">
        <v>5438</v>
      </c>
      <c r="D3337" s="58" t="s">
        <v>603</v>
      </c>
    </row>
    <row r="3338" spans="1:4">
      <c r="A3338" s="58" t="s">
        <v>5439</v>
      </c>
      <c r="B3338" s="58">
        <v>500355</v>
      </c>
      <c r="C3338" s="58" t="s">
        <v>5440</v>
      </c>
      <c r="D3338" s="58" t="s">
        <v>732</v>
      </c>
    </row>
    <row r="3339" spans="1:4">
      <c r="A3339" s="58" t="s">
        <v>5441</v>
      </c>
      <c r="B3339" s="58">
        <v>500355</v>
      </c>
      <c r="C3339" s="58" t="s">
        <v>5440</v>
      </c>
      <c r="D3339" s="58" t="s">
        <v>732</v>
      </c>
    </row>
    <row r="3340" spans="1:4">
      <c r="A3340" s="58" t="s">
        <v>5442</v>
      </c>
      <c r="B3340" s="58">
        <v>534734</v>
      </c>
      <c r="C3340" s="58" t="s">
        <v>588</v>
      </c>
      <c r="D3340" s="58" t="s">
        <v>748</v>
      </c>
    </row>
    <row r="3341" spans="1:4">
      <c r="A3341" s="58" t="s">
        <v>5443</v>
      </c>
      <c r="B3341" s="58">
        <v>522281</v>
      </c>
      <c r="C3341" s="58" t="s">
        <v>588</v>
      </c>
      <c r="D3341" s="58" t="s">
        <v>886</v>
      </c>
    </row>
    <row r="3342" spans="1:4">
      <c r="A3342" s="58" t="s">
        <v>5444</v>
      </c>
      <c r="B3342" s="58">
        <v>500357</v>
      </c>
      <c r="C3342" s="58" t="s">
        <v>588</v>
      </c>
      <c r="D3342" s="58" t="s">
        <v>582</v>
      </c>
    </row>
    <row r="3343" spans="1:4">
      <c r="A3343" s="58" t="s">
        <v>5445</v>
      </c>
      <c r="B3343" s="58">
        <v>500358</v>
      </c>
      <c r="C3343" s="58" t="s">
        <v>588</v>
      </c>
      <c r="D3343" s="58" t="s">
        <v>605</v>
      </c>
    </row>
    <row r="3344" spans="1:4">
      <c r="A3344" s="58" t="s">
        <v>5446</v>
      </c>
      <c r="B3344" s="58">
        <v>524037</v>
      </c>
      <c r="C3344" s="58" t="s">
        <v>588</v>
      </c>
      <c r="D3344" s="58" t="s">
        <v>1096</v>
      </c>
    </row>
    <row r="3345" spans="1:4">
      <c r="A3345" s="58" t="s">
        <v>5447</v>
      </c>
      <c r="B3345" s="58">
        <v>502587</v>
      </c>
      <c r="C3345" s="58" t="s">
        <v>588</v>
      </c>
      <c r="D3345" s="58" t="s">
        <v>582</v>
      </c>
    </row>
    <row r="3346" spans="1:4">
      <c r="A3346" s="58" t="s">
        <v>5448</v>
      </c>
      <c r="B3346" s="58">
        <v>539309</v>
      </c>
      <c r="C3346" s="58" t="s">
        <v>5449</v>
      </c>
      <c r="D3346" s="58" t="s">
        <v>911</v>
      </c>
    </row>
    <row r="3347" spans="1:4">
      <c r="A3347" s="58" t="s">
        <v>5450</v>
      </c>
      <c r="B3347" s="58">
        <v>523289</v>
      </c>
      <c r="C3347" s="58" t="s">
        <v>588</v>
      </c>
      <c r="D3347" s="58" t="s">
        <v>610</v>
      </c>
    </row>
    <row r="3348" spans="1:4">
      <c r="A3348" s="58" t="s">
        <v>5451</v>
      </c>
      <c r="B3348" s="58">
        <v>515127</v>
      </c>
      <c r="C3348" s="58" t="s">
        <v>588</v>
      </c>
      <c r="D3348" s="58" t="s">
        <v>610</v>
      </c>
    </row>
    <row r="3349" spans="1:4">
      <c r="A3349" s="58" t="s">
        <v>5452</v>
      </c>
      <c r="B3349" s="58">
        <v>538540</v>
      </c>
      <c r="C3349" s="58" t="s">
        <v>588</v>
      </c>
      <c r="D3349" s="58" t="s">
        <v>605</v>
      </c>
    </row>
    <row r="3350" spans="1:4">
      <c r="A3350" s="58" t="s">
        <v>5453</v>
      </c>
      <c r="B3350" s="58">
        <v>532369</v>
      </c>
      <c r="C3350" s="58" t="s">
        <v>5454</v>
      </c>
      <c r="D3350" s="58" t="s">
        <v>1116</v>
      </c>
    </row>
    <row r="3351" spans="1:4">
      <c r="A3351" s="58" t="s">
        <v>5455</v>
      </c>
      <c r="B3351" s="58">
        <v>532370</v>
      </c>
      <c r="C3351" s="58" t="s">
        <v>5456</v>
      </c>
      <c r="D3351" s="58" t="s">
        <v>574</v>
      </c>
    </row>
    <row r="3352" spans="1:4">
      <c r="A3352" s="58" t="s">
        <v>5457</v>
      </c>
      <c r="B3352" s="58">
        <v>514223</v>
      </c>
      <c r="C3352" s="58" t="s">
        <v>5458</v>
      </c>
      <c r="D3352" s="58" t="s">
        <v>610</v>
      </c>
    </row>
    <row r="3353" spans="1:4">
      <c r="A3353" s="58" t="s">
        <v>5459</v>
      </c>
      <c r="B3353" s="58">
        <v>530951</v>
      </c>
      <c r="C3353" s="58" t="s">
        <v>588</v>
      </c>
      <c r="D3353" s="58" t="s">
        <v>681</v>
      </c>
    </row>
    <row r="3354" spans="1:4">
      <c r="A3354" s="58" t="s">
        <v>5460</v>
      </c>
      <c r="B3354" s="58">
        <v>532527</v>
      </c>
      <c r="C3354" s="58" t="s">
        <v>5461</v>
      </c>
      <c r="D3354" s="58" t="s">
        <v>1506</v>
      </c>
    </row>
    <row r="3355" spans="1:4">
      <c r="A3355" s="58" t="s">
        <v>5462</v>
      </c>
      <c r="B3355" s="58">
        <v>533262</v>
      </c>
      <c r="C3355" s="58" t="s">
        <v>5463</v>
      </c>
      <c r="D3355" s="58" t="s">
        <v>986</v>
      </c>
    </row>
    <row r="3356" spans="1:4">
      <c r="A3356" s="58" t="s">
        <v>5464</v>
      </c>
      <c r="B3356" s="58">
        <v>532690</v>
      </c>
      <c r="C3356" s="58" t="s">
        <v>5465</v>
      </c>
      <c r="D3356" s="58" t="s">
        <v>620</v>
      </c>
    </row>
    <row r="3357" spans="1:4">
      <c r="A3357" s="58" t="s">
        <v>5466</v>
      </c>
      <c r="B3357" s="58">
        <v>530925</v>
      </c>
      <c r="C3357" s="58" t="s">
        <v>588</v>
      </c>
      <c r="D3357" s="58" t="s">
        <v>605</v>
      </c>
    </row>
    <row r="3358" spans="1:4">
      <c r="A3358" s="58" t="s">
        <v>5467</v>
      </c>
      <c r="B3358" s="58">
        <v>507490</v>
      </c>
      <c r="C3358" s="58" t="s">
        <v>5468</v>
      </c>
      <c r="D3358" s="58" t="s">
        <v>1286</v>
      </c>
    </row>
    <row r="3359" spans="1:4">
      <c r="A3359" s="58" t="s">
        <v>5469</v>
      </c>
      <c r="B3359" s="58">
        <v>531228</v>
      </c>
      <c r="C3359" s="58" t="s">
        <v>588</v>
      </c>
      <c r="D3359" s="58" t="s">
        <v>605</v>
      </c>
    </row>
    <row r="3360" spans="1:4">
      <c r="A3360" s="58" t="s">
        <v>5470</v>
      </c>
      <c r="B3360" s="58">
        <v>532987</v>
      </c>
      <c r="C3360" s="58" t="s">
        <v>5471</v>
      </c>
      <c r="D3360" s="58" t="s">
        <v>943</v>
      </c>
    </row>
    <row r="3361" spans="1:4">
      <c r="A3361" s="58" t="s">
        <v>5472</v>
      </c>
      <c r="B3361" s="58">
        <v>532988</v>
      </c>
      <c r="C3361" s="58" t="s">
        <v>5473</v>
      </c>
      <c r="D3361" s="58" t="s">
        <v>943</v>
      </c>
    </row>
    <row r="3362" spans="1:4">
      <c r="A3362" s="58" t="s">
        <v>5474</v>
      </c>
      <c r="B3362" s="58">
        <v>505800</v>
      </c>
      <c r="C3362" s="58" t="s">
        <v>5475</v>
      </c>
      <c r="D3362" s="58" t="s">
        <v>943</v>
      </c>
    </row>
    <row r="3363" spans="1:4">
      <c r="A3363" s="58" t="s">
        <v>5476</v>
      </c>
      <c r="B3363" s="58">
        <v>532661</v>
      </c>
      <c r="C3363" s="58" t="s">
        <v>5477</v>
      </c>
      <c r="D3363" s="58" t="s">
        <v>943</v>
      </c>
    </row>
    <row r="3364" spans="1:4">
      <c r="A3364" s="58" t="s">
        <v>5478</v>
      </c>
      <c r="B3364" s="58">
        <v>541945</v>
      </c>
      <c r="C3364" s="58" t="s">
        <v>588</v>
      </c>
      <c r="D3364" s="58" t="s">
        <v>986</v>
      </c>
    </row>
    <row r="3365" spans="1:4">
      <c r="A3365" s="58" t="s">
        <v>5479</v>
      </c>
      <c r="B3365" s="58">
        <v>531583</v>
      </c>
      <c r="C3365" s="58" t="s">
        <v>588</v>
      </c>
      <c r="D3365" s="58" t="s">
        <v>605</v>
      </c>
    </row>
    <row r="3366" spans="1:4">
      <c r="A3366" s="58" t="s">
        <v>5480</v>
      </c>
      <c r="B3366" s="58">
        <v>500360</v>
      </c>
      <c r="C3366" s="58" t="s">
        <v>588</v>
      </c>
      <c r="D3366" s="58" t="s">
        <v>596</v>
      </c>
    </row>
    <row r="3367" spans="1:4">
      <c r="A3367" s="58" t="s">
        <v>5481</v>
      </c>
      <c r="B3367" s="58">
        <v>501351</v>
      </c>
      <c r="C3367" s="58" t="s">
        <v>588</v>
      </c>
      <c r="D3367" s="58" t="s">
        <v>1009</v>
      </c>
    </row>
    <row r="3368" spans="1:4">
      <c r="A3368" s="58" t="s">
        <v>5482</v>
      </c>
      <c r="B3368" s="58">
        <v>507966</v>
      </c>
      <c r="C3368" s="58" t="s">
        <v>588</v>
      </c>
      <c r="D3368" s="58" t="s">
        <v>789</v>
      </c>
    </row>
    <row r="3369" spans="1:4">
      <c r="A3369" s="58" t="s">
        <v>5483</v>
      </c>
      <c r="B3369" s="58">
        <v>522207</v>
      </c>
      <c r="C3369" s="58" t="s">
        <v>588</v>
      </c>
      <c r="D3369" s="58" t="s">
        <v>943</v>
      </c>
    </row>
    <row r="3370" spans="1:4">
      <c r="A3370" s="58" t="s">
        <v>5484</v>
      </c>
      <c r="B3370" s="58">
        <v>522207</v>
      </c>
      <c r="C3370" s="58" t="s">
        <v>588</v>
      </c>
      <c r="D3370" s="58" t="s">
        <v>943</v>
      </c>
    </row>
    <row r="3371" spans="1:4">
      <c r="A3371" s="58" t="s">
        <v>5485</v>
      </c>
      <c r="B3371" s="58">
        <v>524230</v>
      </c>
      <c r="C3371" s="58" t="s">
        <v>5486</v>
      </c>
      <c r="D3371" s="58" t="s">
        <v>1096</v>
      </c>
    </row>
    <row r="3372" spans="1:4">
      <c r="A3372" s="58" t="s">
        <v>5487</v>
      </c>
      <c r="B3372" s="58">
        <v>531233</v>
      </c>
      <c r="C3372" s="58" t="s">
        <v>588</v>
      </c>
      <c r="D3372" s="58" t="s">
        <v>773</v>
      </c>
    </row>
    <row r="3373" spans="1:4">
      <c r="A3373" s="58" t="s">
        <v>5488</v>
      </c>
      <c r="B3373" s="58">
        <v>507649</v>
      </c>
      <c r="C3373" s="58" t="s">
        <v>588</v>
      </c>
      <c r="D3373" s="58" t="s">
        <v>837</v>
      </c>
    </row>
    <row r="3374" spans="1:4">
      <c r="A3374" s="58" t="s">
        <v>5489</v>
      </c>
      <c r="B3374" s="58">
        <v>532918</v>
      </c>
      <c r="C3374" s="58" t="s">
        <v>588</v>
      </c>
      <c r="D3374" s="58" t="s">
        <v>911</v>
      </c>
    </row>
    <row r="3375" spans="1:4">
      <c r="A3375" s="58" t="s">
        <v>5490</v>
      </c>
      <c r="B3375" s="58">
        <v>524610</v>
      </c>
      <c r="C3375" s="58" t="s">
        <v>588</v>
      </c>
      <c r="D3375" s="58" t="s">
        <v>748</v>
      </c>
    </row>
    <row r="3376" spans="1:4">
      <c r="A3376" s="58" t="s">
        <v>5491</v>
      </c>
      <c r="B3376" s="58">
        <v>540796</v>
      </c>
      <c r="C3376" s="58" t="s">
        <v>588</v>
      </c>
      <c r="D3376" s="58" t="s">
        <v>674</v>
      </c>
    </row>
    <row r="3377" spans="1:4">
      <c r="A3377" s="58" t="s">
        <v>5492</v>
      </c>
      <c r="B3377" s="58">
        <v>520111</v>
      </c>
      <c r="C3377" s="58" t="s">
        <v>5493</v>
      </c>
      <c r="D3377" s="58" t="s">
        <v>986</v>
      </c>
    </row>
    <row r="3378" spans="1:4">
      <c r="A3378" s="58" t="s">
        <v>5494</v>
      </c>
      <c r="B3378" s="58">
        <v>534597</v>
      </c>
      <c r="C3378" s="58" t="s">
        <v>5495</v>
      </c>
      <c r="D3378" s="58" t="s">
        <v>727</v>
      </c>
    </row>
    <row r="3379" spans="1:4">
      <c r="A3379" s="58" t="s">
        <v>5496</v>
      </c>
      <c r="B3379" s="58">
        <v>533122</v>
      </c>
      <c r="C3379" s="58" t="s">
        <v>5497</v>
      </c>
      <c r="D3379" s="58" t="s">
        <v>727</v>
      </c>
    </row>
    <row r="3380" spans="1:4">
      <c r="A3380" s="58" t="s">
        <v>5498</v>
      </c>
      <c r="B3380" s="58">
        <v>537840</v>
      </c>
      <c r="C3380" s="58" t="s">
        <v>588</v>
      </c>
      <c r="D3380" s="58" t="s">
        <v>986</v>
      </c>
    </row>
    <row r="3381" spans="1:4">
      <c r="A3381" s="58" t="s">
        <v>5499</v>
      </c>
      <c r="B3381" s="58">
        <v>507300</v>
      </c>
      <c r="C3381" s="58" t="s">
        <v>588</v>
      </c>
      <c r="D3381" s="58" t="s">
        <v>1286</v>
      </c>
    </row>
    <row r="3382" spans="1:4">
      <c r="A3382" s="58" t="s">
        <v>5500</v>
      </c>
      <c r="B3382" s="58">
        <v>533294</v>
      </c>
      <c r="C3382" s="58" t="s">
        <v>5501</v>
      </c>
      <c r="D3382" s="58" t="s">
        <v>1219</v>
      </c>
    </row>
    <row r="3383" spans="1:4">
      <c r="A3383" s="58" t="s">
        <v>5502</v>
      </c>
      <c r="B3383" s="58">
        <v>526095</v>
      </c>
      <c r="C3383" s="58" t="s">
        <v>588</v>
      </c>
      <c r="D3383" s="58" t="s">
        <v>1116</v>
      </c>
    </row>
    <row r="3384" spans="1:4">
      <c r="A3384" s="58" t="s">
        <v>5503</v>
      </c>
      <c r="B3384" s="58">
        <v>504341</v>
      </c>
      <c r="C3384" s="58" t="s">
        <v>588</v>
      </c>
      <c r="D3384" s="58" t="s">
        <v>571</v>
      </c>
    </row>
    <row r="3385" spans="1:4">
      <c r="A3385" s="58" t="s">
        <v>5504</v>
      </c>
      <c r="B3385" s="58">
        <v>541634</v>
      </c>
      <c r="C3385" s="58" t="s">
        <v>588</v>
      </c>
      <c r="D3385" s="58" t="s">
        <v>1116</v>
      </c>
    </row>
    <row r="3386" spans="1:4">
      <c r="A3386" s="58" t="s">
        <v>5505</v>
      </c>
      <c r="B3386" s="58">
        <v>531207</v>
      </c>
      <c r="C3386" s="58" t="s">
        <v>588</v>
      </c>
      <c r="D3386" s="58" t="s">
        <v>626</v>
      </c>
    </row>
    <row r="3387" spans="1:4">
      <c r="A3387" s="58" t="s">
        <v>5506</v>
      </c>
      <c r="B3387" s="58">
        <v>500330</v>
      </c>
      <c r="C3387" s="58" t="s">
        <v>5507</v>
      </c>
      <c r="D3387" s="58" t="s">
        <v>603</v>
      </c>
    </row>
    <row r="3388" spans="1:4">
      <c r="A3388" s="58" t="s">
        <v>5508</v>
      </c>
      <c r="B3388" s="58">
        <v>540065</v>
      </c>
      <c r="C3388" s="58" t="s">
        <v>5509</v>
      </c>
      <c r="D3388" s="58" t="s">
        <v>906</v>
      </c>
    </row>
    <row r="3389" spans="1:4">
      <c r="A3389" s="58" t="s">
        <v>5510</v>
      </c>
      <c r="B3389" s="58">
        <v>531825</v>
      </c>
      <c r="C3389" s="58" t="s">
        <v>588</v>
      </c>
      <c r="D3389" s="58" t="s">
        <v>574</v>
      </c>
    </row>
    <row r="3390" spans="1:4">
      <c r="A3390" s="58" t="s">
        <v>5511</v>
      </c>
      <c r="B3390" s="58">
        <v>537254</v>
      </c>
      <c r="C3390" s="58" t="s">
        <v>588</v>
      </c>
      <c r="D3390" s="58" t="s">
        <v>610</v>
      </c>
    </row>
    <row r="3391" spans="1:4">
      <c r="A3391" s="58" t="s">
        <v>5512</v>
      </c>
      <c r="B3391" s="58">
        <v>534708</v>
      </c>
      <c r="C3391" s="58" t="s">
        <v>588</v>
      </c>
      <c r="D3391" s="58" t="s">
        <v>757</v>
      </c>
    </row>
    <row r="3392" spans="1:4">
      <c r="A3392" s="58" t="s">
        <v>5513</v>
      </c>
      <c r="B3392" s="58">
        <v>533608</v>
      </c>
      <c r="C3392" s="58" t="s">
        <v>588</v>
      </c>
      <c r="D3392" s="58" t="s">
        <v>708</v>
      </c>
    </row>
    <row r="3393" spans="1:4">
      <c r="A3393" s="58" t="s">
        <v>5514</v>
      </c>
      <c r="B3393" s="58">
        <v>533285</v>
      </c>
      <c r="C3393" s="58" t="s">
        <v>588</v>
      </c>
      <c r="D3393" s="58" t="s">
        <v>674</v>
      </c>
    </row>
    <row r="3394" spans="1:4">
      <c r="A3394" s="58" t="s">
        <v>5515</v>
      </c>
      <c r="B3394" s="58">
        <v>539691</v>
      </c>
      <c r="C3394" s="58" t="s">
        <v>588</v>
      </c>
      <c r="D3394" s="58" t="s">
        <v>610</v>
      </c>
    </row>
    <row r="3395" spans="1:4">
      <c r="A3395" s="58" t="s">
        <v>5516</v>
      </c>
      <c r="B3395" s="58">
        <v>530053</v>
      </c>
      <c r="C3395" s="58" t="s">
        <v>588</v>
      </c>
      <c r="D3395" s="58" t="s">
        <v>674</v>
      </c>
    </row>
    <row r="3396" spans="1:4">
      <c r="A3396" s="58" t="s">
        <v>5517</v>
      </c>
      <c r="B3396" s="58">
        <v>513558</v>
      </c>
      <c r="C3396" s="58" t="s">
        <v>588</v>
      </c>
      <c r="D3396" s="58" t="s">
        <v>620</v>
      </c>
    </row>
    <row r="3397" spans="1:4">
      <c r="A3397" s="58" t="s">
        <v>5518</v>
      </c>
      <c r="B3397" s="58">
        <v>538611</v>
      </c>
      <c r="C3397" s="58" t="s">
        <v>588</v>
      </c>
      <c r="D3397" s="58" t="s">
        <v>571</v>
      </c>
    </row>
    <row r="3398" spans="1:4">
      <c r="A3398" s="58" t="s">
        <v>5519</v>
      </c>
      <c r="B3398" s="58">
        <v>532955</v>
      </c>
      <c r="C3398" s="58" t="s">
        <v>5520</v>
      </c>
      <c r="D3398" s="58" t="s">
        <v>605</v>
      </c>
    </row>
    <row r="3399" spans="1:4">
      <c r="A3399" s="58" t="s">
        <v>5521</v>
      </c>
      <c r="B3399" s="58">
        <v>523650</v>
      </c>
      <c r="C3399" s="58" t="s">
        <v>588</v>
      </c>
      <c r="D3399" s="58" t="s">
        <v>596</v>
      </c>
    </row>
    <row r="3400" spans="1:4">
      <c r="A3400" s="58" t="s">
        <v>5522</v>
      </c>
      <c r="B3400" s="58">
        <v>532805</v>
      </c>
      <c r="C3400" s="58" t="s">
        <v>5523</v>
      </c>
      <c r="D3400" s="58" t="s">
        <v>610</v>
      </c>
    </row>
    <row r="3401" spans="1:4">
      <c r="A3401" s="58" t="s">
        <v>5524</v>
      </c>
      <c r="B3401" s="58">
        <v>532805</v>
      </c>
      <c r="C3401" s="58" t="s">
        <v>5523</v>
      </c>
      <c r="D3401" s="58" t="s">
        <v>610</v>
      </c>
    </row>
    <row r="3402" spans="1:4">
      <c r="A3402" s="58" t="s">
        <v>5525</v>
      </c>
      <c r="B3402" s="58">
        <v>532884</v>
      </c>
      <c r="C3402" s="58" t="s">
        <v>5526</v>
      </c>
      <c r="D3402" s="58" t="s">
        <v>1622</v>
      </c>
    </row>
    <row r="3403" spans="1:4">
      <c r="A3403" s="58" t="s">
        <v>5527</v>
      </c>
      <c r="B3403" s="58">
        <v>530815</v>
      </c>
      <c r="C3403" s="58" t="s">
        <v>588</v>
      </c>
      <c r="D3403" s="58" t="s">
        <v>636</v>
      </c>
    </row>
    <row r="3404" spans="1:4">
      <c r="A3404" s="58" t="s">
        <v>5528</v>
      </c>
      <c r="B3404" s="58">
        <v>531033</v>
      </c>
      <c r="C3404" s="58" t="s">
        <v>588</v>
      </c>
      <c r="D3404" s="58" t="s">
        <v>605</v>
      </c>
    </row>
    <row r="3405" spans="1:4">
      <c r="A3405" s="58" t="s">
        <v>5529</v>
      </c>
      <c r="B3405" s="58">
        <v>530807</v>
      </c>
      <c r="C3405" s="58" t="s">
        <v>588</v>
      </c>
      <c r="D3405" s="58" t="s">
        <v>674</v>
      </c>
    </row>
    <row r="3406" spans="1:4">
      <c r="A3406" s="58" t="s">
        <v>5530</v>
      </c>
      <c r="B3406" s="58">
        <v>515018</v>
      </c>
      <c r="C3406" s="58" t="s">
        <v>5531</v>
      </c>
      <c r="D3406" s="58" t="s">
        <v>865</v>
      </c>
    </row>
    <row r="3407" spans="1:4">
      <c r="A3407" s="58" t="s">
        <v>5532</v>
      </c>
      <c r="B3407" s="58">
        <v>540175</v>
      </c>
      <c r="C3407" s="58" t="s">
        <v>588</v>
      </c>
      <c r="D3407" s="58" t="s">
        <v>571</v>
      </c>
    </row>
    <row r="3408" spans="1:4">
      <c r="A3408" s="58" t="s">
        <v>5533</v>
      </c>
      <c r="B3408" s="58">
        <v>511585</v>
      </c>
      <c r="C3408" s="58" t="s">
        <v>588</v>
      </c>
      <c r="D3408" s="58" t="s">
        <v>605</v>
      </c>
    </row>
    <row r="3409" spans="1:4">
      <c r="A3409" s="58" t="s">
        <v>5534</v>
      </c>
      <c r="B3409" s="58">
        <v>512624</v>
      </c>
      <c r="C3409" s="58" t="s">
        <v>588</v>
      </c>
      <c r="D3409" s="58" t="s">
        <v>610</v>
      </c>
    </row>
    <row r="3410" spans="1:4">
      <c r="A3410" s="58" t="s">
        <v>5535</v>
      </c>
      <c r="B3410" s="58">
        <v>505817</v>
      </c>
      <c r="C3410" s="58" t="s">
        <v>588</v>
      </c>
      <c r="D3410" s="58" t="s">
        <v>943</v>
      </c>
    </row>
    <row r="3411" spans="1:4">
      <c r="A3411" s="58" t="s">
        <v>5536</v>
      </c>
      <c r="B3411" s="58">
        <v>505817</v>
      </c>
      <c r="C3411" s="58" t="s">
        <v>588</v>
      </c>
      <c r="D3411" s="58" t="s">
        <v>943</v>
      </c>
    </row>
    <row r="3412" spans="1:4">
      <c r="A3412" s="58" t="s">
        <v>5537</v>
      </c>
      <c r="B3412" s="58">
        <v>526075</v>
      </c>
      <c r="C3412" s="58" t="s">
        <v>588</v>
      </c>
      <c r="D3412" s="58" t="s">
        <v>626</v>
      </c>
    </row>
    <row r="3413" spans="1:4">
      <c r="A3413" s="58" t="s">
        <v>5538</v>
      </c>
      <c r="B3413" s="58">
        <v>530517</v>
      </c>
      <c r="C3413" s="58" t="s">
        <v>5539</v>
      </c>
      <c r="D3413" s="58" t="s">
        <v>1014</v>
      </c>
    </row>
    <row r="3414" spans="1:4">
      <c r="A3414" s="58" t="s">
        <v>5540</v>
      </c>
      <c r="B3414" s="58" t="s">
        <v>588</v>
      </c>
      <c r="C3414" s="58" t="s">
        <v>5541</v>
      </c>
      <c r="D3414" s="58" t="s">
        <v>599</v>
      </c>
    </row>
    <row r="3415" spans="1:4">
      <c r="A3415" s="58" t="s">
        <v>5542</v>
      </c>
      <c r="B3415" s="58">
        <v>532124</v>
      </c>
      <c r="C3415" s="58" t="s">
        <v>588</v>
      </c>
      <c r="D3415" s="58" t="s">
        <v>789</v>
      </c>
    </row>
    <row r="3416" spans="1:4">
      <c r="A3416" s="58" t="s">
        <v>5543</v>
      </c>
      <c r="B3416" s="58">
        <v>532124</v>
      </c>
      <c r="C3416" s="58" t="s">
        <v>588</v>
      </c>
      <c r="D3416" s="58" t="s">
        <v>789</v>
      </c>
    </row>
    <row r="3417" spans="1:4">
      <c r="A3417" s="58" t="s">
        <v>5544</v>
      </c>
      <c r="B3417" s="58">
        <v>500111</v>
      </c>
      <c r="C3417" s="58" t="s">
        <v>5545</v>
      </c>
      <c r="D3417" s="58" t="s">
        <v>605</v>
      </c>
    </row>
    <row r="3418" spans="1:4">
      <c r="A3418" s="58" t="s">
        <v>5546</v>
      </c>
      <c r="B3418" s="58">
        <v>503162</v>
      </c>
      <c r="C3418" s="58" t="s">
        <v>588</v>
      </c>
      <c r="D3418" s="58" t="s">
        <v>603</v>
      </c>
    </row>
    <row r="3419" spans="1:4">
      <c r="A3419" s="58" t="s">
        <v>5547</v>
      </c>
      <c r="B3419" s="58">
        <v>532712</v>
      </c>
      <c r="C3419" s="58" t="s">
        <v>5548</v>
      </c>
      <c r="D3419" s="58" t="s">
        <v>1530</v>
      </c>
    </row>
    <row r="3420" spans="1:4">
      <c r="A3420" s="58" t="s">
        <v>5549</v>
      </c>
      <c r="B3420" s="58">
        <v>590106</v>
      </c>
      <c r="C3420" s="58" t="s">
        <v>5550</v>
      </c>
      <c r="D3420" s="58" t="s">
        <v>571</v>
      </c>
    </row>
    <row r="3421" spans="1:4">
      <c r="A3421" s="58" t="s">
        <v>5551</v>
      </c>
      <c r="B3421" s="58">
        <v>590095</v>
      </c>
      <c r="C3421" s="58" t="s">
        <v>5552</v>
      </c>
      <c r="D3421" s="58" t="s">
        <v>571</v>
      </c>
    </row>
    <row r="3422" spans="1:4">
      <c r="A3422" s="58" t="s">
        <v>5553</v>
      </c>
      <c r="B3422" s="58">
        <v>590113</v>
      </c>
      <c r="C3422" s="58" t="s">
        <v>5554</v>
      </c>
      <c r="D3422" s="58" t="s">
        <v>571</v>
      </c>
    </row>
    <row r="3423" spans="1:4">
      <c r="A3423" s="58" t="s">
        <v>5555</v>
      </c>
      <c r="B3423" s="58">
        <v>590104</v>
      </c>
      <c r="C3423" s="58" t="s">
        <v>5556</v>
      </c>
      <c r="D3423" s="58" t="s">
        <v>571</v>
      </c>
    </row>
    <row r="3424" spans="1:4">
      <c r="A3424" s="58" t="s">
        <v>5557</v>
      </c>
      <c r="B3424" s="58">
        <v>590103</v>
      </c>
      <c r="C3424" s="58" t="s">
        <v>5558</v>
      </c>
      <c r="D3424" s="58" t="s">
        <v>571</v>
      </c>
    </row>
    <row r="3425" spans="1:4">
      <c r="A3425" s="58" t="s">
        <v>5559</v>
      </c>
      <c r="B3425" s="58">
        <v>590108</v>
      </c>
      <c r="C3425" s="58" t="s">
        <v>5560</v>
      </c>
      <c r="D3425" s="58" t="s">
        <v>571</v>
      </c>
    </row>
    <row r="3426" spans="1:4">
      <c r="A3426" s="58" t="s">
        <v>5561</v>
      </c>
      <c r="B3426" s="58">
        <v>590109</v>
      </c>
      <c r="C3426" s="58" t="s">
        <v>5562</v>
      </c>
      <c r="D3426" s="58" t="s">
        <v>571</v>
      </c>
    </row>
    <row r="3427" spans="1:4">
      <c r="A3427" s="58" t="s">
        <v>5563</v>
      </c>
      <c r="B3427" s="58">
        <v>540709</v>
      </c>
      <c r="C3427" s="58" t="s">
        <v>5564</v>
      </c>
      <c r="D3427" s="58" t="s">
        <v>646</v>
      </c>
    </row>
    <row r="3428" spans="1:4">
      <c r="A3428" s="58" t="s">
        <v>5565</v>
      </c>
      <c r="B3428" s="58">
        <v>523445</v>
      </c>
      <c r="C3428" s="58" t="s">
        <v>5566</v>
      </c>
      <c r="D3428" s="58" t="s">
        <v>986</v>
      </c>
    </row>
    <row r="3429" spans="1:4">
      <c r="A3429" s="58" t="s">
        <v>5567</v>
      </c>
      <c r="B3429" s="58">
        <v>500325</v>
      </c>
      <c r="C3429" s="58" t="s">
        <v>5568</v>
      </c>
      <c r="D3429" s="58" t="s">
        <v>719</v>
      </c>
    </row>
    <row r="3430" spans="1:4">
      <c r="A3430" s="58" t="s">
        <v>5569</v>
      </c>
      <c r="B3430" s="58">
        <v>500390</v>
      </c>
      <c r="C3430" s="58" t="s">
        <v>5570</v>
      </c>
      <c r="D3430" s="58" t="s">
        <v>727</v>
      </c>
    </row>
    <row r="3431" spans="1:4">
      <c r="A3431" s="58" t="s">
        <v>5571</v>
      </c>
      <c r="B3431" s="58">
        <v>533107</v>
      </c>
      <c r="C3431" s="58" t="s">
        <v>5572</v>
      </c>
      <c r="D3431" s="58" t="s">
        <v>1061</v>
      </c>
    </row>
    <row r="3432" spans="1:4">
      <c r="A3432" s="58" t="s">
        <v>5573</v>
      </c>
      <c r="B3432" s="58">
        <v>540767</v>
      </c>
      <c r="C3432" s="58" t="s">
        <v>5574</v>
      </c>
      <c r="D3432" s="58" t="s">
        <v>2990</v>
      </c>
    </row>
    <row r="3433" spans="1:4">
      <c r="A3433" s="58" t="s">
        <v>5575</v>
      </c>
      <c r="B3433" s="58">
        <v>532939</v>
      </c>
      <c r="C3433" s="58" t="s">
        <v>5576</v>
      </c>
      <c r="D3433" s="58" t="s">
        <v>727</v>
      </c>
    </row>
    <row r="3434" spans="1:4">
      <c r="A3434" s="58" t="s">
        <v>5577</v>
      </c>
      <c r="B3434" s="58">
        <v>511712</v>
      </c>
      <c r="C3434" s="58" t="s">
        <v>588</v>
      </c>
      <c r="D3434" s="58" t="s">
        <v>571</v>
      </c>
    </row>
    <row r="3435" spans="1:4">
      <c r="A3435" s="58" t="s">
        <v>5578</v>
      </c>
      <c r="B3435" s="58">
        <v>539760</v>
      </c>
      <c r="C3435" s="58" t="s">
        <v>588</v>
      </c>
      <c r="D3435" s="58" t="s">
        <v>886</v>
      </c>
    </row>
    <row r="3436" spans="1:4">
      <c r="A3436" s="58" t="s">
        <v>5579</v>
      </c>
      <c r="B3436" s="58">
        <v>532915</v>
      </c>
      <c r="C3436" s="58" t="s">
        <v>5580</v>
      </c>
      <c r="D3436" s="58" t="s">
        <v>571</v>
      </c>
    </row>
    <row r="3437" spans="1:4">
      <c r="A3437" s="58" t="s">
        <v>5581</v>
      </c>
      <c r="B3437" s="58">
        <v>540426</v>
      </c>
      <c r="C3437" s="58" t="s">
        <v>588</v>
      </c>
      <c r="D3437" s="58" t="s">
        <v>674</v>
      </c>
    </row>
    <row r="3438" spans="1:4">
      <c r="A3438" s="58" t="s">
        <v>5582</v>
      </c>
      <c r="B3438" s="58">
        <v>513043</v>
      </c>
      <c r="C3438" s="58" t="s">
        <v>588</v>
      </c>
      <c r="D3438" s="58" t="s">
        <v>911</v>
      </c>
    </row>
    <row r="3439" spans="1:4">
      <c r="A3439" s="58" t="s">
        <v>5583</v>
      </c>
      <c r="B3439" s="58">
        <v>512487</v>
      </c>
      <c r="C3439" s="58" t="s">
        <v>588</v>
      </c>
      <c r="D3439" s="58" t="s">
        <v>610</v>
      </c>
    </row>
    <row r="3440" spans="1:4">
      <c r="A3440" s="58" t="s">
        <v>5584</v>
      </c>
      <c r="B3440" s="58">
        <v>505658</v>
      </c>
      <c r="C3440" s="58" t="s">
        <v>588</v>
      </c>
      <c r="D3440" s="58" t="s">
        <v>596</v>
      </c>
    </row>
    <row r="3441" spans="1:4">
      <c r="A3441" s="58" t="s">
        <v>5585</v>
      </c>
      <c r="B3441" s="58">
        <v>504360</v>
      </c>
      <c r="C3441" s="58" t="s">
        <v>588</v>
      </c>
      <c r="D3441" s="58" t="s">
        <v>610</v>
      </c>
    </row>
    <row r="3442" spans="1:4">
      <c r="A3442" s="58" t="s">
        <v>5586</v>
      </c>
      <c r="B3442" s="58">
        <v>511149</v>
      </c>
      <c r="C3442" s="58" t="s">
        <v>588</v>
      </c>
      <c r="D3442" s="58" t="s">
        <v>1009</v>
      </c>
    </row>
    <row r="3443" spans="1:4">
      <c r="A3443" s="58" t="s">
        <v>5587</v>
      </c>
      <c r="B3443" s="58">
        <v>530919</v>
      </c>
      <c r="C3443" s="58" t="s">
        <v>5588</v>
      </c>
      <c r="D3443" s="58" t="s">
        <v>3923</v>
      </c>
    </row>
    <row r="3444" spans="1:4">
      <c r="A3444" s="58" t="s">
        <v>5589</v>
      </c>
      <c r="B3444" s="58" t="s">
        <v>588</v>
      </c>
      <c r="C3444" s="58" t="s">
        <v>5590</v>
      </c>
      <c r="D3444" s="58" t="s">
        <v>3923</v>
      </c>
    </row>
    <row r="3445" spans="1:4">
      <c r="A3445" s="58" t="s">
        <v>5591</v>
      </c>
      <c r="B3445" s="58">
        <v>532923</v>
      </c>
      <c r="C3445" s="58" t="s">
        <v>5592</v>
      </c>
      <c r="D3445" s="58" t="s">
        <v>702</v>
      </c>
    </row>
    <row r="3446" spans="1:4">
      <c r="A3446" s="58" t="s">
        <v>5593</v>
      </c>
      <c r="B3446" s="58">
        <v>535322</v>
      </c>
      <c r="C3446" s="58" t="s">
        <v>5594</v>
      </c>
      <c r="D3446" s="58" t="s">
        <v>646</v>
      </c>
    </row>
    <row r="3447" spans="1:4">
      <c r="A3447" s="58" t="s">
        <v>5595</v>
      </c>
      <c r="B3447" s="58">
        <v>532687</v>
      </c>
      <c r="C3447" s="58" t="s">
        <v>5596</v>
      </c>
      <c r="D3447" s="58" t="s">
        <v>2578</v>
      </c>
    </row>
    <row r="3448" spans="1:4">
      <c r="A3448" s="58" t="s">
        <v>5597</v>
      </c>
      <c r="B3448" s="58">
        <v>532687</v>
      </c>
      <c r="C3448" s="58" t="s">
        <v>5596</v>
      </c>
      <c r="D3448" s="58" t="s">
        <v>2578</v>
      </c>
    </row>
    <row r="3449" spans="1:4">
      <c r="A3449" s="58" t="s">
        <v>5598</v>
      </c>
      <c r="B3449" s="58">
        <v>524218</v>
      </c>
      <c r="C3449" s="58" t="s">
        <v>588</v>
      </c>
      <c r="D3449" s="58" t="s">
        <v>626</v>
      </c>
    </row>
    <row r="3450" spans="1:4">
      <c r="A3450" s="58" t="s">
        <v>5599</v>
      </c>
      <c r="B3450" s="58">
        <v>505509</v>
      </c>
      <c r="C3450" s="58" t="s">
        <v>5600</v>
      </c>
      <c r="D3450" s="58" t="s">
        <v>708</v>
      </c>
    </row>
    <row r="3451" spans="1:4">
      <c r="A3451" s="58" t="s">
        <v>5601</v>
      </c>
      <c r="B3451" s="58">
        <v>515085</v>
      </c>
      <c r="C3451" s="58" t="s">
        <v>588</v>
      </c>
      <c r="D3451" s="58" t="s">
        <v>865</v>
      </c>
    </row>
    <row r="3452" spans="1:4">
      <c r="A3452" s="58" t="s">
        <v>5602</v>
      </c>
      <c r="B3452" s="58">
        <v>519191</v>
      </c>
      <c r="C3452" s="58" t="s">
        <v>5603</v>
      </c>
      <c r="D3452" s="58" t="s">
        <v>5604</v>
      </c>
    </row>
    <row r="3453" spans="1:4">
      <c r="A3453" s="58" t="s">
        <v>5605</v>
      </c>
      <c r="B3453" s="58">
        <v>505368</v>
      </c>
      <c r="C3453" s="58" t="s">
        <v>5606</v>
      </c>
      <c r="D3453" s="58" t="s">
        <v>596</v>
      </c>
    </row>
    <row r="3454" spans="1:4">
      <c r="A3454" s="58" t="s">
        <v>5607</v>
      </c>
      <c r="B3454" s="58">
        <v>531888</v>
      </c>
      <c r="C3454" s="58" t="s">
        <v>588</v>
      </c>
      <c r="D3454" s="58" t="s">
        <v>596</v>
      </c>
    </row>
    <row r="3455" spans="1:4">
      <c r="A3455" s="58" t="s">
        <v>5608</v>
      </c>
      <c r="B3455" s="58">
        <v>539669</v>
      </c>
      <c r="C3455" s="58" t="s">
        <v>588</v>
      </c>
      <c r="D3455" s="58" t="s">
        <v>605</v>
      </c>
    </row>
    <row r="3456" spans="1:4">
      <c r="A3456" s="58" t="s">
        <v>5609</v>
      </c>
      <c r="B3456" s="58">
        <v>531952</v>
      </c>
      <c r="C3456" s="58" t="s">
        <v>588</v>
      </c>
      <c r="D3456" s="58" t="s">
        <v>603</v>
      </c>
    </row>
    <row r="3457" spans="1:4">
      <c r="A3457" s="58" t="s">
        <v>5610</v>
      </c>
      <c r="B3457" s="58">
        <v>530271</v>
      </c>
      <c r="C3457" s="58" t="s">
        <v>588</v>
      </c>
      <c r="D3457" s="58" t="s">
        <v>605</v>
      </c>
    </row>
    <row r="3458" spans="1:4">
      <c r="A3458" s="58" t="s">
        <v>5611</v>
      </c>
      <c r="B3458" s="58">
        <v>532766</v>
      </c>
      <c r="C3458" s="58" t="s">
        <v>588</v>
      </c>
      <c r="D3458" s="58" t="s">
        <v>986</v>
      </c>
    </row>
    <row r="3459" spans="1:4">
      <c r="A3459" s="58" t="s">
        <v>5612</v>
      </c>
      <c r="B3459" s="58">
        <v>539435</v>
      </c>
      <c r="C3459" s="58" t="s">
        <v>588</v>
      </c>
      <c r="D3459" s="58" t="s">
        <v>571</v>
      </c>
    </row>
    <row r="3460" spans="1:4">
      <c r="A3460" s="58" t="s">
        <v>5613</v>
      </c>
      <c r="B3460" s="58">
        <v>519230</v>
      </c>
      <c r="C3460" s="58" t="s">
        <v>588</v>
      </c>
      <c r="D3460" s="58" t="s">
        <v>610</v>
      </c>
    </row>
    <row r="3461" spans="1:4">
      <c r="A3461" s="58" t="s">
        <v>5614</v>
      </c>
      <c r="B3461" s="58">
        <v>520008</v>
      </c>
      <c r="C3461" s="58" t="s">
        <v>5615</v>
      </c>
      <c r="D3461" s="58" t="s">
        <v>943</v>
      </c>
    </row>
    <row r="3462" spans="1:4">
      <c r="A3462" s="58" t="s">
        <v>5616</v>
      </c>
      <c r="B3462" s="58">
        <v>540590</v>
      </c>
      <c r="C3462" s="58" t="s">
        <v>588</v>
      </c>
      <c r="D3462" s="58" t="s">
        <v>918</v>
      </c>
    </row>
    <row r="3463" spans="1:4">
      <c r="A3463" s="58" t="s">
        <v>5617</v>
      </c>
      <c r="B3463" s="58">
        <v>524480</v>
      </c>
      <c r="C3463" s="58" t="s">
        <v>588</v>
      </c>
      <c r="D3463" s="58" t="s">
        <v>636</v>
      </c>
    </row>
    <row r="3464" spans="1:4">
      <c r="A3464" s="58" t="s">
        <v>5618</v>
      </c>
      <c r="B3464" s="58">
        <v>540082</v>
      </c>
      <c r="C3464" s="58" t="s">
        <v>588</v>
      </c>
      <c r="D3464" s="58" t="s">
        <v>911</v>
      </c>
    </row>
    <row r="3465" spans="1:4">
      <c r="A3465" s="58" t="s">
        <v>5619</v>
      </c>
      <c r="B3465" s="58">
        <v>504365</v>
      </c>
      <c r="C3465" s="58" t="s">
        <v>588</v>
      </c>
      <c r="D3465" s="58" t="s">
        <v>571</v>
      </c>
    </row>
    <row r="3466" spans="1:4">
      <c r="A3466" s="58" t="s">
        <v>5620</v>
      </c>
      <c r="B3466" s="58">
        <v>541151</v>
      </c>
      <c r="C3466" s="58" t="s">
        <v>588</v>
      </c>
      <c r="D3466" s="58" t="s">
        <v>672</v>
      </c>
    </row>
    <row r="3467" spans="1:4">
      <c r="A3467" s="58" t="s">
        <v>5621</v>
      </c>
      <c r="B3467" s="58">
        <v>541151</v>
      </c>
      <c r="C3467" s="58" t="s">
        <v>588</v>
      </c>
      <c r="D3467" s="58" t="s">
        <v>672</v>
      </c>
    </row>
    <row r="3468" spans="1:4">
      <c r="A3468" s="58" t="s">
        <v>5622</v>
      </c>
      <c r="B3468" s="58">
        <v>507508</v>
      </c>
      <c r="C3468" s="58" t="s">
        <v>588</v>
      </c>
      <c r="D3468" s="58" t="s">
        <v>1286</v>
      </c>
    </row>
    <row r="3469" spans="1:4">
      <c r="A3469" s="58" t="s">
        <v>5623</v>
      </c>
      <c r="B3469" s="58">
        <v>530251</v>
      </c>
      <c r="C3469" s="58" t="s">
        <v>588</v>
      </c>
      <c r="D3469" s="58" t="s">
        <v>610</v>
      </c>
    </row>
    <row r="3470" spans="1:4">
      <c r="A3470" s="58" t="s">
        <v>5624</v>
      </c>
      <c r="B3470" s="58">
        <v>514177</v>
      </c>
      <c r="C3470" s="58" t="s">
        <v>588</v>
      </c>
      <c r="D3470" s="58" t="s">
        <v>603</v>
      </c>
    </row>
    <row r="3471" spans="1:4">
      <c r="A3471" s="58" t="s">
        <v>5625</v>
      </c>
      <c r="B3471" s="58">
        <v>531539</v>
      </c>
      <c r="C3471" s="58" t="s">
        <v>588</v>
      </c>
      <c r="D3471" s="58" t="s">
        <v>620</v>
      </c>
    </row>
    <row r="3472" spans="1:4">
      <c r="A3472" s="58" t="s">
        <v>5626</v>
      </c>
      <c r="B3472" s="58">
        <v>526861</v>
      </c>
      <c r="C3472" s="58" t="s">
        <v>588</v>
      </c>
      <c r="D3472" s="58" t="s">
        <v>596</v>
      </c>
    </row>
    <row r="3473" spans="1:4">
      <c r="A3473" s="58" t="s">
        <v>5627</v>
      </c>
      <c r="B3473" s="58">
        <v>523021</v>
      </c>
      <c r="C3473" s="58" t="s">
        <v>588</v>
      </c>
      <c r="D3473" s="58" t="s">
        <v>783</v>
      </c>
    </row>
    <row r="3474" spans="1:4">
      <c r="A3474" s="58" t="s">
        <v>5628</v>
      </c>
      <c r="B3474" s="58">
        <v>526492</v>
      </c>
      <c r="C3474" s="58" t="s">
        <v>588</v>
      </c>
      <c r="D3474" s="58" t="s">
        <v>1506</v>
      </c>
    </row>
    <row r="3475" spans="1:4">
      <c r="A3475" s="58" t="s">
        <v>5629</v>
      </c>
      <c r="B3475" s="58">
        <v>542383</v>
      </c>
      <c r="C3475" s="58" t="s">
        <v>5630</v>
      </c>
      <c r="D3475" s="58" t="s">
        <v>909</v>
      </c>
    </row>
    <row r="3476" spans="1:4">
      <c r="A3476" s="58" t="s">
        <v>5631</v>
      </c>
      <c r="B3476" s="58">
        <v>541556</v>
      </c>
      <c r="C3476" s="58" t="s">
        <v>5632</v>
      </c>
      <c r="D3476" s="58" t="s">
        <v>986</v>
      </c>
    </row>
    <row r="3477" spans="1:4">
      <c r="A3477" s="58" t="s">
        <v>5633</v>
      </c>
      <c r="B3477" s="58">
        <v>519097</v>
      </c>
      <c r="C3477" s="58" t="s">
        <v>588</v>
      </c>
      <c r="D3477" s="58" t="s">
        <v>636</v>
      </c>
    </row>
    <row r="3478" spans="1:4">
      <c r="A3478" s="58" t="s">
        <v>5634</v>
      </c>
      <c r="B3478" s="58">
        <v>526407</v>
      </c>
      <c r="C3478" s="58" t="s">
        <v>588</v>
      </c>
      <c r="D3478" s="58" t="s">
        <v>702</v>
      </c>
    </row>
    <row r="3479" spans="1:4">
      <c r="A3479" s="58" t="s">
        <v>5635</v>
      </c>
      <c r="B3479" s="58">
        <v>540843</v>
      </c>
      <c r="C3479" s="58" t="s">
        <v>588</v>
      </c>
      <c r="D3479" s="58" t="s">
        <v>3364</v>
      </c>
    </row>
    <row r="3480" spans="1:4">
      <c r="A3480" s="58" t="s">
        <v>5636</v>
      </c>
      <c r="B3480" s="58" t="s">
        <v>588</v>
      </c>
      <c r="C3480" s="58" t="s">
        <v>5637</v>
      </c>
      <c r="D3480" s="58" t="s">
        <v>599</v>
      </c>
    </row>
    <row r="3481" spans="1:4">
      <c r="A3481" s="58" t="s">
        <v>5638</v>
      </c>
      <c r="B3481" s="58">
        <v>512618</v>
      </c>
      <c r="C3481" s="58" t="s">
        <v>588</v>
      </c>
      <c r="D3481" s="58" t="s">
        <v>603</v>
      </c>
    </row>
    <row r="3482" spans="1:4">
      <c r="A3482" s="58" t="s">
        <v>5639</v>
      </c>
      <c r="B3482" s="58">
        <v>540358</v>
      </c>
      <c r="C3482" s="58" t="s">
        <v>588</v>
      </c>
      <c r="D3482" s="58" t="s">
        <v>886</v>
      </c>
    </row>
    <row r="3483" spans="1:4">
      <c r="A3483" s="58" t="s">
        <v>5640</v>
      </c>
      <c r="B3483" s="58">
        <v>500365</v>
      </c>
      <c r="C3483" s="58" t="s">
        <v>588</v>
      </c>
      <c r="D3483" s="58" t="s">
        <v>620</v>
      </c>
    </row>
    <row r="3484" spans="1:4">
      <c r="A3484" s="58" t="s">
        <v>5641</v>
      </c>
      <c r="B3484" s="58">
        <v>531447</v>
      </c>
      <c r="C3484" s="58" t="s">
        <v>588</v>
      </c>
      <c r="D3484" s="58" t="s">
        <v>610</v>
      </c>
    </row>
    <row r="3485" spans="1:4">
      <c r="A3485" s="58" t="s">
        <v>5642</v>
      </c>
      <c r="B3485" s="58">
        <v>531822</v>
      </c>
      <c r="C3485" s="58" t="s">
        <v>588</v>
      </c>
      <c r="D3485" s="58" t="s">
        <v>674</v>
      </c>
    </row>
    <row r="3486" spans="1:4">
      <c r="A3486" s="58" t="s">
        <v>5643</v>
      </c>
      <c r="B3486" s="58">
        <v>532731</v>
      </c>
      <c r="C3486" s="58" t="s">
        <v>5644</v>
      </c>
      <c r="D3486" s="58" t="s">
        <v>620</v>
      </c>
    </row>
    <row r="3487" spans="1:4">
      <c r="A3487" s="58" t="s">
        <v>5645</v>
      </c>
      <c r="B3487" s="58">
        <v>505807</v>
      </c>
      <c r="C3487" s="58" t="s">
        <v>588</v>
      </c>
      <c r="D3487" s="58" t="s">
        <v>1506</v>
      </c>
    </row>
    <row r="3488" spans="1:4">
      <c r="A3488" s="58" t="s">
        <v>5646</v>
      </c>
      <c r="B3488" s="58">
        <v>502448</v>
      </c>
      <c r="C3488" s="58" t="s">
        <v>5647</v>
      </c>
      <c r="D3488" s="58" t="s">
        <v>783</v>
      </c>
    </row>
    <row r="3489" spans="1:4">
      <c r="A3489" s="58" t="s">
        <v>5648</v>
      </c>
      <c r="B3489" s="58">
        <v>500366</v>
      </c>
      <c r="C3489" s="58" t="s">
        <v>5649</v>
      </c>
      <c r="D3489" s="58" t="s">
        <v>594</v>
      </c>
    </row>
    <row r="3490" spans="1:4">
      <c r="A3490" s="58" t="s">
        <v>5650</v>
      </c>
      <c r="B3490" s="58">
        <v>500366</v>
      </c>
      <c r="C3490" s="58" t="s">
        <v>5649</v>
      </c>
      <c r="D3490" s="58" t="s">
        <v>594</v>
      </c>
    </row>
    <row r="3491" spans="1:4">
      <c r="A3491" s="58" t="s">
        <v>5651</v>
      </c>
      <c r="B3491" s="58">
        <v>542145</v>
      </c>
      <c r="C3491" s="58" t="s">
        <v>588</v>
      </c>
      <c r="D3491" s="58" t="s">
        <v>610</v>
      </c>
    </row>
    <row r="3492" spans="1:4">
      <c r="A3492" s="58" t="s">
        <v>5652</v>
      </c>
      <c r="B3492" s="58">
        <v>530991</v>
      </c>
      <c r="C3492" s="58" t="s">
        <v>588</v>
      </c>
      <c r="D3492" s="58" t="s">
        <v>626</v>
      </c>
    </row>
    <row r="3493" spans="1:4">
      <c r="A3493" s="58" t="s">
        <v>5653</v>
      </c>
      <c r="B3493" s="58">
        <v>542599</v>
      </c>
      <c r="C3493" s="58" t="s">
        <v>5654</v>
      </c>
      <c r="D3493" s="58" t="s">
        <v>789</v>
      </c>
    </row>
    <row r="3494" spans="1:4">
      <c r="A3494" s="58" t="s">
        <v>5655</v>
      </c>
      <c r="B3494" s="58">
        <v>531324</v>
      </c>
      <c r="C3494" s="58" t="s">
        <v>588</v>
      </c>
      <c r="D3494" s="58" t="s">
        <v>571</v>
      </c>
    </row>
    <row r="3495" spans="1:4">
      <c r="A3495" s="58" t="s">
        <v>5656</v>
      </c>
      <c r="B3495" s="58">
        <v>533168</v>
      </c>
      <c r="C3495" s="58" t="s">
        <v>5657</v>
      </c>
      <c r="D3495" s="58" t="s">
        <v>995</v>
      </c>
    </row>
    <row r="3496" spans="1:4">
      <c r="A3496" s="58" t="s">
        <v>5658</v>
      </c>
      <c r="B3496" s="58">
        <v>533168</v>
      </c>
      <c r="C3496" s="58" t="s">
        <v>5657</v>
      </c>
      <c r="D3496" s="58" t="s">
        <v>995</v>
      </c>
    </row>
    <row r="3497" spans="1:4">
      <c r="A3497" s="58" t="s">
        <v>5659</v>
      </c>
      <c r="B3497" s="58">
        <v>517500</v>
      </c>
      <c r="C3497" s="58" t="s">
        <v>588</v>
      </c>
      <c r="D3497" s="58" t="s">
        <v>596</v>
      </c>
    </row>
    <row r="3498" spans="1:4">
      <c r="A3498" s="58" t="s">
        <v>5660</v>
      </c>
      <c r="B3498" s="58">
        <v>539922</v>
      </c>
      <c r="C3498" s="58" t="s">
        <v>588</v>
      </c>
      <c r="D3498" s="58" t="s">
        <v>610</v>
      </c>
    </row>
    <row r="3499" spans="1:4">
      <c r="A3499" s="58" t="s">
        <v>5661</v>
      </c>
      <c r="B3499" s="58">
        <v>539922</v>
      </c>
      <c r="C3499" s="58" t="s">
        <v>588</v>
      </c>
      <c r="D3499" s="58" t="s">
        <v>610</v>
      </c>
    </row>
    <row r="3500" spans="1:4">
      <c r="A3500" s="58" t="s">
        <v>5662</v>
      </c>
      <c r="B3500" s="58">
        <v>526193</v>
      </c>
      <c r="C3500" s="58" t="s">
        <v>588</v>
      </c>
      <c r="D3500" s="58" t="s">
        <v>865</v>
      </c>
    </row>
    <row r="3501" spans="1:4">
      <c r="A3501" s="58" t="s">
        <v>5663</v>
      </c>
      <c r="B3501" s="58">
        <v>512047</v>
      </c>
      <c r="C3501" s="58" t="s">
        <v>588</v>
      </c>
      <c r="D3501" s="58" t="s">
        <v>702</v>
      </c>
    </row>
    <row r="3502" spans="1:4">
      <c r="A3502" s="58" t="s">
        <v>5664</v>
      </c>
      <c r="B3502" s="58">
        <v>532699</v>
      </c>
      <c r="C3502" s="58" t="s">
        <v>5665</v>
      </c>
      <c r="D3502" s="58" t="s">
        <v>789</v>
      </c>
    </row>
    <row r="3503" spans="1:4">
      <c r="A3503" s="58" t="s">
        <v>5666</v>
      </c>
      <c r="B3503" s="58">
        <v>526640</v>
      </c>
      <c r="C3503" s="58" t="s">
        <v>588</v>
      </c>
      <c r="D3503" s="58" t="s">
        <v>789</v>
      </c>
    </row>
    <row r="3504" spans="1:4">
      <c r="A3504" s="58" t="s">
        <v>5667</v>
      </c>
      <c r="B3504" s="58">
        <v>532983</v>
      </c>
      <c r="C3504" s="58" t="s">
        <v>5668</v>
      </c>
      <c r="D3504" s="58" t="s">
        <v>626</v>
      </c>
    </row>
    <row r="3505" spans="1:4">
      <c r="A3505" s="58" t="s">
        <v>5669</v>
      </c>
      <c r="B3505" s="58">
        <v>511626</v>
      </c>
      <c r="C3505" s="58" t="s">
        <v>588</v>
      </c>
      <c r="D3505" s="58" t="s">
        <v>605</v>
      </c>
    </row>
    <row r="3506" spans="1:4">
      <c r="A3506" s="58" t="s">
        <v>5670</v>
      </c>
      <c r="B3506" s="58">
        <v>530179</v>
      </c>
      <c r="C3506" s="58" t="s">
        <v>588</v>
      </c>
      <c r="D3506" s="58" t="s">
        <v>603</v>
      </c>
    </row>
    <row r="3507" spans="1:4">
      <c r="A3507" s="58" t="s">
        <v>5671</v>
      </c>
      <c r="B3507" s="58">
        <v>539875</v>
      </c>
      <c r="C3507" s="58" t="s">
        <v>588</v>
      </c>
      <c r="D3507" s="58" t="s">
        <v>608</v>
      </c>
    </row>
    <row r="3508" spans="1:4">
      <c r="A3508" s="58" t="s">
        <v>5672</v>
      </c>
      <c r="B3508" s="58">
        <v>500350</v>
      </c>
      <c r="C3508" s="58" t="s">
        <v>5673</v>
      </c>
      <c r="D3508" s="58" t="s">
        <v>603</v>
      </c>
    </row>
    <row r="3509" spans="1:4">
      <c r="A3509" s="58" t="s">
        <v>5674</v>
      </c>
      <c r="B3509" s="58">
        <v>531215</v>
      </c>
      <c r="C3509" s="58" t="s">
        <v>588</v>
      </c>
      <c r="D3509" s="58" t="s">
        <v>886</v>
      </c>
    </row>
    <row r="3510" spans="1:4">
      <c r="A3510" s="58" t="s">
        <v>5675</v>
      </c>
      <c r="B3510" s="58">
        <v>500367</v>
      </c>
      <c r="C3510" s="58" t="s">
        <v>588</v>
      </c>
      <c r="D3510" s="58" t="s">
        <v>1068</v>
      </c>
    </row>
    <row r="3511" spans="1:4">
      <c r="A3511" s="58" t="s">
        <v>5676</v>
      </c>
      <c r="B3511" s="58">
        <v>531099</v>
      </c>
      <c r="C3511" s="58" t="s">
        <v>588</v>
      </c>
      <c r="D3511" s="58" t="s">
        <v>626</v>
      </c>
    </row>
    <row r="3512" spans="1:4">
      <c r="A3512" s="58" t="s">
        <v>5677</v>
      </c>
      <c r="B3512" s="58">
        <v>509020</v>
      </c>
      <c r="C3512" s="58" t="s">
        <v>5678</v>
      </c>
      <c r="D3512" s="58" t="s">
        <v>837</v>
      </c>
    </row>
    <row r="3513" spans="1:4">
      <c r="A3513" s="58" t="s">
        <v>5679</v>
      </c>
      <c r="B3513" s="58">
        <v>500368</v>
      </c>
      <c r="C3513" s="58" t="s">
        <v>5680</v>
      </c>
      <c r="D3513" s="58" t="s">
        <v>837</v>
      </c>
    </row>
    <row r="3514" spans="1:4">
      <c r="A3514" s="58" t="s">
        <v>5681</v>
      </c>
      <c r="B3514" s="58">
        <v>540696</v>
      </c>
      <c r="C3514" s="58" t="s">
        <v>588</v>
      </c>
      <c r="D3514" s="58" t="s">
        <v>610</v>
      </c>
    </row>
    <row r="3515" spans="1:4">
      <c r="A3515" s="58" t="s">
        <v>5682</v>
      </c>
      <c r="B3515" s="58">
        <v>540696</v>
      </c>
      <c r="C3515" s="58" t="s">
        <v>588</v>
      </c>
      <c r="D3515" s="58" t="s">
        <v>610</v>
      </c>
    </row>
    <row r="3516" spans="1:4">
      <c r="A3516" s="58" t="s">
        <v>5683</v>
      </c>
      <c r="B3516" s="58">
        <v>532785</v>
      </c>
      <c r="C3516" s="58" t="s">
        <v>5684</v>
      </c>
      <c r="D3516" s="58" t="s">
        <v>582</v>
      </c>
    </row>
    <row r="3517" spans="1:4">
      <c r="A3517" s="58" t="s">
        <v>5685</v>
      </c>
      <c r="B3517" s="58">
        <v>539226</v>
      </c>
      <c r="C3517" s="58" t="s">
        <v>588</v>
      </c>
      <c r="D3517" s="58" t="s">
        <v>620</v>
      </c>
    </row>
    <row r="3518" spans="1:4">
      <c r="A3518" s="58" t="s">
        <v>5686</v>
      </c>
      <c r="B3518" s="58" t="s">
        <v>588</v>
      </c>
      <c r="C3518" s="58" t="s">
        <v>5687</v>
      </c>
      <c r="D3518" s="58" t="s">
        <v>599</v>
      </c>
    </row>
    <row r="3519" spans="1:4">
      <c r="A3519" s="58" t="s">
        <v>5688</v>
      </c>
      <c r="B3519" s="58">
        <v>519413</v>
      </c>
      <c r="C3519" s="58" t="s">
        <v>588</v>
      </c>
      <c r="D3519" s="58" t="s">
        <v>610</v>
      </c>
    </row>
    <row r="3520" spans="1:4">
      <c r="A3520" s="58" t="s">
        <v>5689</v>
      </c>
      <c r="B3520" s="58">
        <v>530449</v>
      </c>
      <c r="C3520" s="58" t="s">
        <v>588</v>
      </c>
      <c r="D3520" s="58" t="s">
        <v>708</v>
      </c>
    </row>
    <row r="3521" spans="1:4">
      <c r="A3521" s="58" t="s">
        <v>5690</v>
      </c>
      <c r="B3521" s="58">
        <v>533552</v>
      </c>
      <c r="C3521" s="58" t="s">
        <v>5691</v>
      </c>
      <c r="D3521" s="58" t="s">
        <v>702</v>
      </c>
    </row>
    <row r="3522" spans="1:4">
      <c r="A3522" s="58" t="s">
        <v>5692</v>
      </c>
      <c r="B3522" s="58">
        <v>533470</v>
      </c>
      <c r="C3522" s="58" t="s">
        <v>5693</v>
      </c>
      <c r="D3522" s="58" t="s">
        <v>1083</v>
      </c>
    </row>
    <row r="3523" spans="1:4">
      <c r="A3523" s="58" t="s">
        <v>5694</v>
      </c>
      <c r="B3523" s="58">
        <v>504335</v>
      </c>
      <c r="C3523" s="58" t="s">
        <v>588</v>
      </c>
      <c r="D3523" s="58" t="s">
        <v>610</v>
      </c>
    </row>
    <row r="3524" spans="1:4">
      <c r="A3524" s="58" t="s">
        <v>5695</v>
      </c>
      <c r="B3524" s="58">
        <v>517035</v>
      </c>
      <c r="C3524" s="58" t="s">
        <v>588</v>
      </c>
      <c r="D3524" s="58" t="s">
        <v>1130</v>
      </c>
    </row>
    <row r="3525" spans="1:4">
      <c r="A3525" s="58" t="s">
        <v>5696</v>
      </c>
      <c r="B3525" s="58">
        <v>542034</v>
      </c>
      <c r="C3525" s="58" t="s">
        <v>588</v>
      </c>
      <c r="D3525" s="58" t="s">
        <v>702</v>
      </c>
    </row>
    <row r="3526" spans="1:4">
      <c r="A3526" s="58" t="s">
        <v>5697</v>
      </c>
      <c r="B3526" s="58">
        <v>532604</v>
      </c>
      <c r="C3526" s="58" t="s">
        <v>5698</v>
      </c>
      <c r="D3526" s="58" t="s">
        <v>620</v>
      </c>
    </row>
    <row r="3527" spans="1:4">
      <c r="A3527" s="58" t="s">
        <v>5699</v>
      </c>
      <c r="B3527" s="58">
        <v>540497</v>
      </c>
      <c r="C3527" s="58" t="s">
        <v>5700</v>
      </c>
      <c r="D3527" s="58" t="s">
        <v>1112</v>
      </c>
    </row>
    <row r="3528" spans="1:4">
      <c r="A3528" s="58" t="s">
        <v>5701</v>
      </c>
      <c r="B3528" s="58">
        <v>534598</v>
      </c>
      <c r="C3528" s="58" t="s">
        <v>5702</v>
      </c>
      <c r="D3528" s="58" t="s">
        <v>727</v>
      </c>
    </row>
    <row r="3529" spans="1:4">
      <c r="A3529" s="58" t="s">
        <v>5703</v>
      </c>
      <c r="B3529" s="58">
        <v>539450</v>
      </c>
      <c r="C3529" s="58" t="s">
        <v>5704</v>
      </c>
      <c r="D3529" s="58" t="s">
        <v>770</v>
      </c>
    </row>
    <row r="3530" spans="1:4">
      <c r="A3530" s="58" t="s">
        <v>5705</v>
      </c>
      <c r="B3530" s="58">
        <v>532316</v>
      </c>
      <c r="C3530" s="58" t="s">
        <v>5706</v>
      </c>
      <c r="D3530" s="58" t="s">
        <v>5707</v>
      </c>
    </row>
    <row r="3531" spans="1:4">
      <c r="A3531" s="58" t="s">
        <v>5708</v>
      </c>
      <c r="B3531" s="58">
        <v>540048</v>
      </c>
      <c r="C3531" s="58" t="s">
        <v>5709</v>
      </c>
      <c r="D3531" s="58" t="s">
        <v>702</v>
      </c>
    </row>
    <row r="3532" spans="1:4">
      <c r="A3532" s="58" t="s">
        <v>5710</v>
      </c>
      <c r="B3532" s="58">
        <v>536710</v>
      </c>
      <c r="C3532" s="58" t="s">
        <v>588</v>
      </c>
      <c r="D3532" s="58" t="s">
        <v>605</v>
      </c>
    </row>
    <row r="3533" spans="1:4">
      <c r="A3533" s="58" t="s">
        <v>5711</v>
      </c>
      <c r="B3533" s="58">
        <v>513515</v>
      </c>
      <c r="C3533" s="58" t="s">
        <v>588</v>
      </c>
      <c r="D3533" s="58" t="s">
        <v>603</v>
      </c>
    </row>
    <row r="3534" spans="1:4">
      <c r="A3534" s="58" t="s">
        <v>5712</v>
      </c>
      <c r="B3534" s="58">
        <v>531307</v>
      </c>
      <c r="C3534" s="58" t="s">
        <v>588</v>
      </c>
      <c r="D3534" s="58" t="s">
        <v>603</v>
      </c>
    </row>
    <row r="3535" spans="1:4">
      <c r="A3535" s="58" t="s">
        <v>5713</v>
      </c>
      <c r="B3535" s="58" t="s">
        <v>588</v>
      </c>
      <c r="C3535" s="58" t="s">
        <v>5714</v>
      </c>
      <c r="D3535" s="58" t="s">
        <v>599</v>
      </c>
    </row>
    <row r="3536" spans="1:4">
      <c r="A3536" s="58" t="s">
        <v>5715</v>
      </c>
      <c r="B3536" s="58">
        <v>538876</v>
      </c>
      <c r="C3536" s="58" t="s">
        <v>588</v>
      </c>
      <c r="D3536" s="58" t="s">
        <v>605</v>
      </c>
    </row>
    <row r="3537" spans="1:4">
      <c r="A3537" s="58" t="s">
        <v>5716</v>
      </c>
      <c r="B3537" s="58">
        <v>535621</v>
      </c>
      <c r="C3537" s="58" t="s">
        <v>588</v>
      </c>
      <c r="D3537" s="58" t="s">
        <v>674</v>
      </c>
    </row>
    <row r="3538" spans="1:4">
      <c r="A3538" s="58" t="s">
        <v>5717</v>
      </c>
      <c r="B3538" s="58">
        <v>503622</v>
      </c>
      <c r="C3538" s="58" t="s">
        <v>588</v>
      </c>
      <c r="D3538" s="58" t="s">
        <v>571</v>
      </c>
    </row>
    <row r="3539" spans="1:4">
      <c r="A3539" s="58" t="s">
        <v>5718</v>
      </c>
      <c r="B3539" s="58">
        <v>514197</v>
      </c>
      <c r="C3539" s="58" t="s">
        <v>588</v>
      </c>
      <c r="D3539" s="58" t="s">
        <v>603</v>
      </c>
    </row>
    <row r="3540" spans="1:4">
      <c r="A3540" s="58" t="s">
        <v>5719</v>
      </c>
      <c r="B3540" s="58">
        <v>540081</v>
      </c>
      <c r="C3540" s="58" t="s">
        <v>5720</v>
      </c>
      <c r="D3540" s="58" t="s">
        <v>1112</v>
      </c>
    </row>
    <row r="3541" spans="1:4">
      <c r="A3541" s="58" t="s">
        <v>5721</v>
      </c>
      <c r="B3541" s="58">
        <v>539112</v>
      </c>
      <c r="C3541" s="58" t="s">
        <v>588</v>
      </c>
      <c r="D3541" s="58" t="s">
        <v>674</v>
      </c>
    </row>
    <row r="3542" spans="1:4">
      <c r="A3542" s="58" t="s">
        <v>5722</v>
      </c>
      <c r="B3542" s="58">
        <v>530267</v>
      </c>
      <c r="C3542" s="58" t="s">
        <v>588</v>
      </c>
      <c r="D3542" s="58" t="s">
        <v>596</v>
      </c>
    </row>
    <row r="3543" spans="1:4">
      <c r="A3543" s="58" t="s">
        <v>5723</v>
      </c>
      <c r="B3543" s="58">
        <v>530461</v>
      </c>
      <c r="C3543" s="58" t="s">
        <v>588</v>
      </c>
      <c r="D3543" s="58" t="s">
        <v>668</v>
      </c>
    </row>
    <row r="3544" spans="1:4">
      <c r="A3544" s="58" t="s">
        <v>5724</v>
      </c>
      <c r="B3544" s="58">
        <v>540132</v>
      </c>
      <c r="C3544" s="58" t="s">
        <v>588</v>
      </c>
      <c r="D3544" s="58" t="s">
        <v>610</v>
      </c>
    </row>
    <row r="3545" spans="1:4">
      <c r="A3545" s="58" t="s">
        <v>5725</v>
      </c>
      <c r="B3545" s="58">
        <v>540132</v>
      </c>
      <c r="C3545" s="58" t="s">
        <v>588</v>
      </c>
      <c r="D3545" s="58" t="s">
        <v>610</v>
      </c>
    </row>
    <row r="3546" spans="1:4">
      <c r="A3546" s="58" t="s">
        <v>5726</v>
      </c>
      <c r="B3546" s="58">
        <v>531869</v>
      </c>
      <c r="C3546" s="58" t="s">
        <v>588</v>
      </c>
      <c r="D3546" s="58" t="s">
        <v>893</v>
      </c>
    </row>
    <row r="3547" spans="1:4">
      <c r="A3547" s="58" t="s">
        <v>5727</v>
      </c>
      <c r="B3547" s="58">
        <v>532710</v>
      </c>
      <c r="C3547" s="58" t="s">
        <v>5728</v>
      </c>
      <c r="D3547" s="58" t="s">
        <v>986</v>
      </c>
    </row>
    <row r="3548" spans="1:4">
      <c r="A3548" s="58" t="s">
        <v>5729</v>
      </c>
      <c r="B3548" s="58">
        <v>539346</v>
      </c>
      <c r="C3548" s="58" t="s">
        <v>5730</v>
      </c>
      <c r="D3548" s="58" t="s">
        <v>1183</v>
      </c>
    </row>
    <row r="3549" spans="1:4">
      <c r="A3549" s="58" t="s">
        <v>5731</v>
      </c>
      <c r="B3549" s="58">
        <v>506642</v>
      </c>
      <c r="C3549" s="58" t="s">
        <v>588</v>
      </c>
      <c r="D3549" s="58" t="s">
        <v>636</v>
      </c>
    </row>
    <row r="3550" spans="1:4">
      <c r="A3550" s="58" t="s">
        <v>5732</v>
      </c>
      <c r="B3550" s="58">
        <v>540821</v>
      </c>
      <c r="C3550" s="58" t="s">
        <v>588</v>
      </c>
      <c r="D3550" s="58" t="s">
        <v>1325</v>
      </c>
    </row>
    <row r="3551" spans="1:4">
      <c r="A3551" s="58" t="s">
        <v>5733</v>
      </c>
      <c r="B3551" s="58">
        <v>532034</v>
      </c>
      <c r="C3551" s="58" t="s">
        <v>588</v>
      </c>
      <c r="D3551" s="58" t="s">
        <v>770</v>
      </c>
    </row>
    <row r="3552" spans="1:4">
      <c r="A3552" s="58" t="s">
        <v>5734</v>
      </c>
      <c r="B3552" s="58">
        <v>531448</v>
      </c>
      <c r="C3552" s="58" t="s">
        <v>588</v>
      </c>
      <c r="D3552" s="58" t="s">
        <v>1009</v>
      </c>
    </row>
    <row r="3553" spans="1:4">
      <c r="A3553" s="58" t="s">
        <v>5735</v>
      </c>
      <c r="B3553" s="58">
        <v>523025</v>
      </c>
      <c r="C3553" s="58" t="s">
        <v>588</v>
      </c>
      <c r="D3553" s="58" t="s">
        <v>702</v>
      </c>
    </row>
    <row r="3554" spans="1:4">
      <c r="A3554" s="58" t="s">
        <v>5736</v>
      </c>
      <c r="B3554" s="58">
        <v>523025</v>
      </c>
      <c r="C3554" s="58" t="s">
        <v>588</v>
      </c>
      <c r="D3554" s="58" t="s">
        <v>702</v>
      </c>
    </row>
    <row r="3555" spans="1:4">
      <c r="A3555" s="58" t="s">
        <v>5737</v>
      </c>
      <c r="B3555" s="58">
        <v>502090</v>
      </c>
      <c r="C3555" s="58" t="s">
        <v>5738</v>
      </c>
      <c r="D3555" s="58" t="s">
        <v>601</v>
      </c>
    </row>
    <row r="3556" spans="1:4">
      <c r="A3556" s="58" t="s">
        <v>5739</v>
      </c>
      <c r="B3556" s="58">
        <v>540715</v>
      </c>
      <c r="C3556" s="58" t="s">
        <v>588</v>
      </c>
      <c r="D3556" s="58" t="s">
        <v>702</v>
      </c>
    </row>
    <row r="3557" spans="1:4">
      <c r="A3557" s="58" t="s">
        <v>5740</v>
      </c>
      <c r="B3557" s="58">
        <v>532092</v>
      </c>
      <c r="C3557" s="58" t="s">
        <v>588</v>
      </c>
      <c r="D3557" s="58" t="s">
        <v>605</v>
      </c>
    </row>
    <row r="3558" spans="1:4">
      <c r="A3558" s="58" t="s">
        <v>5741</v>
      </c>
      <c r="B3558" s="58">
        <v>507663</v>
      </c>
      <c r="C3558" s="58" t="s">
        <v>588</v>
      </c>
      <c r="D3558" s="58" t="s">
        <v>837</v>
      </c>
    </row>
    <row r="3559" spans="1:4">
      <c r="A3559" s="58" t="s">
        <v>5742</v>
      </c>
      <c r="B3559" s="58">
        <v>511254</v>
      </c>
      <c r="C3559" s="58" t="s">
        <v>588</v>
      </c>
      <c r="D3559" s="58" t="s">
        <v>605</v>
      </c>
    </row>
    <row r="3560" spans="1:4">
      <c r="A3560" s="58" t="s">
        <v>5743</v>
      </c>
      <c r="B3560" s="58">
        <v>526085</v>
      </c>
      <c r="C3560" s="58" t="s">
        <v>588</v>
      </c>
      <c r="D3560" s="58" t="s">
        <v>789</v>
      </c>
    </row>
    <row r="3561" spans="1:4">
      <c r="A3561" s="58" t="s">
        <v>5744</v>
      </c>
      <c r="B3561" s="58" t="s">
        <v>588</v>
      </c>
      <c r="C3561" s="58" t="s">
        <v>5745</v>
      </c>
      <c r="D3561" s="58" t="s">
        <v>599</v>
      </c>
    </row>
    <row r="3562" spans="1:4">
      <c r="A3562" s="58" t="s">
        <v>5746</v>
      </c>
      <c r="B3562" s="58">
        <v>540143</v>
      </c>
      <c r="C3562" s="58" t="s">
        <v>588</v>
      </c>
      <c r="D3562" s="58" t="s">
        <v>574</v>
      </c>
    </row>
    <row r="3563" spans="1:4">
      <c r="A3563" s="58" t="s">
        <v>5747</v>
      </c>
      <c r="B3563" s="58">
        <v>540143</v>
      </c>
      <c r="C3563" s="58" t="s">
        <v>588</v>
      </c>
      <c r="D3563" s="58" t="s">
        <v>574</v>
      </c>
    </row>
    <row r="3564" spans="1:4">
      <c r="A3564" s="58" t="s">
        <v>5748</v>
      </c>
      <c r="B3564" s="58">
        <v>511533</v>
      </c>
      <c r="C3564" s="58" t="s">
        <v>588</v>
      </c>
      <c r="D3564" s="58" t="s">
        <v>646</v>
      </c>
    </row>
    <row r="3565" spans="1:4">
      <c r="A3565" s="58" t="s">
        <v>5749</v>
      </c>
      <c r="B3565" s="58">
        <v>503691</v>
      </c>
      <c r="C3565" s="58" t="s">
        <v>588</v>
      </c>
      <c r="D3565" s="58" t="s">
        <v>1325</v>
      </c>
    </row>
    <row r="3566" spans="1:4">
      <c r="A3566" s="58" t="s">
        <v>5750</v>
      </c>
      <c r="B3566" s="58">
        <v>532841</v>
      </c>
      <c r="C3566" s="58" t="s">
        <v>588</v>
      </c>
      <c r="D3566" s="58" t="s">
        <v>601</v>
      </c>
    </row>
    <row r="3567" spans="1:4">
      <c r="A3567" s="58" t="s">
        <v>5751</v>
      </c>
      <c r="B3567" s="58">
        <v>539660</v>
      </c>
      <c r="C3567" s="58" t="s">
        <v>588</v>
      </c>
      <c r="D3567" s="58" t="s">
        <v>571</v>
      </c>
    </row>
    <row r="3568" spans="1:4">
      <c r="A3568" s="58" t="s">
        <v>5752</v>
      </c>
      <c r="B3568" s="58">
        <v>538557</v>
      </c>
      <c r="C3568" s="58" t="s">
        <v>588</v>
      </c>
      <c r="D3568" s="58" t="s">
        <v>610</v>
      </c>
    </row>
    <row r="3569" spans="1:4">
      <c r="A3569" s="58" t="s">
        <v>5753</v>
      </c>
      <c r="B3569" s="58">
        <v>531931</v>
      </c>
      <c r="C3569" s="58" t="s">
        <v>588</v>
      </c>
      <c r="D3569" s="58" t="s">
        <v>1009</v>
      </c>
    </row>
    <row r="3570" spans="1:4">
      <c r="A3570" s="58" t="s">
        <v>5754</v>
      </c>
      <c r="B3570" s="58">
        <v>530905</v>
      </c>
      <c r="C3570" s="58" t="s">
        <v>588</v>
      </c>
      <c r="D3570" s="58" t="s">
        <v>605</v>
      </c>
    </row>
    <row r="3571" spans="1:4">
      <c r="A3571" s="58" t="s">
        <v>5755</v>
      </c>
      <c r="B3571" s="58">
        <v>540066</v>
      </c>
      <c r="C3571" s="58" t="s">
        <v>588</v>
      </c>
      <c r="D3571" s="58" t="s">
        <v>943</v>
      </c>
    </row>
    <row r="3572" spans="1:4">
      <c r="A3572" s="58" t="s">
        <v>5756</v>
      </c>
      <c r="B3572" s="58">
        <v>530265</v>
      </c>
      <c r="C3572" s="58" t="s">
        <v>588</v>
      </c>
      <c r="D3572" s="58" t="s">
        <v>601</v>
      </c>
    </row>
    <row r="3573" spans="1:4">
      <c r="A3573" s="58" t="s">
        <v>5757</v>
      </c>
      <c r="B3573" s="58">
        <v>515043</v>
      </c>
      <c r="C3573" s="58" t="s">
        <v>588</v>
      </c>
      <c r="D3573" s="58" t="s">
        <v>865</v>
      </c>
    </row>
    <row r="3574" spans="1:4">
      <c r="A3574" s="58" t="s">
        <v>5758</v>
      </c>
      <c r="B3574" s="58">
        <v>515043</v>
      </c>
      <c r="C3574" s="58" t="s">
        <v>588</v>
      </c>
      <c r="D3574" s="58" t="s">
        <v>865</v>
      </c>
    </row>
    <row r="3575" spans="1:4">
      <c r="A3575" s="58" t="s">
        <v>5759</v>
      </c>
      <c r="B3575" s="58" t="s">
        <v>588</v>
      </c>
      <c r="C3575" s="58" t="s">
        <v>5760</v>
      </c>
      <c r="D3575" s="58" t="s">
        <v>599</v>
      </c>
    </row>
    <row r="3576" spans="1:4">
      <c r="A3576" s="58" t="s">
        <v>5761</v>
      </c>
      <c r="B3576" s="58" t="s">
        <v>588</v>
      </c>
      <c r="C3576" s="58" t="s">
        <v>5762</v>
      </c>
      <c r="D3576" s="58" t="s">
        <v>599</v>
      </c>
    </row>
    <row r="3577" spans="1:4">
      <c r="A3577" s="58" t="s">
        <v>5763</v>
      </c>
      <c r="B3577" s="58">
        <v>590051</v>
      </c>
      <c r="C3577" s="58" t="s">
        <v>5764</v>
      </c>
      <c r="D3577" s="58" t="s">
        <v>681</v>
      </c>
    </row>
    <row r="3578" spans="1:4">
      <c r="A3578" s="58" t="s">
        <v>5765</v>
      </c>
      <c r="B3578" s="58">
        <v>511066</v>
      </c>
      <c r="C3578" s="58" t="s">
        <v>588</v>
      </c>
      <c r="D3578" s="58" t="s">
        <v>605</v>
      </c>
    </row>
    <row r="3579" spans="1:4">
      <c r="A3579" s="58" t="s">
        <v>5766</v>
      </c>
      <c r="B3579" s="58">
        <v>507315</v>
      </c>
      <c r="C3579" s="58" t="s">
        <v>5767</v>
      </c>
      <c r="D3579" s="58" t="s">
        <v>1286</v>
      </c>
    </row>
    <row r="3580" spans="1:4">
      <c r="A3580" s="58" t="s">
        <v>5768</v>
      </c>
      <c r="B3580" s="58">
        <v>532713</v>
      </c>
      <c r="C3580" s="58" t="s">
        <v>5769</v>
      </c>
      <c r="D3580" s="58" t="s">
        <v>610</v>
      </c>
    </row>
    <row r="3581" spans="1:4">
      <c r="A3581" s="58" t="s">
        <v>5770</v>
      </c>
      <c r="B3581" s="58">
        <v>540642</v>
      </c>
      <c r="C3581" s="58" t="s">
        <v>5771</v>
      </c>
      <c r="D3581" s="58" t="s">
        <v>986</v>
      </c>
    </row>
    <row r="3582" spans="1:4">
      <c r="A3582" s="58" t="s">
        <v>5772</v>
      </c>
      <c r="B3582" s="58">
        <v>540181</v>
      </c>
      <c r="C3582" s="58" t="s">
        <v>588</v>
      </c>
      <c r="D3582" s="58" t="s">
        <v>605</v>
      </c>
    </row>
    <row r="3583" spans="1:4">
      <c r="A3583" s="58" t="s">
        <v>5773</v>
      </c>
      <c r="B3583" s="58">
        <v>526554</v>
      </c>
      <c r="C3583" s="58" t="s">
        <v>588</v>
      </c>
      <c r="D3583" s="58" t="s">
        <v>783</v>
      </c>
    </row>
    <row r="3584" spans="1:4">
      <c r="A3584" s="58" t="s">
        <v>5774</v>
      </c>
      <c r="B3584" s="58">
        <v>590056</v>
      </c>
      <c r="C3584" s="58" t="s">
        <v>5775</v>
      </c>
      <c r="D3584" s="58" t="s">
        <v>603</v>
      </c>
    </row>
    <row r="3585" spans="1:4">
      <c r="A3585" s="58" t="s">
        <v>5776</v>
      </c>
      <c r="B3585" s="58">
        <v>500370</v>
      </c>
      <c r="C3585" s="58" t="s">
        <v>5777</v>
      </c>
      <c r="D3585" s="58" t="s">
        <v>610</v>
      </c>
    </row>
    <row r="3586" spans="1:4">
      <c r="A3586" s="58" t="s">
        <v>5778</v>
      </c>
      <c r="B3586" s="58">
        <v>517059</v>
      </c>
      <c r="C3586" s="58" t="s">
        <v>5779</v>
      </c>
      <c r="D3586" s="58" t="s">
        <v>886</v>
      </c>
    </row>
    <row r="3587" spans="1:4">
      <c r="A3587" s="58" t="s">
        <v>5780</v>
      </c>
      <c r="B3587" s="58">
        <v>532005</v>
      </c>
      <c r="C3587" s="58" t="s">
        <v>588</v>
      </c>
      <c r="D3587" s="58" t="s">
        <v>773</v>
      </c>
    </row>
    <row r="3588" spans="1:4">
      <c r="A3588" s="58" t="s">
        <v>5781</v>
      </c>
      <c r="B3588" s="58">
        <v>521240</v>
      </c>
      <c r="C3588" s="58" t="s">
        <v>588</v>
      </c>
      <c r="D3588" s="58" t="s">
        <v>603</v>
      </c>
    </row>
    <row r="3589" spans="1:4">
      <c r="A3589" s="58" t="s">
        <v>5782</v>
      </c>
      <c r="B3589" s="58">
        <v>511630</v>
      </c>
      <c r="C3589" s="58" t="s">
        <v>5783</v>
      </c>
      <c r="D3589" s="58" t="s">
        <v>1112</v>
      </c>
    </row>
    <row r="3590" spans="1:4">
      <c r="A3590" s="58" t="s">
        <v>5784</v>
      </c>
      <c r="B3590" s="58">
        <v>520075</v>
      </c>
      <c r="C3590" s="58" t="s">
        <v>588</v>
      </c>
      <c r="D3590" s="58" t="s">
        <v>943</v>
      </c>
    </row>
    <row r="3591" spans="1:4">
      <c r="A3591" s="58" t="s">
        <v>5785</v>
      </c>
      <c r="B3591" s="58">
        <v>530617</v>
      </c>
      <c r="C3591" s="58" t="s">
        <v>588</v>
      </c>
      <c r="D3591" s="58" t="s">
        <v>648</v>
      </c>
    </row>
    <row r="3592" spans="1:4">
      <c r="A3592" s="58" t="s">
        <v>5786</v>
      </c>
      <c r="B3592" s="58">
        <v>530125</v>
      </c>
      <c r="C3592" s="58" t="s">
        <v>588</v>
      </c>
      <c r="D3592" s="58" t="s">
        <v>626</v>
      </c>
    </row>
    <row r="3593" spans="1:4">
      <c r="A3593" s="58" t="s">
        <v>5787</v>
      </c>
      <c r="B3593" s="58">
        <v>500371</v>
      </c>
      <c r="C3593" s="58" t="s">
        <v>588</v>
      </c>
      <c r="D3593" s="58" t="s">
        <v>957</v>
      </c>
    </row>
    <row r="3594" spans="1:4">
      <c r="A3594" s="58" t="s">
        <v>5788</v>
      </c>
      <c r="B3594" s="58">
        <v>500371</v>
      </c>
      <c r="C3594" s="58" t="s">
        <v>588</v>
      </c>
      <c r="D3594" s="58" t="s">
        <v>957</v>
      </c>
    </row>
    <row r="3595" spans="1:4">
      <c r="A3595" s="58" t="s">
        <v>5789</v>
      </c>
      <c r="B3595" s="58">
        <v>521206</v>
      </c>
      <c r="C3595" s="58" t="s">
        <v>588</v>
      </c>
      <c r="D3595" s="58" t="s">
        <v>702</v>
      </c>
    </row>
    <row r="3596" spans="1:4">
      <c r="A3596" s="58" t="s">
        <v>5790</v>
      </c>
      <c r="B3596" s="58">
        <v>530025</v>
      </c>
      <c r="C3596" s="58" t="s">
        <v>588</v>
      </c>
      <c r="D3596" s="58" t="s">
        <v>1009</v>
      </c>
    </row>
    <row r="3597" spans="1:4">
      <c r="A3597" s="58" t="s">
        <v>5791</v>
      </c>
      <c r="B3597" s="58">
        <v>780015</v>
      </c>
      <c r="C3597" s="58" t="s">
        <v>588</v>
      </c>
      <c r="D3597" s="58" t="s">
        <v>679</v>
      </c>
    </row>
    <row r="3598" spans="1:4">
      <c r="A3598" s="58" t="s">
        <v>5792</v>
      </c>
      <c r="B3598" s="58">
        <v>509423</v>
      </c>
      <c r="C3598" s="58" t="s">
        <v>588</v>
      </c>
      <c r="D3598" s="58" t="s">
        <v>636</v>
      </c>
    </row>
    <row r="3599" spans="1:4">
      <c r="A3599" s="58" t="s">
        <v>5793</v>
      </c>
      <c r="B3599" s="58">
        <v>521222</v>
      </c>
      <c r="C3599" s="58" t="s">
        <v>588</v>
      </c>
      <c r="D3599" s="58" t="s">
        <v>702</v>
      </c>
    </row>
    <row r="3600" spans="1:4">
      <c r="A3600" s="58" t="s">
        <v>5794</v>
      </c>
      <c r="B3600" s="58" t="s">
        <v>588</v>
      </c>
      <c r="C3600" s="58" t="s">
        <v>5795</v>
      </c>
      <c r="D3600" s="58" t="s">
        <v>679</v>
      </c>
    </row>
    <row r="3601" spans="1:4">
      <c r="A3601" s="58" t="s">
        <v>5796</v>
      </c>
      <c r="B3601" s="58">
        <v>523116</v>
      </c>
      <c r="C3601" s="58" t="s">
        <v>588</v>
      </c>
      <c r="D3601" s="58" t="s">
        <v>711</v>
      </c>
    </row>
    <row r="3602" spans="1:4">
      <c r="A3602" s="58" t="s">
        <v>5797</v>
      </c>
      <c r="B3602" s="58">
        <v>541163</v>
      </c>
      <c r="C3602" s="58" t="s">
        <v>5798</v>
      </c>
      <c r="D3602" s="58" t="s">
        <v>943</v>
      </c>
    </row>
    <row r="3603" spans="1:4">
      <c r="A3603" s="58" t="s">
        <v>5799</v>
      </c>
      <c r="B3603" s="58">
        <v>524703</v>
      </c>
      <c r="C3603" s="58" t="s">
        <v>588</v>
      </c>
      <c r="D3603" s="58" t="s">
        <v>626</v>
      </c>
    </row>
    <row r="3604" spans="1:4">
      <c r="A3604" s="58" t="s">
        <v>5800</v>
      </c>
      <c r="B3604" s="58">
        <v>504918</v>
      </c>
      <c r="C3604" s="58" t="s">
        <v>588</v>
      </c>
      <c r="D3604" s="58" t="s">
        <v>568</v>
      </c>
    </row>
    <row r="3605" spans="1:4">
      <c r="A3605" s="58" t="s">
        <v>5801</v>
      </c>
      <c r="B3605" s="58">
        <v>539392</v>
      </c>
      <c r="C3605" s="58" t="s">
        <v>588</v>
      </c>
      <c r="D3605" s="58" t="s">
        <v>610</v>
      </c>
    </row>
    <row r="3606" spans="1:4">
      <c r="A3606" s="58" t="s">
        <v>5802</v>
      </c>
      <c r="B3606" s="58">
        <v>539392</v>
      </c>
      <c r="C3606" s="58" t="s">
        <v>588</v>
      </c>
      <c r="D3606" s="58" t="s">
        <v>610</v>
      </c>
    </row>
    <row r="3607" spans="1:4">
      <c r="A3607" s="58" t="s">
        <v>5803</v>
      </c>
      <c r="B3607" s="58">
        <v>516096</v>
      </c>
      <c r="C3607" s="58" t="s">
        <v>588</v>
      </c>
      <c r="D3607" s="58" t="s">
        <v>582</v>
      </c>
    </row>
    <row r="3608" spans="1:4">
      <c r="A3608" s="58" t="s">
        <v>5804</v>
      </c>
      <c r="B3608" s="58">
        <v>514234</v>
      </c>
      <c r="C3608" s="58" t="s">
        <v>5805</v>
      </c>
      <c r="D3608" s="58" t="s">
        <v>603</v>
      </c>
    </row>
    <row r="3609" spans="1:4">
      <c r="A3609" s="58" t="s">
        <v>5806</v>
      </c>
      <c r="B3609" s="58">
        <v>514234</v>
      </c>
      <c r="C3609" s="58" t="s">
        <v>5805</v>
      </c>
      <c r="D3609" s="58" t="s">
        <v>603</v>
      </c>
    </row>
    <row r="3610" spans="1:4">
      <c r="A3610" s="58" t="s">
        <v>5807</v>
      </c>
      <c r="B3610" s="58">
        <v>534618</v>
      </c>
      <c r="C3610" s="58" t="s">
        <v>588</v>
      </c>
      <c r="D3610" s="58" t="s">
        <v>727</v>
      </c>
    </row>
    <row r="3611" spans="1:4">
      <c r="A3611" s="58" t="s">
        <v>5808</v>
      </c>
      <c r="B3611" s="58">
        <v>511640</v>
      </c>
      <c r="C3611" s="58" t="s">
        <v>588</v>
      </c>
      <c r="D3611" s="58" t="s">
        <v>605</v>
      </c>
    </row>
    <row r="3612" spans="1:4">
      <c r="A3612" s="58" t="s">
        <v>5809</v>
      </c>
      <c r="B3612" s="58">
        <v>526521</v>
      </c>
      <c r="C3612" s="58" t="s">
        <v>5810</v>
      </c>
      <c r="D3612" s="58" t="s">
        <v>601</v>
      </c>
    </row>
    <row r="3613" spans="1:4">
      <c r="A3613" s="58" t="s">
        <v>5811</v>
      </c>
      <c r="B3613" s="58">
        <v>540782</v>
      </c>
      <c r="C3613" s="58" t="s">
        <v>588</v>
      </c>
      <c r="D3613" s="58" t="s">
        <v>789</v>
      </c>
    </row>
    <row r="3614" spans="1:4">
      <c r="A3614" s="58" t="s">
        <v>5812</v>
      </c>
      <c r="B3614" s="58">
        <v>533411</v>
      </c>
      <c r="C3614" s="58" t="s">
        <v>5813</v>
      </c>
      <c r="D3614" s="58" t="s">
        <v>1506</v>
      </c>
    </row>
    <row r="3615" spans="1:4">
      <c r="A3615" s="58" t="s">
        <v>5814</v>
      </c>
      <c r="B3615" s="58">
        <v>530073</v>
      </c>
      <c r="C3615" s="58" t="s">
        <v>5815</v>
      </c>
      <c r="D3615" s="58" t="s">
        <v>711</v>
      </c>
    </row>
    <row r="3616" spans="1:4">
      <c r="A3616" s="58" t="s">
        <v>5816</v>
      </c>
      <c r="B3616" s="58" t="s">
        <v>588</v>
      </c>
      <c r="C3616" s="58" t="s">
        <v>5817</v>
      </c>
      <c r="D3616" s="58" t="s">
        <v>599</v>
      </c>
    </row>
    <row r="3617" spans="1:4">
      <c r="A3617" s="58" t="s">
        <v>5818</v>
      </c>
      <c r="B3617" s="58">
        <v>531898</v>
      </c>
      <c r="C3617" s="58" t="s">
        <v>588</v>
      </c>
      <c r="D3617" s="58" t="s">
        <v>591</v>
      </c>
    </row>
    <row r="3618" spans="1:4">
      <c r="A3618" s="58" t="s">
        <v>5819</v>
      </c>
      <c r="B3618" s="58">
        <v>531569</v>
      </c>
      <c r="C3618" s="58" t="s">
        <v>588</v>
      </c>
      <c r="D3618" s="58" t="s">
        <v>626</v>
      </c>
    </row>
    <row r="3619" spans="1:4">
      <c r="A3619" s="58" t="s">
        <v>5820</v>
      </c>
      <c r="B3619" s="58">
        <v>532972</v>
      </c>
      <c r="C3619" s="58" t="s">
        <v>588</v>
      </c>
      <c r="D3619" s="58" t="s">
        <v>681</v>
      </c>
    </row>
    <row r="3620" spans="1:4">
      <c r="A3620" s="58" t="s">
        <v>5821</v>
      </c>
      <c r="B3620" s="58">
        <v>532435</v>
      </c>
      <c r="C3620" s="58" t="s">
        <v>588</v>
      </c>
      <c r="D3620" s="58" t="s">
        <v>674</v>
      </c>
    </row>
    <row r="3621" spans="1:4">
      <c r="A3621" s="58" t="s">
        <v>5822</v>
      </c>
      <c r="B3621" s="58">
        <v>512062</v>
      </c>
      <c r="C3621" s="58" t="s">
        <v>588</v>
      </c>
      <c r="D3621" s="58" t="s">
        <v>1009</v>
      </c>
    </row>
    <row r="3622" spans="1:4">
      <c r="A3622" s="58" t="s">
        <v>5823</v>
      </c>
      <c r="B3622" s="58">
        <v>500674</v>
      </c>
      <c r="C3622" s="58" t="s">
        <v>5824</v>
      </c>
      <c r="D3622" s="58" t="s">
        <v>626</v>
      </c>
    </row>
    <row r="3623" spans="1:4">
      <c r="A3623" s="58" t="s">
        <v>5825</v>
      </c>
      <c r="B3623" s="58">
        <v>500674</v>
      </c>
      <c r="C3623" s="58" t="s">
        <v>5824</v>
      </c>
      <c r="D3623" s="58" t="s">
        <v>626</v>
      </c>
    </row>
    <row r="3624" spans="1:4">
      <c r="A3624" s="58" t="s">
        <v>5826</v>
      </c>
      <c r="B3624" s="58">
        <v>514280</v>
      </c>
      <c r="C3624" s="58" t="s">
        <v>588</v>
      </c>
      <c r="D3624" s="58" t="s">
        <v>603</v>
      </c>
    </row>
    <row r="3625" spans="1:4">
      <c r="A3625" s="58" t="s">
        <v>5827</v>
      </c>
      <c r="B3625" s="58">
        <v>530035</v>
      </c>
      <c r="C3625" s="58" t="s">
        <v>588</v>
      </c>
      <c r="D3625" s="58" t="s">
        <v>603</v>
      </c>
    </row>
    <row r="3626" spans="1:4">
      <c r="A3626" s="58" t="s">
        <v>5828</v>
      </c>
      <c r="B3626" s="58">
        <v>540822</v>
      </c>
      <c r="C3626" s="58" t="s">
        <v>588</v>
      </c>
      <c r="D3626" s="58" t="s">
        <v>605</v>
      </c>
    </row>
    <row r="3627" spans="1:4">
      <c r="A3627" s="58" t="s">
        <v>5829</v>
      </c>
      <c r="B3627" s="58">
        <v>519260</v>
      </c>
      <c r="C3627" s="58" t="s">
        <v>5830</v>
      </c>
      <c r="D3627" s="58" t="s">
        <v>837</v>
      </c>
    </row>
    <row r="3628" spans="1:4">
      <c r="A3628" s="58" t="s">
        <v>5831</v>
      </c>
      <c r="B3628" s="58">
        <v>506906</v>
      </c>
      <c r="C3628" s="58" t="s">
        <v>588</v>
      </c>
      <c r="D3628" s="58" t="s">
        <v>610</v>
      </c>
    </row>
    <row r="3629" spans="1:4">
      <c r="A3629" s="58" t="s">
        <v>5832</v>
      </c>
      <c r="B3629" s="58">
        <v>519238</v>
      </c>
      <c r="C3629" s="58" t="s">
        <v>588</v>
      </c>
      <c r="D3629" s="58" t="s">
        <v>786</v>
      </c>
    </row>
    <row r="3630" spans="1:4">
      <c r="A3630" s="58" t="s">
        <v>5833</v>
      </c>
      <c r="B3630" s="58">
        <v>538992</v>
      </c>
      <c r="C3630" s="58" t="s">
        <v>588</v>
      </c>
      <c r="D3630" s="58" t="s">
        <v>943</v>
      </c>
    </row>
    <row r="3631" spans="1:4">
      <c r="A3631" s="58" t="s">
        <v>5834</v>
      </c>
      <c r="B3631" s="58">
        <v>512020</v>
      </c>
      <c r="C3631" s="58" t="s">
        <v>588</v>
      </c>
      <c r="D3631" s="58" t="s">
        <v>605</v>
      </c>
    </row>
    <row r="3632" spans="1:4">
      <c r="A3632" s="58" t="s">
        <v>5835</v>
      </c>
      <c r="B3632" s="58">
        <v>512020</v>
      </c>
      <c r="C3632" s="58" t="s">
        <v>588</v>
      </c>
      <c r="D3632" s="58" t="s">
        <v>605</v>
      </c>
    </row>
    <row r="3633" spans="1:4">
      <c r="A3633" s="58" t="s">
        <v>5836</v>
      </c>
      <c r="B3633" s="58">
        <v>504614</v>
      </c>
      <c r="C3633" s="58" t="s">
        <v>5837</v>
      </c>
      <c r="D3633" s="58" t="s">
        <v>620</v>
      </c>
    </row>
    <row r="3634" spans="1:4">
      <c r="A3634" s="58" t="s">
        <v>5838</v>
      </c>
      <c r="B3634" s="58">
        <v>516032</v>
      </c>
      <c r="C3634" s="58" t="s">
        <v>588</v>
      </c>
      <c r="D3634" s="58" t="s">
        <v>582</v>
      </c>
    </row>
    <row r="3635" spans="1:4">
      <c r="A3635" s="58" t="s">
        <v>5839</v>
      </c>
      <c r="B3635" s="58">
        <v>516003</v>
      </c>
      <c r="C3635" s="58" t="s">
        <v>588</v>
      </c>
      <c r="D3635" s="58" t="s">
        <v>1083</v>
      </c>
    </row>
    <row r="3636" spans="1:4">
      <c r="A3636" s="58" t="s">
        <v>5840</v>
      </c>
      <c r="B3636" s="58">
        <v>519242</v>
      </c>
      <c r="C3636" s="58" t="s">
        <v>588</v>
      </c>
      <c r="D3636" s="58" t="s">
        <v>837</v>
      </c>
    </row>
    <row r="3637" spans="1:4">
      <c r="A3637" s="58" t="s">
        <v>5841</v>
      </c>
      <c r="B3637" s="58">
        <v>532163</v>
      </c>
      <c r="C3637" s="58" t="s">
        <v>5842</v>
      </c>
      <c r="D3637" s="58" t="s">
        <v>591</v>
      </c>
    </row>
    <row r="3638" spans="1:4">
      <c r="A3638" s="58" t="s">
        <v>5843</v>
      </c>
      <c r="B3638" s="58">
        <v>532163</v>
      </c>
      <c r="C3638" s="58" t="s">
        <v>5842</v>
      </c>
      <c r="D3638" s="58" t="s">
        <v>591</v>
      </c>
    </row>
    <row r="3639" spans="1:4">
      <c r="A3639" s="58" t="s">
        <v>5844</v>
      </c>
      <c r="B3639" s="58">
        <v>526885</v>
      </c>
      <c r="C3639" s="58" t="s">
        <v>5845</v>
      </c>
      <c r="D3639" s="58" t="s">
        <v>603</v>
      </c>
    </row>
    <row r="3640" spans="1:4">
      <c r="A3640" s="58" t="s">
        <v>5846</v>
      </c>
      <c r="B3640" s="58">
        <v>530993</v>
      </c>
      <c r="C3640" s="58" t="s">
        <v>588</v>
      </c>
      <c r="D3640" s="58" t="s">
        <v>610</v>
      </c>
    </row>
    <row r="3641" spans="1:4">
      <c r="A3641" s="58" t="s">
        <v>5847</v>
      </c>
      <c r="B3641" s="58">
        <v>531930</v>
      </c>
      <c r="C3641" s="58" t="s">
        <v>588</v>
      </c>
      <c r="D3641" s="58" t="s">
        <v>1506</v>
      </c>
    </row>
    <row r="3642" spans="1:4">
      <c r="A3642" s="58" t="s">
        <v>5848</v>
      </c>
      <c r="B3642" s="58">
        <v>540393</v>
      </c>
      <c r="C3642" s="58" t="s">
        <v>588</v>
      </c>
      <c r="D3642" s="58" t="s">
        <v>911</v>
      </c>
    </row>
    <row r="3643" spans="1:4">
      <c r="A3643" s="58" t="s">
        <v>5849</v>
      </c>
      <c r="B3643" s="58">
        <v>514412</v>
      </c>
      <c r="C3643" s="58" t="s">
        <v>588</v>
      </c>
      <c r="D3643" s="58" t="s">
        <v>702</v>
      </c>
    </row>
    <row r="3644" spans="1:4">
      <c r="A3644" s="58" t="s">
        <v>5850</v>
      </c>
      <c r="B3644" s="58">
        <v>506190</v>
      </c>
      <c r="C3644" s="58" t="s">
        <v>588</v>
      </c>
      <c r="D3644" s="58" t="s">
        <v>1009</v>
      </c>
    </row>
    <row r="3645" spans="1:4">
      <c r="A3645" s="58" t="s">
        <v>5851</v>
      </c>
      <c r="B3645" s="58" t="s">
        <v>588</v>
      </c>
      <c r="C3645" s="58" t="s">
        <v>5852</v>
      </c>
      <c r="D3645" s="58" t="s">
        <v>599</v>
      </c>
    </row>
    <row r="3646" spans="1:4">
      <c r="A3646" s="58" t="s">
        <v>5853</v>
      </c>
      <c r="B3646" s="58">
        <v>539124</v>
      </c>
      <c r="C3646" s="58" t="s">
        <v>588</v>
      </c>
      <c r="D3646" s="58" t="s">
        <v>605</v>
      </c>
    </row>
    <row r="3647" spans="1:4">
      <c r="A3647" s="58" t="s">
        <v>5854</v>
      </c>
      <c r="B3647" s="58">
        <v>506313</v>
      </c>
      <c r="C3647" s="58" t="s">
        <v>588</v>
      </c>
      <c r="D3647" s="58" t="s">
        <v>1116</v>
      </c>
    </row>
    <row r="3648" spans="1:4">
      <c r="A3648" s="58" t="s">
        <v>5855</v>
      </c>
      <c r="B3648" s="58">
        <v>532663</v>
      </c>
      <c r="C3648" s="58" t="s">
        <v>5856</v>
      </c>
      <c r="D3648" s="58" t="s">
        <v>574</v>
      </c>
    </row>
    <row r="3649" spans="1:4">
      <c r="A3649" s="58" t="s">
        <v>5857</v>
      </c>
      <c r="B3649" s="58">
        <v>533259</v>
      </c>
      <c r="C3649" s="58" t="s">
        <v>5858</v>
      </c>
      <c r="D3649" s="58" t="s">
        <v>777</v>
      </c>
    </row>
    <row r="3650" spans="1:4">
      <c r="A3650" s="58" t="s">
        <v>5859</v>
      </c>
      <c r="B3650" s="58">
        <v>511076</v>
      </c>
      <c r="C3650" s="58" t="s">
        <v>588</v>
      </c>
      <c r="D3650" s="58" t="s">
        <v>610</v>
      </c>
    </row>
    <row r="3651" spans="1:4">
      <c r="A3651" s="58" t="s">
        <v>5860</v>
      </c>
      <c r="B3651" s="58">
        <v>526093</v>
      </c>
      <c r="C3651" s="58" t="s">
        <v>5861</v>
      </c>
      <c r="D3651" s="58" t="s">
        <v>620</v>
      </c>
    </row>
    <row r="3652" spans="1:4">
      <c r="A3652" s="58" t="s">
        <v>5862</v>
      </c>
      <c r="B3652" s="58">
        <v>539201</v>
      </c>
      <c r="C3652" s="58" t="s">
        <v>588</v>
      </c>
      <c r="D3652" s="58" t="s">
        <v>582</v>
      </c>
    </row>
    <row r="3653" spans="1:4">
      <c r="A3653" s="58" t="s">
        <v>5863</v>
      </c>
      <c r="B3653" s="58">
        <v>539404</v>
      </c>
      <c r="C3653" s="58" t="s">
        <v>5864</v>
      </c>
      <c r="D3653" s="58" t="s">
        <v>605</v>
      </c>
    </row>
    <row r="3654" spans="1:4">
      <c r="A3654" s="58" t="s">
        <v>5865</v>
      </c>
      <c r="B3654" s="58">
        <v>536592</v>
      </c>
      <c r="C3654" s="58" t="s">
        <v>588</v>
      </c>
      <c r="D3654" s="58" t="s">
        <v>605</v>
      </c>
    </row>
    <row r="3655" spans="1:4">
      <c r="A3655" s="58" t="s">
        <v>5866</v>
      </c>
      <c r="B3655" s="58">
        <v>508996</v>
      </c>
      <c r="C3655" s="58" t="s">
        <v>5867</v>
      </c>
      <c r="D3655" s="58" t="s">
        <v>674</v>
      </c>
    </row>
    <row r="3656" spans="1:4">
      <c r="A3656" s="58" t="s">
        <v>5868</v>
      </c>
      <c r="B3656" s="58">
        <v>503893</v>
      </c>
      <c r="C3656" s="58" t="s">
        <v>588</v>
      </c>
      <c r="D3656" s="58" t="s">
        <v>571</v>
      </c>
    </row>
    <row r="3657" spans="1:4">
      <c r="A3657" s="58" t="s">
        <v>5869</v>
      </c>
      <c r="B3657" s="58">
        <v>539218</v>
      </c>
      <c r="C3657" s="58" t="s">
        <v>588</v>
      </c>
      <c r="D3657" s="58" t="s">
        <v>605</v>
      </c>
    </row>
    <row r="3658" spans="1:4">
      <c r="A3658" s="58" t="s">
        <v>5870</v>
      </c>
      <c r="B3658" s="58">
        <v>502175</v>
      </c>
      <c r="C3658" s="58" t="s">
        <v>588</v>
      </c>
      <c r="D3658" s="58" t="s">
        <v>601</v>
      </c>
    </row>
    <row r="3659" spans="1:4">
      <c r="A3659" s="58" t="s">
        <v>5871</v>
      </c>
      <c r="B3659" s="58">
        <v>511577</v>
      </c>
      <c r="C3659" s="58" t="s">
        <v>588</v>
      </c>
      <c r="D3659" s="58" t="s">
        <v>605</v>
      </c>
    </row>
    <row r="3660" spans="1:4">
      <c r="A3660" s="58" t="s">
        <v>5872</v>
      </c>
      <c r="B3660" s="58">
        <v>517320</v>
      </c>
      <c r="C3660" s="58" t="s">
        <v>588</v>
      </c>
      <c r="D3660" s="58" t="s">
        <v>886</v>
      </c>
    </row>
    <row r="3661" spans="1:4">
      <c r="A3661" s="58" t="s">
        <v>5873</v>
      </c>
      <c r="B3661" s="58">
        <v>532404</v>
      </c>
      <c r="C3661" s="58" t="s">
        <v>588</v>
      </c>
      <c r="D3661" s="58" t="s">
        <v>681</v>
      </c>
    </row>
    <row r="3662" spans="1:4">
      <c r="A3662" s="58" t="s">
        <v>5874</v>
      </c>
      <c r="B3662" s="58">
        <v>512634</v>
      </c>
      <c r="C3662" s="58" t="s">
        <v>588</v>
      </c>
      <c r="D3662" s="58" t="s">
        <v>789</v>
      </c>
    </row>
    <row r="3663" spans="1:4">
      <c r="A3663" s="58" t="s">
        <v>5875</v>
      </c>
      <c r="B3663" s="58">
        <v>524667</v>
      </c>
      <c r="C3663" s="58" t="s">
        <v>5876</v>
      </c>
      <c r="D3663" s="58" t="s">
        <v>1515</v>
      </c>
    </row>
    <row r="3664" spans="1:4">
      <c r="A3664" s="58" t="s">
        <v>5877</v>
      </c>
      <c r="B3664" s="58">
        <v>531893</v>
      </c>
      <c r="C3664" s="58" t="s">
        <v>588</v>
      </c>
      <c r="D3664" s="58" t="s">
        <v>1009</v>
      </c>
    </row>
    <row r="3665" spans="1:4">
      <c r="A3665" s="58" t="s">
        <v>5878</v>
      </c>
      <c r="B3665" s="58">
        <v>523710</v>
      </c>
      <c r="C3665" s="58" t="s">
        <v>588</v>
      </c>
      <c r="D3665" s="58" t="s">
        <v>789</v>
      </c>
    </row>
    <row r="3666" spans="1:4">
      <c r="A3666" s="58" t="s">
        <v>5879</v>
      </c>
      <c r="B3666" s="58">
        <v>540728</v>
      </c>
      <c r="C3666" s="58" t="s">
        <v>588</v>
      </c>
      <c r="D3666" s="58" t="s">
        <v>577</v>
      </c>
    </row>
    <row r="3667" spans="1:4">
      <c r="A3667" s="58" t="s">
        <v>5880</v>
      </c>
      <c r="B3667" s="58">
        <v>532102</v>
      </c>
      <c r="C3667" s="58" t="s">
        <v>588</v>
      </c>
      <c r="D3667" s="58" t="s">
        <v>1286</v>
      </c>
    </row>
    <row r="3668" spans="1:4">
      <c r="A3668" s="58" t="s">
        <v>5881</v>
      </c>
      <c r="B3668" s="58">
        <v>540719</v>
      </c>
      <c r="C3668" s="58" t="s">
        <v>5882</v>
      </c>
      <c r="D3668" s="58" t="s">
        <v>2997</v>
      </c>
    </row>
    <row r="3669" spans="1:4">
      <c r="A3669" s="58" t="s">
        <v>5883</v>
      </c>
      <c r="B3669" s="58">
        <v>590098</v>
      </c>
      <c r="C3669" s="58" t="s">
        <v>5884</v>
      </c>
      <c r="D3669" s="58" t="s">
        <v>571</v>
      </c>
    </row>
    <row r="3670" spans="1:4">
      <c r="A3670" s="58" t="s">
        <v>5885</v>
      </c>
      <c r="B3670" s="58">
        <v>526081</v>
      </c>
      <c r="C3670" s="58" t="s">
        <v>5886</v>
      </c>
      <c r="D3670" s="58" t="s">
        <v>648</v>
      </c>
    </row>
    <row r="3671" spans="1:4">
      <c r="A3671" s="58" t="s">
        <v>5887</v>
      </c>
      <c r="B3671" s="58">
        <v>531797</v>
      </c>
      <c r="C3671" s="58" t="s">
        <v>588</v>
      </c>
      <c r="D3671" s="58" t="s">
        <v>601</v>
      </c>
    </row>
    <row r="3672" spans="1:4">
      <c r="A3672" s="58" t="s">
        <v>5888</v>
      </c>
      <c r="B3672" s="58">
        <v>511672</v>
      </c>
      <c r="C3672" s="58" t="s">
        <v>588</v>
      </c>
      <c r="D3672" s="58" t="s">
        <v>620</v>
      </c>
    </row>
    <row r="3673" spans="1:4">
      <c r="A3673" s="58" t="s">
        <v>5889</v>
      </c>
      <c r="B3673" s="58">
        <v>516110</v>
      </c>
      <c r="C3673" s="58" t="s">
        <v>5890</v>
      </c>
      <c r="D3673" s="58" t="s">
        <v>777</v>
      </c>
    </row>
    <row r="3674" spans="1:4">
      <c r="A3674" s="58" t="s">
        <v>5891</v>
      </c>
      <c r="B3674" s="58">
        <v>526544</v>
      </c>
      <c r="C3674" s="58" t="s">
        <v>588</v>
      </c>
      <c r="D3674" s="58" t="s">
        <v>594</v>
      </c>
    </row>
    <row r="3675" spans="1:4">
      <c r="A3675" s="58" t="s">
        <v>5892</v>
      </c>
      <c r="B3675" s="58">
        <v>507894</v>
      </c>
      <c r="C3675" s="58" t="s">
        <v>588</v>
      </c>
      <c r="D3675" s="58" t="s">
        <v>865</v>
      </c>
    </row>
    <row r="3676" spans="1:4">
      <c r="A3676" s="58" t="s">
        <v>5893</v>
      </c>
      <c r="B3676" s="58">
        <v>507894</v>
      </c>
      <c r="C3676" s="58" t="s">
        <v>588</v>
      </c>
      <c r="D3676" s="58" t="s">
        <v>865</v>
      </c>
    </row>
    <row r="3677" spans="1:4">
      <c r="A3677" s="58" t="s">
        <v>5894</v>
      </c>
      <c r="B3677" s="58">
        <v>505790</v>
      </c>
      <c r="C3677" s="58" t="s">
        <v>5895</v>
      </c>
      <c r="D3677" s="58" t="s">
        <v>596</v>
      </c>
    </row>
    <row r="3678" spans="1:4">
      <c r="A3678" s="58" t="s">
        <v>5896</v>
      </c>
      <c r="B3678" s="58">
        <v>505790</v>
      </c>
      <c r="C3678" s="58" t="s">
        <v>5895</v>
      </c>
      <c r="D3678" s="58" t="s">
        <v>596</v>
      </c>
    </row>
    <row r="3679" spans="1:4">
      <c r="A3679" s="58" t="s">
        <v>5897</v>
      </c>
      <c r="B3679" s="58">
        <v>534139</v>
      </c>
      <c r="C3679" s="58" t="s">
        <v>5898</v>
      </c>
      <c r="D3679" s="58" t="s">
        <v>631</v>
      </c>
    </row>
    <row r="3680" spans="1:4">
      <c r="A3680" s="58" t="s">
        <v>5899</v>
      </c>
      <c r="B3680" s="58">
        <v>538857</v>
      </c>
      <c r="C3680" s="58" t="s">
        <v>588</v>
      </c>
      <c r="D3680" s="58" t="s">
        <v>605</v>
      </c>
    </row>
    <row r="3681" spans="1:4">
      <c r="A3681" s="58" t="s">
        <v>5900</v>
      </c>
      <c r="B3681" s="58">
        <v>505141</v>
      </c>
      <c r="C3681" s="58" t="s">
        <v>588</v>
      </c>
      <c r="D3681" s="58" t="s">
        <v>1245</v>
      </c>
    </row>
    <row r="3682" spans="1:4">
      <c r="A3682" s="58" t="s">
        <v>5901</v>
      </c>
      <c r="B3682" s="58">
        <v>505141</v>
      </c>
      <c r="C3682" s="58" t="s">
        <v>588</v>
      </c>
      <c r="D3682" s="58" t="s">
        <v>1245</v>
      </c>
    </row>
    <row r="3683" spans="1:4">
      <c r="A3683" s="58" t="s">
        <v>5902</v>
      </c>
      <c r="B3683" s="58">
        <v>530361</v>
      </c>
      <c r="C3683" s="58" t="s">
        <v>588</v>
      </c>
      <c r="D3683" s="58" t="s">
        <v>648</v>
      </c>
    </row>
    <row r="3684" spans="1:4">
      <c r="A3684" s="58" t="s">
        <v>5903</v>
      </c>
      <c r="B3684" s="58">
        <v>533268</v>
      </c>
      <c r="C3684" s="58" t="s">
        <v>588</v>
      </c>
      <c r="D3684" s="58" t="s">
        <v>1325</v>
      </c>
    </row>
    <row r="3685" spans="1:4">
      <c r="A3685" s="58" t="s">
        <v>5904</v>
      </c>
      <c r="B3685" s="58">
        <v>526807</v>
      </c>
      <c r="C3685" s="58" t="s">
        <v>5905</v>
      </c>
      <c r="D3685" s="58" t="s">
        <v>1833</v>
      </c>
    </row>
    <row r="3686" spans="1:4">
      <c r="A3686" s="58" t="s">
        <v>5906</v>
      </c>
      <c r="B3686" s="58">
        <v>521182</v>
      </c>
      <c r="C3686" s="58" t="s">
        <v>588</v>
      </c>
      <c r="D3686" s="58" t="s">
        <v>610</v>
      </c>
    </row>
    <row r="3687" spans="1:4">
      <c r="A3687" s="58" t="s">
        <v>5907</v>
      </c>
      <c r="B3687" s="58">
        <v>514264</v>
      </c>
      <c r="C3687" s="58" t="s">
        <v>588</v>
      </c>
      <c r="D3687" s="58" t="s">
        <v>603</v>
      </c>
    </row>
    <row r="3688" spans="1:4">
      <c r="A3688" s="58" t="s">
        <v>5908</v>
      </c>
      <c r="B3688" s="58" t="s">
        <v>588</v>
      </c>
      <c r="C3688" s="58" t="s">
        <v>5909</v>
      </c>
      <c r="D3688" s="58" t="s">
        <v>599</v>
      </c>
    </row>
    <row r="3689" spans="1:4">
      <c r="A3689" s="58" t="s">
        <v>5910</v>
      </c>
      <c r="B3689" s="58">
        <v>540673</v>
      </c>
      <c r="C3689" s="58" t="s">
        <v>5911</v>
      </c>
      <c r="D3689" s="58" t="s">
        <v>3364</v>
      </c>
    </row>
    <row r="3690" spans="1:4">
      <c r="A3690" s="58" t="s">
        <v>5912</v>
      </c>
      <c r="B3690" s="58">
        <v>540673</v>
      </c>
      <c r="C3690" s="58" t="s">
        <v>5911</v>
      </c>
      <c r="D3690" s="58" t="s">
        <v>3364</v>
      </c>
    </row>
    <row r="3691" spans="1:4">
      <c r="A3691" s="58" t="s">
        <v>5913</v>
      </c>
      <c r="B3691" s="58">
        <v>532886</v>
      </c>
      <c r="C3691" s="58" t="s">
        <v>5914</v>
      </c>
      <c r="D3691" s="58" t="s">
        <v>603</v>
      </c>
    </row>
    <row r="3692" spans="1:4">
      <c r="A3692" s="58" t="s">
        <v>5915</v>
      </c>
      <c r="B3692" s="58">
        <v>530075</v>
      </c>
      <c r="C3692" s="58" t="s">
        <v>5916</v>
      </c>
      <c r="D3692" s="58" t="s">
        <v>651</v>
      </c>
    </row>
    <row r="3693" spans="1:4">
      <c r="A3693" s="58" t="s">
        <v>5917</v>
      </c>
      <c r="B3693" s="58">
        <v>538875</v>
      </c>
      <c r="C3693" s="58" t="s">
        <v>588</v>
      </c>
      <c r="D3693" s="58" t="s">
        <v>1009</v>
      </c>
    </row>
    <row r="3694" spans="1:4">
      <c r="A3694" s="58" t="s">
        <v>5918</v>
      </c>
      <c r="B3694" s="58">
        <v>532021</v>
      </c>
      <c r="C3694" s="58" t="s">
        <v>588</v>
      </c>
      <c r="D3694" s="58" t="s">
        <v>626</v>
      </c>
    </row>
    <row r="3695" spans="1:4">
      <c r="A3695" s="58" t="s">
        <v>5919</v>
      </c>
      <c r="B3695" s="58">
        <v>531980</v>
      </c>
      <c r="C3695" s="58" t="s">
        <v>588</v>
      </c>
      <c r="D3695" s="58" t="s">
        <v>574</v>
      </c>
    </row>
    <row r="3696" spans="1:4">
      <c r="A3696" s="58" t="s">
        <v>5920</v>
      </c>
      <c r="B3696" s="58">
        <v>512529</v>
      </c>
      <c r="C3696" s="58" t="s">
        <v>5921</v>
      </c>
      <c r="D3696" s="58" t="s">
        <v>626</v>
      </c>
    </row>
    <row r="3697" spans="1:4">
      <c r="A3697" s="58" t="s">
        <v>5922</v>
      </c>
      <c r="B3697" s="58" t="s">
        <v>588</v>
      </c>
      <c r="C3697" s="58" t="s">
        <v>5923</v>
      </c>
      <c r="D3697" s="58" t="s">
        <v>599</v>
      </c>
    </row>
    <row r="3698" spans="1:4">
      <c r="A3698" s="58" t="s">
        <v>5924</v>
      </c>
      <c r="B3698" s="58">
        <v>502450</v>
      </c>
      <c r="C3698" s="58" t="s">
        <v>5925</v>
      </c>
      <c r="D3698" s="58" t="s">
        <v>582</v>
      </c>
    </row>
    <row r="3699" spans="1:4">
      <c r="A3699" s="58" t="s">
        <v>5926</v>
      </c>
      <c r="B3699" s="58">
        <v>505075</v>
      </c>
      <c r="C3699" s="58" t="s">
        <v>5927</v>
      </c>
      <c r="D3699" s="58" t="s">
        <v>943</v>
      </c>
    </row>
    <row r="3700" spans="1:4">
      <c r="A3700" s="58" t="s">
        <v>5928</v>
      </c>
      <c r="B3700" s="58">
        <v>511760</v>
      </c>
      <c r="C3700" s="58" t="s">
        <v>588</v>
      </c>
      <c r="D3700" s="58" t="s">
        <v>605</v>
      </c>
    </row>
    <row r="3701" spans="1:4">
      <c r="A3701" s="58" t="s">
        <v>5929</v>
      </c>
      <c r="B3701" s="58">
        <v>524324</v>
      </c>
      <c r="C3701" s="58" t="s">
        <v>588</v>
      </c>
      <c r="D3701" s="58" t="s">
        <v>748</v>
      </c>
    </row>
    <row r="3702" spans="1:4">
      <c r="A3702" s="58" t="s">
        <v>5930</v>
      </c>
      <c r="B3702" s="58">
        <v>532993</v>
      </c>
      <c r="C3702" s="58" t="s">
        <v>5931</v>
      </c>
      <c r="D3702" s="58" t="s">
        <v>1116</v>
      </c>
    </row>
    <row r="3703" spans="1:4">
      <c r="A3703" s="58" t="s">
        <v>5932</v>
      </c>
      <c r="B3703" s="58">
        <v>530867</v>
      </c>
      <c r="C3703" s="58" t="s">
        <v>588</v>
      </c>
      <c r="D3703" s="58" t="s">
        <v>571</v>
      </c>
    </row>
    <row r="3704" spans="1:4">
      <c r="A3704" s="58" t="s">
        <v>5933</v>
      </c>
      <c r="B3704" s="58">
        <v>524546</v>
      </c>
      <c r="C3704" s="58" t="s">
        <v>588</v>
      </c>
      <c r="D3704" s="58" t="s">
        <v>626</v>
      </c>
    </row>
    <row r="3705" spans="1:4">
      <c r="A3705" s="58" t="s">
        <v>5934</v>
      </c>
      <c r="B3705" s="58">
        <v>513436</v>
      </c>
      <c r="C3705" s="58" t="s">
        <v>5935</v>
      </c>
      <c r="D3705" s="58" t="s">
        <v>620</v>
      </c>
    </row>
    <row r="3706" spans="1:4">
      <c r="A3706" s="58" t="s">
        <v>5936</v>
      </c>
      <c r="B3706" s="58">
        <v>509870</v>
      </c>
      <c r="C3706" s="58" t="s">
        <v>588</v>
      </c>
      <c r="D3706" s="58" t="s">
        <v>674</v>
      </c>
    </row>
    <row r="3707" spans="1:4">
      <c r="A3707" s="58" t="s">
        <v>5937</v>
      </c>
      <c r="B3707" s="58">
        <v>519031</v>
      </c>
      <c r="C3707" s="58" t="s">
        <v>588</v>
      </c>
      <c r="D3707" s="58" t="s">
        <v>648</v>
      </c>
    </row>
    <row r="3708" spans="1:4">
      <c r="A3708" s="58" t="s">
        <v>5938</v>
      </c>
      <c r="B3708" s="58">
        <v>526508</v>
      </c>
      <c r="C3708" s="58" t="s">
        <v>588</v>
      </c>
      <c r="D3708" s="58" t="s">
        <v>1833</v>
      </c>
    </row>
    <row r="3709" spans="1:4">
      <c r="A3709" s="58" t="s">
        <v>5939</v>
      </c>
      <c r="B3709" s="58">
        <v>539520</v>
      </c>
      <c r="C3709" s="58" t="s">
        <v>588</v>
      </c>
      <c r="D3709" s="58" t="s">
        <v>610</v>
      </c>
    </row>
    <row r="3710" spans="1:4">
      <c r="A3710" s="58" t="s">
        <v>5940</v>
      </c>
      <c r="B3710" s="58">
        <v>501423</v>
      </c>
      <c r="C3710" s="58" t="s">
        <v>588</v>
      </c>
      <c r="D3710" s="58" t="s">
        <v>708</v>
      </c>
    </row>
    <row r="3711" spans="1:4">
      <c r="A3711" s="58" t="s">
        <v>5941</v>
      </c>
      <c r="B3711" s="58" t="s">
        <v>588</v>
      </c>
      <c r="C3711" s="58" t="s">
        <v>5942</v>
      </c>
      <c r="D3711" s="58" t="s">
        <v>599</v>
      </c>
    </row>
    <row r="3712" spans="1:4">
      <c r="A3712" s="58" t="s">
        <v>5943</v>
      </c>
      <c r="B3712" s="58">
        <v>531431</v>
      </c>
      <c r="C3712" s="58" t="s">
        <v>5944</v>
      </c>
      <c r="D3712" s="58" t="s">
        <v>596</v>
      </c>
    </row>
    <row r="3713" spans="1:4">
      <c r="A3713" s="58" t="s">
        <v>5945</v>
      </c>
      <c r="B3713" s="58">
        <v>531431</v>
      </c>
      <c r="C3713" s="58" t="s">
        <v>5944</v>
      </c>
      <c r="D3713" s="58" t="s">
        <v>596</v>
      </c>
    </row>
    <row r="3714" spans="1:4">
      <c r="A3714" s="58" t="s">
        <v>5946</v>
      </c>
      <c r="B3714" s="58">
        <v>540797</v>
      </c>
      <c r="C3714" s="58" t="s">
        <v>5947</v>
      </c>
      <c r="D3714" s="58" t="s">
        <v>1058</v>
      </c>
    </row>
    <row r="3715" spans="1:4">
      <c r="A3715" s="58" t="s">
        <v>5948</v>
      </c>
      <c r="B3715" s="58">
        <v>511754</v>
      </c>
      <c r="C3715" s="58" t="s">
        <v>588</v>
      </c>
      <c r="D3715" s="58" t="s">
        <v>605</v>
      </c>
    </row>
    <row r="3716" spans="1:4">
      <c r="A3716" s="58" t="s">
        <v>5949</v>
      </c>
      <c r="B3716" s="58">
        <v>539895</v>
      </c>
      <c r="C3716" s="58" t="s">
        <v>588</v>
      </c>
      <c r="D3716" s="58" t="s">
        <v>571</v>
      </c>
    </row>
    <row r="3717" spans="1:4">
      <c r="A3717" s="58" t="s">
        <v>5950</v>
      </c>
      <c r="B3717" s="58">
        <v>509874</v>
      </c>
      <c r="C3717" s="58" t="s">
        <v>5951</v>
      </c>
      <c r="D3717" s="58" t="s">
        <v>865</v>
      </c>
    </row>
    <row r="3718" spans="1:4">
      <c r="A3718" s="58" t="s">
        <v>5952</v>
      </c>
      <c r="B3718" s="58">
        <v>512499</v>
      </c>
      <c r="C3718" s="58" t="s">
        <v>588</v>
      </c>
      <c r="D3718" s="58" t="s">
        <v>571</v>
      </c>
    </row>
    <row r="3719" spans="1:4">
      <c r="A3719" s="58" t="s">
        <v>5953</v>
      </c>
      <c r="B3719" s="58">
        <v>532455</v>
      </c>
      <c r="C3719" s="58" t="s">
        <v>588</v>
      </c>
      <c r="D3719" s="58" t="s">
        <v>662</v>
      </c>
    </row>
    <row r="3720" spans="1:4">
      <c r="A3720" s="58" t="s">
        <v>5954</v>
      </c>
      <c r="B3720" s="58">
        <v>540259</v>
      </c>
      <c r="C3720" s="58" t="s">
        <v>588</v>
      </c>
      <c r="D3720" s="58" t="s">
        <v>3364</v>
      </c>
    </row>
    <row r="3721" spans="1:4">
      <c r="A3721" s="58" t="s">
        <v>5955</v>
      </c>
      <c r="B3721" s="58">
        <v>542232</v>
      </c>
      <c r="C3721" s="58" t="s">
        <v>5956</v>
      </c>
      <c r="D3721" s="58" t="s">
        <v>954</v>
      </c>
    </row>
    <row r="3722" spans="1:4">
      <c r="A3722" s="58" t="s">
        <v>5957</v>
      </c>
      <c r="B3722" s="58">
        <v>540425</v>
      </c>
      <c r="C3722" s="58" t="s">
        <v>5958</v>
      </c>
      <c r="D3722" s="58" t="s">
        <v>911</v>
      </c>
    </row>
    <row r="3723" spans="1:4">
      <c r="A3723" s="58" t="s">
        <v>5959</v>
      </c>
      <c r="B3723" s="58">
        <v>512297</v>
      </c>
      <c r="C3723" s="58" t="s">
        <v>588</v>
      </c>
      <c r="D3723" s="58" t="s">
        <v>596</v>
      </c>
    </row>
    <row r="3724" spans="1:4">
      <c r="A3724" s="58" t="s">
        <v>5960</v>
      </c>
      <c r="B3724" s="58">
        <v>531925</v>
      </c>
      <c r="C3724" s="58" t="s">
        <v>588</v>
      </c>
      <c r="D3724" s="58" t="s">
        <v>648</v>
      </c>
    </row>
    <row r="3725" spans="1:4">
      <c r="A3725" s="58" t="s">
        <v>5961</v>
      </c>
      <c r="B3725" s="58">
        <v>522034</v>
      </c>
      <c r="C3725" s="58" t="s">
        <v>5962</v>
      </c>
      <c r="D3725" s="58" t="s">
        <v>943</v>
      </c>
    </row>
    <row r="3726" spans="1:4">
      <c r="A3726" s="58" t="s">
        <v>5963</v>
      </c>
      <c r="B3726" s="58">
        <v>539921</v>
      </c>
      <c r="C3726" s="58" t="s">
        <v>588</v>
      </c>
      <c r="D3726" s="58" t="s">
        <v>693</v>
      </c>
    </row>
    <row r="3727" spans="1:4">
      <c r="A3727" s="58" t="s">
        <v>5964</v>
      </c>
      <c r="B3727" s="58" t="s">
        <v>588</v>
      </c>
      <c r="C3727" s="58" t="s">
        <v>5965</v>
      </c>
      <c r="D3727" s="58" t="s">
        <v>599</v>
      </c>
    </row>
    <row r="3728" spans="1:4">
      <c r="A3728" s="58" t="s">
        <v>5966</v>
      </c>
      <c r="B3728" s="58" t="s">
        <v>588</v>
      </c>
      <c r="C3728" s="58" t="s">
        <v>5965</v>
      </c>
      <c r="D3728" s="58" t="s">
        <v>599</v>
      </c>
    </row>
    <row r="3729" spans="1:4">
      <c r="A3729" s="58" t="s">
        <v>5967</v>
      </c>
      <c r="B3729" s="58">
        <v>514402</v>
      </c>
      <c r="C3729" s="58" t="s">
        <v>588</v>
      </c>
      <c r="D3729" s="58" t="s">
        <v>603</v>
      </c>
    </row>
    <row r="3730" spans="1:4">
      <c r="A3730" s="58" t="s">
        <v>5968</v>
      </c>
      <c r="B3730" s="58">
        <v>539584</v>
      </c>
      <c r="C3730" s="58" t="s">
        <v>588</v>
      </c>
      <c r="D3730" s="58" t="s">
        <v>610</v>
      </c>
    </row>
    <row r="3731" spans="1:4">
      <c r="A3731" s="58" t="s">
        <v>5969</v>
      </c>
      <c r="B3731" s="58">
        <v>538666</v>
      </c>
      <c r="C3731" s="58" t="s">
        <v>5970</v>
      </c>
      <c r="D3731" s="58" t="s">
        <v>732</v>
      </c>
    </row>
    <row r="3732" spans="1:4">
      <c r="A3732" s="58" t="s">
        <v>5971</v>
      </c>
      <c r="B3732" s="58">
        <v>513548</v>
      </c>
      <c r="C3732" s="58" t="s">
        <v>588</v>
      </c>
      <c r="D3732" s="58" t="s">
        <v>620</v>
      </c>
    </row>
    <row r="3733" spans="1:4">
      <c r="A3733" s="58" t="s">
        <v>5972</v>
      </c>
      <c r="B3733" s="58">
        <v>535602</v>
      </c>
      <c r="C3733" s="58" t="s">
        <v>5973</v>
      </c>
      <c r="D3733" s="58" t="s">
        <v>943</v>
      </c>
    </row>
    <row r="3734" spans="1:4">
      <c r="A3734" s="58" t="s">
        <v>5974</v>
      </c>
      <c r="B3734" s="58">
        <v>512393</v>
      </c>
      <c r="C3734" s="58" t="s">
        <v>588</v>
      </c>
      <c r="D3734" s="58" t="s">
        <v>571</v>
      </c>
    </row>
    <row r="3735" spans="1:4">
      <c r="A3735" s="58" t="s">
        <v>5975</v>
      </c>
      <c r="B3735" s="58">
        <v>540725</v>
      </c>
      <c r="C3735" s="58" t="s">
        <v>588</v>
      </c>
      <c r="D3735" s="58" t="s">
        <v>571</v>
      </c>
    </row>
    <row r="3736" spans="1:4">
      <c r="A3736" s="58" t="s">
        <v>5976</v>
      </c>
      <c r="B3736" s="58">
        <v>540786</v>
      </c>
      <c r="C3736" s="58" t="s">
        <v>588</v>
      </c>
      <c r="D3736" s="58" t="s">
        <v>886</v>
      </c>
    </row>
    <row r="3737" spans="1:4">
      <c r="A3737" s="58" t="s">
        <v>5977</v>
      </c>
      <c r="B3737" s="58">
        <v>532908</v>
      </c>
      <c r="C3737" s="58" t="s">
        <v>5978</v>
      </c>
      <c r="D3737" s="58" t="s">
        <v>626</v>
      </c>
    </row>
    <row r="3738" spans="1:4">
      <c r="A3738" s="58" t="s">
        <v>5979</v>
      </c>
      <c r="B3738" s="58">
        <v>523449</v>
      </c>
      <c r="C3738" s="58" t="s">
        <v>588</v>
      </c>
      <c r="D3738" s="58" t="s">
        <v>957</v>
      </c>
    </row>
    <row r="3739" spans="1:4">
      <c r="A3739" s="58" t="s">
        <v>5980</v>
      </c>
      <c r="B3739" s="58">
        <v>523449</v>
      </c>
      <c r="C3739" s="58" t="s">
        <v>588</v>
      </c>
      <c r="D3739" s="58" t="s">
        <v>957</v>
      </c>
    </row>
    <row r="3740" spans="1:4">
      <c r="A3740" s="58" t="s">
        <v>5981</v>
      </c>
      <c r="B3740" s="58">
        <v>538212</v>
      </c>
      <c r="C3740" s="58" t="s">
        <v>588</v>
      </c>
      <c r="D3740" s="58" t="s">
        <v>605</v>
      </c>
    </row>
    <row r="3741" spans="1:4">
      <c r="A3741" s="58" t="s">
        <v>5982</v>
      </c>
      <c r="B3741" s="58">
        <v>540221</v>
      </c>
      <c r="C3741" s="58" t="s">
        <v>588</v>
      </c>
      <c r="D3741" s="58" t="s">
        <v>610</v>
      </c>
    </row>
    <row r="3742" spans="1:4">
      <c r="A3742" s="58" t="s">
        <v>5983</v>
      </c>
      <c r="B3742" s="58">
        <v>540147</v>
      </c>
      <c r="C3742" s="58" t="s">
        <v>588</v>
      </c>
      <c r="D3742" s="58" t="s">
        <v>986</v>
      </c>
    </row>
    <row r="3743" spans="1:4">
      <c r="A3743" s="58" t="s">
        <v>5984</v>
      </c>
      <c r="B3743" s="58">
        <v>540203</v>
      </c>
      <c r="C3743" s="58" t="s">
        <v>5985</v>
      </c>
      <c r="D3743" s="58" t="s">
        <v>865</v>
      </c>
    </row>
    <row r="3744" spans="1:4">
      <c r="A3744" s="58" t="s">
        <v>5986</v>
      </c>
      <c r="B3744" s="58">
        <v>540757</v>
      </c>
      <c r="C3744" s="58" t="s">
        <v>588</v>
      </c>
      <c r="D3744" s="58" t="s">
        <v>648</v>
      </c>
    </row>
    <row r="3745" spans="1:4">
      <c r="A3745" s="58" t="s">
        <v>5987</v>
      </c>
      <c r="B3745" s="58">
        <v>530525</v>
      </c>
      <c r="C3745" s="58" t="s">
        <v>588</v>
      </c>
      <c r="D3745" s="58" t="s">
        <v>702</v>
      </c>
    </row>
    <row r="3746" spans="1:4">
      <c r="A3746" s="58" t="s">
        <v>5988</v>
      </c>
      <c r="B3746" s="58">
        <v>533301</v>
      </c>
      <c r="C3746" s="58" t="s">
        <v>5989</v>
      </c>
      <c r="D3746" s="58" t="s">
        <v>603</v>
      </c>
    </row>
    <row r="3747" spans="1:4">
      <c r="A3747" s="58" t="s">
        <v>5990</v>
      </c>
      <c r="B3747" s="58">
        <v>526839</v>
      </c>
      <c r="C3747" s="58" t="s">
        <v>588</v>
      </c>
      <c r="D3747" s="58" t="s">
        <v>986</v>
      </c>
    </row>
    <row r="3748" spans="1:4">
      <c r="A3748" s="58" t="s">
        <v>5991</v>
      </c>
      <c r="B3748" s="58">
        <v>538685</v>
      </c>
      <c r="C3748" s="58" t="s">
        <v>5992</v>
      </c>
      <c r="D3748" s="58" t="s">
        <v>591</v>
      </c>
    </row>
    <row r="3749" spans="1:4">
      <c r="A3749" s="58" t="s">
        <v>5993</v>
      </c>
      <c r="B3749" s="58">
        <v>512367</v>
      </c>
      <c r="C3749" s="58" t="s">
        <v>588</v>
      </c>
      <c r="D3749" s="58" t="s">
        <v>571</v>
      </c>
    </row>
    <row r="3750" spans="1:4">
      <c r="A3750" s="58" t="s">
        <v>5994</v>
      </c>
      <c r="B3750" s="58">
        <v>526117</v>
      </c>
      <c r="C3750" s="58" t="s">
        <v>588</v>
      </c>
      <c r="D3750" s="58" t="s">
        <v>1134</v>
      </c>
    </row>
    <row r="3751" spans="1:4">
      <c r="A3751" s="58" t="s">
        <v>5995</v>
      </c>
      <c r="B3751" s="58">
        <v>539111</v>
      </c>
      <c r="C3751" s="58" t="s">
        <v>588</v>
      </c>
      <c r="D3751" s="58" t="s">
        <v>603</v>
      </c>
    </row>
    <row r="3752" spans="1:4">
      <c r="A3752" s="58" t="s">
        <v>5996</v>
      </c>
      <c r="B3752" s="58">
        <v>526137</v>
      </c>
      <c r="C3752" s="58" t="s">
        <v>588</v>
      </c>
      <c r="D3752" s="58" t="s">
        <v>783</v>
      </c>
    </row>
    <row r="3753" spans="1:4">
      <c r="A3753" s="58" t="s">
        <v>5997</v>
      </c>
      <c r="B3753" s="58">
        <v>507952</v>
      </c>
      <c r="C3753" s="58" t="s">
        <v>588</v>
      </c>
      <c r="D3753" s="58" t="s">
        <v>605</v>
      </c>
    </row>
    <row r="3754" spans="1:4">
      <c r="A3754" s="58" t="s">
        <v>5998</v>
      </c>
      <c r="B3754" s="58">
        <v>531201</v>
      </c>
      <c r="C3754" s="58" t="s">
        <v>588</v>
      </c>
      <c r="D3754" s="58" t="s">
        <v>886</v>
      </c>
    </row>
    <row r="3755" spans="1:4">
      <c r="A3755" s="58" t="s">
        <v>5999</v>
      </c>
      <c r="B3755" s="58">
        <v>513709</v>
      </c>
      <c r="C3755" s="58" t="s">
        <v>588</v>
      </c>
      <c r="D3755" s="58" t="s">
        <v>596</v>
      </c>
    </row>
    <row r="3756" spans="1:4">
      <c r="A3756" s="58" t="s">
        <v>6000</v>
      </c>
      <c r="B3756" s="58">
        <v>530549</v>
      </c>
      <c r="C3756" s="58" t="s">
        <v>6001</v>
      </c>
      <c r="D3756" s="58" t="s">
        <v>626</v>
      </c>
    </row>
    <row r="3757" spans="1:4">
      <c r="A3757" s="58" t="s">
        <v>6002</v>
      </c>
      <c r="B3757" s="58">
        <v>533389</v>
      </c>
      <c r="C3757" s="58" t="s">
        <v>6003</v>
      </c>
      <c r="D3757" s="58" t="s">
        <v>886</v>
      </c>
    </row>
    <row r="3758" spans="1:4">
      <c r="A3758" s="58" t="s">
        <v>6004</v>
      </c>
      <c r="B3758" s="58">
        <v>523598</v>
      </c>
      <c r="C3758" s="58" t="s">
        <v>6005</v>
      </c>
      <c r="D3758" s="58" t="s">
        <v>1833</v>
      </c>
    </row>
    <row r="3759" spans="1:4">
      <c r="A3759" s="58" t="s">
        <v>6006</v>
      </c>
      <c r="B3759" s="58">
        <v>523598</v>
      </c>
      <c r="C3759" s="58" t="s">
        <v>6005</v>
      </c>
      <c r="D3759" s="58" t="s">
        <v>1833</v>
      </c>
    </row>
    <row r="3760" spans="1:4">
      <c r="A3760" s="58" t="s">
        <v>6007</v>
      </c>
      <c r="B3760" s="58">
        <v>512289</v>
      </c>
      <c r="C3760" s="58" t="s">
        <v>6008</v>
      </c>
      <c r="D3760" s="58" t="s">
        <v>2832</v>
      </c>
    </row>
    <row r="3761" spans="1:4">
      <c r="A3761" s="58" t="s">
        <v>6009</v>
      </c>
      <c r="B3761" s="58">
        <v>540693</v>
      </c>
      <c r="C3761" s="58" t="s">
        <v>588</v>
      </c>
      <c r="D3761" s="58" t="s">
        <v>708</v>
      </c>
    </row>
    <row r="3762" spans="1:4">
      <c r="A3762" s="58" t="s">
        <v>6010</v>
      </c>
      <c r="B3762" s="58">
        <v>532323</v>
      </c>
      <c r="C3762" s="58" t="s">
        <v>588</v>
      </c>
      <c r="D3762" s="58" t="s">
        <v>601</v>
      </c>
    </row>
    <row r="3763" spans="1:4">
      <c r="A3763" s="58" t="s">
        <v>6011</v>
      </c>
      <c r="B3763" s="58">
        <v>530433</v>
      </c>
      <c r="C3763" s="58" t="s">
        <v>588</v>
      </c>
      <c r="D3763" s="58" t="s">
        <v>1096</v>
      </c>
    </row>
    <row r="3764" spans="1:4">
      <c r="A3764" s="58" t="s">
        <v>6012</v>
      </c>
      <c r="B3764" s="58">
        <v>540072</v>
      </c>
      <c r="C3764" s="58" t="s">
        <v>588</v>
      </c>
      <c r="D3764" s="58" t="s">
        <v>1116</v>
      </c>
    </row>
    <row r="3765" spans="1:4">
      <c r="A3765" s="58" t="s">
        <v>6013</v>
      </c>
      <c r="B3765" s="58">
        <v>524602</v>
      </c>
      <c r="C3765" s="58" t="s">
        <v>6014</v>
      </c>
      <c r="D3765" s="58" t="s">
        <v>777</v>
      </c>
    </row>
    <row r="3766" spans="1:4">
      <c r="A3766" s="58" t="s">
        <v>6015</v>
      </c>
      <c r="B3766" s="58">
        <v>540961</v>
      </c>
      <c r="C3766" s="58" t="s">
        <v>6016</v>
      </c>
      <c r="D3766" s="58" t="s">
        <v>603</v>
      </c>
    </row>
    <row r="3767" spans="1:4">
      <c r="A3767" s="58" t="s">
        <v>6017</v>
      </c>
      <c r="B3767" s="58">
        <v>521003</v>
      </c>
      <c r="C3767" s="58" t="s">
        <v>588</v>
      </c>
      <c r="D3767" s="58" t="s">
        <v>610</v>
      </c>
    </row>
    <row r="3768" spans="1:4">
      <c r="A3768" s="58" t="s">
        <v>6018</v>
      </c>
      <c r="B3768" s="58">
        <v>511108</v>
      </c>
      <c r="C3768" s="58" t="s">
        <v>6019</v>
      </c>
      <c r="D3768" s="58" t="s">
        <v>603</v>
      </c>
    </row>
    <row r="3769" spans="1:4">
      <c r="A3769" s="58" t="s">
        <v>6020</v>
      </c>
      <c r="B3769" s="58">
        <v>522237</v>
      </c>
      <c r="C3769" s="58" t="s">
        <v>588</v>
      </c>
      <c r="D3769" s="58" t="s">
        <v>596</v>
      </c>
    </row>
    <row r="3770" spans="1:4">
      <c r="A3770" s="58" t="s">
        <v>6021</v>
      </c>
      <c r="B3770" s="58">
        <v>513097</v>
      </c>
      <c r="C3770" s="58" t="s">
        <v>588</v>
      </c>
      <c r="D3770" s="58" t="s">
        <v>1130</v>
      </c>
    </row>
    <row r="3771" spans="1:4">
      <c r="A3771" s="58" t="s">
        <v>6022</v>
      </c>
      <c r="B3771" s="58">
        <v>539148</v>
      </c>
      <c r="C3771" s="58" t="s">
        <v>588</v>
      </c>
      <c r="D3771" s="58" t="s">
        <v>732</v>
      </c>
    </row>
    <row r="3772" spans="1:4">
      <c r="A3772" s="58" t="s">
        <v>6023</v>
      </c>
      <c r="B3772" s="58">
        <v>532776</v>
      </c>
      <c r="C3772" s="58" t="s">
        <v>6024</v>
      </c>
      <c r="D3772" s="58" t="s">
        <v>943</v>
      </c>
    </row>
    <row r="3773" spans="1:4">
      <c r="A3773" s="58" t="s">
        <v>6025</v>
      </c>
      <c r="B3773" s="58">
        <v>539593</v>
      </c>
      <c r="C3773" s="58" t="s">
        <v>588</v>
      </c>
      <c r="D3773" s="58" t="s">
        <v>571</v>
      </c>
    </row>
    <row r="3774" spans="1:4">
      <c r="A3774" s="58" t="s">
        <v>6026</v>
      </c>
      <c r="B3774" s="58">
        <v>539683</v>
      </c>
      <c r="C3774" s="58" t="s">
        <v>588</v>
      </c>
      <c r="D3774" s="58" t="s">
        <v>605</v>
      </c>
    </row>
    <row r="3775" spans="1:4">
      <c r="A3775" s="58" t="s">
        <v>6027</v>
      </c>
      <c r="B3775" s="58">
        <v>539833</v>
      </c>
      <c r="C3775" s="58" t="s">
        <v>588</v>
      </c>
      <c r="D3775" s="58" t="s">
        <v>605</v>
      </c>
    </row>
    <row r="3776" spans="1:4">
      <c r="A3776" s="58" t="s">
        <v>6028</v>
      </c>
      <c r="B3776" s="58">
        <v>532638</v>
      </c>
      <c r="C3776" s="58" t="s">
        <v>6029</v>
      </c>
      <c r="D3776" s="58" t="s">
        <v>757</v>
      </c>
    </row>
    <row r="3777" spans="1:4">
      <c r="A3777" s="58" t="s">
        <v>6030</v>
      </c>
      <c r="B3777" s="58" t="s">
        <v>588</v>
      </c>
      <c r="C3777" s="58" t="s">
        <v>6031</v>
      </c>
      <c r="D3777" s="58" t="s">
        <v>599</v>
      </c>
    </row>
    <row r="3778" spans="1:4">
      <c r="A3778" s="58" t="s">
        <v>6032</v>
      </c>
      <c r="B3778" s="58">
        <v>538795</v>
      </c>
      <c r="C3778" s="58" t="s">
        <v>588</v>
      </c>
      <c r="D3778" s="58" t="s">
        <v>582</v>
      </c>
    </row>
    <row r="3779" spans="1:4">
      <c r="A3779" s="58" t="s">
        <v>6033</v>
      </c>
      <c r="B3779" s="58">
        <v>521131</v>
      </c>
      <c r="C3779" s="58" t="s">
        <v>588</v>
      </c>
      <c r="D3779" s="58" t="s">
        <v>603</v>
      </c>
    </row>
    <row r="3780" spans="1:4">
      <c r="A3780" s="58" t="s">
        <v>6034</v>
      </c>
      <c r="B3780" s="58">
        <v>502563</v>
      </c>
      <c r="C3780" s="58" t="s">
        <v>588</v>
      </c>
      <c r="D3780" s="58" t="s">
        <v>582</v>
      </c>
    </row>
    <row r="3781" spans="1:4">
      <c r="A3781" s="58" t="s">
        <v>6035</v>
      </c>
      <c r="B3781" s="58">
        <v>500387</v>
      </c>
      <c r="C3781" s="58" t="s">
        <v>6036</v>
      </c>
      <c r="D3781" s="58" t="s">
        <v>601</v>
      </c>
    </row>
    <row r="3782" spans="1:4">
      <c r="A3782" s="58" t="s">
        <v>6037</v>
      </c>
      <c r="B3782" s="58">
        <v>502180</v>
      </c>
      <c r="C3782" s="58" t="s">
        <v>588</v>
      </c>
      <c r="D3782" s="58" t="s">
        <v>601</v>
      </c>
    </row>
    <row r="3783" spans="1:4">
      <c r="A3783" s="58" t="s">
        <v>6038</v>
      </c>
      <c r="B3783" s="58">
        <v>539470</v>
      </c>
      <c r="C3783" s="58" t="s">
        <v>588</v>
      </c>
      <c r="D3783" s="58" t="s">
        <v>926</v>
      </c>
    </row>
    <row r="3784" spans="1:4">
      <c r="A3784" s="58" t="s">
        <v>6039</v>
      </c>
      <c r="B3784" s="58">
        <v>539470</v>
      </c>
      <c r="C3784" s="58" t="s">
        <v>588</v>
      </c>
      <c r="D3784" s="58" t="s">
        <v>926</v>
      </c>
    </row>
    <row r="3785" spans="1:4">
      <c r="A3785" s="58" t="s">
        <v>6040</v>
      </c>
      <c r="B3785" s="58">
        <v>530797</v>
      </c>
      <c r="C3785" s="58" t="s">
        <v>588</v>
      </c>
      <c r="D3785" s="58" t="s">
        <v>610</v>
      </c>
    </row>
    <row r="3786" spans="1:4">
      <c r="A3786" s="58" t="s">
        <v>6041</v>
      </c>
      <c r="B3786" s="58">
        <v>532643</v>
      </c>
      <c r="C3786" s="58" t="s">
        <v>6042</v>
      </c>
      <c r="D3786" s="58" t="s">
        <v>1506</v>
      </c>
    </row>
    <row r="3787" spans="1:4">
      <c r="A3787" s="58" t="s">
        <v>6043</v>
      </c>
      <c r="B3787" s="58">
        <v>540737</v>
      </c>
      <c r="C3787" s="58" t="s">
        <v>588</v>
      </c>
      <c r="D3787" s="58" t="s">
        <v>626</v>
      </c>
    </row>
    <row r="3788" spans="1:4">
      <c r="A3788" s="58" t="s">
        <v>6044</v>
      </c>
      <c r="B3788" s="58">
        <v>512463</v>
      </c>
      <c r="C3788" s="58" t="s">
        <v>588</v>
      </c>
      <c r="D3788" s="58" t="s">
        <v>605</v>
      </c>
    </row>
    <row r="3789" spans="1:4">
      <c r="A3789" s="58" t="s">
        <v>6045</v>
      </c>
      <c r="B3789" s="58">
        <v>524336</v>
      </c>
      <c r="C3789" s="58" t="s">
        <v>588</v>
      </c>
      <c r="D3789" s="58" t="s">
        <v>636</v>
      </c>
    </row>
    <row r="3790" spans="1:4">
      <c r="A3790" s="58" t="s">
        <v>6046</v>
      </c>
      <c r="B3790" s="58">
        <v>516106</v>
      </c>
      <c r="C3790" s="58" t="s">
        <v>588</v>
      </c>
      <c r="D3790" s="58" t="s">
        <v>582</v>
      </c>
    </row>
    <row r="3791" spans="1:4">
      <c r="A3791" s="58" t="s">
        <v>6047</v>
      </c>
      <c r="B3791" s="58">
        <v>542146</v>
      </c>
      <c r="C3791" s="58" t="s">
        <v>588</v>
      </c>
      <c r="D3791" s="58" t="s">
        <v>674</v>
      </c>
    </row>
    <row r="3792" spans="1:4">
      <c r="A3792" s="58" t="s">
        <v>6048</v>
      </c>
      <c r="B3792" s="58">
        <v>500388</v>
      </c>
      <c r="C3792" s="58" t="s">
        <v>588</v>
      </c>
      <c r="D3792" s="58" t="s">
        <v>582</v>
      </c>
    </row>
    <row r="3793" spans="1:4">
      <c r="A3793" s="58" t="s">
        <v>6049</v>
      </c>
      <c r="B3793" s="58">
        <v>503863</v>
      </c>
      <c r="C3793" s="58" t="s">
        <v>588</v>
      </c>
      <c r="D3793" s="58" t="s">
        <v>603</v>
      </c>
    </row>
    <row r="3794" spans="1:4">
      <c r="A3794" s="58" t="s">
        <v>6050</v>
      </c>
      <c r="B3794" s="58">
        <v>531962</v>
      </c>
      <c r="C3794" s="58" t="s">
        <v>588</v>
      </c>
      <c r="D3794" s="58" t="s">
        <v>605</v>
      </c>
    </row>
    <row r="3795" spans="1:4">
      <c r="A3795" s="58" t="s">
        <v>6051</v>
      </c>
      <c r="B3795" s="58">
        <v>540253</v>
      </c>
      <c r="C3795" s="58" t="s">
        <v>588</v>
      </c>
      <c r="D3795" s="58" t="s">
        <v>571</v>
      </c>
    </row>
    <row r="3796" spans="1:4">
      <c r="A3796" s="58" t="s">
        <v>6052</v>
      </c>
      <c r="B3796" s="58">
        <v>506180</v>
      </c>
      <c r="C3796" s="58" t="s">
        <v>588</v>
      </c>
      <c r="D3796" s="58" t="s">
        <v>610</v>
      </c>
    </row>
    <row r="3797" spans="1:4">
      <c r="A3797" s="58" t="s">
        <v>6053</v>
      </c>
      <c r="B3797" s="58">
        <v>527005</v>
      </c>
      <c r="C3797" s="58" t="s">
        <v>588</v>
      </c>
      <c r="D3797" s="58" t="s">
        <v>1551</v>
      </c>
    </row>
    <row r="3798" spans="1:4">
      <c r="A3798" s="58" t="s">
        <v>6054</v>
      </c>
      <c r="B3798" s="58">
        <v>533110</v>
      </c>
      <c r="C3798" s="58" t="s">
        <v>588</v>
      </c>
      <c r="D3798" s="58" t="s">
        <v>911</v>
      </c>
    </row>
    <row r="3799" spans="1:4">
      <c r="A3799" s="58" t="s">
        <v>6055</v>
      </c>
      <c r="B3799" s="58">
        <v>539334</v>
      </c>
      <c r="C3799" s="58" t="s">
        <v>6056</v>
      </c>
      <c r="D3799" s="58" t="s">
        <v>748</v>
      </c>
    </row>
    <row r="3800" spans="1:4">
      <c r="A3800" s="58" t="s">
        <v>6057</v>
      </c>
      <c r="B3800" s="58">
        <v>503837</v>
      </c>
      <c r="C3800" s="58" t="s">
        <v>588</v>
      </c>
      <c r="D3800" s="58" t="s">
        <v>603</v>
      </c>
    </row>
    <row r="3801" spans="1:4">
      <c r="A3801" s="58" t="s">
        <v>6058</v>
      </c>
      <c r="B3801" s="58">
        <v>516086</v>
      </c>
      <c r="C3801" s="58" t="s">
        <v>588</v>
      </c>
      <c r="D3801" s="58" t="s">
        <v>582</v>
      </c>
    </row>
    <row r="3802" spans="1:4">
      <c r="A3802" s="58" t="s">
        <v>6059</v>
      </c>
      <c r="B3802" s="58" t="s">
        <v>588</v>
      </c>
      <c r="C3802" s="58" t="s">
        <v>6060</v>
      </c>
      <c r="D3802" s="58" t="s">
        <v>599</v>
      </c>
    </row>
    <row r="3803" spans="1:4">
      <c r="A3803" s="58" t="s">
        <v>6061</v>
      </c>
      <c r="B3803" s="58">
        <v>532310</v>
      </c>
      <c r="C3803" s="58" t="s">
        <v>6062</v>
      </c>
      <c r="D3803" s="58" t="s">
        <v>783</v>
      </c>
    </row>
    <row r="3804" spans="1:4">
      <c r="A3804" s="58" t="s">
        <v>6063</v>
      </c>
      <c r="B3804" s="58">
        <v>500356</v>
      </c>
      <c r="C3804" s="58" t="s">
        <v>6064</v>
      </c>
      <c r="D3804" s="58" t="s">
        <v>582</v>
      </c>
    </row>
    <row r="3805" spans="1:4">
      <c r="A3805" s="58" t="s">
        <v>6065</v>
      </c>
      <c r="B3805" s="58">
        <v>532670</v>
      </c>
      <c r="C3805" s="58" t="s">
        <v>6066</v>
      </c>
      <c r="D3805" s="58" t="s">
        <v>1286</v>
      </c>
    </row>
    <row r="3806" spans="1:4">
      <c r="A3806" s="58" t="s">
        <v>6067</v>
      </c>
      <c r="B3806" s="58">
        <v>503635</v>
      </c>
      <c r="C3806" s="58" t="s">
        <v>588</v>
      </c>
      <c r="D3806" s="58" t="s">
        <v>571</v>
      </c>
    </row>
    <row r="3807" spans="1:4">
      <c r="A3807" s="58" t="s">
        <v>6068</v>
      </c>
      <c r="B3807" s="58">
        <v>538975</v>
      </c>
      <c r="C3807" s="58" t="s">
        <v>588</v>
      </c>
      <c r="D3807" s="58" t="s">
        <v>605</v>
      </c>
    </row>
    <row r="3808" spans="1:4">
      <c r="A3808" s="58" t="s">
        <v>6069</v>
      </c>
      <c r="B3808" s="58">
        <v>513488</v>
      </c>
      <c r="C3808" s="58" t="s">
        <v>588</v>
      </c>
      <c r="D3808" s="58" t="s">
        <v>911</v>
      </c>
    </row>
    <row r="3809" spans="1:4">
      <c r="A3809" s="58" t="s">
        <v>6070</v>
      </c>
      <c r="B3809" s="58">
        <v>531667</v>
      </c>
      <c r="C3809" s="58" t="s">
        <v>588</v>
      </c>
      <c r="D3809" s="58" t="s">
        <v>610</v>
      </c>
    </row>
    <row r="3810" spans="1:4">
      <c r="A3810" s="58" t="s">
        <v>6071</v>
      </c>
      <c r="B3810" s="58" t="s">
        <v>588</v>
      </c>
      <c r="C3810" s="58" t="s">
        <v>6072</v>
      </c>
      <c r="D3810" s="58" t="s">
        <v>599</v>
      </c>
    </row>
    <row r="3811" spans="1:4">
      <c r="A3811" s="58" t="s">
        <v>6073</v>
      </c>
      <c r="B3811" s="58">
        <v>590128</v>
      </c>
      <c r="C3811" s="58" t="s">
        <v>588</v>
      </c>
      <c r="D3811" s="58" t="s">
        <v>574</v>
      </c>
    </row>
    <row r="3812" spans="1:4">
      <c r="A3812" s="58" t="s">
        <v>6074</v>
      </c>
      <c r="B3812" s="58" t="s">
        <v>588</v>
      </c>
      <c r="C3812" s="58" t="s">
        <v>6075</v>
      </c>
      <c r="D3812" s="58" t="s">
        <v>599</v>
      </c>
    </row>
    <row r="3813" spans="1:4">
      <c r="A3813" s="58" t="s">
        <v>6076</v>
      </c>
      <c r="B3813" s="58">
        <v>541358</v>
      </c>
      <c r="C3813" s="58" t="s">
        <v>588</v>
      </c>
      <c r="D3813" s="58" t="s">
        <v>605</v>
      </c>
    </row>
    <row r="3814" spans="1:4">
      <c r="A3814" s="58" t="s">
        <v>6077</v>
      </c>
      <c r="B3814" s="58">
        <v>540738</v>
      </c>
      <c r="C3814" s="58" t="s">
        <v>588</v>
      </c>
      <c r="D3814" s="58" t="s">
        <v>909</v>
      </c>
    </row>
    <row r="3815" spans="1:4">
      <c r="A3815" s="58" t="s">
        <v>6078</v>
      </c>
      <c r="B3815" s="58">
        <v>503696</v>
      </c>
      <c r="C3815" s="58" t="s">
        <v>588</v>
      </c>
      <c r="D3815" s="58" t="s">
        <v>1009</v>
      </c>
    </row>
    <row r="3816" spans="1:4">
      <c r="A3816" s="58" t="s">
        <v>6079</v>
      </c>
      <c r="B3816" s="58" t="s">
        <v>588</v>
      </c>
      <c r="C3816" s="58" t="s">
        <v>6080</v>
      </c>
      <c r="D3816" s="58" t="s">
        <v>599</v>
      </c>
    </row>
    <row r="3817" spans="1:4">
      <c r="A3817" s="58" t="s">
        <v>6081</v>
      </c>
      <c r="B3817" s="58">
        <v>541112</v>
      </c>
      <c r="C3817" s="58" t="s">
        <v>588</v>
      </c>
      <c r="D3817" s="58" t="s">
        <v>986</v>
      </c>
    </row>
    <row r="3818" spans="1:4">
      <c r="A3818" s="58" t="s">
        <v>6082</v>
      </c>
      <c r="B3818" s="58">
        <v>532007</v>
      </c>
      <c r="C3818" s="58" t="s">
        <v>588</v>
      </c>
      <c r="D3818" s="58" t="s">
        <v>1009</v>
      </c>
    </row>
    <row r="3819" spans="1:4">
      <c r="A3819" s="58" t="s">
        <v>6083</v>
      </c>
      <c r="B3819" s="58" t="s">
        <v>588</v>
      </c>
      <c r="C3819" s="58" t="s">
        <v>6084</v>
      </c>
      <c r="D3819" s="58" t="s">
        <v>599</v>
      </c>
    </row>
    <row r="3820" spans="1:4">
      <c r="A3820" s="58" t="s">
        <v>6085</v>
      </c>
      <c r="B3820" s="58">
        <v>516016</v>
      </c>
      <c r="C3820" s="58" t="s">
        <v>6086</v>
      </c>
      <c r="D3820" s="58" t="s">
        <v>582</v>
      </c>
    </row>
    <row r="3821" spans="1:4">
      <c r="A3821" s="58" t="s">
        <v>6087</v>
      </c>
      <c r="B3821" s="58">
        <v>526335</v>
      </c>
      <c r="C3821" s="58" t="s">
        <v>588</v>
      </c>
      <c r="D3821" s="58" t="s">
        <v>636</v>
      </c>
    </row>
    <row r="3822" spans="1:4">
      <c r="A3822" s="58" t="s">
        <v>6088</v>
      </c>
      <c r="B3822" s="58">
        <v>520151</v>
      </c>
      <c r="C3822" s="58" t="s">
        <v>6089</v>
      </c>
      <c r="D3822" s="58" t="s">
        <v>1833</v>
      </c>
    </row>
    <row r="3823" spans="1:4">
      <c r="A3823" s="58" t="s">
        <v>6090</v>
      </c>
      <c r="B3823" s="58">
        <v>526981</v>
      </c>
      <c r="C3823" s="58" t="s">
        <v>588</v>
      </c>
      <c r="D3823" s="58" t="s">
        <v>911</v>
      </c>
    </row>
    <row r="3824" spans="1:4">
      <c r="A3824" s="58" t="s">
        <v>6091</v>
      </c>
      <c r="B3824" s="58">
        <v>530841</v>
      </c>
      <c r="C3824" s="58" t="s">
        <v>588</v>
      </c>
      <c r="D3824" s="58" t="s">
        <v>865</v>
      </c>
    </row>
    <row r="3825" spans="1:4">
      <c r="A3825" s="58" t="s">
        <v>6092</v>
      </c>
      <c r="B3825" s="58">
        <v>503804</v>
      </c>
      <c r="C3825" s="58" t="s">
        <v>588</v>
      </c>
      <c r="D3825" s="58" t="s">
        <v>603</v>
      </c>
    </row>
    <row r="3826" spans="1:4">
      <c r="A3826" s="58" t="s">
        <v>6093</v>
      </c>
      <c r="B3826" s="58">
        <v>512453</v>
      </c>
      <c r="C3826" s="58" t="s">
        <v>588</v>
      </c>
      <c r="D3826" s="58" t="s">
        <v>783</v>
      </c>
    </row>
    <row r="3827" spans="1:4">
      <c r="A3827" s="58" t="s">
        <v>6094</v>
      </c>
      <c r="B3827" s="58">
        <v>532083</v>
      </c>
      <c r="C3827" s="58" t="s">
        <v>588</v>
      </c>
      <c r="D3827" s="58" t="s">
        <v>1009</v>
      </c>
    </row>
    <row r="3828" spans="1:4">
      <c r="A3828" s="58" t="s">
        <v>6095</v>
      </c>
      <c r="B3828" s="58">
        <v>530977</v>
      </c>
      <c r="C3828" s="58" t="s">
        <v>588</v>
      </c>
      <c r="D3828" s="58" t="s">
        <v>601</v>
      </c>
    </row>
    <row r="3829" spans="1:4">
      <c r="A3829" s="58" t="s">
        <v>6096</v>
      </c>
      <c r="B3829" s="58">
        <v>531080</v>
      </c>
      <c r="C3829" s="58" t="s">
        <v>588</v>
      </c>
      <c r="D3829" s="58" t="s">
        <v>674</v>
      </c>
    </row>
    <row r="3830" spans="1:4">
      <c r="A3830" s="58" t="s">
        <v>6097</v>
      </c>
      <c r="B3830" s="58">
        <v>538897</v>
      </c>
      <c r="C3830" s="58" t="s">
        <v>588</v>
      </c>
      <c r="D3830" s="58" t="s">
        <v>605</v>
      </c>
    </row>
    <row r="3831" spans="1:4">
      <c r="A3831" s="58" t="s">
        <v>6098</v>
      </c>
      <c r="B3831" s="58" t="s">
        <v>588</v>
      </c>
      <c r="C3831" s="58" t="s">
        <v>6099</v>
      </c>
      <c r="D3831" s="58" t="s">
        <v>599</v>
      </c>
    </row>
    <row r="3832" spans="1:4">
      <c r="A3832" s="58" t="s">
        <v>6100</v>
      </c>
      <c r="B3832" s="58">
        <v>508961</v>
      </c>
      <c r="C3832" s="58" t="s">
        <v>588</v>
      </c>
      <c r="D3832" s="58" t="s">
        <v>605</v>
      </c>
    </row>
    <row r="3833" spans="1:4">
      <c r="A3833" s="58" t="s">
        <v>6101</v>
      </c>
      <c r="B3833" s="58">
        <v>531359</v>
      </c>
      <c r="C3833" s="58" t="s">
        <v>588</v>
      </c>
      <c r="D3833" s="58" t="s">
        <v>2990</v>
      </c>
    </row>
    <row r="3834" spans="1:4">
      <c r="A3834" s="58" t="s">
        <v>6102</v>
      </c>
      <c r="B3834" s="58">
        <v>532498</v>
      </c>
      <c r="C3834" s="58" t="s">
        <v>6103</v>
      </c>
      <c r="D3834" s="58" t="s">
        <v>605</v>
      </c>
    </row>
    <row r="3835" spans="1:4">
      <c r="A3835" s="58" t="s">
        <v>6104</v>
      </c>
      <c r="B3835" s="58">
        <v>532945</v>
      </c>
      <c r="C3835" s="58" t="s">
        <v>6105</v>
      </c>
      <c r="D3835" s="58" t="s">
        <v>986</v>
      </c>
    </row>
    <row r="3836" spans="1:4">
      <c r="A3836" s="58" t="s">
        <v>6106</v>
      </c>
      <c r="B3836" s="58" t="s">
        <v>588</v>
      </c>
      <c r="C3836" s="58" t="s">
        <v>6107</v>
      </c>
      <c r="D3836" s="58" t="s">
        <v>679</v>
      </c>
    </row>
    <row r="3837" spans="1:4">
      <c r="A3837" s="58" t="s">
        <v>6108</v>
      </c>
      <c r="B3837" s="58">
        <v>511218</v>
      </c>
      <c r="C3837" s="58" t="s">
        <v>6109</v>
      </c>
      <c r="D3837" s="58" t="s">
        <v>605</v>
      </c>
    </row>
    <row r="3838" spans="1:4">
      <c r="A3838" s="58" t="s">
        <v>6110</v>
      </c>
      <c r="B3838" s="58">
        <v>511411</v>
      </c>
      <c r="C3838" s="58" t="s">
        <v>588</v>
      </c>
      <c r="D3838" s="58" t="s">
        <v>986</v>
      </c>
    </row>
    <row r="3839" spans="1:4">
      <c r="A3839" s="58" t="s">
        <v>6111</v>
      </c>
      <c r="B3839" s="58">
        <v>542019</v>
      </c>
      <c r="C3839" s="58" t="s">
        <v>588</v>
      </c>
      <c r="D3839" s="58" t="s">
        <v>603</v>
      </c>
    </row>
    <row r="3840" spans="1:4">
      <c r="A3840" s="58" t="s">
        <v>6112</v>
      </c>
      <c r="B3840" s="58" t="s">
        <v>588</v>
      </c>
      <c r="C3840" s="58" t="s">
        <v>6113</v>
      </c>
      <c r="D3840" s="58" t="s">
        <v>599</v>
      </c>
    </row>
    <row r="3841" spans="1:4">
      <c r="A3841" s="58" t="s">
        <v>6114</v>
      </c>
      <c r="B3841" s="58">
        <v>531506</v>
      </c>
      <c r="C3841" s="58" t="s">
        <v>6115</v>
      </c>
      <c r="D3841" s="58" t="s">
        <v>1009</v>
      </c>
    </row>
    <row r="3842" spans="1:4">
      <c r="A3842" s="58" t="s">
        <v>6116</v>
      </c>
      <c r="B3842" s="58">
        <v>523790</v>
      </c>
      <c r="C3842" s="58" t="s">
        <v>588</v>
      </c>
      <c r="D3842" s="58" t="s">
        <v>702</v>
      </c>
    </row>
    <row r="3843" spans="1:4">
      <c r="A3843" s="58" t="s">
        <v>6117</v>
      </c>
      <c r="B3843" s="58">
        <v>524632</v>
      </c>
      <c r="C3843" s="58" t="s">
        <v>588</v>
      </c>
      <c r="D3843" s="58" t="s">
        <v>626</v>
      </c>
    </row>
    <row r="3844" spans="1:4">
      <c r="A3844" s="58" t="s">
        <v>6118</v>
      </c>
      <c r="B3844" s="58">
        <v>539252</v>
      </c>
      <c r="C3844" s="58" t="s">
        <v>6119</v>
      </c>
      <c r="D3844" s="58" t="s">
        <v>620</v>
      </c>
    </row>
    <row r="3845" spans="1:4">
      <c r="A3845" s="58" t="s">
        <v>6120</v>
      </c>
      <c r="B3845" s="58">
        <v>517411</v>
      </c>
      <c r="C3845" s="58" t="s">
        <v>6121</v>
      </c>
      <c r="D3845" s="58" t="s">
        <v>734</v>
      </c>
    </row>
    <row r="3846" spans="1:4">
      <c r="A3846" s="58" t="s">
        <v>6122</v>
      </c>
      <c r="B3846" s="58">
        <v>531219</v>
      </c>
      <c r="C3846" s="58" t="s">
        <v>588</v>
      </c>
      <c r="D3846" s="58" t="s">
        <v>626</v>
      </c>
    </row>
    <row r="3847" spans="1:4">
      <c r="A3847" s="58" t="s">
        <v>6123</v>
      </c>
      <c r="B3847" s="58">
        <v>505515</v>
      </c>
      <c r="C3847" s="58" t="s">
        <v>588</v>
      </c>
      <c r="D3847" s="58" t="s">
        <v>571</v>
      </c>
    </row>
    <row r="3848" spans="1:4">
      <c r="A3848" s="58" t="s">
        <v>6124</v>
      </c>
      <c r="B3848" s="58">
        <v>530907</v>
      </c>
      <c r="C3848" s="58" t="s">
        <v>588</v>
      </c>
      <c r="D3848" s="58" t="s">
        <v>1009</v>
      </c>
    </row>
    <row r="3849" spans="1:4">
      <c r="A3849" s="58" t="s">
        <v>6125</v>
      </c>
      <c r="B3849" s="58">
        <v>520141</v>
      </c>
      <c r="C3849" s="58" t="s">
        <v>588</v>
      </c>
      <c r="D3849" s="58" t="s">
        <v>943</v>
      </c>
    </row>
    <row r="3850" spans="1:4">
      <c r="A3850" s="58" t="s">
        <v>6126</v>
      </c>
      <c r="B3850" s="58">
        <v>533014</v>
      </c>
      <c r="C3850" s="58" t="s">
        <v>6127</v>
      </c>
      <c r="D3850" s="58" t="s">
        <v>610</v>
      </c>
    </row>
    <row r="3851" spans="1:4">
      <c r="A3851" s="58" t="s">
        <v>6128</v>
      </c>
      <c r="B3851" s="58">
        <v>533014</v>
      </c>
      <c r="C3851" s="58" t="s">
        <v>6127</v>
      </c>
      <c r="D3851" s="58" t="s">
        <v>610</v>
      </c>
    </row>
    <row r="3852" spans="1:4">
      <c r="A3852" s="58" t="s">
        <v>6129</v>
      </c>
      <c r="B3852" s="58">
        <v>520086</v>
      </c>
      <c r="C3852" s="58" t="s">
        <v>6130</v>
      </c>
      <c r="D3852" s="58" t="s">
        <v>909</v>
      </c>
    </row>
    <row r="3853" spans="1:4">
      <c r="A3853" s="58" t="s">
        <v>6131</v>
      </c>
      <c r="B3853" s="58">
        <v>540736</v>
      </c>
      <c r="C3853" s="58" t="s">
        <v>588</v>
      </c>
      <c r="D3853" s="58" t="s">
        <v>693</v>
      </c>
    </row>
    <row r="3854" spans="1:4">
      <c r="A3854" s="58" t="s">
        <v>6132</v>
      </c>
      <c r="B3854" s="58">
        <v>539983</v>
      </c>
      <c r="C3854" s="58" t="s">
        <v>588</v>
      </c>
      <c r="D3854" s="58" t="s">
        <v>571</v>
      </c>
    </row>
    <row r="3855" spans="1:4">
      <c r="A3855" s="58" t="s">
        <v>6133</v>
      </c>
      <c r="B3855" s="58">
        <v>532217</v>
      </c>
      <c r="C3855" s="58" t="s">
        <v>588</v>
      </c>
      <c r="D3855" s="58" t="s">
        <v>571</v>
      </c>
    </row>
    <row r="3856" spans="1:4">
      <c r="A3856" s="58" t="s">
        <v>6134</v>
      </c>
      <c r="B3856" s="58">
        <v>500550</v>
      </c>
      <c r="C3856" s="58" t="s">
        <v>6135</v>
      </c>
      <c r="D3856" s="58" t="s">
        <v>631</v>
      </c>
    </row>
    <row r="3857" spans="1:4">
      <c r="A3857" s="58" t="s">
        <v>6136</v>
      </c>
      <c r="B3857" s="58">
        <v>512131</v>
      </c>
      <c r="C3857" s="58" t="s">
        <v>6137</v>
      </c>
      <c r="D3857" s="58" t="s">
        <v>708</v>
      </c>
    </row>
    <row r="3858" spans="1:4">
      <c r="A3858" s="58" t="s">
        <v>6138</v>
      </c>
      <c r="B3858" s="58">
        <v>523606</v>
      </c>
      <c r="C3858" s="58" t="s">
        <v>588</v>
      </c>
      <c r="D3858" s="58" t="s">
        <v>1061</v>
      </c>
    </row>
    <row r="3859" spans="1:4">
      <c r="A3859" s="58" t="s">
        <v>6139</v>
      </c>
      <c r="B3859" s="58" t="s">
        <v>588</v>
      </c>
      <c r="C3859" s="58" t="s">
        <v>6140</v>
      </c>
      <c r="D3859" s="58" t="s">
        <v>599</v>
      </c>
    </row>
    <row r="3860" spans="1:4">
      <c r="A3860" s="58" t="s">
        <v>6141</v>
      </c>
      <c r="B3860" s="58">
        <v>524642</v>
      </c>
      <c r="C3860" s="58" t="s">
        <v>588</v>
      </c>
      <c r="D3860" s="58" t="s">
        <v>674</v>
      </c>
    </row>
    <row r="3861" spans="1:4">
      <c r="A3861" s="58" t="s">
        <v>6142</v>
      </c>
      <c r="B3861" s="58">
        <v>521194</v>
      </c>
      <c r="C3861" s="58" t="s">
        <v>6143</v>
      </c>
      <c r="D3861" s="58" t="s">
        <v>571</v>
      </c>
    </row>
    <row r="3862" spans="1:4">
      <c r="A3862" s="58" t="s">
        <v>6144</v>
      </c>
      <c r="B3862" s="58" t="s">
        <v>588</v>
      </c>
      <c r="C3862" s="58" t="s">
        <v>6145</v>
      </c>
      <c r="D3862" s="58" t="s">
        <v>599</v>
      </c>
    </row>
    <row r="3863" spans="1:4">
      <c r="A3863" s="58" t="s">
        <v>6146</v>
      </c>
      <c r="B3863" s="58" t="s">
        <v>588</v>
      </c>
      <c r="C3863" s="58" t="s">
        <v>6147</v>
      </c>
      <c r="D3863" s="58" t="s">
        <v>599</v>
      </c>
    </row>
    <row r="3864" spans="1:4">
      <c r="A3864" s="58" t="s">
        <v>6148</v>
      </c>
      <c r="B3864" s="58">
        <v>531635</v>
      </c>
      <c r="C3864" s="58" t="s">
        <v>588</v>
      </c>
      <c r="D3864" s="58" t="s">
        <v>1219</v>
      </c>
    </row>
    <row r="3865" spans="1:4">
      <c r="A3865" s="58" t="s">
        <v>6149</v>
      </c>
      <c r="B3865" s="58">
        <v>512197</v>
      </c>
      <c r="C3865" s="58" t="s">
        <v>588</v>
      </c>
      <c r="D3865" s="58" t="s">
        <v>605</v>
      </c>
    </row>
    <row r="3866" spans="1:4">
      <c r="A3866" s="58" t="s">
        <v>6150</v>
      </c>
      <c r="B3866" s="58">
        <v>531635</v>
      </c>
      <c r="C3866" s="58" t="s">
        <v>588</v>
      </c>
      <c r="D3866" s="58" t="s">
        <v>1219</v>
      </c>
    </row>
    <row r="3867" spans="1:4">
      <c r="A3867" s="58" t="s">
        <v>6151</v>
      </c>
      <c r="B3867" s="58" t="s">
        <v>588</v>
      </c>
      <c r="C3867" s="58" t="s">
        <v>6152</v>
      </c>
      <c r="D3867" s="58" t="s">
        <v>599</v>
      </c>
    </row>
    <row r="3868" spans="1:4">
      <c r="A3868" s="58" t="s">
        <v>6153</v>
      </c>
      <c r="B3868" s="58">
        <v>536073</v>
      </c>
      <c r="C3868" s="58" t="s">
        <v>588</v>
      </c>
      <c r="D3868" s="58" t="s">
        <v>986</v>
      </c>
    </row>
    <row r="3869" spans="1:4">
      <c r="A3869" s="58" t="s">
        <v>6154</v>
      </c>
      <c r="B3869" s="58">
        <v>539742</v>
      </c>
      <c r="C3869" s="58" t="s">
        <v>6155</v>
      </c>
      <c r="D3869" s="58" t="s">
        <v>1286</v>
      </c>
    </row>
    <row r="3870" spans="1:4">
      <c r="A3870" s="58" t="s">
        <v>6156</v>
      </c>
      <c r="B3870" s="58">
        <v>507998</v>
      </c>
      <c r="C3870" s="58" t="s">
        <v>588</v>
      </c>
      <c r="D3870" s="58" t="s">
        <v>943</v>
      </c>
    </row>
    <row r="3871" spans="1:4">
      <c r="A3871" s="58" t="s">
        <v>6157</v>
      </c>
      <c r="B3871" s="58">
        <v>513472</v>
      </c>
      <c r="C3871" s="58" t="s">
        <v>588</v>
      </c>
      <c r="D3871" s="58" t="s">
        <v>1506</v>
      </c>
    </row>
    <row r="3872" spans="1:4">
      <c r="A3872" s="58" t="s">
        <v>6158</v>
      </c>
      <c r="B3872" s="58">
        <v>523838</v>
      </c>
      <c r="C3872" s="58" t="s">
        <v>6159</v>
      </c>
      <c r="D3872" s="58" t="s">
        <v>986</v>
      </c>
    </row>
    <row r="3873" spans="1:4">
      <c r="A3873" s="58" t="s">
        <v>6160</v>
      </c>
      <c r="B3873" s="58">
        <v>533018</v>
      </c>
      <c r="C3873" s="58" t="s">
        <v>588</v>
      </c>
      <c r="D3873" s="58" t="s">
        <v>603</v>
      </c>
    </row>
    <row r="3874" spans="1:4">
      <c r="A3874" s="58" t="s">
        <v>6161</v>
      </c>
      <c r="B3874" s="58">
        <v>533019</v>
      </c>
      <c r="C3874" s="58" t="s">
        <v>588</v>
      </c>
      <c r="D3874" s="58" t="s">
        <v>582</v>
      </c>
    </row>
    <row r="3875" spans="1:4">
      <c r="A3875" s="58" t="s">
        <v>6162</v>
      </c>
      <c r="B3875" s="58">
        <v>503229</v>
      </c>
      <c r="C3875" s="58" t="s">
        <v>588</v>
      </c>
      <c r="D3875" s="58" t="s">
        <v>674</v>
      </c>
    </row>
    <row r="3876" spans="1:4">
      <c r="A3876" s="58" t="s">
        <v>6163</v>
      </c>
      <c r="B3876" s="58">
        <v>519566</v>
      </c>
      <c r="C3876" s="58" t="s">
        <v>588</v>
      </c>
      <c r="D3876" s="58" t="s">
        <v>648</v>
      </c>
    </row>
    <row r="3877" spans="1:4">
      <c r="A3877" s="58" t="s">
        <v>6164</v>
      </c>
      <c r="B3877" s="58">
        <v>523023</v>
      </c>
      <c r="C3877" s="58" t="s">
        <v>588</v>
      </c>
      <c r="D3877" s="58" t="s">
        <v>789</v>
      </c>
    </row>
    <row r="3878" spans="1:4">
      <c r="A3878" s="58" t="s">
        <v>6165</v>
      </c>
      <c r="B3878" s="58">
        <v>532029</v>
      </c>
      <c r="C3878" s="58" t="s">
        <v>588</v>
      </c>
      <c r="D3878" s="58" t="s">
        <v>1009</v>
      </c>
    </row>
    <row r="3879" spans="1:4">
      <c r="A3879" s="58" t="s">
        <v>6166</v>
      </c>
      <c r="B3879" s="58">
        <v>505504</v>
      </c>
      <c r="C3879" s="58" t="s">
        <v>588</v>
      </c>
      <c r="D3879" s="58" t="s">
        <v>574</v>
      </c>
    </row>
    <row r="3880" spans="1:4">
      <c r="A3880" s="58" t="s">
        <v>6167</v>
      </c>
      <c r="B3880" s="58">
        <v>505729</v>
      </c>
      <c r="C3880" s="58" t="s">
        <v>588</v>
      </c>
      <c r="D3880" s="58" t="s">
        <v>596</v>
      </c>
    </row>
    <row r="3881" spans="1:4">
      <c r="A3881" s="58" t="s">
        <v>6168</v>
      </c>
      <c r="B3881" s="58">
        <v>505729</v>
      </c>
      <c r="C3881" s="58" t="s">
        <v>588</v>
      </c>
      <c r="D3881" s="58" t="s">
        <v>596</v>
      </c>
    </row>
    <row r="3882" spans="1:4">
      <c r="A3882" s="58" t="s">
        <v>6169</v>
      </c>
      <c r="B3882" s="58">
        <v>509887</v>
      </c>
      <c r="C3882" s="58" t="s">
        <v>588</v>
      </c>
      <c r="D3882" s="58" t="s">
        <v>2756</v>
      </c>
    </row>
    <row r="3883" spans="1:4">
      <c r="A3883" s="58" t="s">
        <v>6170</v>
      </c>
      <c r="B3883" s="58">
        <v>539410</v>
      </c>
      <c r="C3883" s="58" t="s">
        <v>588</v>
      </c>
      <c r="D3883" s="58" t="s">
        <v>610</v>
      </c>
    </row>
    <row r="3884" spans="1:4">
      <c r="A3884" s="58" t="s">
        <v>6171</v>
      </c>
      <c r="B3884" s="58">
        <v>539410</v>
      </c>
      <c r="C3884" s="58" t="s">
        <v>588</v>
      </c>
      <c r="D3884" s="58" t="s">
        <v>610</v>
      </c>
    </row>
    <row r="3885" spans="1:4">
      <c r="A3885" s="58" t="s">
        <v>6172</v>
      </c>
      <c r="B3885" s="58" t="s">
        <v>588</v>
      </c>
      <c r="C3885" s="58" t="s">
        <v>6173</v>
      </c>
      <c r="D3885" s="58" t="s">
        <v>599</v>
      </c>
    </row>
    <row r="3886" spans="1:4">
      <c r="A3886" s="58" t="s">
        <v>6174</v>
      </c>
      <c r="B3886" s="58" t="s">
        <v>588</v>
      </c>
      <c r="C3886" s="58" t="s">
        <v>6173</v>
      </c>
      <c r="D3886" s="58" t="s">
        <v>599</v>
      </c>
    </row>
    <row r="3887" spans="1:4">
      <c r="A3887" s="58" t="s">
        <v>6175</v>
      </c>
      <c r="B3887" s="58">
        <v>502742</v>
      </c>
      <c r="C3887" s="58" t="s">
        <v>6176</v>
      </c>
      <c r="D3887" s="58" t="s">
        <v>603</v>
      </c>
    </row>
    <row r="3888" spans="1:4">
      <c r="A3888" s="58" t="s">
        <v>6177</v>
      </c>
      <c r="B3888" s="58">
        <v>540653</v>
      </c>
      <c r="C3888" s="58" t="s">
        <v>6178</v>
      </c>
      <c r="D3888" s="58" t="s">
        <v>708</v>
      </c>
    </row>
    <row r="3889" spans="1:4">
      <c r="A3889" s="58" t="s">
        <v>6179</v>
      </c>
      <c r="B3889" s="58">
        <v>523164</v>
      </c>
      <c r="C3889" s="58" t="s">
        <v>588</v>
      </c>
      <c r="D3889" s="58" t="s">
        <v>786</v>
      </c>
    </row>
    <row r="3890" spans="1:4">
      <c r="A3890" s="58" t="s">
        <v>6180</v>
      </c>
      <c r="B3890" s="58">
        <v>532879</v>
      </c>
      <c r="C3890" s="58" t="s">
        <v>588</v>
      </c>
      <c r="D3890" s="58" t="s">
        <v>1286</v>
      </c>
    </row>
    <row r="3891" spans="1:4">
      <c r="A3891" s="58" t="s">
        <v>6181</v>
      </c>
      <c r="B3891" s="58" t="s">
        <v>588</v>
      </c>
      <c r="C3891" s="58" t="s">
        <v>6182</v>
      </c>
      <c r="D3891" s="58" t="s">
        <v>599</v>
      </c>
    </row>
    <row r="3892" spans="1:4">
      <c r="A3892" s="58" t="s">
        <v>6183</v>
      </c>
      <c r="B3892" s="58" t="s">
        <v>588</v>
      </c>
      <c r="C3892" s="58" t="s">
        <v>6182</v>
      </c>
      <c r="D3892" s="58" t="s">
        <v>599</v>
      </c>
    </row>
    <row r="3893" spans="1:4">
      <c r="A3893" s="58" t="s">
        <v>6184</v>
      </c>
      <c r="B3893" s="58">
        <v>538667</v>
      </c>
      <c r="C3893" s="58" t="s">
        <v>588</v>
      </c>
      <c r="D3893" s="58" t="s">
        <v>610</v>
      </c>
    </row>
    <row r="3894" spans="1:4">
      <c r="A3894" s="58" t="s">
        <v>6185</v>
      </c>
      <c r="B3894" s="58">
        <v>512589</v>
      </c>
      <c r="C3894" s="58" t="s">
        <v>588</v>
      </c>
      <c r="D3894" s="58" t="s">
        <v>610</v>
      </c>
    </row>
    <row r="3895" spans="1:4">
      <c r="A3895" s="58" t="s">
        <v>6186</v>
      </c>
      <c r="B3895" s="58">
        <v>532961</v>
      </c>
      <c r="C3895" s="58" t="s">
        <v>6187</v>
      </c>
      <c r="D3895" s="58" t="s">
        <v>668</v>
      </c>
    </row>
    <row r="3896" spans="1:4">
      <c r="A3896" s="58" t="s">
        <v>6188</v>
      </c>
      <c r="B3896" s="58">
        <v>532795</v>
      </c>
      <c r="C3896" s="58" t="s">
        <v>6189</v>
      </c>
      <c r="D3896" s="58" t="s">
        <v>1325</v>
      </c>
    </row>
    <row r="3897" spans="1:4">
      <c r="A3897" s="58" t="s">
        <v>6190</v>
      </c>
      <c r="B3897" s="58">
        <v>503811</v>
      </c>
      <c r="C3897" s="58" t="s">
        <v>6191</v>
      </c>
      <c r="D3897" s="58" t="s">
        <v>603</v>
      </c>
    </row>
    <row r="3898" spans="1:4">
      <c r="A3898" s="58" t="s">
        <v>6192</v>
      </c>
      <c r="B3898" s="58">
        <v>504398</v>
      </c>
      <c r="C3898" s="58" t="s">
        <v>588</v>
      </c>
      <c r="D3898" s="58" t="s">
        <v>702</v>
      </c>
    </row>
    <row r="3899" spans="1:4">
      <c r="A3899" s="58" t="s">
        <v>6193</v>
      </c>
      <c r="B3899" s="58">
        <v>533206</v>
      </c>
      <c r="C3899" s="58" t="s">
        <v>6194</v>
      </c>
      <c r="D3899" s="58" t="s">
        <v>727</v>
      </c>
    </row>
    <row r="3900" spans="1:4">
      <c r="A3900" s="58" t="s">
        <v>6195</v>
      </c>
      <c r="B3900" s="58">
        <v>500472</v>
      </c>
      <c r="C3900" s="58" t="s">
        <v>6196</v>
      </c>
      <c r="D3900" s="58" t="s">
        <v>773</v>
      </c>
    </row>
    <row r="3901" spans="1:4">
      <c r="A3901" s="58" t="s">
        <v>6197</v>
      </c>
      <c r="B3901" s="58">
        <v>500472</v>
      </c>
      <c r="C3901" s="58" t="s">
        <v>6198</v>
      </c>
      <c r="D3901" s="58" t="s">
        <v>773</v>
      </c>
    </row>
    <row r="3902" spans="1:4">
      <c r="A3902" s="58" t="s">
        <v>6199</v>
      </c>
      <c r="B3902" s="58">
        <v>539861</v>
      </c>
      <c r="C3902" s="58" t="s">
        <v>6200</v>
      </c>
      <c r="D3902" s="58" t="s">
        <v>986</v>
      </c>
    </row>
    <row r="3903" spans="1:4">
      <c r="A3903" s="58" t="s">
        <v>6201</v>
      </c>
      <c r="B3903" s="58">
        <v>538562</v>
      </c>
      <c r="C3903" s="58" t="s">
        <v>6202</v>
      </c>
      <c r="D3903" s="58" t="s">
        <v>986</v>
      </c>
    </row>
    <row r="3904" spans="1:4">
      <c r="A3904" s="58" t="s">
        <v>6203</v>
      </c>
      <c r="B3904" s="58">
        <v>532143</v>
      </c>
      <c r="C3904" s="58" t="s">
        <v>6204</v>
      </c>
      <c r="D3904" s="58" t="s">
        <v>668</v>
      </c>
    </row>
    <row r="3905" spans="1:4">
      <c r="A3905" s="58" t="s">
        <v>6205</v>
      </c>
      <c r="B3905" s="58">
        <v>532143</v>
      </c>
      <c r="C3905" s="58" t="s">
        <v>6204</v>
      </c>
      <c r="D3905" s="58" t="s">
        <v>668</v>
      </c>
    </row>
    <row r="3906" spans="1:4">
      <c r="A3906" s="58" t="s">
        <v>6206</v>
      </c>
      <c r="B3906" s="58">
        <v>531169</v>
      </c>
      <c r="C3906" s="58" t="s">
        <v>588</v>
      </c>
      <c r="D3906" s="58" t="s">
        <v>605</v>
      </c>
    </row>
    <row r="3907" spans="1:4">
      <c r="A3907" s="58" t="s">
        <v>6207</v>
      </c>
      <c r="B3907" s="58" t="s">
        <v>588</v>
      </c>
      <c r="C3907" s="58" t="s">
        <v>6208</v>
      </c>
      <c r="D3907" s="58" t="s">
        <v>599</v>
      </c>
    </row>
    <row r="3908" spans="1:4">
      <c r="A3908" s="58" t="s">
        <v>6209</v>
      </c>
      <c r="B3908" s="58">
        <v>541967</v>
      </c>
      <c r="C3908" s="58" t="s">
        <v>588</v>
      </c>
      <c r="D3908" s="58" t="s">
        <v>702</v>
      </c>
    </row>
    <row r="3909" spans="1:4">
      <c r="A3909" s="58" t="s">
        <v>6210</v>
      </c>
      <c r="B3909" s="58">
        <v>526479</v>
      </c>
      <c r="C3909" s="58" t="s">
        <v>588</v>
      </c>
      <c r="D3909" s="58" t="s">
        <v>603</v>
      </c>
    </row>
    <row r="3910" spans="1:4">
      <c r="A3910" s="58" t="s">
        <v>6211</v>
      </c>
      <c r="B3910" s="58">
        <v>505650</v>
      </c>
      <c r="C3910" s="58" t="s">
        <v>588</v>
      </c>
      <c r="D3910" s="58" t="s">
        <v>666</v>
      </c>
    </row>
    <row r="3911" spans="1:4">
      <c r="A3911" s="58" t="s">
        <v>6212</v>
      </c>
      <c r="B3911" s="58">
        <v>538919</v>
      </c>
      <c r="C3911" s="58" t="s">
        <v>588</v>
      </c>
      <c r="D3911" s="58" t="s">
        <v>674</v>
      </c>
    </row>
    <row r="3912" spans="1:4">
      <c r="A3912" s="58" t="s">
        <v>6213</v>
      </c>
      <c r="B3912" s="58">
        <v>538919</v>
      </c>
      <c r="C3912" s="58" t="s">
        <v>588</v>
      </c>
      <c r="D3912" s="58" t="s">
        <v>674</v>
      </c>
    </row>
    <row r="3913" spans="1:4">
      <c r="A3913" s="58" t="s">
        <v>6214</v>
      </c>
      <c r="B3913" s="58">
        <v>539494</v>
      </c>
      <c r="C3913" s="58" t="s">
        <v>588</v>
      </c>
      <c r="D3913" s="58" t="s">
        <v>605</v>
      </c>
    </row>
    <row r="3914" spans="1:4">
      <c r="A3914" s="58" t="s">
        <v>6215</v>
      </c>
      <c r="B3914" s="58">
        <v>532419</v>
      </c>
      <c r="C3914" s="58" t="s">
        <v>6216</v>
      </c>
      <c r="D3914" s="58" t="s">
        <v>2212</v>
      </c>
    </row>
    <row r="3915" spans="1:4">
      <c r="A3915" s="58" t="s">
        <v>6217</v>
      </c>
      <c r="B3915" s="58">
        <v>508905</v>
      </c>
      <c r="C3915" s="58" t="s">
        <v>588</v>
      </c>
      <c r="D3915" s="58" t="s">
        <v>571</v>
      </c>
    </row>
    <row r="3916" spans="1:4">
      <c r="A3916" s="58" t="s">
        <v>6218</v>
      </c>
      <c r="B3916" s="58">
        <v>505192</v>
      </c>
      <c r="C3916" s="58" t="s">
        <v>6219</v>
      </c>
      <c r="D3916" s="58" t="s">
        <v>666</v>
      </c>
    </row>
    <row r="3917" spans="1:4">
      <c r="A3917" s="58" t="s">
        <v>6220</v>
      </c>
      <c r="B3917" s="58">
        <v>540686</v>
      </c>
      <c r="C3917" s="58" t="s">
        <v>588</v>
      </c>
      <c r="D3917" s="58" t="s">
        <v>626</v>
      </c>
    </row>
    <row r="3918" spans="1:4">
      <c r="A3918" s="58" t="s">
        <v>6221</v>
      </c>
      <c r="B3918" s="58">
        <v>540679</v>
      </c>
      <c r="C3918" s="58" t="s">
        <v>6222</v>
      </c>
      <c r="D3918" s="58" t="s">
        <v>626</v>
      </c>
    </row>
    <row r="3919" spans="1:4">
      <c r="A3919" s="58" t="s">
        <v>6223</v>
      </c>
      <c r="B3919" s="58">
        <v>540679</v>
      </c>
      <c r="C3919" s="58" t="s">
        <v>6222</v>
      </c>
      <c r="D3919" s="58" t="s">
        <v>626</v>
      </c>
    </row>
    <row r="3920" spans="1:4">
      <c r="A3920" s="58" t="s">
        <v>6224</v>
      </c>
      <c r="B3920" s="58">
        <v>532815</v>
      </c>
      <c r="C3920" s="58" t="s">
        <v>6225</v>
      </c>
      <c r="D3920" s="58" t="s">
        <v>626</v>
      </c>
    </row>
    <row r="3921" spans="1:4">
      <c r="A3921" s="58" t="s">
        <v>6226</v>
      </c>
      <c r="B3921" s="58" t="s">
        <v>588</v>
      </c>
      <c r="C3921" s="58" t="s">
        <v>6227</v>
      </c>
      <c r="D3921" s="58" t="s">
        <v>599</v>
      </c>
    </row>
    <row r="3922" spans="1:4">
      <c r="A3922" s="58" t="s">
        <v>6228</v>
      </c>
      <c r="B3922" s="58">
        <v>505827</v>
      </c>
      <c r="C3922" s="58" t="s">
        <v>588</v>
      </c>
      <c r="D3922" s="58" t="s">
        <v>773</v>
      </c>
    </row>
    <row r="3923" spans="1:4">
      <c r="A3923" s="58" t="s">
        <v>6229</v>
      </c>
      <c r="B3923" s="58">
        <v>538635</v>
      </c>
      <c r="C3923" s="58" t="s">
        <v>6230</v>
      </c>
      <c r="D3923" s="58" t="s">
        <v>909</v>
      </c>
    </row>
    <row r="3924" spans="1:4">
      <c r="A3924" s="58" t="s">
        <v>6231</v>
      </c>
      <c r="B3924" s="58">
        <v>532784</v>
      </c>
      <c r="C3924" s="58" t="s">
        <v>6232</v>
      </c>
      <c r="D3924" s="58" t="s">
        <v>674</v>
      </c>
    </row>
    <row r="3925" spans="1:4">
      <c r="A3925" s="58" t="s">
        <v>6233</v>
      </c>
      <c r="B3925" s="58">
        <v>512014</v>
      </c>
      <c r="C3925" s="58" t="s">
        <v>588</v>
      </c>
      <c r="D3925" s="58" t="s">
        <v>1009</v>
      </c>
    </row>
    <row r="3926" spans="1:4">
      <c r="A3926" s="58" t="s">
        <v>6234</v>
      </c>
      <c r="B3926" s="58">
        <v>538923</v>
      </c>
      <c r="C3926" s="58" t="s">
        <v>588</v>
      </c>
      <c r="D3926" s="58" t="s">
        <v>574</v>
      </c>
    </row>
    <row r="3927" spans="1:4">
      <c r="A3927" s="58" t="s">
        <v>6235</v>
      </c>
      <c r="B3927" s="58">
        <v>504375</v>
      </c>
      <c r="C3927" s="58" t="s">
        <v>588</v>
      </c>
      <c r="D3927" s="58" t="s">
        <v>574</v>
      </c>
    </row>
    <row r="3928" spans="1:4">
      <c r="A3928" s="58" t="s">
        <v>6236</v>
      </c>
      <c r="B3928" s="58">
        <v>532344</v>
      </c>
      <c r="C3928" s="58" t="s">
        <v>588</v>
      </c>
      <c r="D3928" s="58" t="s">
        <v>681</v>
      </c>
    </row>
    <row r="3929" spans="1:4">
      <c r="A3929" s="58" t="s">
        <v>6237</v>
      </c>
      <c r="B3929" s="58">
        <v>532344</v>
      </c>
      <c r="C3929" s="58" t="s">
        <v>588</v>
      </c>
      <c r="D3929" s="58" t="s">
        <v>681</v>
      </c>
    </row>
    <row r="3930" spans="1:4">
      <c r="A3930" s="58" t="s">
        <v>6238</v>
      </c>
      <c r="B3930" s="58" t="s">
        <v>588</v>
      </c>
      <c r="C3930" s="58" t="s">
        <v>6239</v>
      </c>
      <c r="D3930" s="58" t="s">
        <v>599</v>
      </c>
    </row>
    <row r="3931" spans="1:4">
      <c r="A3931" s="58" t="s">
        <v>6240</v>
      </c>
      <c r="B3931" s="58">
        <v>532725</v>
      </c>
      <c r="C3931" s="58" t="s">
        <v>6241</v>
      </c>
      <c r="D3931" s="58" t="s">
        <v>748</v>
      </c>
    </row>
    <row r="3932" spans="1:4">
      <c r="A3932" s="58" t="s">
        <v>6242</v>
      </c>
      <c r="B3932" s="58">
        <v>532725</v>
      </c>
      <c r="C3932" s="58" t="s">
        <v>6241</v>
      </c>
      <c r="D3932" s="58" t="s">
        <v>748</v>
      </c>
    </row>
    <row r="3933" spans="1:4">
      <c r="A3933" s="58" t="s">
        <v>6243</v>
      </c>
      <c r="B3933" s="58">
        <v>541540</v>
      </c>
      <c r="C3933" s="58" t="s">
        <v>6244</v>
      </c>
      <c r="D3933" s="58" t="s">
        <v>626</v>
      </c>
    </row>
    <row r="3934" spans="1:4">
      <c r="A3934" s="58" t="s">
        <v>6245</v>
      </c>
      <c r="B3934" s="58" t="s">
        <v>588</v>
      </c>
      <c r="C3934" s="58" t="s">
        <v>6246</v>
      </c>
      <c r="D3934" s="58" t="s">
        <v>599</v>
      </c>
    </row>
    <row r="3935" spans="1:4">
      <c r="A3935" s="58" t="s">
        <v>6247</v>
      </c>
      <c r="B3935" s="58">
        <v>500394</v>
      </c>
      <c r="C3935" s="58" t="s">
        <v>588</v>
      </c>
      <c r="D3935" s="58" t="s">
        <v>773</v>
      </c>
    </row>
    <row r="3936" spans="1:4">
      <c r="A3936" s="58" t="s">
        <v>6248</v>
      </c>
      <c r="B3936" s="58">
        <v>502460</v>
      </c>
      <c r="C3936" s="58" t="s">
        <v>588</v>
      </c>
      <c r="D3936" s="58" t="s">
        <v>582</v>
      </c>
    </row>
    <row r="3937" spans="1:4">
      <c r="A3937" s="58" t="s">
        <v>6249</v>
      </c>
      <c r="B3937" s="58">
        <v>513699</v>
      </c>
      <c r="C3937" s="58" t="s">
        <v>588</v>
      </c>
      <c r="D3937" s="58" t="s">
        <v>1116</v>
      </c>
    </row>
    <row r="3938" spans="1:4">
      <c r="A3938" s="58" t="s">
        <v>6250</v>
      </c>
      <c r="B3938" s="58">
        <v>538575</v>
      </c>
      <c r="C3938" s="58" t="s">
        <v>588</v>
      </c>
      <c r="D3938" s="58" t="s">
        <v>610</v>
      </c>
    </row>
    <row r="3939" spans="1:4">
      <c r="A3939" s="58" t="s">
        <v>6251</v>
      </c>
      <c r="B3939" s="58">
        <v>522152</v>
      </c>
      <c r="C3939" s="58" t="s">
        <v>588</v>
      </c>
      <c r="D3939" s="58" t="s">
        <v>596</v>
      </c>
    </row>
    <row r="3940" spans="1:4">
      <c r="A3940" s="58" t="s">
        <v>6252</v>
      </c>
      <c r="B3940" s="58">
        <v>511571</v>
      </c>
      <c r="C3940" s="58" t="s">
        <v>588</v>
      </c>
      <c r="D3940" s="58" t="s">
        <v>605</v>
      </c>
    </row>
    <row r="3941" spans="1:4">
      <c r="A3941" s="58" t="s">
        <v>6253</v>
      </c>
      <c r="B3941" s="58">
        <v>507514</v>
      </c>
      <c r="C3941" s="58" t="s">
        <v>6254</v>
      </c>
      <c r="D3941" s="58" t="s">
        <v>1219</v>
      </c>
    </row>
    <row r="3942" spans="1:4">
      <c r="A3942" s="58" t="s">
        <v>6255</v>
      </c>
      <c r="B3942" s="58">
        <v>521034</v>
      </c>
      <c r="C3942" s="58" t="s">
        <v>6256</v>
      </c>
      <c r="D3942" s="58" t="s">
        <v>603</v>
      </c>
    </row>
    <row r="3943" spans="1:4">
      <c r="A3943" s="58" t="s">
        <v>6257</v>
      </c>
      <c r="B3943" s="58">
        <v>531548</v>
      </c>
      <c r="C3943" s="58" t="s">
        <v>6258</v>
      </c>
      <c r="D3943" s="58" t="s">
        <v>865</v>
      </c>
    </row>
    <row r="3944" spans="1:4">
      <c r="A3944" s="58" t="s">
        <v>6259</v>
      </c>
      <c r="B3944" s="58">
        <v>533001</v>
      </c>
      <c r="C3944" s="58" t="s">
        <v>6260</v>
      </c>
      <c r="D3944" s="58" t="s">
        <v>596</v>
      </c>
    </row>
    <row r="3945" spans="1:4">
      <c r="A3945" s="58" t="s">
        <v>6261</v>
      </c>
      <c r="B3945" s="58">
        <v>526901</v>
      </c>
      <c r="C3945" s="58" t="s">
        <v>588</v>
      </c>
      <c r="D3945" s="58" t="s">
        <v>636</v>
      </c>
    </row>
    <row r="3946" spans="1:4">
      <c r="A3946" s="58" t="s">
        <v>6262</v>
      </c>
      <c r="B3946" s="58">
        <v>538943</v>
      </c>
      <c r="C3946" s="58" t="s">
        <v>588</v>
      </c>
      <c r="D3946" s="58" t="s">
        <v>605</v>
      </c>
    </row>
    <row r="3947" spans="1:4">
      <c r="A3947" s="58" t="s">
        <v>6263</v>
      </c>
      <c r="B3947" s="58" t="s">
        <v>588</v>
      </c>
      <c r="C3947" s="58" t="s">
        <v>6264</v>
      </c>
      <c r="D3947" s="58" t="s">
        <v>599</v>
      </c>
    </row>
    <row r="3948" spans="1:4">
      <c r="A3948" s="58" t="s">
        <v>6265</v>
      </c>
      <c r="B3948" s="58">
        <v>532221</v>
      </c>
      <c r="C3948" s="58" t="s">
        <v>6266</v>
      </c>
      <c r="D3948" s="58" t="s">
        <v>574</v>
      </c>
    </row>
    <row r="3949" spans="1:4">
      <c r="A3949" s="58" t="s">
        <v>6267</v>
      </c>
      <c r="B3949" s="58">
        <v>539378</v>
      </c>
      <c r="C3949" s="58" t="s">
        <v>588</v>
      </c>
      <c r="D3949" s="58" t="s">
        <v>1058</v>
      </c>
    </row>
    <row r="3950" spans="1:4">
      <c r="A3950" s="58" t="s">
        <v>6268</v>
      </c>
      <c r="B3950" s="58" t="s">
        <v>588</v>
      </c>
      <c r="C3950" s="58" t="s">
        <v>6269</v>
      </c>
      <c r="D3950" s="58" t="s">
        <v>599</v>
      </c>
    </row>
    <row r="3951" spans="1:4">
      <c r="A3951" s="58" t="s">
        <v>6270</v>
      </c>
      <c r="B3951" s="58">
        <v>541633</v>
      </c>
      <c r="C3951" s="58" t="s">
        <v>588</v>
      </c>
      <c r="D3951" s="58" t="s">
        <v>582</v>
      </c>
    </row>
    <row r="3952" spans="1:4">
      <c r="A3952" s="58" t="s">
        <v>6271</v>
      </c>
      <c r="B3952" s="58">
        <v>532679</v>
      </c>
      <c r="C3952" s="58" t="s">
        <v>6272</v>
      </c>
      <c r="D3952" s="58" t="s">
        <v>577</v>
      </c>
    </row>
    <row r="3953" spans="1:4">
      <c r="A3953" s="58" t="s">
        <v>6273</v>
      </c>
      <c r="B3953" s="58">
        <v>521036</v>
      </c>
      <c r="C3953" s="58" t="s">
        <v>588</v>
      </c>
      <c r="D3953" s="58" t="s">
        <v>603</v>
      </c>
    </row>
    <row r="3954" spans="1:4">
      <c r="A3954" s="58" t="s">
        <v>6274</v>
      </c>
      <c r="B3954" s="58">
        <v>521036</v>
      </c>
      <c r="C3954" s="58" t="s">
        <v>588</v>
      </c>
      <c r="D3954" s="58" t="s">
        <v>603</v>
      </c>
    </row>
    <row r="3955" spans="1:4">
      <c r="A3955" s="58" t="s">
        <v>6275</v>
      </c>
      <c r="B3955" s="58">
        <v>531398</v>
      </c>
      <c r="C3955" s="58" t="s">
        <v>588</v>
      </c>
      <c r="D3955" s="58" t="s">
        <v>626</v>
      </c>
    </row>
    <row r="3956" spans="1:4">
      <c r="A3956" s="58" t="s">
        <v>6276</v>
      </c>
      <c r="B3956" s="58">
        <v>526477</v>
      </c>
      <c r="C3956" s="58" t="s">
        <v>588</v>
      </c>
      <c r="D3956" s="58" t="s">
        <v>766</v>
      </c>
    </row>
    <row r="3957" spans="1:4">
      <c r="A3957" s="58" t="s">
        <v>6277</v>
      </c>
      <c r="B3957" s="58">
        <v>516108</v>
      </c>
      <c r="C3957" s="58" t="s">
        <v>588</v>
      </c>
      <c r="D3957" s="58" t="s">
        <v>582</v>
      </c>
    </row>
    <row r="3958" spans="1:4">
      <c r="A3958" s="58" t="s">
        <v>6278</v>
      </c>
      <c r="B3958" s="58">
        <v>538891</v>
      </c>
      <c r="C3958" s="58" t="s">
        <v>588</v>
      </c>
      <c r="D3958" s="58" t="s">
        <v>605</v>
      </c>
    </row>
    <row r="3959" spans="1:4">
      <c r="A3959" s="58" t="s">
        <v>6279</v>
      </c>
      <c r="B3959" s="58" t="s">
        <v>588</v>
      </c>
      <c r="C3959" s="58" t="s">
        <v>6280</v>
      </c>
      <c r="D3959" s="58" t="s">
        <v>599</v>
      </c>
    </row>
    <row r="3960" spans="1:4">
      <c r="A3960" s="58" t="s">
        <v>6281</v>
      </c>
      <c r="B3960" s="58">
        <v>509910</v>
      </c>
      <c r="C3960" s="58" t="s">
        <v>588</v>
      </c>
      <c r="D3960" s="58" t="s">
        <v>636</v>
      </c>
    </row>
    <row r="3961" spans="1:4">
      <c r="A3961" s="58" t="s">
        <v>6282</v>
      </c>
      <c r="B3961" s="58">
        <v>540174</v>
      </c>
      <c r="C3961" s="58" t="s">
        <v>588</v>
      </c>
      <c r="D3961" s="58" t="s">
        <v>574</v>
      </c>
    </row>
    <row r="3962" spans="1:4">
      <c r="A3962" s="58" t="s">
        <v>6283</v>
      </c>
      <c r="B3962" s="58">
        <v>514454</v>
      </c>
      <c r="C3962" s="58" t="s">
        <v>588</v>
      </c>
      <c r="D3962" s="58" t="s">
        <v>603</v>
      </c>
    </row>
    <row r="3963" spans="1:4">
      <c r="A3963" s="58" t="s">
        <v>6284</v>
      </c>
      <c r="B3963" s="58">
        <v>513498</v>
      </c>
      <c r="C3963" s="58" t="s">
        <v>588</v>
      </c>
      <c r="D3963" s="58" t="s">
        <v>568</v>
      </c>
    </row>
    <row r="3964" spans="1:4">
      <c r="A3964" s="58" t="s">
        <v>6285</v>
      </c>
      <c r="B3964" s="58">
        <v>532669</v>
      </c>
      <c r="C3964" s="58" t="s">
        <v>588</v>
      </c>
      <c r="D3964" s="58" t="s">
        <v>636</v>
      </c>
    </row>
    <row r="3965" spans="1:4">
      <c r="A3965" s="58" t="s">
        <v>6286</v>
      </c>
      <c r="B3965" s="58">
        <v>590030</v>
      </c>
      <c r="C3965" s="58" t="s">
        <v>6287</v>
      </c>
      <c r="D3965" s="58" t="s">
        <v>1096</v>
      </c>
    </row>
    <row r="3966" spans="1:4">
      <c r="A3966" s="58" t="s">
        <v>6288</v>
      </c>
      <c r="B3966" s="58">
        <v>523826</v>
      </c>
      <c r="C3966" s="58" t="s">
        <v>588</v>
      </c>
      <c r="D3966" s="58" t="s">
        <v>702</v>
      </c>
    </row>
    <row r="3967" spans="1:4">
      <c r="A3967" s="58" t="s">
        <v>6289</v>
      </c>
      <c r="B3967" s="58">
        <v>532025</v>
      </c>
      <c r="C3967" s="58" t="s">
        <v>588</v>
      </c>
      <c r="D3967" s="58" t="s">
        <v>591</v>
      </c>
    </row>
    <row r="3968" spans="1:4">
      <c r="A3968" s="58" t="s">
        <v>6290</v>
      </c>
      <c r="B3968" s="58">
        <v>530289</v>
      </c>
      <c r="C3968" s="58" t="s">
        <v>588</v>
      </c>
      <c r="D3968" s="58" t="s">
        <v>1009</v>
      </c>
    </row>
    <row r="3969" spans="1:4">
      <c r="A3969" s="58" t="s">
        <v>6291</v>
      </c>
      <c r="B3969" s="58">
        <v>542376</v>
      </c>
      <c r="C3969" s="58" t="s">
        <v>6292</v>
      </c>
      <c r="D3969" s="58" t="s">
        <v>571</v>
      </c>
    </row>
    <row r="3970" spans="1:4">
      <c r="A3970" s="58" t="s">
        <v>6293</v>
      </c>
      <c r="B3970" s="58">
        <v>541890</v>
      </c>
      <c r="C3970" s="58" t="s">
        <v>588</v>
      </c>
      <c r="D3970" s="58" t="s">
        <v>574</v>
      </c>
    </row>
    <row r="3971" spans="1:4">
      <c r="A3971" s="58" t="s">
        <v>6294</v>
      </c>
      <c r="B3971" s="58">
        <v>538920</v>
      </c>
      <c r="C3971" s="58" t="s">
        <v>588</v>
      </c>
      <c r="D3971" s="58" t="s">
        <v>610</v>
      </c>
    </row>
    <row r="3972" spans="1:4">
      <c r="A3972" s="58" t="s">
        <v>6295</v>
      </c>
      <c r="B3972" s="58" t="s">
        <v>588</v>
      </c>
      <c r="C3972" s="58" t="s">
        <v>6296</v>
      </c>
      <c r="D3972" s="58" t="s">
        <v>679</v>
      </c>
    </row>
    <row r="3973" spans="1:4">
      <c r="A3973" s="58" t="s">
        <v>6297</v>
      </c>
      <c r="B3973" s="58" t="s">
        <v>588</v>
      </c>
      <c r="C3973" s="58" t="s">
        <v>6296</v>
      </c>
      <c r="D3973" s="58" t="s">
        <v>679</v>
      </c>
    </row>
    <row r="3974" spans="1:4">
      <c r="A3974" s="58" t="s">
        <v>6298</v>
      </c>
      <c r="B3974" s="58">
        <v>524727</v>
      </c>
      <c r="C3974" s="58" t="s">
        <v>588</v>
      </c>
      <c r="D3974" s="58" t="s">
        <v>626</v>
      </c>
    </row>
    <row r="3975" spans="1:4">
      <c r="A3975" s="58" t="s">
        <v>6299</v>
      </c>
      <c r="B3975" s="58">
        <v>531370</v>
      </c>
      <c r="C3975" s="58" t="s">
        <v>588</v>
      </c>
      <c r="D3975" s="58" t="s">
        <v>574</v>
      </c>
    </row>
    <row r="3976" spans="1:4">
      <c r="A3976" s="58" t="s">
        <v>6300</v>
      </c>
      <c r="B3976" s="58">
        <v>540211</v>
      </c>
      <c r="C3976" s="58" t="s">
        <v>588</v>
      </c>
      <c r="D3976" s="58" t="s">
        <v>605</v>
      </c>
    </row>
    <row r="3977" spans="1:4">
      <c r="A3977" s="58" t="s">
        <v>6301</v>
      </c>
      <c r="B3977" s="58">
        <v>534425</v>
      </c>
      <c r="C3977" s="58" t="s">
        <v>6302</v>
      </c>
      <c r="D3977" s="58" t="s">
        <v>1077</v>
      </c>
    </row>
    <row r="3978" spans="1:4">
      <c r="A3978" s="58" t="s">
        <v>6303</v>
      </c>
      <c r="B3978" s="58">
        <v>513687</v>
      </c>
      <c r="C3978" s="58" t="s">
        <v>588</v>
      </c>
      <c r="D3978" s="58" t="s">
        <v>943</v>
      </c>
    </row>
    <row r="3979" spans="1:4">
      <c r="A3979" s="58" t="s">
        <v>6304</v>
      </c>
      <c r="B3979" s="58" t="s">
        <v>588</v>
      </c>
      <c r="C3979" s="58" t="s">
        <v>6305</v>
      </c>
      <c r="D3979" s="58" t="s">
        <v>599</v>
      </c>
    </row>
    <row r="3980" spans="1:4">
      <c r="A3980" s="58" t="s">
        <v>6306</v>
      </c>
      <c r="B3980" s="58">
        <v>531982</v>
      </c>
      <c r="C3980" s="58" t="s">
        <v>588</v>
      </c>
      <c r="D3980" s="58" t="s">
        <v>668</v>
      </c>
    </row>
    <row r="3981" spans="1:4">
      <c r="A3981" s="58" t="s">
        <v>6307</v>
      </c>
      <c r="B3981" s="58">
        <v>512153</v>
      </c>
      <c r="C3981" s="58" t="s">
        <v>588</v>
      </c>
      <c r="D3981" s="58" t="s">
        <v>1009</v>
      </c>
    </row>
    <row r="3982" spans="1:4">
      <c r="A3982" s="58" t="s">
        <v>6308</v>
      </c>
      <c r="B3982" s="58">
        <v>512291</v>
      </c>
      <c r="C3982" s="58" t="s">
        <v>588</v>
      </c>
      <c r="D3982" s="58" t="s">
        <v>571</v>
      </c>
    </row>
    <row r="3983" spans="1:4">
      <c r="A3983" s="58" t="s">
        <v>6309</v>
      </c>
      <c r="B3983" s="58">
        <v>517166</v>
      </c>
      <c r="C3983" s="58" t="s">
        <v>588</v>
      </c>
      <c r="D3983" s="58" t="s">
        <v>1130</v>
      </c>
    </row>
    <row r="3984" spans="1:4">
      <c r="A3984" s="58" t="s">
        <v>6310</v>
      </c>
      <c r="B3984" s="58">
        <v>542337</v>
      </c>
      <c r="C3984" s="58" t="s">
        <v>6311</v>
      </c>
      <c r="D3984" s="58" t="s">
        <v>757</v>
      </c>
    </row>
    <row r="3985" spans="1:4">
      <c r="A3985" s="58" t="s">
        <v>6312</v>
      </c>
      <c r="B3985" s="58" t="s">
        <v>588</v>
      </c>
      <c r="C3985" s="58" t="s">
        <v>6313</v>
      </c>
      <c r="D3985" s="58" t="s">
        <v>757</v>
      </c>
    </row>
    <row r="3986" spans="1:4">
      <c r="A3986" s="58" t="s">
        <v>6314</v>
      </c>
      <c r="B3986" s="58">
        <v>526161</v>
      </c>
      <c r="C3986" s="58" t="s">
        <v>588</v>
      </c>
      <c r="D3986" s="58" t="s">
        <v>702</v>
      </c>
    </row>
    <row r="3987" spans="1:4">
      <c r="A3987" s="58" t="s">
        <v>6315</v>
      </c>
      <c r="B3987" s="58">
        <v>521082</v>
      </c>
      <c r="C3987" s="58" t="s">
        <v>6316</v>
      </c>
      <c r="D3987" s="58" t="s">
        <v>603</v>
      </c>
    </row>
    <row r="3988" spans="1:4">
      <c r="A3988" s="58" t="s">
        <v>6317</v>
      </c>
      <c r="B3988" s="58">
        <v>526827</v>
      </c>
      <c r="C3988" s="58" t="s">
        <v>588</v>
      </c>
      <c r="D3988" s="58" t="s">
        <v>702</v>
      </c>
    </row>
    <row r="3989" spans="1:4">
      <c r="A3989" s="58" t="s">
        <v>6318</v>
      </c>
      <c r="B3989" s="58">
        <v>517214</v>
      </c>
      <c r="C3989" s="58" t="s">
        <v>6319</v>
      </c>
      <c r="D3989" s="58" t="s">
        <v>734</v>
      </c>
    </row>
    <row r="3990" spans="1:4">
      <c r="A3990" s="58" t="s">
        <v>6320</v>
      </c>
      <c r="B3990" s="58">
        <v>500285</v>
      </c>
      <c r="C3990" s="58" t="s">
        <v>588</v>
      </c>
      <c r="D3990" s="58" t="s">
        <v>2723</v>
      </c>
    </row>
    <row r="3991" spans="1:4">
      <c r="A3991" s="58" t="s">
        <v>6321</v>
      </c>
      <c r="B3991" s="58">
        <v>540084</v>
      </c>
      <c r="C3991" s="58" t="s">
        <v>588</v>
      </c>
      <c r="D3991" s="58" t="s">
        <v>591</v>
      </c>
    </row>
    <row r="3992" spans="1:4">
      <c r="A3992" s="58" t="s">
        <v>6322</v>
      </c>
      <c r="B3992" s="58">
        <v>532651</v>
      </c>
      <c r="C3992" s="58" t="s">
        <v>6323</v>
      </c>
      <c r="D3992" s="58" t="s">
        <v>702</v>
      </c>
    </row>
    <row r="3993" spans="1:4">
      <c r="A3993" s="58" t="s">
        <v>6324</v>
      </c>
      <c r="B3993" s="58">
        <v>513414</v>
      </c>
      <c r="C3993" s="58" t="s">
        <v>6325</v>
      </c>
      <c r="D3993" s="58" t="s">
        <v>620</v>
      </c>
    </row>
    <row r="3994" spans="1:4">
      <c r="A3994" s="58" t="s">
        <v>6326</v>
      </c>
      <c r="B3994" s="58">
        <v>500402</v>
      </c>
      <c r="C3994" s="58" t="s">
        <v>6327</v>
      </c>
      <c r="D3994" s="58" t="s">
        <v>986</v>
      </c>
    </row>
    <row r="3995" spans="1:4">
      <c r="A3995" s="58" t="s">
        <v>6328</v>
      </c>
      <c r="B3995" s="58">
        <v>539221</v>
      </c>
      <c r="C3995" s="58" t="s">
        <v>588</v>
      </c>
      <c r="D3995" s="58" t="s">
        <v>603</v>
      </c>
    </row>
    <row r="3996" spans="1:4">
      <c r="A3996" s="58" t="s">
        <v>6329</v>
      </c>
      <c r="B3996" s="58">
        <v>539221</v>
      </c>
      <c r="C3996" s="58" t="s">
        <v>588</v>
      </c>
      <c r="D3996" s="58" t="s">
        <v>603</v>
      </c>
    </row>
    <row r="3997" spans="1:4">
      <c r="A3997" s="58" t="s">
        <v>6330</v>
      </c>
      <c r="B3997" s="58">
        <v>540079</v>
      </c>
      <c r="C3997" s="58" t="s">
        <v>588</v>
      </c>
      <c r="D3997" s="58" t="s">
        <v>1506</v>
      </c>
    </row>
    <row r="3998" spans="1:4">
      <c r="A3998" s="58" t="s">
        <v>6331</v>
      </c>
      <c r="B3998" s="58">
        <v>540570</v>
      </c>
      <c r="C3998" s="58" t="s">
        <v>6332</v>
      </c>
      <c r="D3998" s="58" t="s">
        <v>5401</v>
      </c>
    </row>
    <row r="3999" spans="1:4">
      <c r="A3999" s="58" t="s">
        <v>6333</v>
      </c>
      <c r="B3999" s="58">
        <v>538402</v>
      </c>
      <c r="C3999" s="58" t="s">
        <v>588</v>
      </c>
      <c r="D3999" s="58" t="s">
        <v>605</v>
      </c>
    </row>
    <row r="4000" spans="1:4">
      <c r="A4000" s="58" t="s">
        <v>6334</v>
      </c>
      <c r="B4000" s="58">
        <v>530177</v>
      </c>
      <c r="C4000" s="58" t="s">
        <v>588</v>
      </c>
      <c r="D4000" s="58" t="s">
        <v>610</v>
      </c>
    </row>
    <row r="4001" spans="1:4">
      <c r="A4001" s="58" t="s">
        <v>6335</v>
      </c>
      <c r="B4001" s="58">
        <v>533121</v>
      </c>
      <c r="C4001" s="58" t="s">
        <v>6336</v>
      </c>
      <c r="D4001" s="58" t="s">
        <v>574</v>
      </c>
    </row>
    <row r="4002" spans="1:4">
      <c r="A4002" s="58" t="s">
        <v>6337</v>
      </c>
      <c r="B4002" s="58">
        <v>526532</v>
      </c>
      <c r="C4002" s="58" t="s">
        <v>588</v>
      </c>
      <c r="D4002" s="58" t="s">
        <v>636</v>
      </c>
    </row>
    <row r="4003" spans="1:4">
      <c r="A4003" s="58" t="s">
        <v>6338</v>
      </c>
      <c r="B4003" s="58">
        <v>526532</v>
      </c>
      <c r="C4003" s="58" t="s">
        <v>588</v>
      </c>
      <c r="D4003" s="58" t="s">
        <v>636</v>
      </c>
    </row>
    <row r="4004" spans="1:4">
      <c r="A4004" s="58" t="s">
        <v>6339</v>
      </c>
      <c r="B4004" s="58">
        <v>530037</v>
      </c>
      <c r="C4004" s="58" t="s">
        <v>588</v>
      </c>
      <c r="D4004" s="58" t="s">
        <v>603</v>
      </c>
    </row>
    <row r="4005" spans="1:4">
      <c r="A4005" s="58" t="s">
        <v>6340</v>
      </c>
      <c r="B4005" s="58">
        <v>532842</v>
      </c>
      <c r="C4005" s="58" t="s">
        <v>6341</v>
      </c>
      <c r="D4005" s="58" t="s">
        <v>636</v>
      </c>
    </row>
    <row r="4006" spans="1:4">
      <c r="A4006" s="58" t="s">
        <v>6342</v>
      </c>
      <c r="B4006" s="58">
        <v>514248</v>
      </c>
      <c r="C4006" s="58" t="s">
        <v>588</v>
      </c>
      <c r="D4006" s="58" t="s">
        <v>636</v>
      </c>
    </row>
    <row r="4007" spans="1:4">
      <c r="A4007" s="58" t="s">
        <v>6343</v>
      </c>
      <c r="B4007" s="58">
        <v>535601</v>
      </c>
      <c r="C4007" s="58" t="s">
        <v>6344</v>
      </c>
      <c r="D4007" s="58" t="s">
        <v>1014</v>
      </c>
    </row>
    <row r="4008" spans="1:4">
      <c r="A4008" s="58" t="s">
        <v>6345</v>
      </c>
      <c r="B4008" s="58">
        <v>523756</v>
      </c>
      <c r="C4008" s="58" t="s">
        <v>6346</v>
      </c>
      <c r="D4008" s="58" t="s">
        <v>605</v>
      </c>
    </row>
    <row r="4009" spans="1:4">
      <c r="A4009" s="58" t="s">
        <v>6347</v>
      </c>
      <c r="B4009" s="58">
        <v>539217</v>
      </c>
      <c r="C4009" s="58" t="s">
        <v>588</v>
      </c>
      <c r="D4009" s="58" t="s">
        <v>608</v>
      </c>
    </row>
    <row r="4010" spans="1:4">
      <c r="A4010" s="58" t="s">
        <v>6348</v>
      </c>
      <c r="B4010" s="58">
        <v>503806</v>
      </c>
      <c r="C4010" s="58" t="s">
        <v>6349</v>
      </c>
      <c r="D4010" s="58" t="s">
        <v>603</v>
      </c>
    </row>
    <row r="4011" spans="1:4">
      <c r="A4011" s="58" t="s">
        <v>6350</v>
      </c>
      <c r="B4011" s="58">
        <v>534680</v>
      </c>
      <c r="C4011" s="58" t="s">
        <v>588</v>
      </c>
      <c r="D4011" s="58" t="s">
        <v>646</v>
      </c>
    </row>
    <row r="4012" spans="1:4">
      <c r="A4012" s="58" t="s">
        <v>6351</v>
      </c>
      <c r="B4012" s="58">
        <v>530943</v>
      </c>
      <c r="C4012" s="58" t="s">
        <v>6352</v>
      </c>
      <c r="D4012" s="58" t="s">
        <v>591</v>
      </c>
    </row>
    <row r="4013" spans="1:4">
      <c r="A4013" s="58" t="s">
        <v>6353</v>
      </c>
      <c r="B4013" s="58">
        <v>538863</v>
      </c>
      <c r="C4013" s="58" t="s">
        <v>588</v>
      </c>
      <c r="D4013" s="58" t="s">
        <v>605</v>
      </c>
    </row>
    <row r="4014" spans="1:4">
      <c r="A4014" s="58" t="s">
        <v>6354</v>
      </c>
      <c r="B4014" s="58">
        <v>531322</v>
      </c>
      <c r="C4014" s="58" t="s">
        <v>6355</v>
      </c>
      <c r="D4014" s="58" t="s">
        <v>798</v>
      </c>
    </row>
    <row r="4015" spans="1:4">
      <c r="A4015" s="58" t="s">
        <v>6356</v>
      </c>
      <c r="B4015" s="58">
        <v>514442</v>
      </c>
      <c r="C4015" s="58" t="s">
        <v>588</v>
      </c>
      <c r="D4015" s="58" t="s">
        <v>708</v>
      </c>
    </row>
    <row r="4016" spans="1:4">
      <c r="A4016" s="58" t="s">
        <v>6357</v>
      </c>
      <c r="B4016" s="58">
        <v>539363</v>
      </c>
      <c r="C4016" s="58" t="s">
        <v>588</v>
      </c>
      <c r="D4016" s="58" t="s">
        <v>674</v>
      </c>
    </row>
    <row r="4017" spans="1:4">
      <c r="A4017" s="58" t="s">
        <v>6358</v>
      </c>
      <c r="B4017" s="58">
        <v>539363</v>
      </c>
      <c r="C4017" s="58" t="s">
        <v>588</v>
      </c>
      <c r="D4017" s="58" t="s">
        <v>674</v>
      </c>
    </row>
    <row r="4018" spans="1:4">
      <c r="A4018" s="58" t="s">
        <v>6359</v>
      </c>
      <c r="B4018" s="58" t="s">
        <v>588</v>
      </c>
      <c r="C4018" s="58" t="s">
        <v>6360</v>
      </c>
      <c r="D4018" s="58" t="s">
        <v>599</v>
      </c>
    </row>
    <row r="4019" spans="1:4">
      <c r="A4019" s="58" t="s">
        <v>6361</v>
      </c>
      <c r="B4019" s="58">
        <v>521161</v>
      </c>
      <c r="C4019" s="58" t="s">
        <v>588</v>
      </c>
      <c r="D4019" s="58" t="s">
        <v>603</v>
      </c>
    </row>
    <row r="4020" spans="1:4">
      <c r="A4020" s="58" t="s">
        <v>6362</v>
      </c>
      <c r="B4020" s="58">
        <v>521234</v>
      </c>
      <c r="C4020" s="58" t="s">
        <v>588</v>
      </c>
      <c r="D4020" s="58" t="s">
        <v>603</v>
      </c>
    </row>
    <row r="4021" spans="1:4">
      <c r="A4021" s="58" t="s">
        <v>6363</v>
      </c>
      <c r="B4021" s="58">
        <v>521178</v>
      </c>
      <c r="C4021" s="58" t="s">
        <v>588</v>
      </c>
      <c r="D4021" s="58" t="s">
        <v>603</v>
      </c>
    </row>
    <row r="4022" spans="1:4">
      <c r="A4022" s="58" t="s">
        <v>6364</v>
      </c>
      <c r="B4022" s="58">
        <v>515081</v>
      </c>
      <c r="C4022" s="58" t="s">
        <v>588</v>
      </c>
      <c r="D4022" s="58" t="s">
        <v>1116</v>
      </c>
    </row>
    <row r="4023" spans="1:4">
      <c r="A4023" s="58" t="s">
        <v>6365</v>
      </c>
      <c r="B4023" s="58">
        <v>513605</v>
      </c>
      <c r="C4023" s="58" t="s">
        <v>6366</v>
      </c>
      <c r="D4023" s="58" t="s">
        <v>911</v>
      </c>
    </row>
    <row r="4024" spans="1:4">
      <c r="A4024" s="58" t="s">
        <v>6367</v>
      </c>
      <c r="B4024" s="58">
        <v>523222</v>
      </c>
      <c r="C4024" s="58" t="s">
        <v>588</v>
      </c>
      <c r="D4024" s="58" t="s">
        <v>727</v>
      </c>
    </row>
    <row r="4025" spans="1:4">
      <c r="A4025" s="58" t="s">
        <v>6368</v>
      </c>
      <c r="B4025" s="58">
        <v>536799</v>
      </c>
      <c r="C4025" s="58" t="s">
        <v>588</v>
      </c>
      <c r="D4025" s="58" t="s">
        <v>605</v>
      </c>
    </row>
    <row r="4026" spans="1:4">
      <c r="A4026" s="58" t="s">
        <v>6369</v>
      </c>
      <c r="B4026" s="58">
        <v>533569</v>
      </c>
      <c r="C4026" s="58" t="s">
        <v>6370</v>
      </c>
      <c r="D4026" s="58" t="s">
        <v>702</v>
      </c>
    </row>
    <row r="4027" spans="1:4">
      <c r="A4027" s="58" t="s">
        <v>6371</v>
      </c>
      <c r="B4027" s="58">
        <v>540914</v>
      </c>
      <c r="C4027" s="58" t="s">
        <v>588</v>
      </c>
      <c r="D4027" s="58" t="s">
        <v>610</v>
      </c>
    </row>
    <row r="4028" spans="1:4">
      <c r="A4028" s="58" t="s">
        <v>6372</v>
      </c>
      <c r="B4028" s="58">
        <v>524636</v>
      </c>
      <c r="C4028" s="58" t="s">
        <v>588</v>
      </c>
      <c r="D4028" s="58" t="s">
        <v>626</v>
      </c>
    </row>
    <row r="4029" spans="1:4">
      <c r="A4029" s="58" t="s">
        <v>6373</v>
      </c>
      <c r="B4029" s="58">
        <v>530821</v>
      </c>
      <c r="C4029" s="58" t="s">
        <v>588</v>
      </c>
      <c r="D4029" s="58" t="s">
        <v>674</v>
      </c>
    </row>
    <row r="4030" spans="1:4">
      <c r="A4030" s="58" t="s">
        <v>6374</v>
      </c>
      <c r="B4030" s="58">
        <v>539026</v>
      </c>
      <c r="C4030" s="58" t="s">
        <v>588</v>
      </c>
      <c r="D4030" s="58" t="s">
        <v>571</v>
      </c>
    </row>
    <row r="4031" spans="1:4">
      <c r="A4031" s="58" t="s">
        <v>6375</v>
      </c>
      <c r="B4031" s="58">
        <v>531723</v>
      </c>
      <c r="C4031" s="58" t="s">
        <v>6376</v>
      </c>
      <c r="D4031" s="58" t="s">
        <v>571</v>
      </c>
    </row>
    <row r="4032" spans="1:4">
      <c r="A4032" s="58" t="s">
        <v>6375</v>
      </c>
      <c r="B4032" s="58">
        <v>570005</v>
      </c>
      <c r="C4032" s="58" t="s">
        <v>6377</v>
      </c>
      <c r="D4032" s="58" t="s">
        <v>571</v>
      </c>
    </row>
    <row r="4033" spans="1:4">
      <c r="A4033" s="58" t="s">
        <v>6378</v>
      </c>
      <c r="B4033" s="58">
        <v>504180</v>
      </c>
      <c r="C4033" s="58" t="s">
        <v>588</v>
      </c>
      <c r="D4033" s="58" t="s">
        <v>605</v>
      </c>
    </row>
    <row r="4034" spans="1:4">
      <c r="A4034" s="58" t="s">
        <v>6379</v>
      </c>
      <c r="B4034" s="58">
        <v>511700</v>
      </c>
      <c r="C4034" s="58" t="s">
        <v>588</v>
      </c>
      <c r="D4034" s="58" t="s">
        <v>605</v>
      </c>
    </row>
    <row r="4035" spans="1:4">
      <c r="A4035" s="58" t="s">
        <v>6380</v>
      </c>
      <c r="B4035" s="58">
        <v>580001</v>
      </c>
      <c r="C4035" s="58" t="s">
        <v>588</v>
      </c>
      <c r="D4035" s="58" t="s">
        <v>906</v>
      </c>
    </row>
    <row r="4036" spans="1:4">
      <c r="A4036" s="58" t="s">
        <v>6381</v>
      </c>
      <c r="B4036" s="58">
        <v>530017</v>
      </c>
      <c r="C4036" s="58" t="s">
        <v>6382</v>
      </c>
      <c r="D4036" s="58" t="s">
        <v>636</v>
      </c>
    </row>
    <row r="4037" spans="1:4">
      <c r="A4037" s="58" t="s">
        <v>6383</v>
      </c>
      <c r="B4037" s="58">
        <v>523351</v>
      </c>
      <c r="C4037" s="58" t="s">
        <v>588</v>
      </c>
      <c r="D4037" s="58" t="s">
        <v>748</v>
      </c>
    </row>
    <row r="4038" spans="1:4">
      <c r="A4038" s="58" t="s">
        <v>6384</v>
      </c>
      <c r="B4038" s="58">
        <v>523351</v>
      </c>
      <c r="C4038" s="58" t="s">
        <v>588</v>
      </c>
      <c r="D4038" s="58" t="s">
        <v>748</v>
      </c>
    </row>
    <row r="4039" spans="1:4">
      <c r="A4039" s="58" t="s">
        <v>6385</v>
      </c>
      <c r="B4039" s="58">
        <v>526231</v>
      </c>
      <c r="C4039" s="58" t="s">
        <v>588</v>
      </c>
      <c r="D4039" s="58" t="s">
        <v>636</v>
      </c>
    </row>
    <row r="4040" spans="1:4">
      <c r="A4040" s="58" t="s">
        <v>6386</v>
      </c>
      <c r="B4040" s="58">
        <v>530931</v>
      </c>
      <c r="C4040" s="58" t="s">
        <v>588</v>
      </c>
      <c r="D4040" s="58" t="s">
        <v>783</v>
      </c>
    </row>
    <row r="4041" spans="1:4">
      <c r="A4041" s="58" t="s">
        <v>6387</v>
      </c>
      <c r="B4041" s="58">
        <v>530931</v>
      </c>
      <c r="C4041" s="58" t="s">
        <v>588</v>
      </c>
      <c r="D4041" s="58" t="s">
        <v>783</v>
      </c>
    </row>
    <row r="4042" spans="1:4">
      <c r="A4042" s="58" t="s">
        <v>6388</v>
      </c>
      <c r="B4042" s="58">
        <v>506105</v>
      </c>
      <c r="C4042" s="58" t="s">
        <v>588</v>
      </c>
      <c r="D4042" s="58" t="s">
        <v>608</v>
      </c>
    </row>
    <row r="4043" spans="1:4">
      <c r="A4043" s="58" t="s">
        <v>6389</v>
      </c>
      <c r="B4043" s="58">
        <v>540575</v>
      </c>
      <c r="C4043" s="58" t="s">
        <v>6390</v>
      </c>
      <c r="D4043" s="58" t="s">
        <v>601</v>
      </c>
    </row>
    <row r="4044" spans="1:4">
      <c r="A4044" s="58" t="s">
        <v>6391</v>
      </c>
      <c r="B4044" s="58">
        <v>539255</v>
      </c>
      <c r="C4044" s="58" t="s">
        <v>588</v>
      </c>
      <c r="D4044" s="58" t="s">
        <v>631</v>
      </c>
    </row>
    <row r="4045" spans="1:4">
      <c r="A4045" s="58" t="s">
        <v>6392</v>
      </c>
      <c r="B4045" s="58">
        <v>516022</v>
      </c>
      <c r="C4045" s="58" t="s">
        <v>6393</v>
      </c>
      <c r="D4045" s="58" t="s">
        <v>582</v>
      </c>
    </row>
    <row r="4046" spans="1:4">
      <c r="A4046" s="58" t="s">
        <v>6394</v>
      </c>
      <c r="B4046" s="58">
        <v>531616</v>
      </c>
      <c r="C4046" s="58" t="s">
        <v>588</v>
      </c>
      <c r="D4046" s="58" t="s">
        <v>574</v>
      </c>
    </row>
    <row r="4047" spans="1:4">
      <c r="A4047" s="58" t="s">
        <v>6395</v>
      </c>
      <c r="B4047" s="58">
        <v>538733</v>
      </c>
      <c r="C4047" s="58" t="s">
        <v>588</v>
      </c>
      <c r="D4047" s="58" t="s">
        <v>2832</v>
      </c>
    </row>
    <row r="4048" spans="1:4">
      <c r="A4048" s="58" t="s">
        <v>6396</v>
      </c>
      <c r="B4048" s="58">
        <v>517548</v>
      </c>
      <c r="C4048" s="58" t="s">
        <v>588</v>
      </c>
      <c r="D4048" s="58" t="s">
        <v>610</v>
      </c>
    </row>
    <row r="4049" spans="1:4">
      <c r="A4049" s="58" t="s">
        <v>6397</v>
      </c>
      <c r="B4049" s="58">
        <v>520155</v>
      </c>
      <c r="C4049" s="58" t="s">
        <v>588</v>
      </c>
      <c r="D4049" s="58" t="s">
        <v>724</v>
      </c>
    </row>
    <row r="4050" spans="1:4">
      <c r="A4050" s="58" t="s">
        <v>6398</v>
      </c>
      <c r="B4050" s="58">
        <v>500112</v>
      </c>
      <c r="C4050" s="58" t="s">
        <v>6399</v>
      </c>
      <c r="D4050" s="58" t="s">
        <v>906</v>
      </c>
    </row>
    <row r="4051" spans="1:4">
      <c r="A4051" s="58" t="s">
        <v>6400</v>
      </c>
      <c r="B4051" s="58">
        <v>500113</v>
      </c>
      <c r="C4051" s="58" t="s">
        <v>6401</v>
      </c>
      <c r="D4051" s="58" t="s">
        <v>620</v>
      </c>
    </row>
    <row r="4052" spans="1:4">
      <c r="A4052" s="58" t="s">
        <v>6402</v>
      </c>
      <c r="B4052" s="58">
        <v>500113</v>
      </c>
      <c r="C4052" s="58" t="s">
        <v>6401</v>
      </c>
      <c r="D4052" s="58" t="s">
        <v>620</v>
      </c>
    </row>
    <row r="4053" spans="1:4">
      <c r="A4053" s="58" t="s">
        <v>6403</v>
      </c>
      <c r="B4053" s="58" t="s">
        <v>588</v>
      </c>
      <c r="C4053" s="58" t="s">
        <v>6404</v>
      </c>
      <c r="D4053" s="58" t="s">
        <v>599</v>
      </c>
    </row>
    <row r="4054" spans="1:4">
      <c r="A4054" s="58" t="s">
        <v>6405</v>
      </c>
      <c r="B4054" s="58">
        <v>534748</v>
      </c>
      <c r="C4054" s="58" t="s">
        <v>6406</v>
      </c>
      <c r="D4054" s="58" t="s">
        <v>620</v>
      </c>
    </row>
    <row r="4055" spans="1:4">
      <c r="A4055" s="58" t="s">
        <v>6407</v>
      </c>
      <c r="B4055" s="58">
        <v>534748</v>
      </c>
      <c r="C4055" s="58" t="s">
        <v>6406</v>
      </c>
      <c r="D4055" s="58" t="s">
        <v>620</v>
      </c>
    </row>
    <row r="4056" spans="1:4">
      <c r="A4056" s="58" t="s">
        <v>6408</v>
      </c>
      <c r="B4056" s="58">
        <v>513173</v>
      </c>
      <c r="C4056" s="58" t="s">
        <v>588</v>
      </c>
      <c r="D4056" s="58" t="s">
        <v>674</v>
      </c>
    </row>
    <row r="4057" spans="1:4">
      <c r="A4057" s="58" t="s">
        <v>6409</v>
      </c>
      <c r="B4057" s="58">
        <v>504717</v>
      </c>
      <c r="C4057" s="58" t="s">
        <v>6410</v>
      </c>
      <c r="D4057" s="58" t="s">
        <v>4458</v>
      </c>
    </row>
    <row r="4058" spans="1:4">
      <c r="A4058" s="58" t="s">
        <v>6411</v>
      </c>
      <c r="B4058" s="58">
        <v>513262</v>
      </c>
      <c r="C4058" s="58" t="s">
        <v>6412</v>
      </c>
      <c r="D4058" s="58" t="s">
        <v>943</v>
      </c>
    </row>
    <row r="4059" spans="1:4">
      <c r="A4059" s="58" t="s">
        <v>6413</v>
      </c>
      <c r="B4059" s="58">
        <v>513517</v>
      </c>
      <c r="C4059" s="58" t="s">
        <v>588</v>
      </c>
      <c r="D4059" s="58" t="s">
        <v>1506</v>
      </c>
    </row>
    <row r="4060" spans="1:4">
      <c r="A4060" s="58" t="s">
        <v>6414</v>
      </c>
      <c r="B4060" s="58">
        <v>500399</v>
      </c>
      <c r="C4060" s="58" t="s">
        <v>588</v>
      </c>
      <c r="D4060" s="58" t="s">
        <v>620</v>
      </c>
    </row>
    <row r="4061" spans="1:4">
      <c r="A4061" s="58" t="s">
        <v>6415</v>
      </c>
      <c r="B4061" s="58">
        <v>533316</v>
      </c>
      <c r="C4061" s="58" t="s">
        <v>6416</v>
      </c>
      <c r="D4061" s="58" t="s">
        <v>754</v>
      </c>
    </row>
    <row r="4062" spans="1:4">
      <c r="A4062" s="58" t="s">
        <v>6417</v>
      </c>
      <c r="B4062" s="58">
        <v>526071</v>
      </c>
      <c r="C4062" s="58" t="s">
        <v>588</v>
      </c>
      <c r="D4062" s="58" t="s">
        <v>571</v>
      </c>
    </row>
    <row r="4063" spans="1:4">
      <c r="A4063" s="58" t="s">
        <v>6418</v>
      </c>
      <c r="B4063" s="58">
        <v>526071</v>
      </c>
      <c r="C4063" s="58" t="s">
        <v>588</v>
      </c>
      <c r="D4063" s="58" t="s">
        <v>571</v>
      </c>
    </row>
    <row r="4064" spans="1:4">
      <c r="A4064" s="58" t="s">
        <v>6419</v>
      </c>
      <c r="B4064" s="58">
        <v>536738</v>
      </c>
      <c r="C4064" s="58" t="s">
        <v>588</v>
      </c>
      <c r="D4064" s="58" t="s">
        <v>571</v>
      </c>
    </row>
    <row r="4065" spans="1:4">
      <c r="A4065" s="58" t="s">
        <v>6420</v>
      </c>
      <c r="B4065" s="58">
        <v>531509</v>
      </c>
      <c r="C4065" s="58" t="s">
        <v>588</v>
      </c>
      <c r="D4065" s="58" t="s">
        <v>571</v>
      </c>
    </row>
    <row r="4066" spans="1:4">
      <c r="A4066" s="58" t="s">
        <v>6421</v>
      </c>
      <c r="B4066" s="58">
        <v>526500</v>
      </c>
      <c r="C4066" s="58" t="s">
        <v>588</v>
      </c>
      <c r="D4066" s="58" t="s">
        <v>789</v>
      </c>
    </row>
    <row r="4067" spans="1:4">
      <c r="A4067" s="58" t="s">
        <v>6422</v>
      </c>
      <c r="B4067" s="58">
        <v>508963</v>
      </c>
      <c r="C4067" s="58" t="s">
        <v>6423</v>
      </c>
      <c r="D4067" s="58" t="s">
        <v>605</v>
      </c>
    </row>
    <row r="4068" spans="1:4">
      <c r="A4068" s="58" t="s">
        <v>6424</v>
      </c>
      <c r="B4068" s="58">
        <v>531628</v>
      </c>
      <c r="C4068" s="58" t="s">
        <v>588</v>
      </c>
      <c r="D4068" s="58" t="s">
        <v>603</v>
      </c>
    </row>
    <row r="4069" spans="1:4">
      <c r="A4069" s="58" t="s">
        <v>6425</v>
      </c>
      <c r="B4069" s="58">
        <v>530759</v>
      </c>
      <c r="C4069" s="58" t="s">
        <v>6426</v>
      </c>
      <c r="D4069" s="58" t="s">
        <v>943</v>
      </c>
    </row>
    <row r="4070" spans="1:4">
      <c r="A4070" s="58" t="s">
        <v>6427</v>
      </c>
      <c r="B4070" s="58">
        <v>532374</v>
      </c>
      <c r="C4070" s="58" t="s">
        <v>6428</v>
      </c>
      <c r="D4070" s="58" t="s">
        <v>1533</v>
      </c>
    </row>
    <row r="4071" spans="1:4">
      <c r="A4071" s="58" t="s">
        <v>6429</v>
      </c>
      <c r="B4071" s="58">
        <v>513151</v>
      </c>
      <c r="C4071" s="58" t="s">
        <v>6430</v>
      </c>
      <c r="D4071" s="58" t="s">
        <v>603</v>
      </c>
    </row>
    <row r="4072" spans="1:4">
      <c r="A4072" s="58" t="s">
        <v>6431</v>
      </c>
      <c r="B4072" s="58">
        <v>513151</v>
      </c>
      <c r="C4072" s="58" t="s">
        <v>6432</v>
      </c>
      <c r="D4072" s="58" t="s">
        <v>603</v>
      </c>
    </row>
    <row r="4073" spans="1:4">
      <c r="A4073" s="58" t="s">
        <v>6433</v>
      </c>
      <c r="B4073" s="58">
        <v>532730</v>
      </c>
      <c r="C4073" s="58" t="s">
        <v>6434</v>
      </c>
      <c r="D4073" s="58" t="s">
        <v>603</v>
      </c>
    </row>
    <row r="4074" spans="1:4">
      <c r="A4074" s="58" t="s">
        <v>6435</v>
      </c>
      <c r="B4074" s="58">
        <v>504959</v>
      </c>
      <c r="C4074" s="58" t="s">
        <v>588</v>
      </c>
      <c r="D4074" s="58" t="s">
        <v>596</v>
      </c>
    </row>
    <row r="4075" spans="1:4">
      <c r="A4075" s="58" t="s">
        <v>6436</v>
      </c>
      <c r="B4075" s="58">
        <v>530495</v>
      </c>
      <c r="C4075" s="58" t="s">
        <v>588</v>
      </c>
      <c r="D4075" s="58" t="s">
        <v>610</v>
      </c>
    </row>
    <row r="4076" spans="1:4">
      <c r="A4076" s="58" t="s">
        <v>6437</v>
      </c>
      <c r="B4076" s="58">
        <v>532531</v>
      </c>
      <c r="C4076" s="58" t="s">
        <v>6438</v>
      </c>
      <c r="D4076" s="58" t="s">
        <v>626</v>
      </c>
    </row>
    <row r="4077" spans="1:4">
      <c r="A4077" s="58" t="s">
        <v>6439</v>
      </c>
      <c r="B4077" s="58">
        <v>530611</v>
      </c>
      <c r="C4077" s="58" t="s">
        <v>588</v>
      </c>
      <c r="D4077" s="58" t="s">
        <v>708</v>
      </c>
    </row>
    <row r="4078" spans="1:4">
      <c r="A4078" s="58" t="s">
        <v>6440</v>
      </c>
      <c r="B4078" s="58">
        <v>526951</v>
      </c>
      <c r="C4078" s="58" t="s">
        <v>588</v>
      </c>
      <c r="D4078" s="58" t="s">
        <v>1083</v>
      </c>
    </row>
    <row r="4079" spans="1:4">
      <c r="A4079" s="58" t="s">
        <v>6441</v>
      </c>
      <c r="B4079" s="58" t="s">
        <v>588</v>
      </c>
      <c r="C4079" s="58" t="s">
        <v>6442</v>
      </c>
      <c r="D4079" s="58" t="s">
        <v>1083</v>
      </c>
    </row>
    <row r="4080" spans="1:4">
      <c r="A4080" s="58" t="s">
        <v>6443</v>
      </c>
      <c r="B4080" s="58">
        <v>532348</v>
      </c>
      <c r="C4080" s="58" t="s">
        <v>588</v>
      </c>
      <c r="D4080" s="58" t="s">
        <v>681</v>
      </c>
    </row>
    <row r="4081" spans="1:4">
      <c r="A4081" s="58" t="s">
        <v>6444</v>
      </c>
      <c r="B4081" s="58">
        <v>530231</v>
      </c>
      <c r="C4081" s="58" t="s">
        <v>588</v>
      </c>
      <c r="D4081" s="58" t="s">
        <v>603</v>
      </c>
    </row>
    <row r="4082" spans="1:4">
      <c r="A4082" s="58" t="s">
        <v>6445</v>
      </c>
      <c r="B4082" s="58">
        <v>517168</v>
      </c>
      <c r="C4082" s="58" t="s">
        <v>6446</v>
      </c>
      <c r="D4082" s="58" t="s">
        <v>943</v>
      </c>
    </row>
    <row r="4083" spans="1:4">
      <c r="A4083" s="58" t="s">
        <v>6447</v>
      </c>
      <c r="B4083" s="58">
        <v>511024</v>
      </c>
      <c r="C4083" s="58" t="s">
        <v>588</v>
      </c>
      <c r="D4083" s="58" t="s">
        <v>1009</v>
      </c>
    </row>
    <row r="4084" spans="1:4">
      <c r="A4084" s="58" t="s">
        <v>6448</v>
      </c>
      <c r="B4084" s="58">
        <v>538714</v>
      </c>
      <c r="C4084" s="58" t="s">
        <v>588</v>
      </c>
      <c r="D4084" s="58" t="s">
        <v>605</v>
      </c>
    </row>
    <row r="4085" spans="1:4">
      <c r="A4085" s="58" t="s">
        <v>6449</v>
      </c>
      <c r="B4085" s="58">
        <v>506003</v>
      </c>
      <c r="C4085" s="58" t="s">
        <v>588</v>
      </c>
      <c r="D4085" s="58" t="s">
        <v>893</v>
      </c>
    </row>
    <row r="4086" spans="1:4">
      <c r="A4086" s="58" t="s">
        <v>6450</v>
      </c>
      <c r="B4086" s="58">
        <v>506655</v>
      </c>
      <c r="C4086" s="58" t="s">
        <v>6451</v>
      </c>
      <c r="D4086" s="58" t="s">
        <v>748</v>
      </c>
    </row>
    <row r="4087" spans="1:4">
      <c r="A4087" s="58" t="s">
        <v>6452</v>
      </c>
      <c r="B4087" s="58">
        <v>521113</v>
      </c>
      <c r="C4087" s="58" t="s">
        <v>588</v>
      </c>
      <c r="D4087" s="58" t="s">
        <v>603</v>
      </c>
    </row>
    <row r="4088" spans="1:4">
      <c r="A4088" s="58" t="s">
        <v>6453</v>
      </c>
      <c r="B4088" s="58">
        <v>540318</v>
      </c>
      <c r="C4088" s="58" t="s">
        <v>588</v>
      </c>
      <c r="D4088" s="58" t="s">
        <v>603</v>
      </c>
    </row>
    <row r="4089" spans="1:4">
      <c r="A4089" s="58" t="s">
        <v>6454</v>
      </c>
      <c r="B4089" s="58">
        <v>511654</v>
      </c>
      <c r="C4089" s="58" t="s">
        <v>588</v>
      </c>
      <c r="D4089" s="58" t="s">
        <v>605</v>
      </c>
    </row>
    <row r="4090" spans="1:4">
      <c r="A4090" s="58" t="s">
        <v>6455</v>
      </c>
      <c r="B4090" s="58">
        <v>542683</v>
      </c>
      <c r="C4090" s="58" t="s">
        <v>6456</v>
      </c>
      <c r="D4090" s="58" t="s">
        <v>734</v>
      </c>
    </row>
    <row r="4091" spans="1:4">
      <c r="A4091" s="58" t="s">
        <v>6457</v>
      </c>
      <c r="B4091" s="58">
        <v>539117</v>
      </c>
      <c r="C4091" s="58" t="s">
        <v>588</v>
      </c>
      <c r="D4091" s="58" t="s">
        <v>605</v>
      </c>
    </row>
    <row r="4092" spans="1:4">
      <c r="A4092" s="58" t="s">
        <v>6458</v>
      </c>
      <c r="B4092" s="58">
        <v>517224</v>
      </c>
      <c r="C4092" s="58" t="s">
        <v>6459</v>
      </c>
      <c r="D4092" s="58" t="s">
        <v>1506</v>
      </c>
    </row>
    <row r="4093" spans="1:4">
      <c r="A4093" s="58" t="s">
        <v>6460</v>
      </c>
      <c r="B4093" s="58">
        <v>524542</v>
      </c>
      <c r="C4093" s="58" t="s">
        <v>588</v>
      </c>
      <c r="D4093" s="58" t="s">
        <v>786</v>
      </c>
    </row>
    <row r="4094" spans="1:4">
      <c r="A4094" s="58" t="s">
        <v>6461</v>
      </c>
      <c r="B4094" s="58">
        <v>508969</v>
      </c>
      <c r="C4094" s="58" t="s">
        <v>588</v>
      </c>
      <c r="D4094" s="58" t="s">
        <v>605</v>
      </c>
    </row>
    <row r="4095" spans="1:4">
      <c r="A4095" s="58" t="s">
        <v>6462</v>
      </c>
      <c r="B4095" s="58">
        <v>530419</v>
      </c>
      <c r="C4095" s="58" t="s">
        <v>588</v>
      </c>
      <c r="D4095" s="58" t="s">
        <v>571</v>
      </c>
    </row>
    <row r="4096" spans="1:4">
      <c r="A4096" s="58" t="s">
        <v>6463</v>
      </c>
      <c r="B4096" s="58">
        <v>514211</v>
      </c>
      <c r="C4096" s="58" t="s">
        <v>6464</v>
      </c>
      <c r="D4096" s="58" t="s">
        <v>603</v>
      </c>
    </row>
    <row r="4097" spans="1:4">
      <c r="A4097" s="58" t="s">
        <v>6465</v>
      </c>
      <c r="B4097" s="58">
        <v>530445</v>
      </c>
      <c r="C4097" s="58" t="s">
        <v>588</v>
      </c>
      <c r="D4097" s="58" t="s">
        <v>610</v>
      </c>
    </row>
    <row r="4098" spans="1:4">
      <c r="A4098" s="58" t="s">
        <v>6466</v>
      </c>
      <c r="B4098" s="58" t="s">
        <v>588</v>
      </c>
      <c r="C4098" s="58" t="s">
        <v>6467</v>
      </c>
      <c r="D4098" s="58" t="s">
        <v>599</v>
      </c>
    </row>
    <row r="4099" spans="1:4">
      <c r="A4099" s="58" t="s">
        <v>6468</v>
      </c>
      <c r="B4099" s="58">
        <v>533306</v>
      </c>
      <c r="C4099" s="58" t="s">
        <v>6469</v>
      </c>
      <c r="D4099" s="58" t="s">
        <v>608</v>
      </c>
    </row>
    <row r="4100" spans="1:4">
      <c r="A4100" s="58" t="s">
        <v>6470</v>
      </c>
      <c r="B4100" s="58">
        <v>532154</v>
      </c>
      <c r="C4100" s="58" t="s">
        <v>588</v>
      </c>
      <c r="D4100" s="58" t="s">
        <v>1009</v>
      </c>
    </row>
    <row r="4101" spans="1:4">
      <c r="A4101" s="58" t="s">
        <v>6471</v>
      </c>
      <c r="B4101" s="58">
        <v>532872</v>
      </c>
      <c r="C4101" s="58" t="s">
        <v>6472</v>
      </c>
      <c r="D4101" s="58" t="s">
        <v>626</v>
      </c>
    </row>
    <row r="4102" spans="1:4">
      <c r="A4102" s="58" t="s">
        <v>6473</v>
      </c>
      <c r="B4102" s="58">
        <v>524715</v>
      </c>
      <c r="C4102" s="58" t="s">
        <v>6474</v>
      </c>
      <c r="D4102" s="58" t="s">
        <v>626</v>
      </c>
    </row>
    <row r="4103" spans="1:4">
      <c r="A4103" s="58" t="s">
        <v>6475</v>
      </c>
      <c r="B4103" s="58">
        <v>542025</v>
      </c>
      <c r="C4103" s="58" t="s">
        <v>588</v>
      </c>
      <c r="D4103" s="58" t="s">
        <v>610</v>
      </c>
    </row>
    <row r="4104" spans="1:4">
      <c r="A4104" s="58" t="s">
        <v>6476</v>
      </c>
      <c r="B4104" s="58">
        <v>517403</v>
      </c>
      <c r="C4104" s="58" t="s">
        <v>588</v>
      </c>
      <c r="D4104" s="58" t="s">
        <v>727</v>
      </c>
    </row>
    <row r="4105" spans="1:4">
      <c r="A4105" s="58" t="s">
        <v>6477</v>
      </c>
      <c r="B4105" s="58">
        <v>517403</v>
      </c>
      <c r="C4105" s="58" t="s">
        <v>588</v>
      </c>
      <c r="D4105" s="58" t="s">
        <v>727</v>
      </c>
    </row>
    <row r="4106" spans="1:4">
      <c r="A4106" s="58" t="s">
        <v>6478</v>
      </c>
      <c r="B4106" s="58">
        <v>531752</v>
      </c>
      <c r="C4106" s="58" t="s">
        <v>588</v>
      </c>
      <c r="D4106" s="58" t="s">
        <v>610</v>
      </c>
    </row>
    <row r="4107" spans="1:4">
      <c r="A4107" s="58" t="s">
        <v>6479</v>
      </c>
      <c r="B4107" s="58">
        <v>532733</v>
      </c>
      <c r="C4107" s="58" t="s">
        <v>6480</v>
      </c>
      <c r="D4107" s="58" t="s">
        <v>1325</v>
      </c>
    </row>
    <row r="4108" spans="1:4">
      <c r="A4108" s="58" t="s">
        <v>6481</v>
      </c>
      <c r="B4108" s="58">
        <v>539526</v>
      </c>
      <c r="C4108" s="58" t="s">
        <v>588</v>
      </c>
      <c r="D4108" s="58" t="s">
        <v>622</v>
      </c>
    </row>
    <row r="4109" spans="1:4">
      <c r="A4109" s="58" t="s">
        <v>6482</v>
      </c>
      <c r="B4109" s="58">
        <v>530795</v>
      </c>
      <c r="C4109" s="58" t="s">
        <v>588</v>
      </c>
      <c r="D4109" s="58" t="s">
        <v>603</v>
      </c>
    </row>
    <row r="4110" spans="1:4">
      <c r="A4110" s="58" t="s">
        <v>6483</v>
      </c>
      <c r="B4110" s="58">
        <v>590072</v>
      </c>
      <c r="C4110" s="58" t="s">
        <v>6484</v>
      </c>
      <c r="D4110" s="58" t="s">
        <v>943</v>
      </c>
    </row>
    <row r="4111" spans="1:4">
      <c r="A4111" s="58" t="s">
        <v>6485</v>
      </c>
      <c r="B4111" s="58">
        <v>520056</v>
      </c>
      <c r="C4111" s="58" t="s">
        <v>6486</v>
      </c>
      <c r="D4111" s="58" t="s">
        <v>943</v>
      </c>
    </row>
    <row r="4112" spans="1:4">
      <c r="A4112" s="58" t="s">
        <v>6487</v>
      </c>
      <c r="B4112" s="58" t="s">
        <v>588</v>
      </c>
      <c r="C4112" s="58" t="s">
        <v>6488</v>
      </c>
      <c r="D4112" s="58" t="s">
        <v>679</v>
      </c>
    </row>
    <row r="4113" spans="1:4">
      <c r="A4113" s="58" t="s">
        <v>6489</v>
      </c>
      <c r="B4113" s="58">
        <v>590071</v>
      </c>
      <c r="C4113" s="58" t="s">
        <v>6490</v>
      </c>
      <c r="D4113" s="58" t="s">
        <v>605</v>
      </c>
    </row>
    <row r="4114" spans="1:4">
      <c r="A4114" s="58" t="s">
        <v>6491</v>
      </c>
      <c r="B4114" s="58">
        <v>533166</v>
      </c>
      <c r="C4114" s="58" t="s">
        <v>6492</v>
      </c>
      <c r="D4114" s="58" t="s">
        <v>2578</v>
      </c>
    </row>
    <row r="4115" spans="1:4">
      <c r="A4115" s="58" t="s">
        <v>6493</v>
      </c>
      <c r="B4115" s="58">
        <v>500403</v>
      </c>
      <c r="C4115" s="58" t="s">
        <v>6494</v>
      </c>
      <c r="D4115" s="58" t="s">
        <v>943</v>
      </c>
    </row>
    <row r="4116" spans="1:4">
      <c r="A4116" s="58" t="s">
        <v>6495</v>
      </c>
      <c r="B4116" s="58">
        <v>500404</v>
      </c>
      <c r="C4116" s="58" t="s">
        <v>6496</v>
      </c>
      <c r="D4116" s="58" t="s">
        <v>620</v>
      </c>
    </row>
    <row r="4117" spans="1:4">
      <c r="A4117" s="58" t="s">
        <v>6497</v>
      </c>
      <c r="B4117" s="58">
        <v>531433</v>
      </c>
      <c r="C4117" s="58" t="s">
        <v>588</v>
      </c>
      <c r="D4117" s="58" t="s">
        <v>605</v>
      </c>
    </row>
    <row r="4118" spans="1:4">
      <c r="A4118" s="58" t="s">
        <v>6498</v>
      </c>
      <c r="B4118" s="58">
        <v>541799</v>
      </c>
      <c r="C4118" s="58" t="s">
        <v>588</v>
      </c>
      <c r="D4118" s="58" t="s">
        <v>2188</v>
      </c>
    </row>
    <row r="4119" spans="1:4">
      <c r="A4119" s="58" t="s">
        <v>6499</v>
      </c>
      <c r="B4119" s="58">
        <v>530953</v>
      </c>
      <c r="C4119" s="58" t="s">
        <v>588</v>
      </c>
      <c r="D4119" s="58" t="s">
        <v>648</v>
      </c>
    </row>
    <row r="4120" spans="1:4">
      <c r="A4120" s="58" t="s">
        <v>6500</v>
      </c>
      <c r="B4120" s="58">
        <v>537253</v>
      </c>
      <c r="C4120" s="58" t="s">
        <v>588</v>
      </c>
      <c r="D4120" s="58" t="s">
        <v>626</v>
      </c>
    </row>
    <row r="4121" spans="1:4">
      <c r="A4121" s="58" t="s">
        <v>6501</v>
      </c>
      <c r="B4121" s="58">
        <v>532711</v>
      </c>
      <c r="C4121" s="58" t="s">
        <v>6502</v>
      </c>
      <c r="D4121" s="58" t="s">
        <v>986</v>
      </c>
    </row>
    <row r="4122" spans="1:4">
      <c r="A4122" s="58" t="s">
        <v>6503</v>
      </c>
      <c r="B4122" s="58">
        <v>521232</v>
      </c>
      <c r="C4122" s="58" t="s">
        <v>588</v>
      </c>
      <c r="D4122" s="58" t="s">
        <v>610</v>
      </c>
    </row>
    <row r="4123" spans="1:4">
      <c r="A4123" s="58" t="s">
        <v>6504</v>
      </c>
      <c r="B4123" s="58">
        <v>523425</v>
      </c>
      <c r="C4123" s="58" t="s">
        <v>6505</v>
      </c>
      <c r="D4123" s="58" t="s">
        <v>1144</v>
      </c>
    </row>
    <row r="4124" spans="1:4">
      <c r="A4124" s="58" t="s">
        <v>6506</v>
      </c>
      <c r="B4124" s="58">
        <v>501110</v>
      </c>
      <c r="C4124" s="58" t="s">
        <v>588</v>
      </c>
      <c r="D4124" s="58" t="s">
        <v>571</v>
      </c>
    </row>
    <row r="4125" spans="1:4">
      <c r="A4125" s="58" t="s">
        <v>6507</v>
      </c>
      <c r="B4125" s="58">
        <v>530845</v>
      </c>
      <c r="C4125" s="58" t="s">
        <v>588</v>
      </c>
      <c r="D4125" s="58" t="s">
        <v>636</v>
      </c>
    </row>
    <row r="4126" spans="1:4">
      <c r="A4126" s="58" t="s">
        <v>6508</v>
      </c>
      <c r="B4126" s="58">
        <v>539574</v>
      </c>
      <c r="C4126" s="58" t="s">
        <v>588</v>
      </c>
      <c r="D4126" s="58" t="s">
        <v>605</v>
      </c>
    </row>
    <row r="4127" spans="1:4">
      <c r="A4127" s="58" t="s">
        <v>6509</v>
      </c>
      <c r="B4127" s="58">
        <v>535141</v>
      </c>
      <c r="C4127" s="58" t="s">
        <v>588</v>
      </c>
      <c r="D4127" s="58" t="s">
        <v>674</v>
      </c>
    </row>
    <row r="4128" spans="1:4">
      <c r="A4128" s="58" t="s">
        <v>6510</v>
      </c>
      <c r="B4128" s="58">
        <v>512179</v>
      </c>
      <c r="C4128" s="58" t="s">
        <v>6511</v>
      </c>
      <c r="D4128" s="58" t="s">
        <v>674</v>
      </c>
    </row>
    <row r="4129" spans="1:4">
      <c r="A4129" s="58" t="s">
        <v>6512</v>
      </c>
      <c r="B4129" s="58">
        <v>530735</v>
      </c>
      <c r="C4129" s="58" t="s">
        <v>588</v>
      </c>
      <c r="D4129" s="58" t="s">
        <v>648</v>
      </c>
    </row>
    <row r="4130" spans="1:4">
      <c r="A4130" s="58" t="s">
        <v>6513</v>
      </c>
      <c r="B4130" s="58">
        <v>530735</v>
      </c>
      <c r="C4130" s="58" t="s">
        <v>588</v>
      </c>
      <c r="D4130" s="58" t="s">
        <v>648</v>
      </c>
    </row>
    <row r="4131" spans="1:4">
      <c r="A4131" s="58" t="s">
        <v>6514</v>
      </c>
      <c r="B4131" s="58">
        <v>530883</v>
      </c>
      <c r="C4131" s="58" t="s">
        <v>588</v>
      </c>
      <c r="D4131" s="58" t="s">
        <v>732</v>
      </c>
    </row>
    <row r="4132" spans="1:4">
      <c r="A4132" s="58" t="s">
        <v>6515</v>
      </c>
      <c r="B4132" s="58">
        <v>531699</v>
      </c>
      <c r="C4132" s="58" t="s">
        <v>588</v>
      </c>
      <c r="D4132" s="58" t="s">
        <v>1351</v>
      </c>
    </row>
    <row r="4133" spans="1:4">
      <c r="A4133" s="58" t="s">
        <v>6516</v>
      </c>
      <c r="B4133" s="58">
        <v>540269</v>
      </c>
      <c r="C4133" s="58" t="s">
        <v>588</v>
      </c>
      <c r="D4133" s="58" t="s">
        <v>702</v>
      </c>
    </row>
    <row r="4134" spans="1:4">
      <c r="A4134" s="58" t="s">
        <v>6517</v>
      </c>
      <c r="B4134" s="58">
        <v>512527</v>
      </c>
      <c r="C4134" s="58" t="s">
        <v>588</v>
      </c>
      <c r="D4134" s="58" t="s">
        <v>603</v>
      </c>
    </row>
    <row r="4135" spans="1:4">
      <c r="A4135" s="58" t="s">
        <v>6518</v>
      </c>
      <c r="B4135" s="58">
        <v>512527</v>
      </c>
      <c r="C4135" s="58" t="s">
        <v>588</v>
      </c>
      <c r="D4135" s="58" t="s">
        <v>603</v>
      </c>
    </row>
    <row r="4136" spans="1:4">
      <c r="A4136" s="58" t="s">
        <v>6519</v>
      </c>
      <c r="B4136" s="58">
        <v>521180</v>
      </c>
      <c r="C4136" s="58" t="s">
        <v>6520</v>
      </c>
      <c r="D4136" s="58" t="s">
        <v>603</v>
      </c>
    </row>
    <row r="4137" spans="1:4">
      <c r="A4137" s="58" t="s">
        <v>6521</v>
      </c>
      <c r="B4137" s="58">
        <v>523842</v>
      </c>
      <c r="C4137" s="58" t="s">
        <v>588</v>
      </c>
      <c r="D4137" s="58" t="s">
        <v>702</v>
      </c>
    </row>
    <row r="4138" spans="1:4">
      <c r="A4138" s="58" t="s">
        <v>6522</v>
      </c>
      <c r="B4138" s="58">
        <v>532070</v>
      </c>
      <c r="C4138" s="58" t="s">
        <v>588</v>
      </c>
      <c r="D4138" s="58" t="s">
        <v>582</v>
      </c>
    </row>
    <row r="4139" spans="1:4">
      <c r="A4139" s="58" t="s">
        <v>6523</v>
      </c>
      <c r="B4139" s="58">
        <v>523283</v>
      </c>
      <c r="C4139" s="58" t="s">
        <v>6524</v>
      </c>
      <c r="D4139" s="58" t="s">
        <v>1014</v>
      </c>
    </row>
    <row r="4140" spans="1:4">
      <c r="A4140" s="58" t="s">
        <v>6525</v>
      </c>
      <c r="B4140" s="58">
        <v>539835</v>
      </c>
      <c r="C4140" s="58" t="s">
        <v>588</v>
      </c>
      <c r="D4140" s="58" t="s">
        <v>605</v>
      </c>
    </row>
    <row r="4141" spans="1:4">
      <c r="A4141" s="58" t="s">
        <v>6526</v>
      </c>
      <c r="B4141" s="58">
        <v>519234</v>
      </c>
      <c r="C4141" s="58" t="s">
        <v>6527</v>
      </c>
      <c r="D4141" s="58" t="s">
        <v>837</v>
      </c>
    </row>
    <row r="4142" spans="1:4">
      <c r="A4142" s="58" t="s">
        <v>6528</v>
      </c>
      <c r="B4142" s="58">
        <v>780008</v>
      </c>
      <c r="C4142" s="58" t="s">
        <v>588</v>
      </c>
      <c r="D4142" s="58" t="s">
        <v>679</v>
      </c>
    </row>
    <row r="4143" spans="1:4">
      <c r="A4143" s="58" t="s">
        <v>6529</v>
      </c>
      <c r="B4143" s="58">
        <v>541701</v>
      </c>
      <c r="C4143" s="58" t="s">
        <v>588</v>
      </c>
      <c r="D4143" s="58" t="s">
        <v>911</v>
      </c>
    </row>
    <row r="4144" spans="1:4">
      <c r="A4144" s="58" t="s">
        <v>6530</v>
      </c>
      <c r="B4144" s="58">
        <v>526133</v>
      </c>
      <c r="C4144" s="58" t="s">
        <v>588</v>
      </c>
      <c r="D4144" s="58" t="s">
        <v>603</v>
      </c>
    </row>
    <row r="4145" spans="1:4">
      <c r="A4145" s="58" t="s">
        <v>6531</v>
      </c>
      <c r="B4145" s="58">
        <v>540168</v>
      </c>
      <c r="C4145" s="58" t="s">
        <v>588</v>
      </c>
      <c r="D4145" s="58" t="s">
        <v>605</v>
      </c>
    </row>
    <row r="4146" spans="1:4">
      <c r="A4146" s="58" t="s">
        <v>6532</v>
      </c>
      <c r="B4146" s="58">
        <v>511539</v>
      </c>
      <c r="C4146" s="58" t="s">
        <v>588</v>
      </c>
      <c r="D4146" s="58" t="s">
        <v>571</v>
      </c>
    </row>
    <row r="4147" spans="1:4">
      <c r="A4147" s="58" t="s">
        <v>6533</v>
      </c>
      <c r="B4147" s="58">
        <v>532509</v>
      </c>
      <c r="C4147" s="58" t="s">
        <v>6534</v>
      </c>
      <c r="D4147" s="58" t="s">
        <v>943</v>
      </c>
    </row>
    <row r="4148" spans="1:4">
      <c r="A4148" s="58" t="s">
        <v>6535</v>
      </c>
      <c r="B4148" s="58" t="s">
        <v>588</v>
      </c>
      <c r="C4148" s="58" t="s">
        <v>6536</v>
      </c>
      <c r="D4148" s="58" t="s">
        <v>599</v>
      </c>
    </row>
    <row r="4149" spans="1:4">
      <c r="A4149" s="58" t="s">
        <v>6537</v>
      </c>
      <c r="B4149" s="58">
        <v>530677</v>
      </c>
      <c r="C4149" s="58" t="s">
        <v>588</v>
      </c>
      <c r="D4149" s="58" t="s">
        <v>674</v>
      </c>
    </row>
    <row r="4150" spans="1:4">
      <c r="A4150" s="58" t="s">
        <v>6538</v>
      </c>
      <c r="B4150" s="58">
        <v>530677</v>
      </c>
      <c r="C4150" s="58" t="s">
        <v>588</v>
      </c>
      <c r="D4150" s="58" t="s">
        <v>674</v>
      </c>
    </row>
    <row r="4151" spans="1:4">
      <c r="A4151" s="58" t="s">
        <v>6539</v>
      </c>
      <c r="B4151" s="58" t="s">
        <v>588</v>
      </c>
      <c r="C4151" s="58" t="s">
        <v>6540</v>
      </c>
      <c r="D4151" s="58" t="s">
        <v>599</v>
      </c>
    </row>
    <row r="4152" spans="1:4">
      <c r="A4152" s="58" t="s">
        <v>6541</v>
      </c>
      <c r="B4152" s="58">
        <v>509930</v>
      </c>
      <c r="C4152" s="58" t="s">
        <v>6542</v>
      </c>
      <c r="D4152" s="58" t="s">
        <v>708</v>
      </c>
    </row>
    <row r="4153" spans="1:4">
      <c r="A4153" s="58" t="s">
        <v>6543</v>
      </c>
      <c r="B4153" s="58">
        <v>532904</v>
      </c>
      <c r="C4153" s="58" t="s">
        <v>6544</v>
      </c>
      <c r="D4153" s="58" t="s">
        <v>986</v>
      </c>
    </row>
    <row r="4154" spans="1:4">
      <c r="A4154" s="58" t="s">
        <v>6545</v>
      </c>
      <c r="B4154" s="58">
        <v>532904</v>
      </c>
      <c r="C4154" s="58" t="s">
        <v>6544</v>
      </c>
      <c r="D4154" s="58" t="s">
        <v>986</v>
      </c>
    </row>
    <row r="4155" spans="1:4">
      <c r="A4155" s="58" t="s">
        <v>6546</v>
      </c>
      <c r="B4155" s="58">
        <v>500405</v>
      </c>
      <c r="C4155" s="58" t="s">
        <v>6547</v>
      </c>
      <c r="D4155" s="58" t="s">
        <v>802</v>
      </c>
    </row>
    <row r="4156" spans="1:4">
      <c r="A4156" s="58" t="s">
        <v>6548</v>
      </c>
      <c r="B4156" s="58">
        <v>534733</v>
      </c>
      <c r="C4156" s="58" t="s">
        <v>588</v>
      </c>
      <c r="D4156" s="58" t="s">
        <v>620</v>
      </c>
    </row>
    <row r="4157" spans="1:4">
      <c r="A4157" s="58" t="s">
        <v>6549</v>
      </c>
      <c r="B4157" s="58">
        <v>531638</v>
      </c>
      <c r="C4157" s="58" t="s">
        <v>588</v>
      </c>
      <c r="D4157" s="58" t="s">
        <v>911</v>
      </c>
    </row>
    <row r="4158" spans="1:4">
      <c r="A4158" s="58" t="s">
        <v>6550</v>
      </c>
      <c r="B4158" s="58">
        <v>518075</v>
      </c>
      <c r="C4158" s="58" t="s">
        <v>588</v>
      </c>
      <c r="D4158" s="58" t="s">
        <v>620</v>
      </c>
    </row>
    <row r="4159" spans="1:4">
      <c r="A4159" s="58" t="s">
        <v>6551</v>
      </c>
      <c r="B4159" s="58">
        <v>533298</v>
      </c>
      <c r="C4159" s="58" t="s">
        <v>6552</v>
      </c>
      <c r="D4159" s="58" t="s">
        <v>1130</v>
      </c>
    </row>
    <row r="4160" spans="1:4">
      <c r="A4160" s="58" t="s">
        <v>6553</v>
      </c>
      <c r="B4160" s="58">
        <v>517530</v>
      </c>
      <c r="C4160" s="58" t="s">
        <v>6554</v>
      </c>
      <c r="D4160" s="58" t="s">
        <v>858</v>
      </c>
    </row>
    <row r="4161" spans="1:4">
      <c r="A4161" s="58" t="s">
        <v>6555</v>
      </c>
      <c r="B4161" s="58">
        <v>530185</v>
      </c>
      <c r="C4161" s="58" t="s">
        <v>588</v>
      </c>
      <c r="D4161" s="58" t="s">
        <v>603</v>
      </c>
    </row>
    <row r="4162" spans="1:4">
      <c r="A4162" s="58" t="s">
        <v>6556</v>
      </c>
      <c r="B4162" s="58" t="s">
        <v>588</v>
      </c>
      <c r="C4162" s="58" t="s">
        <v>6557</v>
      </c>
      <c r="D4162" s="58" t="s">
        <v>599</v>
      </c>
    </row>
    <row r="4163" spans="1:4">
      <c r="A4163" s="58" t="s">
        <v>6558</v>
      </c>
      <c r="B4163" s="58">
        <v>539253</v>
      </c>
      <c r="C4163" s="58" t="s">
        <v>588</v>
      </c>
      <c r="D4163" s="58" t="s">
        <v>605</v>
      </c>
    </row>
    <row r="4164" spans="1:4">
      <c r="A4164" s="58" t="s">
        <v>6559</v>
      </c>
      <c r="B4164" s="58">
        <v>539253</v>
      </c>
      <c r="C4164" s="58" t="s">
        <v>588</v>
      </c>
      <c r="D4164" s="58" t="s">
        <v>605</v>
      </c>
    </row>
    <row r="4165" spans="1:4">
      <c r="A4165" s="58" t="s">
        <v>6560</v>
      </c>
      <c r="B4165" s="58">
        <v>500336</v>
      </c>
      <c r="C4165" s="58" t="s">
        <v>6561</v>
      </c>
      <c r="D4165" s="58" t="s">
        <v>577</v>
      </c>
    </row>
    <row r="4166" spans="1:4">
      <c r="A4166" s="58" t="s">
        <v>6562</v>
      </c>
      <c r="B4166" s="58">
        <v>533101</v>
      </c>
      <c r="C4166" s="58" t="s">
        <v>588</v>
      </c>
      <c r="D4166" s="58" t="s">
        <v>603</v>
      </c>
    </row>
    <row r="4167" spans="1:4">
      <c r="A4167" s="58" t="s">
        <v>6563</v>
      </c>
      <c r="B4167" s="58">
        <v>532874</v>
      </c>
      <c r="C4167" s="58" t="s">
        <v>588</v>
      </c>
      <c r="D4167" s="58" t="s">
        <v>727</v>
      </c>
    </row>
    <row r="4168" spans="1:4">
      <c r="A4168" s="58" t="s">
        <v>6564</v>
      </c>
      <c r="B4168" s="58">
        <v>511185</v>
      </c>
      <c r="C4168" s="58" t="s">
        <v>588</v>
      </c>
      <c r="D4168" s="58" t="s">
        <v>909</v>
      </c>
    </row>
    <row r="4169" spans="1:4">
      <c r="A4169" s="58" t="s">
        <v>6565</v>
      </c>
      <c r="B4169" s="58">
        <v>521200</v>
      </c>
      <c r="C4169" s="58" t="s">
        <v>6566</v>
      </c>
      <c r="D4169" s="58" t="s">
        <v>603</v>
      </c>
    </row>
    <row r="4170" spans="1:4">
      <c r="A4170" s="58" t="s">
        <v>6567</v>
      </c>
      <c r="B4170" s="58">
        <v>514138</v>
      </c>
      <c r="C4170" s="58" t="s">
        <v>588</v>
      </c>
      <c r="D4170" s="58" t="s">
        <v>603</v>
      </c>
    </row>
    <row r="4171" spans="1:4">
      <c r="A4171" s="58" t="s">
        <v>6568</v>
      </c>
      <c r="B4171" s="58">
        <v>514140</v>
      </c>
      <c r="C4171" s="58" t="s">
        <v>588</v>
      </c>
      <c r="D4171" s="58" t="s">
        <v>603</v>
      </c>
    </row>
    <row r="4172" spans="1:4">
      <c r="A4172" s="58" t="s">
        <v>6569</v>
      </c>
      <c r="B4172" s="58">
        <v>519604</v>
      </c>
      <c r="C4172" s="58" t="s">
        <v>6570</v>
      </c>
      <c r="D4172" s="58" t="s">
        <v>648</v>
      </c>
    </row>
    <row r="4173" spans="1:4">
      <c r="A4173" s="58" t="s">
        <v>6571</v>
      </c>
      <c r="B4173" s="58">
        <v>532782</v>
      </c>
      <c r="C4173" s="58" t="s">
        <v>6572</v>
      </c>
      <c r="D4173" s="58" t="s">
        <v>603</v>
      </c>
    </row>
    <row r="4174" spans="1:4">
      <c r="A4174" s="58" t="s">
        <v>6573</v>
      </c>
      <c r="B4174" s="58" t="s">
        <v>588</v>
      </c>
      <c r="C4174" s="58" t="s">
        <v>6574</v>
      </c>
      <c r="D4174" s="58" t="s">
        <v>599</v>
      </c>
    </row>
    <row r="4175" spans="1:4">
      <c r="A4175" s="58" t="s">
        <v>6575</v>
      </c>
      <c r="B4175" s="58">
        <v>530239</v>
      </c>
      <c r="C4175" s="58" t="s">
        <v>6576</v>
      </c>
      <c r="D4175" s="58" t="s">
        <v>626</v>
      </c>
    </row>
    <row r="4176" spans="1:4">
      <c r="A4176" s="58" t="s">
        <v>6577</v>
      </c>
      <c r="B4176" s="58">
        <v>531640</v>
      </c>
      <c r="C4176" s="58" t="s">
        <v>588</v>
      </c>
      <c r="D4176" s="58" t="s">
        <v>674</v>
      </c>
    </row>
    <row r="4177" spans="1:4">
      <c r="A4177" s="58" t="s">
        <v>6578</v>
      </c>
      <c r="B4177" s="58">
        <v>537259</v>
      </c>
      <c r="C4177" s="58" t="s">
        <v>588</v>
      </c>
      <c r="D4177" s="58" t="s">
        <v>1533</v>
      </c>
    </row>
    <row r="4178" spans="1:4">
      <c r="A4178" s="58" t="s">
        <v>6579</v>
      </c>
      <c r="B4178" s="58">
        <v>532667</v>
      </c>
      <c r="C4178" s="58" t="s">
        <v>6580</v>
      </c>
      <c r="D4178" s="58" t="s">
        <v>631</v>
      </c>
    </row>
    <row r="4179" spans="1:4">
      <c r="A4179" s="58" t="s">
        <v>6581</v>
      </c>
      <c r="B4179" s="58">
        <v>531885</v>
      </c>
      <c r="C4179" s="58" t="s">
        <v>588</v>
      </c>
      <c r="D4179" s="58" t="s">
        <v>610</v>
      </c>
    </row>
    <row r="4180" spans="1:4">
      <c r="A4180" s="58" t="s">
        <v>6582</v>
      </c>
      <c r="B4180" s="58">
        <v>531885</v>
      </c>
      <c r="C4180" s="58" t="s">
        <v>588</v>
      </c>
      <c r="D4180" s="58" t="s">
        <v>610</v>
      </c>
    </row>
    <row r="4181" spans="1:4">
      <c r="A4181" s="58" t="s">
        <v>6583</v>
      </c>
      <c r="B4181" s="58">
        <v>523722</v>
      </c>
      <c r="C4181" s="58" t="s">
        <v>588</v>
      </c>
      <c r="D4181" s="58" t="s">
        <v>681</v>
      </c>
    </row>
    <row r="4182" spans="1:4">
      <c r="A4182" s="58" t="s">
        <v>6584</v>
      </c>
      <c r="B4182" s="58">
        <v>503624</v>
      </c>
      <c r="C4182" s="58" t="s">
        <v>588</v>
      </c>
      <c r="D4182" s="58" t="s">
        <v>571</v>
      </c>
    </row>
    <row r="4183" spans="1:4">
      <c r="A4183" s="58" t="s">
        <v>6585</v>
      </c>
      <c r="B4183" s="58">
        <v>539911</v>
      </c>
      <c r="C4183" s="58" t="s">
        <v>588</v>
      </c>
      <c r="D4183" s="58" t="s">
        <v>610</v>
      </c>
    </row>
    <row r="4184" spans="1:4">
      <c r="A4184" s="58" t="s">
        <v>6586</v>
      </c>
      <c r="B4184" s="58">
        <v>524488</v>
      </c>
      <c r="C4184" s="58" t="s">
        <v>6587</v>
      </c>
      <c r="D4184" s="58" t="s">
        <v>636</v>
      </c>
    </row>
    <row r="4185" spans="1:4">
      <c r="A4185" s="58" t="s">
        <v>6588</v>
      </c>
      <c r="B4185" s="58">
        <v>512449</v>
      </c>
      <c r="C4185" s="58" t="s">
        <v>588</v>
      </c>
      <c r="D4185" s="58" t="s">
        <v>568</v>
      </c>
    </row>
    <row r="4186" spans="1:4">
      <c r="A4186" s="58" t="s">
        <v>6589</v>
      </c>
      <c r="B4186" s="58">
        <v>505590</v>
      </c>
      <c r="C4186" s="58" t="s">
        <v>588</v>
      </c>
      <c r="D4186" s="58" t="s">
        <v>603</v>
      </c>
    </row>
    <row r="4187" spans="1:4">
      <c r="A4187" s="58" t="s">
        <v>6590</v>
      </c>
      <c r="B4187" s="58">
        <v>539041</v>
      </c>
      <c r="C4187" s="58" t="s">
        <v>588</v>
      </c>
      <c r="D4187" s="58" t="s">
        <v>610</v>
      </c>
    </row>
    <row r="4188" spans="1:4">
      <c r="A4188" s="58" t="s">
        <v>6591</v>
      </c>
      <c r="B4188" s="58">
        <v>503659</v>
      </c>
      <c r="C4188" s="58" t="s">
        <v>588</v>
      </c>
      <c r="D4188" s="58" t="s">
        <v>1009</v>
      </c>
    </row>
    <row r="4189" spans="1:4">
      <c r="A4189" s="58" t="s">
        <v>6592</v>
      </c>
      <c r="B4189" s="58">
        <v>506863</v>
      </c>
      <c r="C4189" s="58" t="s">
        <v>588</v>
      </c>
      <c r="D4189" s="58" t="s">
        <v>783</v>
      </c>
    </row>
    <row r="4190" spans="1:4">
      <c r="A4190" s="58" t="s">
        <v>6593</v>
      </c>
      <c r="B4190" s="58">
        <v>503816</v>
      </c>
      <c r="C4190" s="58" t="s">
        <v>588</v>
      </c>
      <c r="D4190" s="58" t="s">
        <v>603</v>
      </c>
    </row>
    <row r="4191" spans="1:4">
      <c r="A4191" s="58" t="s">
        <v>6594</v>
      </c>
      <c r="B4191" s="58">
        <v>531909</v>
      </c>
      <c r="C4191" s="58" t="s">
        <v>588</v>
      </c>
      <c r="D4191" s="58" t="s">
        <v>674</v>
      </c>
    </row>
    <row r="4192" spans="1:4">
      <c r="A4192" s="58" t="s">
        <v>6595</v>
      </c>
      <c r="B4192" s="58">
        <v>539406</v>
      </c>
      <c r="C4192" s="58" t="s">
        <v>588</v>
      </c>
      <c r="D4192" s="58" t="s">
        <v>610</v>
      </c>
    </row>
    <row r="4193" spans="1:4">
      <c r="A4193" s="58" t="s">
        <v>6596</v>
      </c>
      <c r="B4193" s="58">
        <v>503310</v>
      </c>
      <c r="C4193" s="58" t="s">
        <v>6597</v>
      </c>
      <c r="D4193" s="58" t="s">
        <v>603</v>
      </c>
    </row>
    <row r="4194" spans="1:4">
      <c r="A4194" s="58" t="s">
        <v>6598</v>
      </c>
      <c r="B4194" s="58">
        <v>539353</v>
      </c>
      <c r="C4194" s="58" t="s">
        <v>588</v>
      </c>
      <c r="D4194" s="58" t="s">
        <v>943</v>
      </c>
    </row>
    <row r="4195" spans="1:4">
      <c r="A4195" s="58" t="s">
        <v>6599</v>
      </c>
      <c r="B4195" s="58">
        <v>500407</v>
      </c>
      <c r="C4195" s="58" t="s">
        <v>6600</v>
      </c>
      <c r="D4195" s="58" t="s">
        <v>943</v>
      </c>
    </row>
    <row r="4196" spans="1:4">
      <c r="A4196" s="58" t="s">
        <v>6601</v>
      </c>
      <c r="B4196" s="58">
        <v>531003</v>
      </c>
      <c r="C4196" s="58" t="s">
        <v>588</v>
      </c>
      <c r="D4196" s="58" t="s">
        <v>605</v>
      </c>
    </row>
    <row r="4197" spans="1:4">
      <c r="A4197" s="58" t="s">
        <v>6602</v>
      </c>
      <c r="B4197" s="58">
        <v>526365</v>
      </c>
      <c r="C4197" s="58" t="s">
        <v>588</v>
      </c>
      <c r="D4197" s="58" t="s">
        <v>702</v>
      </c>
    </row>
    <row r="4198" spans="1:4">
      <c r="A4198" s="58" t="s">
        <v>6603</v>
      </c>
      <c r="B4198" s="58">
        <v>512257</v>
      </c>
      <c r="C4198" s="58" t="s">
        <v>588</v>
      </c>
      <c r="D4198" s="58" t="s">
        <v>577</v>
      </c>
    </row>
    <row r="4199" spans="1:4">
      <c r="A4199" s="58" t="s">
        <v>6604</v>
      </c>
      <c r="B4199" s="58">
        <v>510245</v>
      </c>
      <c r="C4199" s="58" t="s">
        <v>588</v>
      </c>
      <c r="D4199" s="58" t="s">
        <v>610</v>
      </c>
    </row>
    <row r="4200" spans="1:4">
      <c r="A4200" s="58" t="s">
        <v>6605</v>
      </c>
      <c r="B4200" s="58">
        <v>501386</v>
      </c>
      <c r="C4200" s="58" t="s">
        <v>588</v>
      </c>
      <c r="D4200" s="58" t="s">
        <v>571</v>
      </c>
    </row>
    <row r="4201" spans="1:4">
      <c r="A4201" s="58" t="s">
        <v>6606</v>
      </c>
      <c r="B4201" s="58">
        <v>530585</v>
      </c>
      <c r="C4201" s="58" t="s">
        <v>588</v>
      </c>
      <c r="D4201" s="58" t="s">
        <v>571</v>
      </c>
    </row>
    <row r="4202" spans="1:4">
      <c r="A4202" s="58" t="s">
        <v>6607</v>
      </c>
      <c r="B4202" s="58">
        <v>532051</v>
      </c>
      <c r="C4202" s="58" t="s">
        <v>6608</v>
      </c>
      <c r="D4202" s="58" t="s">
        <v>631</v>
      </c>
    </row>
    <row r="4203" spans="1:4">
      <c r="A4203" s="58" t="s">
        <v>6609</v>
      </c>
      <c r="B4203" s="58">
        <v>522215</v>
      </c>
      <c r="C4203" s="58" t="s">
        <v>588</v>
      </c>
      <c r="D4203" s="58" t="s">
        <v>596</v>
      </c>
    </row>
    <row r="4204" spans="1:4">
      <c r="A4204" s="58" t="s">
        <v>6610</v>
      </c>
      <c r="B4204" s="58">
        <v>517201</v>
      </c>
      <c r="C4204" s="58" t="s">
        <v>588</v>
      </c>
      <c r="D4204" s="58" t="s">
        <v>1130</v>
      </c>
    </row>
    <row r="4205" spans="1:4">
      <c r="A4205" s="58" t="s">
        <v>6611</v>
      </c>
      <c r="B4205" s="58">
        <v>531637</v>
      </c>
      <c r="C4205" s="58" t="s">
        <v>588</v>
      </c>
      <c r="D4205" s="58" t="s">
        <v>626</v>
      </c>
    </row>
    <row r="4206" spans="1:4">
      <c r="A4206" s="58" t="s">
        <v>6612</v>
      </c>
      <c r="B4206" s="58">
        <v>512359</v>
      </c>
      <c r="C4206" s="58" t="s">
        <v>588</v>
      </c>
      <c r="D4206" s="58" t="s">
        <v>610</v>
      </c>
    </row>
    <row r="4207" spans="1:4">
      <c r="A4207" s="58" t="s">
        <v>6613</v>
      </c>
      <c r="B4207" s="58">
        <v>531499</v>
      </c>
      <c r="C4207" s="58" t="s">
        <v>588</v>
      </c>
      <c r="D4207" s="58" t="s">
        <v>603</v>
      </c>
    </row>
    <row r="4208" spans="1:4">
      <c r="A4208" s="58" t="s">
        <v>6614</v>
      </c>
      <c r="B4208" s="58">
        <v>539682</v>
      </c>
      <c r="C4208" s="58" t="s">
        <v>588</v>
      </c>
      <c r="D4208" s="58" t="s">
        <v>693</v>
      </c>
    </row>
    <row r="4209" spans="1:4">
      <c r="A4209" s="58" t="s">
        <v>6615</v>
      </c>
      <c r="B4209" s="58">
        <v>511447</v>
      </c>
      <c r="C4209" s="58" t="s">
        <v>588</v>
      </c>
      <c r="D4209" s="58" t="s">
        <v>594</v>
      </c>
    </row>
    <row r="4210" spans="1:4">
      <c r="A4210" s="58" t="s">
        <v>6616</v>
      </c>
      <c r="B4210" s="58">
        <v>539278</v>
      </c>
      <c r="C4210" s="58" t="s">
        <v>588</v>
      </c>
      <c r="D4210" s="58" t="s">
        <v>571</v>
      </c>
    </row>
    <row r="4211" spans="1:4">
      <c r="A4211" s="58" t="s">
        <v>6617</v>
      </c>
      <c r="B4211" s="58">
        <v>517385</v>
      </c>
      <c r="C4211" s="58" t="s">
        <v>6618</v>
      </c>
      <c r="D4211" s="58" t="s">
        <v>957</v>
      </c>
    </row>
    <row r="4212" spans="1:4">
      <c r="A4212" s="58" t="s">
        <v>6619</v>
      </c>
      <c r="B4212" s="58">
        <v>524470</v>
      </c>
      <c r="C4212" s="58" t="s">
        <v>588</v>
      </c>
      <c r="D4212" s="58" t="s">
        <v>626</v>
      </c>
    </row>
    <row r="4213" spans="1:4">
      <c r="A4213" s="58" t="s">
        <v>6620</v>
      </c>
      <c r="B4213" s="58">
        <v>524470</v>
      </c>
      <c r="C4213" s="58" t="s">
        <v>588</v>
      </c>
      <c r="D4213" s="58" t="s">
        <v>626</v>
      </c>
    </row>
    <row r="4214" spans="1:4">
      <c r="A4214" s="58" t="s">
        <v>6621</v>
      </c>
      <c r="B4214" s="58">
        <v>533157</v>
      </c>
      <c r="C4214" s="58" t="s">
        <v>6622</v>
      </c>
      <c r="D4214" s="58" t="s">
        <v>626</v>
      </c>
    </row>
    <row r="4215" spans="1:4">
      <c r="A4215" s="58" t="s">
        <v>6623</v>
      </c>
      <c r="B4215" s="58">
        <v>532276</v>
      </c>
      <c r="C4215" s="58" t="s">
        <v>6624</v>
      </c>
      <c r="D4215" s="58" t="s">
        <v>906</v>
      </c>
    </row>
    <row r="4216" spans="1:4">
      <c r="A4216" s="58" t="s">
        <v>6625</v>
      </c>
      <c r="B4216" s="58">
        <v>541929</v>
      </c>
      <c r="C4216" s="58" t="s">
        <v>588</v>
      </c>
      <c r="D4216" s="58" t="s">
        <v>1506</v>
      </c>
    </row>
    <row r="4217" spans="1:4">
      <c r="A4217" s="58" t="s">
        <v>6626</v>
      </c>
      <c r="B4217" s="58">
        <v>539268</v>
      </c>
      <c r="C4217" s="58" t="s">
        <v>6627</v>
      </c>
      <c r="D4217" s="58" t="s">
        <v>626</v>
      </c>
    </row>
    <row r="4218" spans="1:4">
      <c r="A4218" s="58" t="s">
        <v>6628</v>
      </c>
      <c r="B4218" s="58">
        <v>513307</v>
      </c>
      <c r="C4218" s="58" t="s">
        <v>588</v>
      </c>
      <c r="D4218" s="58" t="s">
        <v>893</v>
      </c>
    </row>
    <row r="4219" spans="1:4">
      <c r="A4219" s="58" t="s">
        <v>6629</v>
      </c>
      <c r="B4219" s="58">
        <v>531173</v>
      </c>
      <c r="C4219" s="58" t="s">
        <v>588</v>
      </c>
      <c r="D4219" s="58" t="s">
        <v>626</v>
      </c>
    </row>
    <row r="4220" spans="1:4">
      <c r="A4220" s="58" t="s">
        <v>6630</v>
      </c>
      <c r="B4220" s="58">
        <v>531173</v>
      </c>
      <c r="C4220" s="58" t="s">
        <v>588</v>
      </c>
      <c r="D4220" s="58" t="s">
        <v>626</v>
      </c>
    </row>
    <row r="4221" spans="1:4">
      <c r="A4221" s="58" t="s">
        <v>6631</v>
      </c>
      <c r="B4221" s="58">
        <v>539842</v>
      </c>
      <c r="C4221" s="58" t="s">
        <v>588</v>
      </c>
      <c r="D4221" s="58" t="s">
        <v>783</v>
      </c>
    </row>
    <row r="4222" spans="1:4">
      <c r="A4222" s="58" t="s">
        <v>6632</v>
      </c>
      <c r="B4222" s="58">
        <v>526506</v>
      </c>
      <c r="C4222" s="58" t="s">
        <v>588</v>
      </c>
      <c r="D4222" s="58" t="s">
        <v>571</v>
      </c>
    </row>
    <row r="4223" spans="1:4">
      <c r="A4223" s="58" t="s">
        <v>6633</v>
      </c>
      <c r="B4223" s="58">
        <v>531432</v>
      </c>
      <c r="C4223" s="58" t="s">
        <v>588</v>
      </c>
      <c r="D4223" s="58" t="s">
        <v>605</v>
      </c>
    </row>
    <row r="4224" spans="1:4">
      <c r="A4224" s="58" t="s">
        <v>6634</v>
      </c>
      <c r="B4224" s="58">
        <v>522294</v>
      </c>
      <c r="C4224" s="58" t="s">
        <v>588</v>
      </c>
      <c r="D4224" s="58" t="s">
        <v>596</v>
      </c>
    </row>
    <row r="4225" spans="1:4">
      <c r="A4225" s="58" t="s">
        <v>6635</v>
      </c>
      <c r="B4225" s="58">
        <v>533553</v>
      </c>
      <c r="C4225" s="58" t="s">
        <v>588</v>
      </c>
      <c r="D4225" s="58" t="s">
        <v>631</v>
      </c>
    </row>
    <row r="4226" spans="1:4">
      <c r="A4226" s="58" t="s">
        <v>6636</v>
      </c>
      <c r="B4226" s="58">
        <v>532444</v>
      </c>
      <c r="C4226" s="58" t="s">
        <v>588</v>
      </c>
      <c r="D4226" s="58" t="s">
        <v>681</v>
      </c>
    </row>
    <row r="4227" spans="1:4">
      <c r="A4227" s="58" t="s">
        <v>6637</v>
      </c>
      <c r="B4227" s="58">
        <v>514142</v>
      </c>
      <c r="C4227" s="58" t="s">
        <v>6638</v>
      </c>
      <c r="D4227" s="58" t="s">
        <v>603</v>
      </c>
    </row>
    <row r="4228" spans="1:4">
      <c r="A4228" s="58" t="s">
        <v>6639</v>
      </c>
      <c r="B4228" s="58">
        <v>539956</v>
      </c>
      <c r="C4228" s="58" t="s">
        <v>588</v>
      </c>
      <c r="D4228" s="58" t="s">
        <v>2723</v>
      </c>
    </row>
    <row r="4229" spans="1:4">
      <c r="A4229" s="58" t="s">
        <v>6640</v>
      </c>
      <c r="B4229" s="58">
        <v>537392</v>
      </c>
      <c r="C4229" s="58" t="s">
        <v>588</v>
      </c>
      <c r="D4229" s="58" t="s">
        <v>757</v>
      </c>
    </row>
    <row r="4230" spans="1:4">
      <c r="A4230" s="58" t="s">
        <v>6641</v>
      </c>
      <c r="B4230" s="58">
        <v>519483</v>
      </c>
      <c r="C4230" s="58" t="s">
        <v>588</v>
      </c>
      <c r="D4230" s="58" t="s">
        <v>610</v>
      </c>
    </row>
    <row r="4231" spans="1:4">
      <c r="A4231" s="58" t="s">
        <v>6642</v>
      </c>
      <c r="B4231" s="58">
        <v>507785</v>
      </c>
      <c r="C4231" s="58" t="s">
        <v>6643</v>
      </c>
      <c r="D4231" s="58" t="s">
        <v>708</v>
      </c>
    </row>
    <row r="4232" spans="1:4">
      <c r="A4232" s="58" t="s">
        <v>6644</v>
      </c>
      <c r="B4232" s="58">
        <v>532390</v>
      </c>
      <c r="C4232" s="58" t="s">
        <v>6645</v>
      </c>
      <c r="D4232" s="58" t="s">
        <v>789</v>
      </c>
    </row>
    <row r="4233" spans="1:4">
      <c r="A4233" s="58" t="s">
        <v>6646</v>
      </c>
      <c r="B4233" s="58">
        <v>532890</v>
      </c>
      <c r="C4233" s="58" t="s">
        <v>6647</v>
      </c>
      <c r="D4233" s="58" t="s">
        <v>574</v>
      </c>
    </row>
    <row r="4234" spans="1:4">
      <c r="A4234" s="58" t="s">
        <v>6648</v>
      </c>
      <c r="B4234" s="58">
        <v>505160</v>
      </c>
      <c r="C4234" s="58" t="s">
        <v>6649</v>
      </c>
      <c r="D4234" s="58" t="s">
        <v>943</v>
      </c>
    </row>
    <row r="4235" spans="1:4">
      <c r="A4235" s="58" t="s">
        <v>6650</v>
      </c>
      <c r="B4235" s="58">
        <v>538987</v>
      </c>
      <c r="C4235" s="58" t="s">
        <v>588</v>
      </c>
      <c r="D4235" s="58" t="s">
        <v>943</v>
      </c>
    </row>
    <row r="4236" spans="1:4">
      <c r="A4236" s="58" t="s">
        <v>6651</v>
      </c>
      <c r="B4236" s="58">
        <v>533200</v>
      </c>
      <c r="C4236" s="58" t="s">
        <v>6652</v>
      </c>
      <c r="D4236" s="58" t="s">
        <v>766</v>
      </c>
    </row>
    <row r="4237" spans="1:4">
      <c r="A4237" s="58" t="s">
        <v>6653</v>
      </c>
      <c r="B4237" s="58">
        <v>541545</v>
      </c>
      <c r="C4237" s="58" t="s">
        <v>6654</v>
      </c>
      <c r="D4237" s="58" t="s">
        <v>766</v>
      </c>
    </row>
    <row r="4238" spans="1:4">
      <c r="A4238" s="58" t="s">
        <v>6655</v>
      </c>
      <c r="B4238" s="58">
        <v>533170</v>
      </c>
      <c r="C4238" s="58" t="s">
        <v>588</v>
      </c>
      <c r="D4238" s="58" t="s">
        <v>608</v>
      </c>
    </row>
    <row r="4239" spans="1:4">
      <c r="A4239" s="58" t="s">
        <v>6656</v>
      </c>
      <c r="B4239" s="58">
        <v>531426</v>
      </c>
      <c r="C4239" s="58" t="s">
        <v>6657</v>
      </c>
      <c r="D4239" s="58" t="s">
        <v>582</v>
      </c>
    </row>
    <row r="4240" spans="1:4">
      <c r="A4240" s="58" t="s">
        <v>6658</v>
      </c>
      <c r="B4240" s="58">
        <v>521038</v>
      </c>
      <c r="C4240" s="58" t="s">
        <v>588</v>
      </c>
      <c r="D4240" s="58" t="s">
        <v>603</v>
      </c>
    </row>
    <row r="4241" spans="1:4">
      <c r="A4241" s="58" t="s">
        <v>6659</v>
      </c>
      <c r="B4241" s="58">
        <v>500777</v>
      </c>
      <c r="C4241" s="58" t="s">
        <v>6660</v>
      </c>
      <c r="D4241" s="58" t="s">
        <v>636</v>
      </c>
    </row>
    <row r="4242" spans="1:4">
      <c r="A4242" s="58" t="s">
        <v>6661</v>
      </c>
      <c r="B4242" s="58">
        <v>513540</v>
      </c>
      <c r="C4242" s="58" t="s">
        <v>588</v>
      </c>
      <c r="D4242" s="58" t="s">
        <v>911</v>
      </c>
    </row>
    <row r="4243" spans="1:4">
      <c r="A4243" s="58" t="s">
        <v>6662</v>
      </c>
      <c r="B4243" s="58">
        <v>523419</v>
      </c>
      <c r="C4243" s="58" t="s">
        <v>6663</v>
      </c>
      <c r="D4243" s="58" t="s">
        <v>858</v>
      </c>
    </row>
    <row r="4244" spans="1:4">
      <c r="A4244" s="58" t="s">
        <v>6664</v>
      </c>
      <c r="B4244" s="58">
        <v>522229</v>
      </c>
      <c r="C4244" s="58" t="s">
        <v>588</v>
      </c>
      <c r="D4244" s="58" t="s">
        <v>3069</v>
      </c>
    </row>
    <row r="4245" spans="1:4">
      <c r="A4245" s="58" t="s">
        <v>6665</v>
      </c>
      <c r="B4245" s="58">
        <v>506854</v>
      </c>
      <c r="C4245" s="58" t="s">
        <v>588</v>
      </c>
      <c r="D4245" s="58" t="s">
        <v>636</v>
      </c>
    </row>
    <row r="4246" spans="1:4">
      <c r="A4246" s="58" t="s">
        <v>6666</v>
      </c>
      <c r="B4246" s="58">
        <v>532790</v>
      </c>
      <c r="C4246" s="58" t="s">
        <v>6667</v>
      </c>
      <c r="D4246" s="58" t="s">
        <v>681</v>
      </c>
    </row>
    <row r="4247" spans="1:4">
      <c r="A4247" s="58" t="s">
        <v>6668</v>
      </c>
      <c r="B4247" s="58">
        <v>532738</v>
      </c>
      <c r="C4247" s="58" t="s">
        <v>6669</v>
      </c>
      <c r="D4247" s="58" t="s">
        <v>986</v>
      </c>
    </row>
    <row r="4248" spans="1:4">
      <c r="A4248" s="58" t="s">
        <v>6670</v>
      </c>
      <c r="B4248" s="58">
        <v>540332</v>
      </c>
      <c r="C4248" s="58" t="s">
        <v>588</v>
      </c>
      <c r="D4248" s="58" t="s">
        <v>610</v>
      </c>
    </row>
    <row r="4249" spans="1:4">
      <c r="A4249" s="58" t="s">
        <v>6671</v>
      </c>
      <c r="B4249" s="58">
        <v>540332</v>
      </c>
      <c r="C4249" s="58" t="s">
        <v>588</v>
      </c>
      <c r="D4249" s="58" t="s">
        <v>610</v>
      </c>
    </row>
    <row r="4250" spans="1:4">
      <c r="A4250" s="58" t="s">
        <v>6672</v>
      </c>
      <c r="B4250" s="58">
        <v>505685</v>
      </c>
      <c r="C4250" s="58" t="s">
        <v>588</v>
      </c>
      <c r="D4250" s="58" t="s">
        <v>911</v>
      </c>
    </row>
    <row r="4251" spans="1:4">
      <c r="A4251" s="58" t="s">
        <v>6673</v>
      </c>
      <c r="B4251" s="58" t="s">
        <v>588</v>
      </c>
      <c r="C4251" s="58" t="s">
        <v>6674</v>
      </c>
      <c r="D4251" s="58" t="s">
        <v>599</v>
      </c>
    </row>
    <row r="4252" spans="1:4">
      <c r="A4252" s="58" t="s">
        <v>6675</v>
      </c>
      <c r="B4252" s="58">
        <v>534756</v>
      </c>
      <c r="C4252" s="58" t="s">
        <v>6676</v>
      </c>
      <c r="D4252" s="58" t="s">
        <v>702</v>
      </c>
    </row>
    <row r="4253" spans="1:4">
      <c r="A4253" s="58" t="s">
        <v>6677</v>
      </c>
      <c r="B4253" s="58">
        <v>519285</v>
      </c>
      <c r="C4253" s="58" t="s">
        <v>588</v>
      </c>
      <c r="D4253" s="58" t="s">
        <v>786</v>
      </c>
    </row>
    <row r="4254" spans="1:4">
      <c r="A4254" s="58" t="s">
        <v>6678</v>
      </c>
      <c r="B4254" s="58">
        <v>533203</v>
      </c>
      <c r="C4254" s="58" t="s">
        <v>6679</v>
      </c>
      <c r="D4254" s="58" t="s">
        <v>631</v>
      </c>
    </row>
    <row r="4255" spans="1:4">
      <c r="A4255" s="58" t="s">
        <v>6680</v>
      </c>
      <c r="B4255" s="58">
        <v>538496</v>
      </c>
      <c r="C4255" s="58" t="s">
        <v>588</v>
      </c>
      <c r="D4255" s="58" t="s">
        <v>672</v>
      </c>
    </row>
    <row r="4256" spans="1:4">
      <c r="A4256" s="58" t="s">
        <v>6681</v>
      </c>
      <c r="B4256" s="58">
        <v>532869</v>
      </c>
      <c r="C4256" s="58" t="s">
        <v>6682</v>
      </c>
      <c r="D4256" s="58" t="s">
        <v>986</v>
      </c>
    </row>
    <row r="4257" spans="1:4">
      <c r="A4257" s="58" t="s">
        <v>6683</v>
      </c>
      <c r="B4257" s="58">
        <v>512271</v>
      </c>
      <c r="C4257" s="58" t="s">
        <v>588</v>
      </c>
      <c r="D4257" s="58" t="s">
        <v>1009</v>
      </c>
    </row>
    <row r="4258" spans="1:4">
      <c r="A4258" s="58" t="s">
        <v>6684</v>
      </c>
      <c r="B4258" s="58">
        <v>512271</v>
      </c>
      <c r="C4258" s="58" t="s">
        <v>588</v>
      </c>
      <c r="D4258" s="58" t="s">
        <v>1009</v>
      </c>
    </row>
    <row r="4259" spans="1:4">
      <c r="A4259" s="58" t="s">
        <v>6685</v>
      </c>
      <c r="B4259" s="58">
        <v>519091</v>
      </c>
      <c r="C4259" s="58" t="s">
        <v>6686</v>
      </c>
      <c r="D4259" s="58" t="s">
        <v>648</v>
      </c>
    </row>
    <row r="4260" spans="1:4">
      <c r="A4260" s="58" t="s">
        <v>6687</v>
      </c>
      <c r="B4260" s="58">
        <v>540955</v>
      </c>
      <c r="C4260" s="58" t="s">
        <v>588</v>
      </c>
      <c r="D4260" s="58" t="s">
        <v>648</v>
      </c>
    </row>
    <row r="4261" spans="1:4">
      <c r="A4261" s="58" t="s">
        <v>6688</v>
      </c>
      <c r="B4261" s="58">
        <v>500770</v>
      </c>
      <c r="C4261" s="58" t="s">
        <v>6689</v>
      </c>
      <c r="D4261" s="58" t="s">
        <v>636</v>
      </c>
    </row>
    <row r="4262" spans="1:4">
      <c r="A4262" s="58" t="s">
        <v>6690</v>
      </c>
      <c r="B4262" s="58">
        <v>532301</v>
      </c>
      <c r="C4262" s="58" t="s">
        <v>6691</v>
      </c>
      <c r="D4262" s="58" t="s">
        <v>995</v>
      </c>
    </row>
    <row r="4263" spans="1:4">
      <c r="A4263" s="58" t="s">
        <v>6692</v>
      </c>
      <c r="B4263" s="58">
        <v>500483</v>
      </c>
      <c r="C4263" s="58" t="s">
        <v>6693</v>
      </c>
      <c r="D4263" s="58" t="s">
        <v>6694</v>
      </c>
    </row>
    <row r="4264" spans="1:4">
      <c r="A4264" s="58" t="s">
        <v>6695</v>
      </c>
      <c r="B4264" s="58">
        <v>532540</v>
      </c>
      <c r="C4264" s="58" t="s">
        <v>6696</v>
      </c>
      <c r="D4264" s="58" t="s">
        <v>574</v>
      </c>
    </row>
    <row r="4265" spans="1:4">
      <c r="A4265" s="58" t="s">
        <v>6697</v>
      </c>
      <c r="B4265" s="58">
        <v>500408</v>
      </c>
      <c r="C4265" s="58" t="s">
        <v>6698</v>
      </c>
      <c r="D4265" s="58" t="s">
        <v>681</v>
      </c>
    </row>
    <row r="4266" spans="1:4">
      <c r="A4266" s="58" t="s">
        <v>6699</v>
      </c>
      <c r="B4266" s="58">
        <v>500800</v>
      </c>
      <c r="C4266" s="58" t="s">
        <v>6700</v>
      </c>
      <c r="D4266" s="58" t="s">
        <v>995</v>
      </c>
    </row>
    <row r="4267" spans="1:4">
      <c r="A4267" s="58" t="s">
        <v>6701</v>
      </c>
      <c r="B4267" s="58">
        <v>501301</v>
      </c>
      <c r="C4267" s="58" t="s">
        <v>6702</v>
      </c>
      <c r="D4267" s="58" t="s">
        <v>754</v>
      </c>
    </row>
    <row r="4268" spans="1:4">
      <c r="A4268" s="58" t="s">
        <v>6703</v>
      </c>
      <c r="B4268" s="58">
        <v>513434</v>
      </c>
      <c r="C4268" s="58" t="s">
        <v>6704</v>
      </c>
      <c r="D4268" s="58" t="s">
        <v>620</v>
      </c>
    </row>
    <row r="4269" spans="1:4">
      <c r="A4269" s="58" t="s">
        <v>6705</v>
      </c>
      <c r="B4269" s="58">
        <v>500570</v>
      </c>
      <c r="C4269" s="58" t="s">
        <v>6706</v>
      </c>
      <c r="D4269" s="58" t="s">
        <v>666</v>
      </c>
    </row>
    <row r="4270" spans="1:4">
      <c r="A4270" s="58" t="s">
        <v>6705</v>
      </c>
      <c r="B4270" s="58">
        <v>570001</v>
      </c>
      <c r="C4270" s="58" t="s">
        <v>6707</v>
      </c>
      <c r="D4270" s="58" t="s">
        <v>666</v>
      </c>
    </row>
    <row r="4271" spans="1:4">
      <c r="A4271" s="58" t="s">
        <v>6708</v>
      </c>
      <c r="B4271" s="58">
        <v>500400</v>
      </c>
      <c r="C4271" s="58" t="s">
        <v>6709</v>
      </c>
      <c r="D4271" s="58" t="s">
        <v>727</v>
      </c>
    </row>
    <row r="4272" spans="1:4">
      <c r="A4272" s="58" t="s">
        <v>6710</v>
      </c>
      <c r="B4272" s="58">
        <v>513010</v>
      </c>
      <c r="C4272" s="58" t="s">
        <v>6711</v>
      </c>
      <c r="D4272" s="58" t="s">
        <v>620</v>
      </c>
    </row>
    <row r="4273" spans="1:4">
      <c r="A4273" s="58" t="s">
        <v>6712</v>
      </c>
      <c r="B4273" s="58" t="s">
        <v>588</v>
      </c>
      <c r="C4273" s="58" t="s">
        <v>6713</v>
      </c>
      <c r="D4273" s="58" t="s">
        <v>620</v>
      </c>
    </row>
    <row r="4274" spans="1:4">
      <c r="A4274" s="58" t="s">
        <v>6714</v>
      </c>
      <c r="B4274" s="58">
        <v>500470</v>
      </c>
      <c r="C4274" s="58" t="s">
        <v>6715</v>
      </c>
      <c r="D4274" s="58" t="s">
        <v>620</v>
      </c>
    </row>
    <row r="4275" spans="1:4">
      <c r="A4275" s="58" t="s">
        <v>6716</v>
      </c>
      <c r="B4275" s="58">
        <v>532371</v>
      </c>
      <c r="C4275" s="58" t="s">
        <v>6717</v>
      </c>
      <c r="D4275" s="58" t="s">
        <v>1530</v>
      </c>
    </row>
    <row r="4276" spans="1:4">
      <c r="A4276" s="58" t="s">
        <v>6718</v>
      </c>
      <c r="B4276" s="58">
        <v>521228</v>
      </c>
      <c r="C4276" s="58" t="s">
        <v>588</v>
      </c>
      <c r="D4276" s="58" t="s">
        <v>702</v>
      </c>
    </row>
    <row r="4277" spans="1:4">
      <c r="A4277" s="58" t="s">
        <v>6719</v>
      </c>
      <c r="B4277" s="58">
        <v>531190</v>
      </c>
      <c r="C4277" s="58" t="s">
        <v>588</v>
      </c>
      <c r="D4277" s="58" t="s">
        <v>603</v>
      </c>
    </row>
    <row r="4278" spans="1:4">
      <c r="A4278" s="58" t="s">
        <v>6720</v>
      </c>
      <c r="B4278" s="58">
        <v>541228</v>
      </c>
      <c r="C4278" s="58" t="s">
        <v>588</v>
      </c>
      <c r="D4278" s="58" t="s">
        <v>596</v>
      </c>
    </row>
    <row r="4279" spans="1:4">
      <c r="A4279" s="58" t="s">
        <v>6721</v>
      </c>
      <c r="B4279" s="58">
        <v>504961</v>
      </c>
      <c r="C4279" s="58" t="s">
        <v>588</v>
      </c>
      <c r="D4279" s="58" t="s">
        <v>620</v>
      </c>
    </row>
    <row r="4280" spans="1:4">
      <c r="A4280" s="58" t="s">
        <v>6722</v>
      </c>
      <c r="B4280" s="58">
        <v>532284</v>
      </c>
      <c r="C4280" s="58" t="s">
        <v>588</v>
      </c>
      <c r="D4280" s="58" t="s">
        <v>571</v>
      </c>
    </row>
    <row r="4281" spans="1:4">
      <c r="A4281" s="58" t="s">
        <v>6723</v>
      </c>
      <c r="B4281" s="58">
        <v>533393</v>
      </c>
      <c r="C4281" s="58" t="s">
        <v>6724</v>
      </c>
      <c r="D4281" s="58" t="s">
        <v>674</v>
      </c>
    </row>
    <row r="4282" spans="1:4">
      <c r="A4282" s="58" t="s">
        <v>6725</v>
      </c>
      <c r="B4282" s="58">
        <v>540212</v>
      </c>
      <c r="C4282" s="58" t="s">
        <v>6726</v>
      </c>
      <c r="D4282" s="58" t="s">
        <v>909</v>
      </c>
    </row>
    <row r="4283" spans="1:4">
      <c r="A4283" s="58" t="s">
        <v>6727</v>
      </c>
      <c r="B4283" s="58">
        <v>501242</v>
      </c>
      <c r="C4283" s="58" t="s">
        <v>6728</v>
      </c>
      <c r="D4283" s="58" t="s">
        <v>605</v>
      </c>
    </row>
    <row r="4284" spans="1:4">
      <c r="A4284" s="58" t="s">
        <v>6729</v>
      </c>
      <c r="B4284" s="58">
        <v>532262</v>
      </c>
      <c r="C4284" s="58" t="s">
        <v>588</v>
      </c>
      <c r="D4284" s="58" t="s">
        <v>909</v>
      </c>
    </row>
    <row r="4285" spans="1:4">
      <c r="A4285" s="58" t="s">
        <v>6730</v>
      </c>
      <c r="B4285" s="58">
        <v>524156</v>
      </c>
      <c r="C4285" s="58" t="s">
        <v>588</v>
      </c>
      <c r="D4285" s="58" t="s">
        <v>636</v>
      </c>
    </row>
    <row r="4286" spans="1:4">
      <c r="A4286" s="58" t="s">
        <v>6731</v>
      </c>
      <c r="B4286" s="58">
        <v>541700</v>
      </c>
      <c r="C4286" s="58" t="s">
        <v>6732</v>
      </c>
      <c r="D4286" s="58" t="s">
        <v>702</v>
      </c>
    </row>
    <row r="4287" spans="1:4">
      <c r="A4287" s="58" t="s">
        <v>6733</v>
      </c>
      <c r="B4287" s="58">
        <v>523301</v>
      </c>
      <c r="C4287" s="58" t="s">
        <v>6734</v>
      </c>
      <c r="D4287" s="58" t="s">
        <v>582</v>
      </c>
    </row>
    <row r="4288" spans="1:4">
      <c r="A4288" s="58" t="s">
        <v>6735</v>
      </c>
      <c r="B4288" s="58" t="s">
        <v>588</v>
      </c>
      <c r="C4288" s="58" t="s">
        <v>6736</v>
      </c>
      <c r="D4288" s="58" t="s">
        <v>679</v>
      </c>
    </row>
    <row r="4289" spans="1:4">
      <c r="A4289" s="58" t="s">
        <v>6737</v>
      </c>
      <c r="B4289" s="58">
        <v>512011</v>
      </c>
      <c r="C4289" s="58" t="s">
        <v>588</v>
      </c>
      <c r="D4289" s="58" t="s">
        <v>610</v>
      </c>
    </row>
    <row r="4290" spans="1:4">
      <c r="A4290" s="58" t="s">
        <v>6738</v>
      </c>
      <c r="B4290" s="58">
        <v>539658</v>
      </c>
      <c r="C4290" s="58" t="s">
        <v>6739</v>
      </c>
      <c r="D4290" s="58" t="s">
        <v>3364</v>
      </c>
    </row>
    <row r="4291" spans="1:4">
      <c r="A4291" s="58" t="s">
        <v>6740</v>
      </c>
      <c r="B4291" s="58">
        <v>532755</v>
      </c>
      <c r="C4291" s="58" t="s">
        <v>6741</v>
      </c>
      <c r="D4291" s="58" t="s">
        <v>574</v>
      </c>
    </row>
    <row r="4292" spans="1:4">
      <c r="A4292" s="58" t="s">
        <v>6742</v>
      </c>
      <c r="B4292" s="58">
        <v>526576</v>
      </c>
      <c r="C4292" s="58" t="s">
        <v>6743</v>
      </c>
      <c r="D4292" s="58" t="s">
        <v>786</v>
      </c>
    </row>
    <row r="4293" spans="1:4">
      <c r="A4293" s="58" t="s">
        <v>6744</v>
      </c>
      <c r="B4293" s="58">
        <v>542141</v>
      </c>
      <c r="C4293" s="58" t="s">
        <v>6745</v>
      </c>
      <c r="D4293" s="58" t="s">
        <v>986</v>
      </c>
    </row>
    <row r="4294" spans="1:4">
      <c r="A4294" s="58" t="s">
        <v>6746</v>
      </c>
      <c r="B4294" s="58">
        <v>532804</v>
      </c>
      <c r="C4294" s="58" t="s">
        <v>6747</v>
      </c>
      <c r="D4294" s="58" t="s">
        <v>911</v>
      </c>
    </row>
    <row r="4295" spans="1:4">
      <c r="A4295" s="58" t="s">
        <v>6748</v>
      </c>
      <c r="B4295" s="58">
        <v>532804</v>
      </c>
      <c r="C4295" s="58" t="s">
        <v>6747</v>
      </c>
      <c r="D4295" s="58" t="s">
        <v>911</v>
      </c>
    </row>
    <row r="4296" spans="1:4">
      <c r="A4296" s="58" t="s">
        <v>6749</v>
      </c>
      <c r="B4296" s="58">
        <v>533216</v>
      </c>
      <c r="C4296" s="58" t="s">
        <v>6750</v>
      </c>
      <c r="D4296" s="58" t="s">
        <v>986</v>
      </c>
    </row>
    <row r="4297" spans="1:4">
      <c r="A4297" s="58" t="s">
        <v>6751</v>
      </c>
      <c r="B4297" s="58">
        <v>509917</v>
      </c>
      <c r="C4297" s="58" t="s">
        <v>588</v>
      </c>
      <c r="D4297" s="58" t="s">
        <v>1130</v>
      </c>
    </row>
    <row r="4298" spans="1:4">
      <c r="A4298" s="58" t="s">
        <v>6752</v>
      </c>
      <c r="B4298" s="58">
        <v>501421</v>
      </c>
      <c r="C4298" s="58" t="s">
        <v>588</v>
      </c>
      <c r="D4298" s="58" t="s">
        <v>681</v>
      </c>
    </row>
    <row r="4299" spans="1:4">
      <c r="A4299" s="58" t="s">
        <v>6753</v>
      </c>
      <c r="B4299" s="58">
        <v>524204</v>
      </c>
      <c r="C4299" s="58" t="s">
        <v>588</v>
      </c>
      <c r="D4299" s="58" t="s">
        <v>1096</v>
      </c>
    </row>
    <row r="4300" spans="1:4">
      <c r="A4300" s="58" t="s">
        <v>6754</v>
      </c>
      <c r="B4300" s="58">
        <v>540595</v>
      </c>
      <c r="C4300" s="58" t="s">
        <v>6755</v>
      </c>
      <c r="D4300" s="58" t="s">
        <v>1533</v>
      </c>
    </row>
    <row r="4301" spans="1:4">
      <c r="A4301" s="58" t="s">
        <v>6756</v>
      </c>
      <c r="B4301" s="58">
        <v>539428</v>
      </c>
      <c r="C4301" s="58" t="s">
        <v>588</v>
      </c>
      <c r="D4301" s="58" t="s">
        <v>1058</v>
      </c>
    </row>
    <row r="4302" spans="1:4">
      <c r="A4302" s="58" t="s">
        <v>6757</v>
      </c>
      <c r="B4302" s="58">
        <v>530595</v>
      </c>
      <c r="C4302" s="58" t="s">
        <v>588</v>
      </c>
      <c r="D4302" s="58" t="s">
        <v>681</v>
      </c>
    </row>
    <row r="4303" spans="1:4">
      <c r="A4303" s="58" t="s">
        <v>6758</v>
      </c>
      <c r="B4303" s="58">
        <v>533982</v>
      </c>
      <c r="C4303" s="58" t="s">
        <v>6759</v>
      </c>
      <c r="D4303" s="58" t="s">
        <v>574</v>
      </c>
    </row>
    <row r="4304" spans="1:4">
      <c r="A4304" s="58" t="s">
        <v>6760</v>
      </c>
      <c r="B4304" s="58">
        <v>530533</v>
      </c>
      <c r="C4304" s="58" t="s">
        <v>588</v>
      </c>
      <c r="D4304" s="58" t="s">
        <v>995</v>
      </c>
    </row>
    <row r="4305" spans="1:4">
      <c r="A4305" s="58" t="s">
        <v>6761</v>
      </c>
      <c r="B4305" s="58">
        <v>506162</v>
      </c>
      <c r="C4305" s="58" t="s">
        <v>588</v>
      </c>
      <c r="D4305" s="58" t="s">
        <v>571</v>
      </c>
    </row>
    <row r="4306" spans="1:4">
      <c r="A4306" s="58" t="s">
        <v>6762</v>
      </c>
      <c r="B4306" s="58">
        <v>512157</v>
      </c>
      <c r="C4306" s="58" t="s">
        <v>588</v>
      </c>
      <c r="D4306" s="58" t="s">
        <v>1009</v>
      </c>
    </row>
    <row r="4307" spans="1:4">
      <c r="A4307" s="58" t="s">
        <v>6763</v>
      </c>
      <c r="B4307" s="58">
        <v>505400</v>
      </c>
      <c r="C4307" s="58" t="s">
        <v>6764</v>
      </c>
      <c r="D4307" s="58" t="s">
        <v>674</v>
      </c>
    </row>
    <row r="4308" spans="1:4">
      <c r="A4308" s="58" t="s">
        <v>6765</v>
      </c>
      <c r="B4308" s="58">
        <v>533326</v>
      </c>
      <c r="C4308" s="58" t="s">
        <v>6766</v>
      </c>
      <c r="D4308" s="58" t="s">
        <v>986</v>
      </c>
    </row>
    <row r="4309" spans="1:4">
      <c r="A4309" s="58" t="s">
        <v>6767</v>
      </c>
      <c r="B4309" s="58">
        <v>533164</v>
      </c>
      <c r="C4309" s="58" t="s">
        <v>6768</v>
      </c>
      <c r="D4309" s="58" t="s">
        <v>708</v>
      </c>
    </row>
    <row r="4310" spans="1:4">
      <c r="A4310" s="58" t="s">
        <v>6769</v>
      </c>
      <c r="B4310" s="58">
        <v>532845</v>
      </c>
      <c r="C4310" s="58" t="s">
        <v>6770</v>
      </c>
      <c r="D4310" s="58" t="s">
        <v>789</v>
      </c>
    </row>
    <row r="4311" spans="1:4">
      <c r="A4311" s="58" t="s">
        <v>6771</v>
      </c>
      <c r="B4311" s="58">
        <v>507753</v>
      </c>
      <c r="C4311" s="58" t="s">
        <v>588</v>
      </c>
      <c r="D4311" s="58" t="s">
        <v>636</v>
      </c>
    </row>
    <row r="4312" spans="1:4">
      <c r="A4312" s="58" t="s">
        <v>6772</v>
      </c>
      <c r="B4312" s="58">
        <v>509945</v>
      </c>
      <c r="C4312" s="58" t="s">
        <v>588</v>
      </c>
      <c r="D4312" s="58" t="s">
        <v>571</v>
      </c>
    </row>
    <row r="4313" spans="1:4">
      <c r="A4313" s="58" t="s">
        <v>6773</v>
      </c>
      <c r="B4313" s="58">
        <v>526654</v>
      </c>
      <c r="C4313" s="58" t="s">
        <v>588</v>
      </c>
      <c r="D4313" s="58" t="s">
        <v>674</v>
      </c>
    </row>
    <row r="4314" spans="1:4">
      <c r="A4314" s="58" t="s">
        <v>6774</v>
      </c>
      <c r="B4314" s="58">
        <v>509015</v>
      </c>
      <c r="C4314" s="58" t="s">
        <v>588</v>
      </c>
      <c r="D4314" s="58" t="s">
        <v>1130</v>
      </c>
    </row>
    <row r="4315" spans="1:4">
      <c r="A4315" s="58" t="s">
        <v>6775</v>
      </c>
      <c r="B4315" s="58">
        <v>509015</v>
      </c>
      <c r="C4315" s="58" t="s">
        <v>588</v>
      </c>
      <c r="D4315" s="58" t="s">
        <v>1130</v>
      </c>
    </row>
    <row r="4316" spans="1:4">
      <c r="A4316" s="58" t="s">
        <v>6776</v>
      </c>
      <c r="B4316" s="58">
        <v>514484</v>
      </c>
      <c r="C4316" s="58" t="s">
        <v>588</v>
      </c>
      <c r="D4316" s="58" t="s">
        <v>603</v>
      </c>
    </row>
    <row r="4317" spans="1:4">
      <c r="A4317" s="58" t="s">
        <v>6777</v>
      </c>
      <c r="B4317" s="58">
        <v>533158</v>
      </c>
      <c r="C4317" s="58" t="s">
        <v>6778</v>
      </c>
      <c r="D4317" s="58" t="s">
        <v>702</v>
      </c>
    </row>
    <row r="4318" spans="1:4">
      <c r="A4318" s="58" t="s">
        <v>6779</v>
      </c>
      <c r="B4318" s="58">
        <v>590062</v>
      </c>
      <c r="C4318" s="58" t="s">
        <v>6780</v>
      </c>
      <c r="D4318" s="58" t="s">
        <v>636</v>
      </c>
    </row>
    <row r="4319" spans="1:4">
      <c r="A4319" s="58" t="s">
        <v>6781</v>
      </c>
      <c r="B4319" s="58">
        <v>542460</v>
      </c>
      <c r="C4319" s="58" t="s">
        <v>6782</v>
      </c>
      <c r="D4319" s="58" t="s">
        <v>596</v>
      </c>
    </row>
    <row r="4320" spans="1:4">
      <c r="A4320" s="58" t="s">
        <v>6783</v>
      </c>
      <c r="B4320" s="58">
        <v>531373</v>
      </c>
      <c r="C4320" s="58" t="s">
        <v>6784</v>
      </c>
      <c r="D4320" s="58" t="s">
        <v>789</v>
      </c>
    </row>
    <row r="4321" spans="1:4">
      <c r="A4321" s="58" t="s">
        <v>6785</v>
      </c>
      <c r="B4321" s="58">
        <v>500469</v>
      </c>
      <c r="C4321" s="58" t="s">
        <v>6786</v>
      </c>
      <c r="D4321" s="58" t="s">
        <v>906</v>
      </c>
    </row>
    <row r="4322" spans="1:4">
      <c r="A4322" s="58" t="s">
        <v>6787</v>
      </c>
      <c r="B4322" s="58">
        <v>500620</v>
      </c>
      <c r="C4322" s="58" t="s">
        <v>6788</v>
      </c>
      <c r="D4322" s="58" t="s">
        <v>1833</v>
      </c>
    </row>
    <row r="4323" spans="1:4">
      <c r="A4323" s="58" t="s">
        <v>6789</v>
      </c>
      <c r="B4323" s="58" t="s">
        <v>588</v>
      </c>
      <c r="C4323" s="58" t="s">
        <v>6790</v>
      </c>
      <c r="D4323" s="58" t="s">
        <v>679</v>
      </c>
    </row>
    <row r="4324" spans="1:4">
      <c r="A4324" s="58" t="s">
        <v>6791</v>
      </c>
      <c r="B4324" s="58">
        <v>522073</v>
      </c>
      <c r="C4324" s="58" t="s">
        <v>6792</v>
      </c>
      <c r="D4324" s="58" t="s">
        <v>943</v>
      </c>
    </row>
    <row r="4325" spans="1:4">
      <c r="A4325" s="58" t="s">
        <v>6793</v>
      </c>
      <c r="B4325" s="58">
        <v>530005</v>
      </c>
      <c r="C4325" s="58" t="s">
        <v>6794</v>
      </c>
      <c r="D4325" s="58" t="s">
        <v>601</v>
      </c>
    </row>
    <row r="4326" spans="1:4">
      <c r="A4326" s="58" t="s">
        <v>6795</v>
      </c>
      <c r="B4326" s="58">
        <v>500850</v>
      </c>
      <c r="C4326" s="58" t="s">
        <v>6796</v>
      </c>
      <c r="D4326" s="58" t="s">
        <v>789</v>
      </c>
    </row>
    <row r="4327" spans="1:4">
      <c r="A4327" s="58" t="s">
        <v>6797</v>
      </c>
      <c r="B4327" s="58">
        <v>540954</v>
      </c>
      <c r="C4327" s="58" t="s">
        <v>588</v>
      </c>
      <c r="D4327" s="58" t="s">
        <v>1083</v>
      </c>
    </row>
    <row r="4328" spans="1:4">
      <c r="A4328" s="58" t="s">
        <v>6798</v>
      </c>
      <c r="B4328" s="58">
        <v>530023</v>
      </c>
      <c r="C4328" s="58" t="s">
        <v>6799</v>
      </c>
      <c r="D4328" s="58" t="s">
        <v>605</v>
      </c>
    </row>
    <row r="4329" spans="1:4">
      <c r="A4329" s="58" t="s">
        <v>6800</v>
      </c>
      <c r="B4329" s="58">
        <v>530023</v>
      </c>
      <c r="C4329" s="58" t="s">
        <v>6799</v>
      </c>
      <c r="D4329" s="58" t="s">
        <v>605</v>
      </c>
    </row>
    <row r="4330" spans="1:4">
      <c r="A4330" s="58" t="s">
        <v>6801</v>
      </c>
      <c r="B4330" s="58">
        <v>532209</v>
      </c>
      <c r="C4330" s="58" t="s">
        <v>6802</v>
      </c>
      <c r="D4330" s="58" t="s">
        <v>906</v>
      </c>
    </row>
    <row r="4331" spans="1:4">
      <c r="A4331" s="58" t="s">
        <v>6803</v>
      </c>
      <c r="B4331" s="58">
        <v>532652</v>
      </c>
      <c r="C4331" s="58" t="s">
        <v>6804</v>
      </c>
      <c r="D4331" s="58" t="s">
        <v>906</v>
      </c>
    </row>
    <row r="4332" spans="1:4">
      <c r="A4332" s="58" t="s">
        <v>6805</v>
      </c>
      <c r="B4332" s="58">
        <v>540210</v>
      </c>
      <c r="C4332" s="58" t="s">
        <v>6806</v>
      </c>
      <c r="D4332" s="58" t="s">
        <v>589</v>
      </c>
    </row>
    <row r="4333" spans="1:4">
      <c r="A4333" s="58" t="s">
        <v>6807</v>
      </c>
      <c r="B4333" s="58">
        <v>501343</v>
      </c>
      <c r="C4333" s="58" t="s">
        <v>6808</v>
      </c>
      <c r="D4333" s="58" t="s">
        <v>605</v>
      </c>
    </row>
    <row r="4334" spans="1:4">
      <c r="A4334" s="58" t="s">
        <v>6809</v>
      </c>
      <c r="B4334" s="58">
        <v>540769</v>
      </c>
      <c r="C4334" s="58" t="s">
        <v>6810</v>
      </c>
      <c r="D4334" s="58" t="s">
        <v>2668</v>
      </c>
    </row>
    <row r="4335" spans="1:4">
      <c r="A4335" s="58" t="s">
        <v>6811</v>
      </c>
      <c r="B4335" s="58">
        <v>590086</v>
      </c>
      <c r="C4335" s="58" t="s">
        <v>6812</v>
      </c>
      <c r="D4335" s="58" t="s">
        <v>568</v>
      </c>
    </row>
    <row r="4336" spans="1:4">
      <c r="A4336" s="58" t="s">
        <v>6813</v>
      </c>
      <c r="B4336" s="58" t="s">
        <v>588</v>
      </c>
      <c r="C4336" s="58" t="s">
        <v>6814</v>
      </c>
      <c r="D4336" s="58" t="s">
        <v>679</v>
      </c>
    </row>
    <row r="4337" spans="1:4">
      <c r="A4337" s="58" t="s">
        <v>6815</v>
      </c>
      <c r="B4337" s="58">
        <v>503100</v>
      </c>
      <c r="C4337" s="58" t="s">
        <v>6816</v>
      </c>
      <c r="D4337" s="58" t="s">
        <v>674</v>
      </c>
    </row>
    <row r="4338" spans="1:4">
      <c r="A4338" s="58" t="s">
        <v>6817</v>
      </c>
      <c r="B4338" s="58">
        <v>542123</v>
      </c>
      <c r="C4338" s="58" t="s">
        <v>588</v>
      </c>
      <c r="D4338" s="58" t="s">
        <v>1096</v>
      </c>
    </row>
    <row r="4339" spans="1:4">
      <c r="A4339" s="58" t="s">
        <v>6818</v>
      </c>
      <c r="B4339" s="58">
        <v>500260</v>
      </c>
      <c r="C4339" s="58" t="s">
        <v>6819</v>
      </c>
      <c r="D4339" s="58" t="s">
        <v>601</v>
      </c>
    </row>
    <row r="4340" spans="1:4">
      <c r="A4340" s="58" t="s">
        <v>6820</v>
      </c>
      <c r="B4340" s="58">
        <v>503169</v>
      </c>
      <c r="C4340" s="58" t="s">
        <v>6821</v>
      </c>
      <c r="D4340" s="58" t="s">
        <v>603</v>
      </c>
    </row>
    <row r="4341" spans="1:4">
      <c r="A4341" s="58" t="s">
        <v>6822</v>
      </c>
      <c r="B4341" s="58">
        <v>526725</v>
      </c>
      <c r="C4341" s="58" t="s">
        <v>6823</v>
      </c>
      <c r="D4341" s="58" t="s">
        <v>1112</v>
      </c>
    </row>
    <row r="4342" spans="1:4">
      <c r="A4342" s="58" t="s">
        <v>6824</v>
      </c>
      <c r="B4342" s="58">
        <v>532218</v>
      </c>
      <c r="C4342" s="58" t="s">
        <v>6825</v>
      </c>
      <c r="D4342" s="58" t="s">
        <v>906</v>
      </c>
    </row>
    <row r="4343" spans="1:4">
      <c r="A4343" s="58" t="s">
        <v>6826</v>
      </c>
      <c r="B4343" s="58">
        <v>512531</v>
      </c>
      <c r="C4343" s="58" t="s">
        <v>6827</v>
      </c>
      <c r="D4343" s="58" t="s">
        <v>610</v>
      </c>
    </row>
    <row r="4344" spans="1:4">
      <c r="A4344" s="58" t="s">
        <v>6828</v>
      </c>
      <c r="B4344" s="58">
        <v>512531</v>
      </c>
      <c r="C4344" s="58" t="s">
        <v>6829</v>
      </c>
      <c r="D4344" s="58" t="s">
        <v>610</v>
      </c>
    </row>
    <row r="4345" spans="1:4">
      <c r="A4345" s="58" t="s">
        <v>6830</v>
      </c>
      <c r="B4345" s="58">
        <v>504966</v>
      </c>
      <c r="C4345" s="58" t="s">
        <v>6831</v>
      </c>
      <c r="D4345" s="58" t="s">
        <v>783</v>
      </c>
    </row>
    <row r="4346" spans="1:4">
      <c r="A4346" s="58" t="s">
        <v>6832</v>
      </c>
      <c r="B4346" s="58">
        <v>504966</v>
      </c>
      <c r="C4346" s="58" t="s">
        <v>6831</v>
      </c>
      <c r="D4346" s="58" t="s">
        <v>783</v>
      </c>
    </row>
    <row r="4347" spans="1:4">
      <c r="A4347" s="58" t="s">
        <v>6833</v>
      </c>
      <c r="B4347" s="58">
        <v>530363</v>
      </c>
      <c r="C4347" s="58" t="s">
        <v>6834</v>
      </c>
      <c r="D4347" s="58" t="s">
        <v>1286</v>
      </c>
    </row>
    <row r="4348" spans="1:4">
      <c r="A4348" s="58" t="s">
        <v>6835</v>
      </c>
      <c r="B4348" s="58" t="s">
        <v>588</v>
      </c>
      <c r="C4348" s="58" t="s">
        <v>6836</v>
      </c>
      <c r="D4348" s="58" t="s">
        <v>679</v>
      </c>
    </row>
    <row r="4349" spans="1:4">
      <c r="A4349" s="58" t="s">
        <v>6837</v>
      </c>
      <c r="B4349" s="58" t="s">
        <v>588</v>
      </c>
      <c r="C4349" s="58" t="s">
        <v>6838</v>
      </c>
      <c r="D4349" s="58" t="s">
        <v>679</v>
      </c>
    </row>
    <row r="4350" spans="1:4">
      <c r="A4350" s="58" t="s">
        <v>6839</v>
      </c>
      <c r="B4350" s="58">
        <v>540980</v>
      </c>
      <c r="C4350" s="58" t="s">
        <v>588</v>
      </c>
      <c r="D4350" s="58" t="s">
        <v>610</v>
      </c>
    </row>
    <row r="4351" spans="1:4">
      <c r="A4351" s="58" t="s">
        <v>6840</v>
      </c>
      <c r="B4351" s="58" t="s">
        <v>588</v>
      </c>
      <c r="C4351" s="58" t="s">
        <v>6841</v>
      </c>
      <c r="D4351" s="58" t="s">
        <v>599</v>
      </c>
    </row>
    <row r="4352" spans="1:4">
      <c r="A4352" s="58" t="s">
        <v>6842</v>
      </c>
      <c r="B4352" s="58">
        <v>530199</v>
      </c>
      <c r="C4352" s="58" t="s">
        <v>6843</v>
      </c>
      <c r="D4352" s="58" t="s">
        <v>626</v>
      </c>
    </row>
    <row r="4353" spans="1:4">
      <c r="A4353" s="58" t="s">
        <v>6844</v>
      </c>
      <c r="B4353" s="58">
        <v>500411</v>
      </c>
      <c r="C4353" s="58" t="s">
        <v>6845</v>
      </c>
      <c r="D4353" s="58" t="s">
        <v>631</v>
      </c>
    </row>
    <row r="4354" spans="1:4">
      <c r="A4354" s="58" t="s">
        <v>6846</v>
      </c>
      <c r="B4354" s="58">
        <v>539310</v>
      </c>
      <c r="C4354" s="58" t="s">
        <v>588</v>
      </c>
      <c r="D4354" s="58" t="s">
        <v>2188</v>
      </c>
    </row>
    <row r="4355" spans="1:4">
      <c r="A4355" s="58" t="s">
        <v>6847</v>
      </c>
      <c r="B4355" s="58">
        <v>538464</v>
      </c>
      <c r="C4355" s="58" t="s">
        <v>588</v>
      </c>
      <c r="D4355" s="58" t="s">
        <v>605</v>
      </c>
    </row>
    <row r="4356" spans="1:4">
      <c r="A4356" s="58" t="s">
        <v>6848</v>
      </c>
      <c r="B4356" s="58">
        <v>531652</v>
      </c>
      <c r="C4356" s="58" t="s">
        <v>588</v>
      </c>
      <c r="D4356" s="58" t="s">
        <v>605</v>
      </c>
    </row>
    <row r="4357" spans="1:4">
      <c r="A4357" s="58" t="s">
        <v>6849</v>
      </c>
      <c r="B4357" s="58">
        <v>507450</v>
      </c>
      <c r="C4357" s="58" t="s">
        <v>6850</v>
      </c>
      <c r="D4357" s="58" t="s">
        <v>1286</v>
      </c>
    </row>
    <row r="4358" spans="1:4">
      <c r="A4358" s="58" t="s">
        <v>6851</v>
      </c>
      <c r="B4358" s="58">
        <v>500412</v>
      </c>
      <c r="C4358" s="58" t="s">
        <v>6852</v>
      </c>
      <c r="D4358" s="58" t="s">
        <v>636</v>
      </c>
    </row>
    <row r="4359" spans="1:4">
      <c r="A4359" s="58" t="s">
        <v>6853</v>
      </c>
      <c r="B4359" s="58">
        <v>500413</v>
      </c>
      <c r="C4359" s="58" t="s">
        <v>6854</v>
      </c>
      <c r="D4359" s="58" t="s">
        <v>1589</v>
      </c>
    </row>
    <row r="4360" spans="1:4">
      <c r="A4360" s="58" t="s">
        <v>6855</v>
      </c>
      <c r="B4360" s="58">
        <v>500413</v>
      </c>
      <c r="C4360" s="58" t="s">
        <v>6854</v>
      </c>
      <c r="D4360" s="58" t="s">
        <v>1589</v>
      </c>
    </row>
    <row r="4361" spans="1:4">
      <c r="A4361" s="58" t="s">
        <v>6856</v>
      </c>
      <c r="B4361" s="58">
        <v>533941</v>
      </c>
      <c r="C4361" s="58" t="s">
        <v>6857</v>
      </c>
      <c r="D4361" s="58" t="s">
        <v>702</v>
      </c>
    </row>
    <row r="4362" spans="1:4">
      <c r="A4362" s="58" t="s">
        <v>6858</v>
      </c>
      <c r="B4362" s="58">
        <v>533941</v>
      </c>
      <c r="C4362" s="58" t="s">
        <v>6857</v>
      </c>
      <c r="D4362" s="58" t="s">
        <v>702</v>
      </c>
    </row>
    <row r="4363" spans="1:4">
      <c r="A4363" s="58" t="s">
        <v>6859</v>
      </c>
      <c r="B4363" s="58">
        <v>539871</v>
      </c>
      <c r="C4363" s="58" t="s">
        <v>6860</v>
      </c>
      <c r="D4363" s="58" t="s">
        <v>777</v>
      </c>
    </row>
    <row r="4364" spans="1:4">
      <c r="A4364" s="58" t="s">
        <v>6861</v>
      </c>
      <c r="B4364" s="58">
        <v>504973</v>
      </c>
      <c r="C4364" s="58" t="s">
        <v>6862</v>
      </c>
      <c r="D4364" s="58" t="s">
        <v>943</v>
      </c>
    </row>
    <row r="4365" spans="1:4">
      <c r="A4365" s="58" t="s">
        <v>6863</v>
      </c>
      <c r="B4365" s="58">
        <v>540108</v>
      </c>
      <c r="C4365" s="58" t="s">
        <v>588</v>
      </c>
      <c r="D4365" s="58" t="s">
        <v>571</v>
      </c>
    </row>
    <row r="4366" spans="1:4">
      <c r="A4366" s="58" t="s">
        <v>6864</v>
      </c>
      <c r="B4366" s="58">
        <v>590005</v>
      </c>
      <c r="C4366" s="58" t="s">
        <v>6865</v>
      </c>
      <c r="D4366" s="58" t="s">
        <v>798</v>
      </c>
    </row>
    <row r="4367" spans="1:4">
      <c r="A4367" s="58" t="s">
        <v>6866</v>
      </c>
      <c r="B4367" s="58">
        <v>590005</v>
      </c>
      <c r="C4367" s="58" t="s">
        <v>6865</v>
      </c>
      <c r="D4367" s="58" t="s">
        <v>798</v>
      </c>
    </row>
    <row r="4368" spans="1:4">
      <c r="A4368" s="58" t="s">
        <v>6867</v>
      </c>
      <c r="B4368" s="58">
        <v>536264</v>
      </c>
      <c r="C4368" s="58" t="s">
        <v>588</v>
      </c>
      <c r="D4368" s="58" t="s">
        <v>909</v>
      </c>
    </row>
    <row r="4369" spans="1:4">
      <c r="A4369" s="58" t="s">
        <v>6868</v>
      </c>
      <c r="B4369" s="58">
        <v>536264</v>
      </c>
      <c r="C4369" s="58" t="s">
        <v>588</v>
      </c>
      <c r="D4369" s="58" t="s">
        <v>909</v>
      </c>
    </row>
    <row r="4370" spans="1:4">
      <c r="A4370" s="58" t="s">
        <v>6869</v>
      </c>
      <c r="B4370" s="58">
        <v>533629</v>
      </c>
      <c r="C4370" s="58" t="s">
        <v>6870</v>
      </c>
      <c r="D4370" s="58" t="s">
        <v>708</v>
      </c>
    </row>
    <row r="4371" spans="1:4">
      <c r="A4371" s="58" t="s">
        <v>6871</v>
      </c>
      <c r="B4371" s="58">
        <v>505196</v>
      </c>
      <c r="C4371" s="58" t="s">
        <v>6872</v>
      </c>
      <c r="D4371" s="58" t="s">
        <v>711</v>
      </c>
    </row>
    <row r="4372" spans="1:4">
      <c r="A4372" s="58" t="s">
        <v>6873</v>
      </c>
      <c r="B4372" s="58">
        <v>503663</v>
      </c>
      <c r="C4372" s="58" t="s">
        <v>6874</v>
      </c>
      <c r="D4372" s="58" t="s">
        <v>608</v>
      </c>
    </row>
    <row r="4373" spans="1:4">
      <c r="A4373" s="58" t="s">
        <v>6875</v>
      </c>
      <c r="B4373" s="58">
        <v>507205</v>
      </c>
      <c r="C4373" s="58" t="s">
        <v>6876</v>
      </c>
      <c r="D4373" s="58" t="s">
        <v>1219</v>
      </c>
    </row>
    <row r="4374" spans="1:4">
      <c r="A4374" s="58" t="s">
        <v>6877</v>
      </c>
      <c r="B4374" s="58">
        <v>532856</v>
      </c>
      <c r="C4374" s="58" t="s">
        <v>6878</v>
      </c>
      <c r="D4374" s="58" t="s">
        <v>708</v>
      </c>
    </row>
    <row r="4375" spans="1:4">
      <c r="A4375" s="58" t="s">
        <v>6879</v>
      </c>
      <c r="B4375" s="58">
        <v>511559</v>
      </c>
      <c r="C4375" s="58" t="s">
        <v>6880</v>
      </c>
      <c r="D4375" s="58" t="s">
        <v>605</v>
      </c>
    </row>
    <row r="4376" spans="1:4">
      <c r="A4376" s="58" t="s">
        <v>6881</v>
      </c>
      <c r="B4376" s="58">
        <v>500414</v>
      </c>
      <c r="C4376" s="58" t="s">
        <v>588</v>
      </c>
      <c r="D4376" s="58" t="s">
        <v>702</v>
      </c>
    </row>
    <row r="4377" spans="1:4">
      <c r="A4377" s="58" t="s">
        <v>6882</v>
      </c>
      <c r="B4377" s="58">
        <v>500414</v>
      </c>
      <c r="C4377" s="58" t="s">
        <v>588</v>
      </c>
      <c r="D4377" s="58" t="s">
        <v>702</v>
      </c>
    </row>
    <row r="4378" spans="1:4">
      <c r="A4378" s="58" t="s">
        <v>6883</v>
      </c>
      <c r="B4378" s="58">
        <v>522113</v>
      </c>
      <c r="C4378" s="58" t="s">
        <v>6884</v>
      </c>
      <c r="D4378" s="58" t="s">
        <v>596</v>
      </c>
    </row>
    <row r="4379" spans="1:4">
      <c r="A4379" s="58" t="s">
        <v>6885</v>
      </c>
      <c r="B4379" s="58">
        <v>522113</v>
      </c>
      <c r="C4379" s="58" t="s">
        <v>6884</v>
      </c>
      <c r="D4379" s="58" t="s">
        <v>596</v>
      </c>
    </row>
    <row r="4380" spans="1:4">
      <c r="A4380" s="58" t="s">
        <v>6886</v>
      </c>
      <c r="B4380" s="58">
        <v>530475</v>
      </c>
      <c r="C4380" s="58" t="s">
        <v>588</v>
      </c>
      <c r="D4380" s="58" t="s">
        <v>748</v>
      </c>
    </row>
    <row r="4381" spans="1:4">
      <c r="A4381" s="58" t="s">
        <v>6887</v>
      </c>
      <c r="B4381" s="58">
        <v>541741</v>
      </c>
      <c r="C4381" s="58" t="s">
        <v>588</v>
      </c>
      <c r="D4381" s="58" t="s">
        <v>610</v>
      </c>
    </row>
    <row r="4382" spans="1:4">
      <c r="A4382" s="58" t="s">
        <v>6888</v>
      </c>
      <c r="B4382" s="58">
        <v>532375</v>
      </c>
      <c r="C4382" s="58" t="s">
        <v>6889</v>
      </c>
      <c r="D4382" s="58" t="s">
        <v>591</v>
      </c>
    </row>
    <row r="4383" spans="1:4">
      <c r="A4383" s="58" t="s">
        <v>6890</v>
      </c>
      <c r="B4383" s="58">
        <v>539488</v>
      </c>
      <c r="C4383" s="58" t="s">
        <v>588</v>
      </c>
      <c r="D4383" s="58" t="s">
        <v>608</v>
      </c>
    </row>
    <row r="4384" spans="1:4">
      <c r="A4384" s="58" t="s">
        <v>6891</v>
      </c>
      <c r="B4384" s="58">
        <v>540904</v>
      </c>
      <c r="C4384" s="58" t="s">
        <v>588</v>
      </c>
      <c r="D4384" s="58" t="s">
        <v>865</v>
      </c>
    </row>
    <row r="4385" spans="1:4">
      <c r="A4385" s="58" t="s">
        <v>6892</v>
      </c>
      <c r="B4385" s="58" t="s">
        <v>588</v>
      </c>
      <c r="C4385" s="58" t="s">
        <v>6893</v>
      </c>
      <c r="D4385" s="58" t="s">
        <v>599</v>
      </c>
    </row>
    <row r="4386" spans="1:4">
      <c r="A4386" s="58" t="s">
        <v>6894</v>
      </c>
      <c r="B4386" s="58">
        <v>531547</v>
      </c>
      <c r="C4386" s="58" t="s">
        <v>588</v>
      </c>
      <c r="D4386" s="58" t="s">
        <v>786</v>
      </c>
    </row>
    <row r="4387" spans="1:4">
      <c r="A4387" s="58" t="s">
        <v>6895</v>
      </c>
      <c r="B4387" s="58">
        <v>531547</v>
      </c>
      <c r="C4387" s="58" t="s">
        <v>588</v>
      </c>
      <c r="D4387" s="58" t="s">
        <v>786</v>
      </c>
    </row>
    <row r="4388" spans="1:4">
      <c r="A4388" s="58" t="s">
        <v>6896</v>
      </c>
      <c r="B4388" s="58">
        <v>531814</v>
      </c>
      <c r="C4388" s="58" t="s">
        <v>588</v>
      </c>
      <c r="D4388" s="58" t="s">
        <v>674</v>
      </c>
    </row>
    <row r="4389" spans="1:4">
      <c r="A4389" s="58" t="s">
        <v>6897</v>
      </c>
      <c r="B4389" s="58">
        <v>524582</v>
      </c>
      <c r="C4389" s="58" t="s">
        <v>588</v>
      </c>
      <c r="D4389" s="58" t="s">
        <v>668</v>
      </c>
    </row>
    <row r="4390" spans="1:4">
      <c r="A4390" s="58" t="s">
        <v>6898</v>
      </c>
      <c r="B4390" s="58">
        <v>539040</v>
      </c>
      <c r="C4390" s="58" t="s">
        <v>588</v>
      </c>
      <c r="D4390" s="58" t="s">
        <v>1068</v>
      </c>
    </row>
    <row r="4391" spans="1:4">
      <c r="A4391" s="58" t="s">
        <v>6899</v>
      </c>
      <c r="B4391" s="58">
        <v>539985</v>
      </c>
      <c r="C4391" s="58" t="s">
        <v>588</v>
      </c>
      <c r="D4391" s="58" t="s">
        <v>603</v>
      </c>
    </row>
    <row r="4392" spans="1:4">
      <c r="A4392" s="58" t="s">
        <v>6900</v>
      </c>
      <c r="B4392" s="58">
        <v>532966</v>
      </c>
      <c r="C4392" s="58" t="s">
        <v>6901</v>
      </c>
      <c r="D4392" s="58" t="s">
        <v>666</v>
      </c>
    </row>
    <row r="4393" spans="1:4">
      <c r="A4393" s="58" t="s">
        <v>6902</v>
      </c>
      <c r="B4393" s="58">
        <v>524717</v>
      </c>
      <c r="C4393" s="58" t="s">
        <v>588</v>
      </c>
      <c r="D4393" s="58" t="s">
        <v>748</v>
      </c>
    </row>
    <row r="4394" spans="1:4">
      <c r="A4394" s="58" t="s">
        <v>6903</v>
      </c>
      <c r="B4394" s="58">
        <v>500114</v>
      </c>
      <c r="C4394" s="58" t="s">
        <v>6904</v>
      </c>
      <c r="D4394" s="58" t="s">
        <v>702</v>
      </c>
    </row>
    <row r="4395" spans="1:4">
      <c r="A4395" s="58" t="s">
        <v>6905</v>
      </c>
      <c r="B4395" s="58">
        <v>530045</v>
      </c>
      <c r="C4395" s="58" t="s">
        <v>588</v>
      </c>
      <c r="D4395" s="58" t="s">
        <v>605</v>
      </c>
    </row>
    <row r="4396" spans="1:4">
      <c r="A4396" s="58" t="s">
        <v>6906</v>
      </c>
      <c r="B4396" s="58">
        <v>511096</v>
      </c>
      <c r="C4396" s="58" t="s">
        <v>588</v>
      </c>
      <c r="D4396" s="58" t="s">
        <v>674</v>
      </c>
    </row>
    <row r="4397" spans="1:4">
      <c r="A4397" s="58" t="s">
        <v>6907</v>
      </c>
      <c r="B4397" s="58">
        <v>531830</v>
      </c>
      <c r="C4397" s="58" t="s">
        <v>6908</v>
      </c>
      <c r="D4397" s="58" t="s">
        <v>1134</v>
      </c>
    </row>
    <row r="4398" spans="1:4">
      <c r="A4398" s="58" t="s">
        <v>6909</v>
      </c>
      <c r="B4398" s="58">
        <v>531644</v>
      </c>
      <c r="C4398" s="58" t="s">
        <v>588</v>
      </c>
      <c r="D4398" s="58" t="s">
        <v>605</v>
      </c>
    </row>
    <row r="4399" spans="1:4">
      <c r="A4399" s="58" t="s">
        <v>6910</v>
      </c>
      <c r="B4399" s="58">
        <v>500418</v>
      </c>
      <c r="C4399" s="58" t="s">
        <v>6911</v>
      </c>
      <c r="D4399" s="58" t="s">
        <v>708</v>
      </c>
    </row>
    <row r="4400" spans="1:4">
      <c r="A4400" s="58" t="s">
        <v>6912</v>
      </c>
      <c r="B4400" s="58">
        <v>500420</v>
      </c>
      <c r="C4400" s="58" t="s">
        <v>6913</v>
      </c>
      <c r="D4400" s="58" t="s">
        <v>626</v>
      </c>
    </row>
    <row r="4401" spans="1:4">
      <c r="A4401" s="58" t="s">
        <v>6914</v>
      </c>
      <c r="B4401" s="58">
        <v>532779</v>
      </c>
      <c r="C4401" s="58" t="s">
        <v>6915</v>
      </c>
      <c r="D4401" s="58" t="s">
        <v>727</v>
      </c>
    </row>
    <row r="4402" spans="1:4">
      <c r="A4402" s="58" t="s">
        <v>6916</v>
      </c>
      <c r="B4402" s="58">
        <v>523878</v>
      </c>
      <c r="C4402" s="58" t="s">
        <v>588</v>
      </c>
      <c r="D4402" s="58" t="s">
        <v>913</v>
      </c>
    </row>
    <row r="4403" spans="1:4">
      <c r="A4403" s="58" t="s">
        <v>6917</v>
      </c>
      <c r="B4403" s="58" t="s">
        <v>588</v>
      </c>
      <c r="C4403" s="58" t="s">
        <v>6918</v>
      </c>
      <c r="D4403" s="58" t="s">
        <v>599</v>
      </c>
    </row>
    <row r="4404" spans="1:4">
      <c r="A4404" s="58" t="s">
        <v>6919</v>
      </c>
      <c r="B4404" s="58" t="s">
        <v>588</v>
      </c>
      <c r="C4404" s="58" t="s">
        <v>6920</v>
      </c>
      <c r="D4404" s="58" t="s">
        <v>599</v>
      </c>
    </row>
    <row r="4405" spans="1:4">
      <c r="A4405" s="58" t="s">
        <v>6921</v>
      </c>
      <c r="B4405" s="58">
        <v>526650</v>
      </c>
      <c r="C4405" s="58" t="s">
        <v>6922</v>
      </c>
      <c r="D4405" s="58" t="s">
        <v>2917</v>
      </c>
    </row>
    <row r="4406" spans="1:4">
      <c r="A4406" s="58" t="s">
        <v>6923</v>
      </c>
      <c r="B4406" s="58">
        <v>526650</v>
      </c>
      <c r="C4406" s="58" t="s">
        <v>6922</v>
      </c>
      <c r="D4406" s="58" t="s">
        <v>2917</v>
      </c>
    </row>
    <row r="4407" spans="1:4">
      <c r="A4407" s="58" t="s">
        <v>6924</v>
      </c>
      <c r="B4407" s="58">
        <v>531771</v>
      </c>
      <c r="C4407" s="58" t="s">
        <v>588</v>
      </c>
      <c r="D4407" s="58" t="s">
        <v>886</v>
      </c>
    </row>
    <row r="4408" spans="1:4">
      <c r="A4408" s="58" t="s">
        <v>6925</v>
      </c>
      <c r="B4408" s="58">
        <v>538607</v>
      </c>
      <c r="C4408" s="58" t="s">
        <v>588</v>
      </c>
      <c r="D4408" s="58" t="s">
        <v>571</v>
      </c>
    </row>
    <row r="4409" spans="1:4">
      <c r="A4409" s="58" t="s">
        <v>6926</v>
      </c>
      <c r="B4409" s="58">
        <v>500421</v>
      </c>
      <c r="C4409" s="58" t="s">
        <v>588</v>
      </c>
      <c r="D4409" s="58" t="s">
        <v>783</v>
      </c>
    </row>
    <row r="4410" spans="1:4">
      <c r="A4410" s="58" t="s">
        <v>6927</v>
      </c>
      <c r="B4410" s="58">
        <v>500421</v>
      </c>
      <c r="C4410" s="58" t="s">
        <v>588</v>
      </c>
      <c r="D4410" s="58" t="s">
        <v>783</v>
      </c>
    </row>
    <row r="4411" spans="1:4">
      <c r="A4411" s="58" t="s">
        <v>6928</v>
      </c>
      <c r="B4411" s="58">
        <v>526582</v>
      </c>
      <c r="C4411" s="58" t="s">
        <v>6929</v>
      </c>
      <c r="D4411" s="58" t="s">
        <v>708</v>
      </c>
    </row>
    <row r="4412" spans="1:4">
      <c r="A4412" s="58" t="s">
        <v>6930</v>
      </c>
      <c r="B4412" s="58">
        <v>509953</v>
      </c>
      <c r="C4412" s="58" t="s">
        <v>588</v>
      </c>
      <c r="D4412" s="58" t="s">
        <v>1589</v>
      </c>
    </row>
    <row r="4413" spans="1:4">
      <c r="A4413" s="58" t="s">
        <v>6931</v>
      </c>
      <c r="B4413" s="58">
        <v>530783</v>
      </c>
      <c r="C4413" s="58" t="s">
        <v>588</v>
      </c>
      <c r="D4413" s="58" t="s">
        <v>626</v>
      </c>
    </row>
    <row r="4414" spans="1:4">
      <c r="A4414" s="58" t="s">
        <v>6932</v>
      </c>
      <c r="B4414" s="58">
        <v>526961</v>
      </c>
      <c r="C4414" s="58" t="s">
        <v>6933</v>
      </c>
      <c r="D4414" s="58" t="s">
        <v>605</v>
      </c>
    </row>
    <row r="4415" spans="1:4">
      <c r="A4415" s="58" t="s">
        <v>6934</v>
      </c>
      <c r="B4415" s="58">
        <v>500422</v>
      </c>
      <c r="C4415" s="58" t="s">
        <v>588</v>
      </c>
      <c r="D4415" s="58" t="s">
        <v>626</v>
      </c>
    </row>
    <row r="4416" spans="1:4">
      <c r="A4416" s="58" t="s">
        <v>6935</v>
      </c>
      <c r="B4416" s="58">
        <v>532410</v>
      </c>
      <c r="C4416" s="58" t="s">
        <v>588</v>
      </c>
      <c r="D4416" s="58" t="s">
        <v>571</v>
      </c>
    </row>
    <row r="4417" spans="1:4">
      <c r="A4417" s="58" t="s">
        <v>6936</v>
      </c>
      <c r="B4417" s="58">
        <v>532928</v>
      </c>
      <c r="C4417" s="58" t="s">
        <v>6937</v>
      </c>
      <c r="D4417" s="58" t="s">
        <v>631</v>
      </c>
    </row>
    <row r="4418" spans="1:4">
      <c r="A4418" s="58" t="s">
        <v>6938</v>
      </c>
      <c r="B4418" s="58">
        <v>532928</v>
      </c>
      <c r="C4418" s="58" t="s">
        <v>6937</v>
      </c>
      <c r="D4418" s="58" t="s">
        <v>631</v>
      </c>
    </row>
    <row r="4419" spans="1:4">
      <c r="A4419" s="58" t="s">
        <v>6939</v>
      </c>
      <c r="B4419" s="58">
        <v>513063</v>
      </c>
      <c r="C4419" s="58" t="s">
        <v>588</v>
      </c>
      <c r="D4419" s="58" t="s">
        <v>911</v>
      </c>
    </row>
    <row r="4420" spans="1:4">
      <c r="A4420" s="58" t="s">
        <v>6940</v>
      </c>
      <c r="B4420" s="58">
        <v>526139</v>
      </c>
      <c r="C4420" s="58" t="s">
        <v>588</v>
      </c>
      <c r="D4420" s="58" t="s">
        <v>777</v>
      </c>
    </row>
    <row r="4421" spans="1:4">
      <c r="A4421" s="58" t="s">
        <v>6941</v>
      </c>
      <c r="B4421" s="58">
        <v>519367</v>
      </c>
      <c r="C4421" s="58" t="s">
        <v>588</v>
      </c>
      <c r="D4421" s="58" t="s">
        <v>1023</v>
      </c>
    </row>
    <row r="4422" spans="1:4">
      <c r="A4422" s="58" t="s">
        <v>6942</v>
      </c>
      <c r="B4422" s="58">
        <v>509003</v>
      </c>
      <c r="C4422" s="58" t="s">
        <v>588</v>
      </c>
      <c r="D4422" s="58" t="s">
        <v>1009</v>
      </c>
    </row>
    <row r="4423" spans="1:4">
      <c r="A4423" s="58" t="s">
        <v>6943</v>
      </c>
      <c r="B4423" s="58">
        <v>506687</v>
      </c>
      <c r="C4423" s="58" t="s">
        <v>588</v>
      </c>
      <c r="D4423" s="58" t="s">
        <v>636</v>
      </c>
    </row>
    <row r="4424" spans="1:4">
      <c r="A4424" s="58" t="s">
        <v>6944</v>
      </c>
      <c r="B4424" s="58">
        <v>532349</v>
      </c>
      <c r="C4424" s="58" t="s">
        <v>6945</v>
      </c>
      <c r="D4424" s="58" t="s">
        <v>660</v>
      </c>
    </row>
    <row r="4425" spans="1:4">
      <c r="A4425" s="58" t="s">
        <v>6946</v>
      </c>
      <c r="B4425" s="58">
        <v>532349</v>
      </c>
      <c r="C4425" s="58" t="s">
        <v>6945</v>
      </c>
      <c r="D4425" s="58" t="s">
        <v>660</v>
      </c>
    </row>
    <row r="4426" spans="1:4">
      <c r="A4426" s="58" t="s">
        <v>6947</v>
      </c>
      <c r="B4426" s="58">
        <v>532812</v>
      </c>
      <c r="C4426" s="58" t="s">
        <v>6948</v>
      </c>
      <c r="D4426" s="58" t="s">
        <v>605</v>
      </c>
    </row>
    <row r="4427" spans="1:4">
      <c r="A4427" s="58" t="s">
        <v>6949</v>
      </c>
      <c r="B4427" s="58" t="s">
        <v>588</v>
      </c>
      <c r="C4427" s="58" t="s">
        <v>6950</v>
      </c>
      <c r="D4427" s="58" t="s">
        <v>599</v>
      </c>
    </row>
    <row r="4428" spans="1:4">
      <c r="A4428" s="58" t="s">
        <v>6951</v>
      </c>
      <c r="B4428" s="58">
        <v>533540</v>
      </c>
      <c r="C4428" s="58" t="s">
        <v>6952</v>
      </c>
      <c r="D4428" s="58" t="s">
        <v>693</v>
      </c>
    </row>
    <row r="4429" spans="1:4">
      <c r="A4429" s="58" t="s">
        <v>6953</v>
      </c>
      <c r="B4429" s="58">
        <v>542233</v>
      </c>
      <c r="C4429" s="58" t="s">
        <v>6954</v>
      </c>
      <c r="D4429" s="58" t="s">
        <v>1782</v>
      </c>
    </row>
    <row r="4430" spans="1:4">
      <c r="A4430" s="58" t="s">
        <v>6955</v>
      </c>
      <c r="B4430" s="58">
        <v>500251</v>
      </c>
      <c r="C4430" s="58" t="s">
        <v>6956</v>
      </c>
      <c r="D4430" s="58" t="s">
        <v>589</v>
      </c>
    </row>
    <row r="4431" spans="1:4">
      <c r="A4431" s="58" t="s">
        <v>6957</v>
      </c>
      <c r="B4431" s="58">
        <v>532159</v>
      </c>
      <c r="C4431" s="58" t="s">
        <v>588</v>
      </c>
      <c r="D4431" s="58" t="s">
        <v>571</v>
      </c>
    </row>
    <row r="4432" spans="1:4">
      <c r="A4432" s="58" t="s">
        <v>6958</v>
      </c>
      <c r="B4432" s="58">
        <v>505854</v>
      </c>
      <c r="C4432" s="58" t="s">
        <v>6959</v>
      </c>
      <c r="D4432" s="58" t="s">
        <v>596</v>
      </c>
    </row>
    <row r="4433" spans="1:4">
      <c r="A4433" s="58" t="s">
        <v>6960</v>
      </c>
      <c r="B4433" s="58">
        <v>534369</v>
      </c>
      <c r="C4433" s="58" t="s">
        <v>6961</v>
      </c>
      <c r="D4433" s="58" t="s">
        <v>702</v>
      </c>
    </row>
    <row r="4434" spans="1:4">
      <c r="A4434" s="58" t="s">
        <v>6962</v>
      </c>
      <c r="B4434" s="58">
        <v>531716</v>
      </c>
      <c r="C4434" s="58" t="s">
        <v>588</v>
      </c>
      <c r="D4434" s="58" t="s">
        <v>668</v>
      </c>
    </row>
    <row r="4435" spans="1:4">
      <c r="A4435" s="58" t="s">
        <v>6963</v>
      </c>
      <c r="B4435" s="58">
        <v>521064</v>
      </c>
      <c r="C4435" s="58" t="s">
        <v>6964</v>
      </c>
      <c r="D4435" s="58" t="s">
        <v>603</v>
      </c>
    </row>
    <row r="4436" spans="1:4">
      <c r="A4436" s="58" t="s">
        <v>6965</v>
      </c>
      <c r="B4436" s="58">
        <v>540726</v>
      </c>
      <c r="C4436" s="58" t="s">
        <v>588</v>
      </c>
      <c r="D4436" s="58" t="s">
        <v>610</v>
      </c>
    </row>
    <row r="4437" spans="1:4">
      <c r="A4437" s="58" t="s">
        <v>6966</v>
      </c>
      <c r="B4437" s="58">
        <v>531972</v>
      </c>
      <c r="C4437" s="58" t="s">
        <v>588</v>
      </c>
      <c r="D4437" s="58" t="s">
        <v>773</v>
      </c>
    </row>
    <row r="4438" spans="1:4">
      <c r="A4438" s="58" t="s">
        <v>6967</v>
      </c>
      <c r="B4438" s="58">
        <v>517562</v>
      </c>
      <c r="C4438" s="58" t="s">
        <v>6968</v>
      </c>
      <c r="D4438" s="58" t="s">
        <v>574</v>
      </c>
    </row>
    <row r="4439" spans="1:4">
      <c r="A4439" s="58" t="s">
        <v>6969</v>
      </c>
      <c r="B4439" s="58">
        <v>531658</v>
      </c>
      <c r="C4439" s="58" t="s">
        <v>588</v>
      </c>
      <c r="D4439" s="58" t="s">
        <v>605</v>
      </c>
    </row>
    <row r="4440" spans="1:4">
      <c r="A4440" s="58" t="s">
        <v>6970</v>
      </c>
      <c r="B4440" s="58">
        <v>536565</v>
      </c>
      <c r="C4440" s="58" t="s">
        <v>588</v>
      </c>
      <c r="D4440" s="58" t="s">
        <v>6971</v>
      </c>
    </row>
    <row r="4441" spans="1:4">
      <c r="A4441" s="58" t="s">
        <v>6972</v>
      </c>
      <c r="B4441" s="58">
        <v>531846</v>
      </c>
      <c r="C4441" s="58" t="s">
        <v>588</v>
      </c>
      <c r="D4441" s="58" t="s">
        <v>571</v>
      </c>
    </row>
    <row r="4442" spans="1:4">
      <c r="A4442" s="58" t="s">
        <v>6973</v>
      </c>
      <c r="B4442" s="58">
        <v>531846</v>
      </c>
      <c r="C4442" s="58" t="s">
        <v>588</v>
      </c>
      <c r="D4442" s="58" t="s">
        <v>571</v>
      </c>
    </row>
    <row r="4443" spans="1:4">
      <c r="A4443" s="58" t="s">
        <v>6974</v>
      </c>
      <c r="B4443" s="58">
        <v>534755</v>
      </c>
      <c r="C4443" s="58" t="s">
        <v>6975</v>
      </c>
      <c r="D4443" s="58" t="s">
        <v>571</v>
      </c>
    </row>
    <row r="4444" spans="1:4">
      <c r="A4444" s="58" t="s">
        <v>6976</v>
      </c>
      <c r="B4444" s="58">
        <v>512101</v>
      </c>
      <c r="C4444" s="58" t="s">
        <v>588</v>
      </c>
      <c r="D4444" s="58" t="s">
        <v>626</v>
      </c>
    </row>
    <row r="4445" spans="1:4">
      <c r="A4445" s="58" t="s">
        <v>6977</v>
      </c>
      <c r="B4445" s="58">
        <v>531279</v>
      </c>
      <c r="C4445" s="58" t="s">
        <v>588</v>
      </c>
      <c r="D4445" s="58" t="s">
        <v>605</v>
      </c>
    </row>
    <row r="4446" spans="1:4">
      <c r="A4446" s="58" t="s">
        <v>6978</v>
      </c>
      <c r="B4446" s="58">
        <v>523387</v>
      </c>
      <c r="C4446" s="58" t="s">
        <v>588</v>
      </c>
      <c r="D4446" s="58" t="s">
        <v>702</v>
      </c>
    </row>
    <row r="4447" spans="1:4">
      <c r="A4447" s="58" t="s">
        <v>6979</v>
      </c>
      <c r="B4447" s="58">
        <v>505978</v>
      </c>
      <c r="C4447" s="58" t="s">
        <v>588</v>
      </c>
      <c r="D4447" s="58" t="s">
        <v>943</v>
      </c>
    </row>
    <row r="4448" spans="1:4">
      <c r="A4448" s="58" t="s">
        <v>6980</v>
      </c>
      <c r="B4448" s="58">
        <v>532356</v>
      </c>
      <c r="C4448" s="58" t="s">
        <v>6981</v>
      </c>
      <c r="D4448" s="58" t="s">
        <v>1286</v>
      </c>
    </row>
    <row r="4449" spans="1:4">
      <c r="A4449" s="58" t="s">
        <v>6982</v>
      </c>
      <c r="B4449" s="58">
        <v>538569</v>
      </c>
      <c r="C4449" s="58" t="s">
        <v>6983</v>
      </c>
      <c r="D4449" s="58" t="s">
        <v>954</v>
      </c>
    </row>
    <row r="4450" spans="1:4">
      <c r="A4450" s="58" t="s">
        <v>6984</v>
      </c>
      <c r="B4450" s="58">
        <v>502281</v>
      </c>
      <c r="C4450" s="58" t="s">
        <v>588</v>
      </c>
      <c r="D4450" s="58" t="s">
        <v>1116</v>
      </c>
    </row>
    <row r="4451" spans="1:4">
      <c r="A4451" s="58" t="s">
        <v>6985</v>
      </c>
      <c r="B4451" s="58">
        <v>533655</v>
      </c>
      <c r="C4451" s="58" t="s">
        <v>6986</v>
      </c>
      <c r="D4451" s="58" t="s">
        <v>631</v>
      </c>
    </row>
    <row r="4452" spans="1:4">
      <c r="A4452" s="58" t="s">
        <v>6987</v>
      </c>
      <c r="B4452" s="58">
        <v>538579</v>
      </c>
      <c r="C4452" s="58" t="s">
        <v>588</v>
      </c>
      <c r="D4452" s="58" t="s">
        <v>610</v>
      </c>
    </row>
    <row r="4453" spans="1:4">
      <c r="A4453" s="58" t="s">
        <v>6988</v>
      </c>
      <c r="B4453" s="58">
        <v>519303</v>
      </c>
      <c r="C4453" s="58" t="s">
        <v>588</v>
      </c>
      <c r="D4453" s="58" t="s">
        <v>837</v>
      </c>
    </row>
    <row r="4454" spans="1:4">
      <c r="A4454" s="58" t="s">
        <v>6989</v>
      </c>
      <c r="B4454" s="58">
        <v>538597</v>
      </c>
      <c r="C4454" s="58" t="s">
        <v>588</v>
      </c>
      <c r="D4454" s="58" t="s">
        <v>605</v>
      </c>
    </row>
    <row r="4455" spans="1:4">
      <c r="A4455" s="58" t="s">
        <v>6990</v>
      </c>
      <c r="B4455" s="58">
        <v>507747</v>
      </c>
      <c r="C4455" s="58" t="s">
        <v>6991</v>
      </c>
      <c r="D4455" s="58" t="s">
        <v>626</v>
      </c>
    </row>
    <row r="4456" spans="1:4">
      <c r="A4456" s="58" t="s">
        <v>6992</v>
      </c>
      <c r="B4456" s="58">
        <v>517506</v>
      </c>
      <c r="C4456" s="58" t="s">
        <v>6993</v>
      </c>
      <c r="D4456" s="58" t="s">
        <v>1632</v>
      </c>
    </row>
    <row r="4457" spans="1:4">
      <c r="A4457" s="58" t="s">
        <v>6994</v>
      </c>
      <c r="B4457" s="58">
        <v>514236</v>
      </c>
      <c r="C4457" s="58" t="s">
        <v>6995</v>
      </c>
      <c r="D4457" s="58" t="s">
        <v>954</v>
      </c>
    </row>
    <row r="4458" spans="1:4">
      <c r="A4458" s="58" t="s">
        <v>6996</v>
      </c>
      <c r="B4458" s="58">
        <v>540762</v>
      </c>
      <c r="C4458" s="58" t="s">
        <v>6997</v>
      </c>
      <c r="D4458" s="58" t="s">
        <v>943</v>
      </c>
    </row>
    <row r="4459" spans="1:4">
      <c r="A4459" s="58" t="s">
        <v>6998</v>
      </c>
      <c r="B4459" s="58">
        <v>540762</v>
      </c>
      <c r="C4459" s="58" t="s">
        <v>6999</v>
      </c>
      <c r="D4459" s="58" t="s">
        <v>943</v>
      </c>
    </row>
    <row r="4460" spans="1:4">
      <c r="A4460" s="58" t="s">
        <v>7000</v>
      </c>
      <c r="B4460" s="58">
        <v>524514</v>
      </c>
      <c r="C4460" s="58" t="s">
        <v>588</v>
      </c>
      <c r="D4460" s="58" t="s">
        <v>636</v>
      </c>
    </row>
    <row r="4461" spans="1:4">
      <c r="A4461" s="58" t="s">
        <v>7001</v>
      </c>
      <c r="B4461" s="58">
        <v>531088</v>
      </c>
      <c r="C4461" s="58" t="s">
        <v>588</v>
      </c>
      <c r="D4461" s="58" t="s">
        <v>605</v>
      </c>
    </row>
    <row r="4462" spans="1:4">
      <c r="A4462" s="58" t="s">
        <v>7002</v>
      </c>
      <c r="B4462" s="58">
        <v>505285</v>
      </c>
      <c r="C4462" s="58" t="s">
        <v>588</v>
      </c>
      <c r="D4462" s="58" t="s">
        <v>773</v>
      </c>
    </row>
    <row r="4463" spans="1:4">
      <c r="A4463" s="58" t="s">
        <v>7003</v>
      </c>
      <c r="B4463" s="58">
        <v>532948</v>
      </c>
      <c r="C4463" s="58" t="s">
        <v>7004</v>
      </c>
      <c r="D4463" s="58" t="s">
        <v>708</v>
      </c>
    </row>
    <row r="4464" spans="1:4">
      <c r="A4464" s="58" t="s">
        <v>7005</v>
      </c>
      <c r="B4464" s="58">
        <v>504273</v>
      </c>
      <c r="C4464" s="58" t="s">
        <v>588</v>
      </c>
      <c r="D4464" s="58" t="s">
        <v>886</v>
      </c>
    </row>
    <row r="4465" spans="1:4">
      <c r="A4465" s="58" t="s">
        <v>7006</v>
      </c>
      <c r="B4465" s="58">
        <v>531411</v>
      </c>
      <c r="C4465" s="58" t="s">
        <v>588</v>
      </c>
      <c r="D4465" s="58" t="s">
        <v>603</v>
      </c>
    </row>
    <row r="4466" spans="1:4">
      <c r="A4466" s="58" t="s">
        <v>7007</v>
      </c>
      <c r="B4466" s="58">
        <v>506808</v>
      </c>
      <c r="C4466" s="58" t="s">
        <v>588</v>
      </c>
      <c r="D4466" s="58" t="s">
        <v>636</v>
      </c>
    </row>
    <row r="4467" spans="1:4">
      <c r="A4467" s="58" t="s">
        <v>7008</v>
      </c>
      <c r="B4467" s="58">
        <v>532515</v>
      </c>
      <c r="C4467" s="58" t="s">
        <v>7009</v>
      </c>
      <c r="D4467" s="58" t="s">
        <v>1325</v>
      </c>
    </row>
    <row r="4468" spans="1:4">
      <c r="A4468" s="58" t="s">
        <v>7010</v>
      </c>
      <c r="B4468" s="58">
        <v>540083</v>
      </c>
      <c r="C4468" s="58" t="s">
        <v>7011</v>
      </c>
      <c r="D4468" s="58" t="s">
        <v>1325</v>
      </c>
    </row>
    <row r="4469" spans="1:4">
      <c r="A4469" s="58" t="s">
        <v>7012</v>
      </c>
      <c r="B4469" s="58">
        <v>532800</v>
      </c>
      <c r="C4469" s="58" t="s">
        <v>7013</v>
      </c>
      <c r="D4469" s="58" t="s">
        <v>1325</v>
      </c>
    </row>
    <row r="4470" spans="1:4">
      <c r="A4470" s="58" t="s">
        <v>7014</v>
      </c>
      <c r="B4470" s="58">
        <v>532513</v>
      </c>
      <c r="C4470" s="58" t="s">
        <v>7015</v>
      </c>
      <c r="D4470" s="58" t="s">
        <v>685</v>
      </c>
    </row>
    <row r="4471" spans="1:4">
      <c r="A4471" s="58" t="s">
        <v>7016</v>
      </c>
      <c r="B4471" s="58">
        <v>532343</v>
      </c>
      <c r="C4471" s="58" t="s">
        <v>7017</v>
      </c>
      <c r="D4471" s="58" t="s">
        <v>1245</v>
      </c>
    </row>
    <row r="4472" spans="1:4">
      <c r="A4472" s="58" t="s">
        <v>7018</v>
      </c>
      <c r="B4472" s="58">
        <v>509243</v>
      </c>
      <c r="C4472" s="58" t="s">
        <v>7019</v>
      </c>
      <c r="D4472" s="58" t="s">
        <v>1068</v>
      </c>
    </row>
    <row r="4473" spans="1:4">
      <c r="A4473" s="58" t="s">
        <v>7020</v>
      </c>
      <c r="B4473" s="58">
        <v>512117</v>
      </c>
      <c r="C4473" s="58" t="s">
        <v>588</v>
      </c>
      <c r="D4473" s="58" t="s">
        <v>1009</v>
      </c>
    </row>
    <row r="4474" spans="1:4">
      <c r="A4474" s="58" t="s">
        <v>7021</v>
      </c>
      <c r="B4474" s="58">
        <v>531917</v>
      </c>
      <c r="C4474" s="58" t="s">
        <v>588</v>
      </c>
      <c r="D4474" s="58" t="s">
        <v>681</v>
      </c>
    </row>
    <row r="4475" spans="1:4">
      <c r="A4475" s="58" t="s">
        <v>7022</v>
      </c>
      <c r="B4475" s="58">
        <v>532384</v>
      </c>
      <c r="C4475" s="58" t="s">
        <v>588</v>
      </c>
      <c r="D4475" s="58" t="s">
        <v>626</v>
      </c>
    </row>
    <row r="4476" spans="1:4">
      <c r="A4476" s="58" t="s">
        <v>7023</v>
      </c>
      <c r="B4476" s="58">
        <v>539468</v>
      </c>
      <c r="C4476" s="58" t="s">
        <v>588</v>
      </c>
      <c r="D4476" s="58" t="s">
        <v>605</v>
      </c>
    </row>
    <row r="4477" spans="1:4">
      <c r="A4477" s="58" t="s">
        <v>7024</v>
      </c>
      <c r="B4477" s="58">
        <v>512307</v>
      </c>
      <c r="C4477" s="58" t="s">
        <v>588</v>
      </c>
      <c r="D4477" s="58" t="s">
        <v>603</v>
      </c>
    </row>
    <row r="4478" spans="1:4">
      <c r="A4478" s="58" t="s">
        <v>7025</v>
      </c>
      <c r="B4478" s="58">
        <v>526945</v>
      </c>
      <c r="C4478" s="58" t="s">
        <v>588</v>
      </c>
      <c r="D4478" s="58" t="s">
        <v>995</v>
      </c>
    </row>
    <row r="4479" spans="1:4">
      <c r="A4479" s="58" t="s">
        <v>7026</v>
      </c>
      <c r="B4479" s="58">
        <v>541338</v>
      </c>
      <c r="C4479" s="58" t="s">
        <v>588</v>
      </c>
      <c r="D4479" s="58" t="s">
        <v>702</v>
      </c>
    </row>
    <row r="4480" spans="1:4">
      <c r="A4480" s="58" t="s">
        <v>7027</v>
      </c>
      <c r="B4480" s="58">
        <v>500464</v>
      </c>
      <c r="C4480" s="58" t="s">
        <v>7028</v>
      </c>
      <c r="D4480" s="58" t="s">
        <v>943</v>
      </c>
    </row>
    <row r="4481" spans="1:4">
      <c r="A4481" s="58" t="s">
        <v>7029</v>
      </c>
      <c r="B4481" s="58">
        <v>532505</v>
      </c>
      <c r="C4481" s="58" t="s">
        <v>7030</v>
      </c>
      <c r="D4481" s="58" t="s">
        <v>906</v>
      </c>
    </row>
    <row r="4482" spans="1:4">
      <c r="A4482" s="58" t="s">
        <v>7031</v>
      </c>
      <c r="B4482" s="58">
        <v>530131</v>
      </c>
      <c r="C4482" s="58" t="s">
        <v>588</v>
      </c>
      <c r="D4482" s="58" t="s">
        <v>601</v>
      </c>
    </row>
    <row r="4483" spans="1:4">
      <c r="A4483" s="58" t="s">
        <v>7032</v>
      </c>
      <c r="B4483" s="58">
        <v>539518</v>
      </c>
      <c r="C4483" s="58" t="s">
        <v>588</v>
      </c>
      <c r="D4483" s="58" t="s">
        <v>622</v>
      </c>
    </row>
    <row r="4484" spans="1:4">
      <c r="A4484" s="58" t="s">
        <v>7033</v>
      </c>
      <c r="B4484" s="58">
        <v>500148</v>
      </c>
      <c r="C4484" s="58" t="s">
        <v>7034</v>
      </c>
      <c r="D4484" s="58" t="s">
        <v>783</v>
      </c>
    </row>
    <row r="4485" spans="1:4">
      <c r="A4485" s="58" t="s">
        <v>7035</v>
      </c>
      <c r="B4485" s="58">
        <v>539141</v>
      </c>
      <c r="C4485" s="58" t="s">
        <v>7036</v>
      </c>
      <c r="D4485" s="58" t="s">
        <v>1325</v>
      </c>
    </row>
    <row r="4486" spans="1:4">
      <c r="A4486" s="58" t="s">
        <v>7037</v>
      </c>
      <c r="B4486" s="58">
        <v>539141</v>
      </c>
      <c r="C4486" s="58" t="s">
        <v>7036</v>
      </c>
      <c r="D4486" s="58" t="s">
        <v>1325</v>
      </c>
    </row>
    <row r="4487" spans="1:4">
      <c r="A4487" s="58" t="s">
        <v>7038</v>
      </c>
      <c r="B4487" s="58">
        <v>511742</v>
      </c>
      <c r="C4487" s="58" t="s">
        <v>588</v>
      </c>
      <c r="D4487" s="58" t="s">
        <v>605</v>
      </c>
    </row>
    <row r="4488" spans="1:4">
      <c r="A4488" s="58" t="s">
        <v>7039</v>
      </c>
      <c r="B4488" s="58">
        <v>533644</v>
      </c>
      <c r="C4488" s="58" t="s">
        <v>7040</v>
      </c>
      <c r="D4488" s="58" t="s">
        <v>631</v>
      </c>
    </row>
    <row r="4489" spans="1:4">
      <c r="A4489" s="58" t="s">
        <v>7041</v>
      </c>
      <c r="B4489" s="58">
        <v>539874</v>
      </c>
      <c r="C4489" s="58" t="s">
        <v>7042</v>
      </c>
      <c r="D4489" s="58" t="s">
        <v>605</v>
      </c>
    </row>
    <row r="4490" spans="1:4">
      <c r="A4490" s="58" t="s">
        <v>7043</v>
      </c>
      <c r="B4490" s="58" t="s">
        <v>588</v>
      </c>
      <c r="C4490" s="58" t="s">
        <v>7044</v>
      </c>
      <c r="D4490" s="58" t="s">
        <v>599</v>
      </c>
    </row>
    <row r="4491" spans="1:4">
      <c r="A4491" s="58" t="s">
        <v>7045</v>
      </c>
      <c r="B4491" s="58">
        <v>538706</v>
      </c>
      <c r="C4491" s="58" t="s">
        <v>588</v>
      </c>
      <c r="D4491" s="58" t="s">
        <v>886</v>
      </c>
    </row>
    <row r="4492" spans="1:4">
      <c r="A4492" s="58" t="s">
        <v>7046</v>
      </c>
      <c r="B4492" s="58">
        <v>538706</v>
      </c>
      <c r="C4492" s="58" t="s">
        <v>588</v>
      </c>
      <c r="D4492" s="58" t="s">
        <v>886</v>
      </c>
    </row>
    <row r="4493" spans="1:4">
      <c r="A4493" s="58" t="s">
        <v>7047</v>
      </c>
      <c r="B4493" s="58">
        <v>506685</v>
      </c>
      <c r="C4493" s="58" t="s">
        <v>588</v>
      </c>
      <c r="D4493" s="58" t="s">
        <v>748</v>
      </c>
    </row>
    <row r="4494" spans="1:4">
      <c r="A4494" s="58" t="s">
        <v>7048</v>
      </c>
      <c r="B4494" s="58">
        <v>532538</v>
      </c>
      <c r="C4494" s="58" t="s">
        <v>7049</v>
      </c>
      <c r="D4494" s="58" t="s">
        <v>601</v>
      </c>
    </row>
    <row r="4495" spans="1:4">
      <c r="A4495" s="58" t="s">
        <v>7050</v>
      </c>
      <c r="B4495" s="58">
        <v>500231</v>
      </c>
      <c r="C4495" s="58" t="s">
        <v>7051</v>
      </c>
      <c r="D4495" s="58" t="s">
        <v>648</v>
      </c>
    </row>
    <row r="4496" spans="1:4">
      <c r="A4496" s="58" t="s">
        <v>7052</v>
      </c>
      <c r="B4496" s="58">
        <v>539798</v>
      </c>
      <c r="C4496" s="58" t="s">
        <v>588</v>
      </c>
      <c r="D4496" s="58" t="s">
        <v>911</v>
      </c>
    </row>
    <row r="4497" spans="1:4">
      <c r="A4497" s="58" t="s">
        <v>7053</v>
      </c>
      <c r="B4497" s="58">
        <v>504605</v>
      </c>
      <c r="C4497" s="58" t="s">
        <v>588</v>
      </c>
      <c r="D4497" s="58" t="s">
        <v>911</v>
      </c>
    </row>
    <row r="4498" spans="1:4">
      <c r="A4498" s="58" t="s">
        <v>7054</v>
      </c>
      <c r="B4498" s="58">
        <v>506690</v>
      </c>
      <c r="C4498" s="58" t="s">
        <v>7055</v>
      </c>
      <c r="D4498" s="58" t="s">
        <v>626</v>
      </c>
    </row>
    <row r="4499" spans="1:4">
      <c r="A4499" s="58" t="s">
        <v>7056</v>
      </c>
      <c r="B4499" s="58">
        <v>541503</v>
      </c>
      <c r="C4499" s="58" t="s">
        <v>588</v>
      </c>
      <c r="D4499" s="58" t="s">
        <v>2578</v>
      </c>
    </row>
    <row r="4500" spans="1:4">
      <c r="A4500" s="58" t="s">
        <v>7057</v>
      </c>
      <c r="B4500" s="58" t="s">
        <v>588</v>
      </c>
      <c r="C4500" s="58" t="s">
        <v>7058</v>
      </c>
      <c r="D4500" s="58" t="s">
        <v>599</v>
      </c>
    </row>
    <row r="4501" spans="1:4">
      <c r="A4501" s="58" t="s">
        <v>7059</v>
      </c>
      <c r="B4501" s="58">
        <v>503671</v>
      </c>
      <c r="C4501" s="58" t="s">
        <v>588</v>
      </c>
      <c r="D4501" s="58" t="s">
        <v>571</v>
      </c>
    </row>
    <row r="4502" spans="1:4">
      <c r="A4502" s="58" t="s">
        <v>7060</v>
      </c>
      <c r="B4502" s="58">
        <v>512595</v>
      </c>
      <c r="C4502" s="58" t="s">
        <v>7061</v>
      </c>
      <c r="D4502" s="58" t="s">
        <v>1144</v>
      </c>
    </row>
    <row r="4503" spans="1:4">
      <c r="A4503" s="58" t="s">
        <v>7062</v>
      </c>
      <c r="B4503" s="58">
        <v>532477</v>
      </c>
      <c r="C4503" s="58" t="s">
        <v>7063</v>
      </c>
      <c r="D4503" s="58" t="s">
        <v>906</v>
      </c>
    </row>
    <row r="4504" spans="1:4">
      <c r="A4504" s="58" t="s">
        <v>7064</v>
      </c>
      <c r="B4504" s="58">
        <v>526799</v>
      </c>
      <c r="C4504" s="58" t="s">
        <v>588</v>
      </c>
      <c r="D4504" s="58" t="s">
        <v>783</v>
      </c>
    </row>
    <row r="4505" spans="1:4">
      <c r="A4505" s="58" t="s">
        <v>7065</v>
      </c>
      <c r="B4505" s="58">
        <v>500429</v>
      </c>
      <c r="C4505" s="58" t="s">
        <v>7066</v>
      </c>
      <c r="D4505" s="58" t="s">
        <v>610</v>
      </c>
    </row>
    <row r="4506" spans="1:4">
      <c r="A4506" s="58" t="s">
        <v>7067</v>
      </c>
      <c r="B4506" s="58">
        <v>526957</v>
      </c>
      <c r="C4506" s="58" t="s">
        <v>588</v>
      </c>
      <c r="D4506" s="58" t="s">
        <v>1083</v>
      </c>
    </row>
    <row r="4507" spans="1:4">
      <c r="A4507" s="58" t="s">
        <v>7068</v>
      </c>
      <c r="B4507" s="58">
        <v>532646</v>
      </c>
      <c r="C4507" s="58" t="s">
        <v>7069</v>
      </c>
      <c r="D4507" s="58" t="s">
        <v>1083</v>
      </c>
    </row>
    <row r="4508" spans="1:4">
      <c r="A4508" s="58" t="s">
        <v>7070</v>
      </c>
      <c r="B4508" s="58">
        <v>530997</v>
      </c>
      <c r="C4508" s="58" t="s">
        <v>588</v>
      </c>
      <c r="D4508" s="58" t="s">
        <v>786</v>
      </c>
    </row>
    <row r="4509" spans="1:4">
      <c r="A4509" s="58" t="s">
        <v>7071</v>
      </c>
      <c r="B4509" s="58">
        <v>521226</v>
      </c>
      <c r="C4509" s="58" t="s">
        <v>588</v>
      </c>
      <c r="D4509" s="58" t="s">
        <v>603</v>
      </c>
    </row>
    <row r="4510" spans="1:4">
      <c r="A4510" s="58" t="s">
        <v>7072</v>
      </c>
      <c r="B4510" s="58">
        <v>526113</v>
      </c>
      <c r="C4510" s="58" t="s">
        <v>588</v>
      </c>
      <c r="D4510" s="58" t="s">
        <v>648</v>
      </c>
    </row>
    <row r="4511" spans="1:4">
      <c r="A4511" s="58" t="s">
        <v>7073</v>
      </c>
      <c r="B4511" s="58">
        <v>537582</v>
      </c>
      <c r="C4511" s="58" t="s">
        <v>588</v>
      </c>
      <c r="D4511" s="58" t="s">
        <v>674</v>
      </c>
    </row>
    <row r="4512" spans="1:4">
      <c r="A4512" s="58" t="s">
        <v>7074</v>
      </c>
      <c r="B4512" s="58">
        <v>538610</v>
      </c>
      <c r="C4512" s="58" t="s">
        <v>588</v>
      </c>
      <c r="D4512" s="58" t="s">
        <v>911</v>
      </c>
    </row>
    <row r="4513" spans="1:4">
      <c r="A4513" s="58" t="s">
        <v>7075</v>
      </c>
      <c r="B4513" s="58">
        <v>532035</v>
      </c>
      <c r="C4513" s="58" t="s">
        <v>588</v>
      </c>
      <c r="D4513" s="58" t="s">
        <v>605</v>
      </c>
    </row>
    <row r="4514" spans="1:4">
      <c r="A4514" s="58" t="s">
        <v>7076</v>
      </c>
      <c r="B4514" s="58">
        <v>531831</v>
      </c>
      <c r="C4514" s="58" t="s">
        <v>588</v>
      </c>
      <c r="D4514" s="58" t="s">
        <v>646</v>
      </c>
    </row>
    <row r="4515" spans="1:4">
      <c r="A4515" s="58" t="s">
        <v>7077</v>
      </c>
      <c r="B4515" s="58">
        <v>531867</v>
      </c>
      <c r="C4515" s="58" t="s">
        <v>588</v>
      </c>
      <c r="D4515" s="58" t="s">
        <v>610</v>
      </c>
    </row>
    <row r="4516" spans="1:4">
      <c r="A4516" s="58" t="s">
        <v>7078</v>
      </c>
      <c r="B4516" s="58">
        <v>507878</v>
      </c>
      <c r="C4516" s="58" t="s">
        <v>7079</v>
      </c>
      <c r="D4516" s="58" t="s">
        <v>674</v>
      </c>
    </row>
    <row r="4517" spans="1:4">
      <c r="A4517" s="58" t="s">
        <v>7080</v>
      </c>
      <c r="B4517" s="58">
        <v>533171</v>
      </c>
      <c r="C4517" s="58" t="s">
        <v>7081</v>
      </c>
      <c r="D4517" s="58" t="s">
        <v>906</v>
      </c>
    </row>
    <row r="4518" spans="1:4">
      <c r="A4518" s="58" t="s">
        <v>7082</v>
      </c>
      <c r="B4518" s="58">
        <v>532478</v>
      </c>
      <c r="C4518" s="58" t="s">
        <v>7083</v>
      </c>
      <c r="D4518" s="58" t="s">
        <v>1219</v>
      </c>
    </row>
    <row r="4519" spans="1:4">
      <c r="A4519" s="58" t="s">
        <v>7084</v>
      </c>
      <c r="B4519" s="58">
        <v>531091</v>
      </c>
      <c r="C4519" s="58" t="s">
        <v>588</v>
      </c>
      <c r="D4519" s="58" t="s">
        <v>605</v>
      </c>
    </row>
    <row r="4520" spans="1:4">
      <c r="A4520" s="58" t="s">
        <v>7085</v>
      </c>
      <c r="B4520" s="58">
        <v>522014</v>
      </c>
      <c r="C4520" s="58" t="s">
        <v>588</v>
      </c>
      <c r="D4520" s="58" t="s">
        <v>773</v>
      </c>
    </row>
    <row r="4521" spans="1:4">
      <c r="A4521" s="58" t="s">
        <v>7086</v>
      </c>
      <c r="B4521" s="58">
        <v>502893</v>
      </c>
      <c r="C4521" s="58" t="s">
        <v>588</v>
      </c>
      <c r="D4521" s="58" t="s">
        <v>594</v>
      </c>
    </row>
    <row r="4522" spans="1:4">
      <c r="A4522" s="58" t="s">
        <v>7087</v>
      </c>
      <c r="B4522" s="58">
        <v>507808</v>
      </c>
      <c r="C4522" s="58" t="s">
        <v>588</v>
      </c>
      <c r="D4522" s="58" t="s">
        <v>605</v>
      </c>
    </row>
    <row r="4523" spans="1:4">
      <c r="A4523" s="58" t="s">
        <v>7088</v>
      </c>
      <c r="B4523" s="58" t="s">
        <v>588</v>
      </c>
      <c r="C4523" s="58" t="s">
        <v>7089</v>
      </c>
      <c r="D4523" s="58" t="s">
        <v>599</v>
      </c>
    </row>
    <row r="4524" spans="1:4">
      <c r="A4524" s="58" t="s">
        <v>7090</v>
      </c>
      <c r="B4524" s="58">
        <v>532432</v>
      </c>
      <c r="C4524" s="58" t="s">
        <v>7091</v>
      </c>
      <c r="D4524" s="58" t="s">
        <v>1219</v>
      </c>
    </row>
    <row r="4525" spans="1:4">
      <c r="A4525" s="58" t="s">
        <v>7092</v>
      </c>
      <c r="B4525" s="58">
        <v>521188</v>
      </c>
      <c r="C4525" s="58" t="s">
        <v>588</v>
      </c>
      <c r="D4525" s="58" t="s">
        <v>603</v>
      </c>
    </row>
    <row r="4526" spans="1:4">
      <c r="A4526" s="58" t="s">
        <v>7093</v>
      </c>
      <c r="B4526" s="58">
        <v>522091</v>
      </c>
      <c r="C4526" s="58" t="s">
        <v>588</v>
      </c>
      <c r="D4526" s="58" t="s">
        <v>631</v>
      </c>
    </row>
    <row r="4527" spans="1:4">
      <c r="A4527" s="58" t="s">
        <v>7094</v>
      </c>
      <c r="B4527" s="58">
        <v>532746</v>
      </c>
      <c r="C4527" s="58" t="s">
        <v>7095</v>
      </c>
      <c r="D4527" s="58" t="s">
        <v>986</v>
      </c>
    </row>
    <row r="4528" spans="1:4">
      <c r="A4528" s="58" t="s">
        <v>7096</v>
      </c>
      <c r="B4528" s="58" t="s">
        <v>588</v>
      </c>
      <c r="C4528" s="58" t="s">
        <v>7097</v>
      </c>
      <c r="D4528" s="58" t="s">
        <v>599</v>
      </c>
    </row>
    <row r="4529" spans="1:4">
      <c r="A4529" s="58" t="s">
        <v>7098</v>
      </c>
      <c r="B4529" s="58" t="s">
        <v>588</v>
      </c>
      <c r="C4529" s="58" t="s">
        <v>7097</v>
      </c>
      <c r="D4529" s="58" t="s">
        <v>599</v>
      </c>
    </row>
    <row r="4530" spans="1:4">
      <c r="A4530" s="58" t="s">
        <v>7099</v>
      </c>
      <c r="B4530" s="58">
        <v>532378</v>
      </c>
      <c r="C4530" s="58" t="s">
        <v>588</v>
      </c>
      <c r="D4530" s="58" t="s">
        <v>591</v>
      </c>
    </row>
    <row r="4531" spans="1:4">
      <c r="A4531" s="58" t="s">
        <v>7100</v>
      </c>
      <c r="B4531" s="58">
        <v>539314</v>
      </c>
      <c r="C4531" s="58" t="s">
        <v>588</v>
      </c>
      <c r="D4531" s="58" t="s">
        <v>943</v>
      </c>
    </row>
    <row r="4532" spans="1:4">
      <c r="A4532" s="58" t="s">
        <v>7101</v>
      </c>
      <c r="B4532" s="58">
        <v>504212</v>
      </c>
      <c r="C4532" s="58" t="s">
        <v>7102</v>
      </c>
      <c r="D4532" s="58" t="s">
        <v>886</v>
      </c>
    </row>
    <row r="4533" spans="1:4">
      <c r="A4533" s="58" t="s">
        <v>7103</v>
      </c>
      <c r="B4533" s="58">
        <v>531963</v>
      </c>
      <c r="C4533" s="58" t="s">
        <v>588</v>
      </c>
      <c r="D4533" s="58" t="s">
        <v>1009</v>
      </c>
    </row>
    <row r="4534" spans="1:4">
      <c r="A4534" s="58" t="s">
        <v>7104</v>
      </c>
      <c r="B4534" s="58">
        <v>523519</v>
      </c>
      <c r="C4534" s="58" t="s">
        <v>588</v>
      </c>
      <c r="D4534" s="58" t="s">
        <v>610</v>
      </c>
    </row>
    <row r="4535" spans="1:4">
      <c r="A4535" s="58" t="s">
        <v>7105</v>
      </c>
      <c r="B4535" s="58">
        <v>504673</v>
      </c>
      <c r="C4535" s="58" t="s">
        <v>588</v>
      </c>
      <c r="D4535" s="58" t="s">
        <v>893</v>
      </c>
    </row>
    <row r="4536" spans="1:4">
      <c r="A4536" s="58" t="s">
        <v>7106</v>
      </c>
      <c r="B4536" s="58">
        <v>524408</v>
      </c>
      <c r="C4536" s="58" t="s">
        <v>588</v>
      </c>
      <c r="D4536" s="58" t="s">
        <v>636</v>
      </c>
    </row>
    <row r="4537" spans="1:4">
      <c r="A4537" s="58" t="s">
        <v>7107</v>
      </c>
      <c r="B4537" s="58">
        <v>514144</v>
      </c>
      <c r="C4537" s="58" t="s">
        <v>588</v>
      </c>
      <c r="D4537" s="58" t="s">
        <v>603</v>
      </c>
    </row>
    <row r="4538" spans="1:4">
      <c r="A4538" s="58" t="s">
        <v>7108</v>
      </c>
      <c r="B4538" s="58">
        <v>512408</v>
      </c>
      <c r="C4538" s="58" t="s">
        <v>588</v>
      </c>
      <c r="D4538" s="58" t="s">
        <v>603</v>
      </c>
    </row>
    <row r="4539" spans="1:4">
      <c r="A4539" s="58" t="s">
        <v>7109</v>
      </c>
      <c r="B4539" s="58">
        <v>531762</v>
      </c>
      <c r="C4539" s="58" t="s">
        <v>588</v>
      </c>
      <c r="D4539" s="58" t="s">
        <v>626</v>
      </c>
    </row>
    <row r="4540" spans="1:4">
      <c r="A4540" s="58" t="s">
        <v>7110</v>
      </c>
      <c r="B4540" s="58">
        <v>511764</v>
      </c>
      <c r="C4540" s="58" t="s">
        <v>588</v>
      </c>
      <c r="D4540" s="58" t="s">
        <v>605</v>
      </c>
    </row>
    <row r="4541" spans="1:4">
      <c r="A4541" s="58" t="s">
        <v>7111</v>
      </c>
      <c r="B4541" s="58">
        <v>512070</v>
      </c>
      <c r="C4541" s="58" t="s">
        <v>7112</v>
      </c>
      <c r="D4541" s="58" t="s">
        <v>732</v>
      </c>
    </row>
    <row r="4542" spans="1:4">
      <c r="A4542" s="58" t="s">
        <v>7113</v>
      </c>
      <c r="B4542" s="58">
        <v>531390</v>
      </c>
      <c r="C4542" s="58" t="s">
        <v>588</v>
      </c>
      <c r="D4542" s="58" t="s">
        <v>605</v>
      </c>
    </row>
    <row r="4543" spans="1:4">
      <c r="A4543" s="58" t="s">
        <v>7114</v>
      </c>
      <c r="B4543" s="58" t="s">
        <v>588</v>
      </c>
      <c r="C4543" s="58" t="s">
        <v>7115</v>
      </c>
      <c r="D4543" s="58" t="s">
        <v>599</v>
      </c>
    </row>
    <row r="4544" spans="1:4">
      <c r="A4544" s="58" t="s">
        <v>7116</v>
      </c>
      <c r="B4544" s="58">
        <v>526987</v>
      </c>
      <c r="C4544" s="58" t="s">
        <v>7117</v>
      </c>
      <c r="D4544" s="58" t="s">
        <v>610</v>
      </c>
    </row>
    <row r="4545" spans="1:4">
      <c r="A4545" s="58" t="s">
        <v>7118</v>
      </c>
      <c r="B4545" s="58">
        <v>532402</v>
      </c>
      <c r="C4545" s="58" t="s">
        <v>588</v>
      </c>
      <c r="D4545" s="58" t="s">
        <v>681</v>
      </c>
    </row>
    <row r="4546" spans="1:4">
      <c r="A4546" s="58" t="s">
        <v>7119</v>
      </c>
      <c r="B4546" s="58">
        <v>532398</v>
      </c>
      <c r="C4546" s="58" t="s">
        <v>7120</v>
      </c>
      <c r="D4546" s="58" t="s">
        <v>681</v>
      </c>
    </row>
    <row r="4547" spans="1:4">
      <c r="A4547" s="58" t="s">
        <v>7121</v>
      </c>
      <c r="B4547" s="58">
        <v>517146</v>
      </c>
      <c r="C4547" s="58" t="s">
        <v>7122</v>
      </c>
      <c r="D4547" s="58" t="s">
        <v>911</v>
      </c>
    </row>
    <row r="4548" spans="1:4">
      <c r="A4548" s="58" t="s">
        <v>7123</v>
      </c>
      <c r="B4548" s="58">
        <v>511507</v>
      </c>
      <c r="C4548" s="58" t="s">
        <v>588</v>
      </c>
      <c r="D4548" s="58" t="s">
        <v>605</v>
      </c>
    </row>
    <row r="4549" spans="1:4">
      <c r="A4549" s="58" t="s">
        <v>7124</v>
      </c>
      <c r="B4549" s="58" t="s">
        <v>588</v>
      </c>
      <c r="C4549" s="58" t="s">
        <v>7125</v>
      </c>
      <c r="D4549" s="58" t="s">
        <v>599</v>
      </c>
    </row>
    <row r="4550" spans="1:4">
      <c r="A4550" s="58" t="s">
        <v>7126</v>
      </c>
      <c r="B4550" s="58">
        <v>511736</v>
      </c>
      <c r="C4550" s="58" t="s">
        <v>588</v>
      </c>
      <c r="D4550" s="58" t="s">
        <v>610</v>
      </c>
    </row>
    <row r="4551" spans="1:4">
      <c r="A4551" s="58" t="s">
        <v>7127</v>
      </c>
      <c r="B4551" s="58">
        <v>532765</v>
      </c>
      <c r="C4551" s="58" t="s">
        <v>7128</v>
      </c>
      <c r="D4551" s="58" t="s">
        <v>786</v>
      </c>
    </row>
    <row r="4552" spans="1:4">
      <c r="A4552" s="58" t="s">
        <v>7129</v>
      </c>
      <c r="B4552" s="58">
        <v>590101</v>
      </c>
      <c r="C4552" s="58" t="s">
        <v>7130</v>
      </c>
      <c r="D4552" s="58" t="s">
        <v>571</v>
      </c>
    </row>
    <row r="4553" spans="1:4">
      <c r="A4553" s="58" t="s">
        <v>7131</v>
      </c>
      <c r="B4553" s="58">
        <v>500426</v>
      </c>
      <c r="C4553" s="58" t="s">
        <v>588</v>
      </c>
      <c r="D4553" s="58" t="s">
        <v>674</v>
      </c>
    </row>
    <row r="4554" spans="1:4">
      <c r="A4554" s="58" t="s">
        <v>7132</v>
      </c>
      <c r="B4554" s="58">
        <v>513216</v>
      </c>
      <c r="C4554" s="58" t="s">
        <v>7133</v>
      </c>
      <c r="D4554" s="58" t="s">
        <v>620</v>
      </c>
    </row>
    <row r="4555" spans="1:4">
      <c r="A4555" s="58" t="s">
        <v>7134</v>
      </c>
      <c r="B4555" s="58">
        <v>532729</v>
      </c>
      <c r="C4555" s="58" t="s">
        <v>7135</v>
      </c>
      <c r="D4555" s="58" t="s">
        <v>1286</v>
      </c>
    </row>
    <row r="4556" spans="1:4">
      <c r="A4556" s="58" t="s">
        <v>7136</v>
      </c>
      <c r="B4556" s="58">
        <v>500254</v>
      </c>
      <c r="C4556" s="58" t="s">
        <v>7137</v>
      </c>
      <c r="D4556" s="58" t="s">
        <v>620</v>
      </c>
    </row>
    <row r="4557" spans="1:4">
      <c r="A4557" s="58" t="s">
        <v>7138</v>
      </c>
      <c r="B4557" s="58">
        <v>511110</v>
      </c>
      <c r="C4557" s="58" t="s">
        <v>588</v>
      </c>
      <c r="D4557" s="58" t="s">
        <v>571</v>
      </c>
    </row>
    <row r="4558" spans="1:4">
      <c r="A4558" s="58" t="s">
        <v>7139</v>
      </c>
      <c r="B4558" s="58">
        <v>539123</v>
      </c>
      <c r="C4558" s="58" t="s">
        <v>588</v>
      </c>
      <c r="D4558" s="58" t="s">
        <v>608</v>
      </c>
    </row>
    <row r="4559" spans="1:4">
      <c r="A4559" s="58" t="s">
        <v>7140</v>
      </c>
      <c r="B4559" s="58">
        <v>542654</v>
      </c>
      <c r="C4559" s="58" t="s">
        <v>7141</v>
      </c>
      <c r="D4559" s="58" t="s">
        <v>589</v>
      </c>
    </row>
    <row r="4560" spans="1:4">
      <c r="A4560" s="58" t="s">
        <v>7142</v>
      </c>
      <c r="B4560" s="58">
        <v>523888</v>
      </c>
      <c r="C4560" s="58" t="s">
        <v>588</v>
      </c>
      <c r="D4560" s="58" t="s">
        <v>1068</v>
      </c>
    </row>
    <row r="4561" spans="1:4">
      <c r="A4561" s="58" t="s">
        <v>7143</v>
      </c>
      <c r="B4561" s="58">
        <v>531266</v>
      </c>
      <c r="C4561" s="58" t="s">
        <v>7144</v>
      </c>
      <c r="D4561" s="58" t="s">
        <v>666</v>
      </c>
    </row>
    <row r="4562" spans="1:4">
      <c r="A4562" s="58" t="s">
        <v>7145</v>
      </c>
      <c r="B4562" s="58">
        <v>532867</v>
      </c>
      <c r="C4562" s="58" t="s">
        <v>7146</v>
      </c>
      <c r="D4562" s="58" t="s">
        <v>757</v>
      </c>
    </row>
    <row r="4563" spans="1:4">
      <c r="A4563" s="58" t="s">
        <v>7147</v>
      </c>
      <c r="B4563" s="58">
        <v>533269</v>
      </c>
      <c r="C4563" s="58" t="s">
        <v>7148</v>
      </c>
      <c r="D4563" s="58" t="s">
        <v>613</v>
      </c>
    </row>
    <row r="4564" spans="1:4">
      <c r="A4564" s="58" t="s">
        <v>7149</v>
      </c>
      <c r="B4564" s="58">
        <v>532320</v>
      </c>
      <c r="C4564" s="58" t="s">
        <v>588</v>
      </c>
      <c r="D4564" s="58" t="s">
        <v>605</v>
      </c>
    </row>
    <row r="4565" spans="1:4">
      <c r="A4565" s="58" t="s">
        <v>7150</v>
      </c>
      <c r="B4565" s="58">
        <v>519152</v>
      </c>
      <c r="C4565" s="58" t="s">
        <v>588</v>
      </c>
      <c r="D4565" s="58" t="s">
        <v>610</v>
      </c>
    </row>
    <row r="4566" spans="1:4">
      <c r="A4566" s="58" t="s">
        <v>7151</v>
      </c>
      <c r="B4566" s="58">
        <v>519156</v>
      </c>
      <c r="C4566" s="58" t="s">
        <v>7152</v>
      </c>
      <c r="D4566" s="58" t="s">
        <v>648</v>
      </c>
    </row>
    <row r="4567" spans="1:4">
      <c r="A4567" s="58" t="s">
        <v>7153</v>
      </c>
      <c r="B4567" s="58" t="s">
        <v>588</v>
      </c>
      <c r="C4567" s="58" t="s">
        <v>7154</v>
      </c>
      <c r="D4567" s="58" t="s">
        <v>599</v>
      </c>
    </row>
    <row r="4568" spans="1:4">
      <c r="A4568" s="58" t="s">
        <v>7155</v>
      </c>
      <c r="B4568" s="58">
        <v>531676</v>
      </c>
      <c r="C4568" s="58" t="s">
        <v>588</v>
      </c>
      <c r="D4568" s="58" t="s">
        <v>648</v>
      </c>
    </row>
    <row r="4569" spans="1:4">
      <c r="A4569" s="58" t="s">
        <v>7156</v>
      </c>
      <c r="B4569" s="58">
        <v>532156</v>
      </c>
      <c r="C4569" s="58" t="s">
        <v>7157</v>
      </c>
      <c r="D4569" s="58" t="s">
        <v>702</v>
      </c>
    </row>
    <row r="4570" spans="1:4">
      <c r="A4570" s="58" t="s">
        <v>7158</v>
      </c>
      <c r="B4570" s="58" t="s">
        <v>588</v>
      </c>
      <c r="C4570" s="58" t="s">
        <v>7159</v>
      </c>
      <c r="D4570" s="58" t="s">
        <v>599</v>
      </c>
    </row>
    <row r="4571" spans="1:4">
      <c r="A4571" s="58" t="s">
        <v>7160</v>
      </c>
      <c r="B4571" s="58">
        <v>511431</v>
      </c>
      <c r="C4571" s="58" t="s">
        <v>7161</v>
      </c>
      <c r="D4571" s="58" t="s">
        <v>589</v>
      </c>
    </row>
    <row r="4572" spans="1:4">
      <c r="A4572" s="58" t="s">
        <v>7162</v>
      </c>
      <c r="B4572" s="58">
        <v>539402</v>
      </c>
      <c r="C4572" s="58" t="s">
        <v>588</v>
      </c>
      <c r="D4572" s="58" t="s">
        <v>786</v>
      </c>
    </row>
    <row r="4573" spans="1:4">
      <c r="A4573" s="58" t="s">
        <v>7163</v>
      </c>
      <c r="B4573" s="58">
        <v>526775</v>
      </c>
      <c r="C4573" s="58" t="s">
        <v>588</v>
      </c>
      <c r="D4573" s="58" t="s">
        <v>734</v>
      </c>
    </row>
    <row r="4574" spans="1:4">
      <c r="A4574" s="58" t="s">
        <v>7164</v>
      </c>
      <c r="B4574" s="58">
        <v>540145</v>
      </c>
      <c r="C4574" s="58" t="s">
        <v>588</v>
      </c>
      <c r="D4574" s="58" t="s">
        <v>626</v>
      </c>
    </row>
    <row r="4575" spans="1:4">
      <c r="A4575" s="58" t="s">
        <v>7165</v>
      </c>
      <c r="B4575" s="58">
        <v>530403</v>
      </c>
      <c r="C4575" s="58" t="s">
        <v>588</v>
      </c>
      <c r="D4575" s="58" t="s">
        <v>783</v>
      </c>
    </row>
    <row r="4576" spans="1:4">
      <c r="A4576" s="58" t="s">
        <v>7166</v>
      </c>
      <c r="B4576" s="58">
        <v>513397</v>
      </c>
      <c r="C4576" s="58" t="s">
        <v>588</v>
      </c>
      <c r="D4576" s="58" t="s">
        <v>911</v>
      </c>
    </row>
    <row r="4577" spans="1:4">
      <c r="A4577" s="58" t="s">
        <v>7167</v>
      </c>
      <c r="B4577" s="58">
        <v>539543</v>
      </c>
      <c r="C4577" s="58" t="s">
        <v>588</v>
      </c>
      <c r="D4577" s="58" t="s">
        <v>608</v>
      </c>
    </row>
    <row r="4578" spans="1:4">
      <c r="A4578" s="58" t="s">
        <v>7168</v>
      </c>
      <c r="B4578" s="58">
        <v>530459</v>
      </c>
      <c r="C4578" s="58" t="s">
        <v>588</v>
      </c>
      <c r="D4578" s="58" t="s">
        <v>603</v>
      </c>
    </row>
    <row r="4579" spans="1:4">
      <c r="A4579" s="58" t="s">
        <v>7169</v>
      </c>
      <c r="B4579" s="58">
        <v>512175</v>
      </c>
      <c r="C4579" s="58" t="s">
        <v>588</v>
      </c>
      <c r="D4579" s="58" t="s">
        <v>574</v>
      </c>
    </row>
    <row r="4580" spans="1:4">
      <c r="A4580" s="58" t="s">
        <v>7170</v>
      </c>
      <c r="B4580" s="58">
        <v>530369</v>
      </c>
      <c r="C4580" s="58" t="s">
        <v>588</v>
      </c>
      <c r="D4580" s="58" t="s">
        <v>1068</v>
      </c>
    </row>
    <row r="4581" spans="1:4">
      <c r="A4581" s="58" t="s">
        <v>7171</v>
      </c>
      <c r="B4581" s="58">
        <v>532090</v>
      </c>
      <c r="C4581" s="58" t="s">
        <v>588</v>
      </c>
      <c r="D4581" s="58" t="s">
        <v>603</v>
      </c>
    </row>
    <row r="4582" spans="1:4">
      <c r="A4582" s="58" t="s">
        <v>7172</v>
      </c>
      <c r="B4582" s="58">
        <v>538918</v>
      </c>
      <c r="C4582" s="58" t="s">
        <v>588</v>
      </c>
      <c r="D4582" s="58" t="s">
        <v>605</v>
      </c>
    </row>
    <row r="4583" spans="1:4">
      <c r="A4583" s="58" t="s">
        <v>7173</v>
      </c>
      <c r="B4583" s="58">
        <v>540729</v>
      </c>
      <c r="C4583" s="58" t="s">
        <v>588</v>
      </c>
      <c r="D4583" s="58" t="s">
        <v>626</v>
      </c>
    </row>
    <row r="4584" spans="1:4">
      <c r="A4584" s="58" t="s">
        <v>7174</v>
      </c>
      <c r="B4584" s="58">
        <v>539761</v>
      </c>
      <c r="C4584" s="58" t="s">
        <v>588</v>
      </c>
      <c r="D4584" s="58" t="s">
        <v>693</v>
      </c>
    </row>
    <row r="4585" spans="1:4">
      <c r="A4585" s="58" t="s">
        <v>7175</v>
      </c>
      <c r="B4585" s="58">
        <v>502589</v>
      </c>
      <c r="C4585" s="58" t="s">
        <v>588</v>
      </c>
      <c r="D4585" s="58" t="s">
        <v>582</v>
      </c>
    </row>
    <row r="4586" spans="1:4">
      <c r="A4586" s="58" t="s">
        <v>7176</v>
      </c>
      <c r="B4586" s="58">
        <v>524796</v>
      </c>
      <c r="C4586" s="58" t="s">
        <v>588</v>
      </c>
      <c r="D4586" s="58" t="s">
        <v>626</v>
      </c>
    </row>
    <row r="4587" spans="1:4">
      <c r="A4587" s="58" t="s">
        <v>7177</v>
      </c>
      <c r="B4587" s="58" t="s">
        <v>588</v>
      </c>
      <c r="C4587" s="58" t="s">
        <v>7178</v>
      </c>
      <c r="D4587" s="58" t="s">
        <v>679</v>
      </c>
    </row>
    <row r="4588" spans="1:4">
      <c r="A4588" s="58" t="s">
        <v>7179</v>
      </c>
      <c r="B4588" s="58">
        <v>531444</v>
      </c>
      <c r="C4588" s="58" t="s">
        <v>588</v>
      </c>
      <c r="D4588" s="58" t="s">
        <v>601</v>
      </c>
    </row>
    <row r="4589" spans="1:4">
      <c r="A4589" s="58" t="s">
        <v>7180</v>
      </c>
      <c r="B4589" s="58">
        <v>500439</v>
      </c>
      <c r="C4589" s="58" t="s">
        <v>7181</v>
      </c>
      <c r="D4589" s="58" t="s">
        <v>605</v>
      </c>
    </row>
    <row r="4590" spans="1:4">
      <c r="A4590" s="58" t="s">
        <v>7182</v>
      </c>
      <c r="B4590" s="58">
        <v>513534</v>
      </c>
      <c r="C4590" s="58" t="s">
        <v>588</v>
      </c>
      <c r="D4590" s="58" t="s">
        <v>620</v>
      </c>
    </row>
    <row r="4591" spans="1:4">
      <c r="A4591" s="58" t="s">
        <v>7183</v>
      </c>
      <c r="B4591" s="58">
        <v>514175</v>
      </c>
      <c r="C4591" s="58" t="s">
        <v>7184</v>
      </c>
      <c r="D4591" s="58" t="s">
        <v>603</v>
      </c>
    </row>
    <row r="4592" spans="1:4">
      <c r="A4592" s="58" t="s">
        <v>7185</v>
      </c>
      <c r="B4592" s="58">
        <v>534392</v>
      </c>
      <c r="C4592" s="58" t="s">
        <v>7186</v>
      </c>
      <c r="D4592" s="58" t="s">
        <v>911</v>
      </c>
    </row>
    <row r="4593" spans="1:4">
      <c r="A4593" s="58" t="s">
        <v>7187</v>
      </c>
      <c r="B4593" s="58">
        <v>502986</v>
      </c>
      <c r="C4593" s="58" t="s">
        <v>7188</v>
      </c>
      <c r="D4593" s="58" t="s">
        <v>603</v>
      </c>
    </row>
    <row r="4594" spans="1:4">
      <c r="A4594" s="58" t="s">
        <v>7189</v>
      </c>
      <c r="B4594" s="58">
        <v>541578</v>
      </c>
      <c r="C4594" s="58" t="s">
        <v>7190</v>
      </c>
      <c r="D4594" s="58" t="s">
        <v>943</v>
      </c>
    </row>
    <row r="4595" spans="1:4">
      <c r="A4595" s="58" t="s">
        <v>7191</v>
      </c>
      <c r="B4595" s="58">
        <v>540180</v>
      </c>
      <c r="C4595" s="58" t="s">
        <v>7192</v>
      </c>
      <c r="D4595" s="58" t="s">
        <v>783</v>
      </c>
    </row>
    <row r="4596" spans="1:4">
      <c r="A4596" s="58" t="s">
        <v>7193</v>
      </c>
      <c r="B4596" s="58">
        <v>512511</v>
      </c>
      <c r="C4596" s="58" t="s">
        <v>588</v>
      </c>
      <c r="D4596" s="58" t="s">
        <v>1009</v>
      </c>
    </row>
    <row r="4597" spans="1:4">
      <c r="A4597" s="58" t="s">
        <v>7194</v>
      </c>
      <c r="B4597" s="58">
        <v>531574</v>
      </c>
      <c r="C4597" s="58" t="s">
        <v>588</v>
      </c>
      <c r="D4597" s="58" t="s">
        <v>674</v>
      </c>
    </row>
    <row r="4598" spans="1:4">
      <c r="A4598" s="58" t="s">
        <v>7195</v>
      </c>
      <c r="B4598" s="58" t="s">
        <v>588</v>
      </c>
      <c r="C4598" s="58" t="s">
        <v>7196</v>
      </c>
      <c r="D4598" s="58" t="s">
        <v>599</v>
      </c>
    </row>
    <row r="4599" spans="1:4">
      <c r="A4599" s="58" t="s">
        <v>7197</v>
      </c>
      <c r="B4599" s="58">
        <v>533156</v>
      </c>
      <c r="C4599" s="58" t="s">
        <v>7198</v>
      </c>
      <c r="D4599" s="58" t="s">
        <v>674</v>
      </c>
    </row>
    <row r="4600" spans="1:4">
      <c r="A4600" s="58" t="s">
        <v>7199</v>
      </c>
      <c r="B4600" s="58">
        <v>538634</v>
      </c>
      <c r="C4600" s="58" t="s">
        <v>588</v>
      </c>
      <c r="D4600" s="58" t="s">
        <v>626</v>
      </c>
    </row>
    <row r="4601" spans="1:4">
      <c r="A4601" s="58" t="s">
        <v>7200</v>
      </c>
      <c r="B4601" s="58">
        <v>533576</v>
      </c>
      <c r="C4601" s="58" t="s">
        <v>7201</v>
      </c>
      <c r="D4601" s="58" t="s">
        <v>620</v>
      </c>
    </row>
    <row r="4602" spans="1:4">
      <c r="A4602" s="58" t="s">
        <v>7202</v>
      </c>
      <c r="B4602" s="58">
        <v>531650</v>
      </c>
      <c r="C4602" s="58" t="s">
        <v>588</v>
      </c>
      <c r="D4602" s="58" t="s">
        <v>1009</v>
      </c>
    </row>
    <row r="4603" spans="1:4">
      <c r="A4603" s="58" t="s">
        <v>7203</v>
      </c>
      <c r="B4603" s="58">
        <v>513005</v>
      </c>
      <c r="C4603" s="58" t="s">
        <v>588</v>
      </c>
      <c r="D4603" s="58" t="s">
        <v>620</v>
      </c>
    </row>
    <row r="4604" spans="1:4">
      <c r="A4604" s="58" t="s">
        <v>7204</v>
      </c>
      <c r="B4604" s="58">
        <v>511493</v>
      </c>
      <c r="C4604" s="58" t="s">
        <v>588</v>
      </c>
      <c r="D4604" s="58" t="s">
        <v>605</v>
      </c>
    </row>
    <row r="4605" spans="1:4">
      <c r="A4605" s="58" t="s">
        <v>7205</v>
      </c>
      <c r="B4605" s="58">
        <v>536672</v>
      </c>
      <c r="C4605" s="58" t="s">
        <v>588</v>
      </c>
      <c r="D4605" s="58" t="s">
        <v>2212</v>
      </c>
    </row>
    <row r="4606" spans="1:4">
      <c r="A4606" s="58" t="s">
        <v>7206</v>
      </c>
      <c r="B4606" s="58">
        <v>500295</v>
      </c>
      <c r="C4606" s="58" t="s">
        <v>7207</v>
      </c>
      <c r="D4606" s="58" t="s">
        <v>3099</v>
      </c>
    </row>
    <row r="4607" spans="1:4">
      <c r="A4607" s="58" t="s">
        <v>7208</v>
      </c>
      <c r="B4607" s="58">
        <v>533056</v>
      </c>
      <c r="C4607" s="58" t="s">
        <v>588</v>
      </c>
      <c r="D4607" s="58" t="s">
        <v>594</v>
      </c>
    </row>
    <row r="4608" spans="1:4">
      <c r="A4608" s="58" t="s">
        <v>7209</v>
      </c>
      <c r="B4608" s="58">
        <v>522267</v>
      </c>
      <c r="C4608" s="58" t="s">
        <v>588</v>
      </c>
      <c r="D4608" s="58" t="s">
        <v>596</v>
      </c>
    </row>
    <row r="4609" spans="1:4">
      <c r="A4609" s="58" t="s">
        <v>7210</v>
      </c>
      <c r="B4609" s="58">
        <v>503657</v>
      </c>
      <c r="C4609" s="58" t="s">
        <v>588</v>
      </c>
      <c r="D4609" s="58" t="s">
        <v>727</v>
      </c>
    </row>
    <row r="4610" spans="1:4">
      <c r="A4610" s="58" t="s">
        <v>7211</v>
      </c>
      <c r="B4610" s="58">
        <v>542046</v>
      </c>
      <c r="C4610" s="58" t="s">
        <v>588</v>
      </c>
      <c r="D4610" s="58" t="s">
        <v>674</v>
      </c>
    </row>
    <row r="4611" spans="1:4">
      <c r="A4611" s="58" t="s">
        <v>7212</v>
      </c>
      <c r="B4611" s="58">
        <v>540252</v>
      </c>
      <c r="C4611" s="58" t="s">
        <v>588</v>
      </c>
      <c r="D4611" s="58" t="s">
        <v>702</v>
      </c>
    </row>
    <row r="4612" spans="1:4">
      <c r="A4612" s="58" t="s">
        <v>7213</v>
      </c>
      <c r="B4612" s="58">
        <v>511523</v>
      </c>
      <c r="C4612" s="58" t="s">
        <v>588</v>
      </c>
      <c r="D4612" s="58" t="s">
        <v>626</v>
      </c>
    </row>
    <row r="4613" spans="1:4">
      <c r="A4613" s="58" t="s">
        <v>7214</v>
      </c>
      <c r="B4613" s="58">
        <v>539132</v>
      </c>
      <c r="C4613" s="58" t="s">
        <v>588</v>
      </c>
      <c r="D4613" s="58" t="s">
        <v>837</v>
      </c>
    </row>
    <row r="4614" spans="1:4">
      <c r="A4614" s="58" t="s">
        <v>7215</v>
      </c>
      <c r="B4614" s="58">
        <v>526755</v>
      </c>
      <c r="C4614" s="58" t="s">
        <v>588</v>
      </c>
      <c r="D4614" s="58" t="s">
        <v>789</v>
      </c>
    </row>
    <row r="4615" spans="1:4">
      <c r="A4615" s="58" t="s">
        <v>7216</v>
      </c>
      <c r="B4615" s="58">
        <v>505232</v>
      </c>
      <c r="C4615" s="58" t="s">
        <v>588</v>
      </c>
      <c r="D4615" s="58" t="s">
        <v>943</v>
      </c>
    </row>
    <row r="4616" spans="1:4">
      <c r="A4616" s="58" t="s">
        <v>7217</v>
      </c>
      <c r="B4616" s="58">
        <v>523261</v>
      </c>
      <c r="C4616" s="58" t="s">
        <v>7218</v>
      </c>
      <c r="D4616" s="58" t="s">
        <v>648</v>
      </c>
    </row>
    <row r="4617" spans="1:4">
      <c r="A4617" s="58" t="s">
        <v>7219</v>
      </c>
      <c r="B4617" s="58">
        <v>523261</v>
      </c>
      <c r="C4617" s="58" t="s">
        <v>7218</v>
      </c>
      <c r="D4617" s="58" t="s">
        <v>648</v>
      </c>
    </row>
    <row r="4618" spans="1:4">
      <c r="A4618" s="58" t="s">
        <v>7220</v>
      </c>
      <c r="B4618" s="58">
        <v>524038</v>
      </c>
      <c r="C4618" s="58" t="s">
        <v>588</v>
      </c>
      <c r="D4618" s="58" t="s">
        <v>636</v>
      </c>
    </row>
    <row r="4619" spans="1:4">
      <c r="A4619" s="58" t="s">
        <v>7221</v>
      </c>
      <c r="B4619" s="58">
        <v>512060</v>
      </c>
      <c r="C4619" s="58" t="s">
        <v>7222</v>
      </c>
      <c r="D4619" s="58" t="s">
        <v>1009</v>
      </c>
    </row>
    <row r="4620" spans="1:4">
      <c r="A4620" s="58" t="s">
        <v>7223</v>
      </c>
      <c r="B4620" s="58">
        <v>516098</v>
      </c>
      <c r="C4620" s="58" t="s">
        <v>588</v>
      </c>
      <c r="D4620" s="58" t="s">
        <v>603</v>
      </c>
    </row>
    <row r="4621" spans="1:4">
      <c r="A4621" s="58" t="s">
        <v>7224</v>
      </c>
      <c r="B4621" s="58">
        <v>526953</v>
      </c>
      <c r="C4621" s="58" t="s">
        <v>7225</v>
      </c>
      <c r="D4621" s="58" t="s">
        <v>626</v>
      </c>
    </row>
    <row r="4622" spans="1:4">
      <c r="A4622" s="58" t="s">
        <v>7226</v>
      </c>
      <c r="B4622" s="58" t="s">
        <v>588</v>
      </c>
      <c r="C4622" s="58" t="s">
        <v>7227</v>
      </c>
      <c r="D4622" s="58" t="s">
        <v>599</v>
      </c>
    </row>
    <row r="4623" spans="1:4">
      <c r="A4623" s="58" t="s">
        <v>7228</v>
      </c>
      <c r="B4623" s="58">
        <v>512229</v>
      </c>
      <c r="C4623" s="58" t="s">
        <v>588</v>
      </c>
      <c r="D4623" s="58" t="s">
        <v>610</v>
      </c>
    </row>
    <row r="4624" spans="1:4">
      <c r="A4624" s="58" t="s">
        <v>7229</v>
      </c>
      <c r="B4624" s="58">
        <v>512229</v>
      </c>
      <c r="C4624" s="58" t="s">
        <v>588</v>
      </c>
      <c r="D4624" s="58" t="s">
        <v>610</v>
      </c>
    </row>
    <row r="4625" spans="1:4">
      <c r="A4625" s="58" t="s">
        <v>7230</v>
      </c>
      <c r="B4625" s="58">
        <v>531695</v>
      </c>
      <c r="C4625" s="58" t="s">
        <v>588</v>
      </c>
      <c r="D4625" s="58" t="s">
        <v>591</v>
      </c>
    </row>
    <row r="4626" spans="1:4">
      <c r="A4626" s="58" t="s">
        <v>7231</v>
      </c>
      <c r="B4626" s="58">
        <v>531950</v>
      </c>
      <c r="C4626" s="58" t="s">
        <v>588</v>
      </c>
      <c r="D4626" s="58" t="s">
        <v>571</v>
      </c>
    </row>
    <row r="4627" spans="1:4">
      <c r="A4627" s="58" t="s">
        <v>7232</v>
      </c>
      <c r="B4627" s="58">
        <v>515099</v>
      </c>
      <c r="C4627" s="58" t="s">
        <v>588</v>
      </c>
      <c r="D4627" s="58" t="s">
        <v>1116</v>
      </c>
    </row>
    <row r="4628" spans="1:4">
      <c r="A4628" s="58" t="s">
        <v>7233</v>
      </c>
      <c r="B4628" s="58" t="s">
        <v>588</v>
      </c>
      <c r="C4628" s="58" t="s">
        <v>7234</v>
      </c>
      <c r="D4628" s="58" t="s">
        <v>599</v>
      </c>
    </row>
    <row r="4629" spans="1:4">
      <c r="A4629" s="58" t="s">
        <v>7235</v>
      </c>
      <c r="B4629" s="58">
        <v>520113</v>
      </c>
      <c r="C4629" s="58" t="s">
        <v>7236</v>
      </c>
      <c r="D4629" s="58" t="s">
        <v>773</v>
      </c>
    </row>
    <row r="4630" spans="1:4">
      <c r="A4630" s="58" t="s">
        <v>7237</v>
      </c>
      <c r="B4630" s="58">
        <v>520113</v>
      </c>
      <c r="C4630" s="58" t="s">
        <v>7236</v>
      </c>
      <c r="D4630" s="58" t="s">
        <v>773</v>
      </c>
    </row>
    <row r="4631" spans="1:4">
      <c r="A4631" s="58" t="s">
        <v>7238</v>
      </c>
      <c r="B4631" s="58">
        <v>539331</v>
      </c>
      <c r="C4631" s="58" t="s">
        <v>7239</v>
      </c>
      <c r="D4631" s="58" t="s">
        <v>886</v>
      </c>
    </row>
    <row r="4632" spans="1:4">
      <c r="A4632" s="58" t="s">
        <v>7240</v>
      </c>
      <c r="B4632" s="58">
        <v>532953</v>
      </c>
      <c r="C4632" s="58" t="s">
        <v>7241</v>
      </c>
      <c r="D4632" s="58" t="s">
        <v>886</v>
      </c>
    </row>
    <row r="4633" spans="1:4">
      <c r="A4633" s="58" t="s">
        <v>7242</v>
      </c>
      <c r="B4633" s="58">
        <v>537524</v>
      </c>
      <c r="C4633" s="58" t="s">
        <v>588</v>
      </c>
      <c r="D4633" s="58" t="s">
        <v>1632</v>
      </c>
    </row>
    <row r="4634" spans="1:4">
      <c r="A4634" s="58" t="s">
        <v>7243</v>
      </c>
      <c r="B4634" s="58">
        <v>538732</v>
      </c>
      <c r="C4634" s="58" t="s">
        <v>588</v>
      </c>
      <c r="D4634" s="58" t="s">
        <v>605</v>
      </c>
    </row>
    <row r="4635" spans="1:4">
      <c r="A4635" s="58" t="s">
        <v>7244</v>
      </c>
      <c r="B4635" s="58">
        <v>523796</v>
      </c>
      <c r="C4635" s="58" t="s">
        <v>7245</v>
      </c>
      <c r="D4635" s="58" t="s">
        <v>789</v>
      </c>
    </row>
    <row r="4636" spans="1:4">
      <c r="A4636" s="58" t="s">
        <v>7246</v>
      </c>
      <c r="B4636" s="58">
        <v>503349</v>
      </c>
      <c r="C4636" s="58" t="s">
        <v>588</v>
      </c>
      <c r="D4636" s="58" t="s">
        <v>603</v>
      </c>
    </row>
    <row r="4637" spans="1:4">
      <c r="A4637" s="58" t="s">
        <v>7247</v>
      </c>
      <c r="B4637" s="58">
        <v>531234</v>
      </c>
      <c r="C4637" s="58" t="s">
        <v>588</v>
      </c>
      <c r="D4637" s="58" t="s">
        <v>582</v>
      </c>
    </row>
    <row r="4638" spans="1:4">
      <c r="A4638" s="58" t="s">
        <v>7248</v>
      </c>
      <c r="B4638" s="58">
        <v>531234</v>
      </c>
      <c r="C4638" s="58" t="s">
        <v>588</v>
      </c>
      <c r="D4638" s="58" t="s">
        <v>582</v>
      </c>
    </row>
    <row r="4639" spans="1:4">
      <c r="A4639" s="58" t="s">
        <v>7249</v>
      </c>
      <c r="B4639" s="58">
        <v>511389</v>
      </c>
      <c r="C4639" s="58" t="s">
        <v>7250</v>
      </c>
      <c r="D4639" s="58" t="s">
        <v>957</v>
      </c>
    </row>
    <row r="4640" spans="1:4">
      <c r="A4640" s="58" t="s">
        <v>7251</v>
      </c>
      <c r="B4640" s="58">
        <v>531717</v>
      </c>
      <c r="C4640" s="58" t="s">
        <v>7252</v>
      </c>
      <c r="D4640" s="58" t="s">
        <v>748</v>
      </c>
    </row>
    <row r="4641" spans="1:4">
      <c r="A4641" s="58" t="s">
        <v>7253</v>
      </c>
      <c r="B4641" s="58">
        <v>539659</v>
      </c>
      <c r="C4641" s="58" t="s">
        <v>588</v>
      </c>
      <c r="D4641" s="58" t="s">
        <v>1077</v>
      </c>
    </row>
    <row r="4642" spans="1:4">
      <c r="A4642" s="58" t="s">
        <v>7254</v>
      </c>
      <c r="B4642" s="58">
        <v>523724</v>
      </c>
      <c r="C4642" s="58" t="s">
        <v>7255</v>
      </c>
      <c r="D4642" s="58" t="s">
        <v>674</v>
      </c>
    </row>
    <row r="4643" spans="1:4">
      <c r="A4643" s="58" t="s">
        <v>7256</v>
      </c>
      <c r="B4643" s="58">
        <v>531069</v>
      </c>
      <c r="C4643" s="58" t="s">
        <v>588</v>
      </c>
      <c r="D4643" s="58" t="s">
        <v>837</v>
      </c>
    </row>
    <row r="4644" spans="1:4">
      <c r="A4644" s="58" t="s">
        <v>7257</v>
      </c>
      <c r="B4644" s="58">
        <v>530151</v>
      </c>
      <c r="C4644" s="58" t="s">
        <v>588</v>
      </c>
      <c r="D4644" s="58" t="s">
        <v>610</v>
      </c>
    </row>
    <row r="4645" spans="1:4">
      <c r="A4645" s="58" t="s">
        <v>7258</v>
      </c>
      <c r="B4645" s="58">
        <v>532401</v>
      </c>
      <c r="C4645" s="58" t="s">
        <v>7259</v>
      </c>
      <c r="D4645" s="58" t="s">
        <v>906</v>
      </c>
    </row>
    <row r="4646" spans="1:4">
      <c r="A4646" s="58" t="s">
        <v>7260</v>
      </c>
      <c r="B4646" s="58">
        <v>537820</v>
      </c>
      <c r="C4646" s="58" t="s">
        <v>7261</v>
      </c>
      <c r="D4646" s="58" t="s">
        <v>605</v>
      </c>
    </row>
    <row r="4647" spans="1:4">
      <c r="A4647" s="58" t="s">
        <v>7262</v>
      </c>
      <c r="B4647" s="58">
        <v>531334</v>
      </c>
      <c r="C4647" s="58" t="s">
        <v>588</v>
      </c>
      <c r="D4647" s="58" t="s">
        <v>1009</v>
      </c>
    </row>
    <row r="4648" spans="1:4">
      <c r="A4648" s="58" t="s">
        <v>7263</v>
      </c>
      <c r="B4648" s="58">
        <v>530961</v>
      </c>
      <c r="C4648" s="58" t="s">
        <v>7264</v>
      </c>
      <c r="D4648" s="58" t="s">
        <v>748</v>
      </c>
    </row>
    <row r="4649" spans="1:4">
      <c r="A4649" s="58" t="s">
        <v>7265</v>
      </c>
      <c r="B4649" s="58">
        <v>542655</v>
      </c>
      <c r="C4649" s="58" t="s">
        <v>7266</v>
      </c>
      <c r="D4649" s="58" t="s">
        <v>954</v>
      </c>
    </row>
    <row r="4650" spans="1:4">
      <c r="A4650" s="58" t="s">
        <v>7267</v>
      </c>
      <c r="B4650" s="58">
        <v>531518</v>
      </c>
      <c r="C4650" s="58" t="s">
        <v>588</v>
      </c>
      <c r="D4650" s="58" t="s">
        <v>786</v>
      </c>
    </row>
    <row r="4651" spans="1:4">
      <c r="A4651" s="58" t="s">
        <v>7268</v>
      </c>
      <c r="B4651" s="58">
        <v>519307</v>
      </c>
      <c r="C4651" s="58" t="s">
        <v>588</v>
      </c>
      <c r="D4651" s="58" t="s">
        <v>748</v>
      </c>
    </row>
    <row r="4652" spans="1:4">
      <c r="A4652" s="58" t="s">
        <v>7269</v>
      </c>
      <c r="B4652" s="58">
        <v>530477</v>
      </c>
      <c r="C4652" s="58" t="s">
        <v>588</v>
      </c>
      <c r="D4652" s="58" t="s">
        <v>626</v>
      </c>
    </row>
    <row r="4653" spans="1:4">
      <c r="A4653" s="58" t="s">
        <v>7270</v>
      </c>
      <c r="B4653" s="58">
        <v>530477</v>
      </c>
      <c r="C4653" s="58" t="s">
        <v>588</v>
      </c>
      <c r="D4653" s="58" t="s">
        <v>626</v>
      </c>
    </row>
    <row r="4654" spans="1:4">
      <c r="A4654" s="58" t="s">
        <v>7271</v>
      </c>
      <c r="B4654" s="58">
        <v>506196</v>
      </c>
      <c r="C4654" s="58" t="s">
        <v>588</v>
      </c>
      <c r="D4654" s="58" t="s">
        <v>610</v>
      </c>
    </row>
    <row r="4655" spans="1:4">
      <c r="A4655" s="58" t="s">
        <v>7272</v>
      </c>
      <c r="B4655" s="58">
        <v>519373</v>
      </c>
      <c r="C4655" s="58" t="s">
        <v>7273</v>
      </c>
      <c r="D4655" s="58" t="s">
        <v>837</v>
      </c>
    </row>
    <row r="4656" spans="1:4">
      <c r="A4656" s="58" t="s">
        <v>7274</v>
      </c>
      <c r="B4656" s="58">
        <v>524394</v>
      </c>
      <c r="C4656" s="58" t="s">
        <v>7275</v>
      </c>
      <c r="D4656" s="58" t="s">
        <v>777</v>
      </c>
    </row>
    <row r="4657" spans="1:4">
      <c r="A4657" s="58" t="s">
        <v>7276</v>
      </c>
      <c r="B4657" s="58">
        <v>504380</v>
      </c>
      <c r="C4657" s="58" t="s">
        <v>588</v>
      </c>
      <c r="D4657" s="58" t="s">
        <v>610</v>
      </c>
    </row>
    <row r="4658" spans="1:4">
      <c r="A4658" s="58" t="s">
        <v>7277</v>
      </c>
      <c r="B4658" s="58">
        <v>524200</v>
      </c>
      <c r="C4658" s="58" t="s">
        <v>7278</v>
      </c>
      <c r="D4658" s="58" t="s">
        <v>636</v>
      </c>
    </row>
    <row r="4659" spans="1:4">
      <c r="A4659" s="58" t="s">
        <v>7279</v>
      </c>
      <c r="B4659" s="58">
        <v>534639</v>
      </c>
      <c r="C4659" s="58" t="s">
        <v>588</v>
      </c>
      <c r="D4659" s="58" t="s">
        <v>783</v>
      </c>
    </row>
    <row r="4660" spans="1:4">
      <c r="A4660" s="58" t="s">
        <v>7280</v>
      </c>
      <c r="B4660" s="58">
        <v>517015</v>
      </c>
      <c r="C4660" s="58" t="s">
        <v>7281</v>
      </c>
      <c r="D4660" s="58" t="s">
        <v>858</v>
      </c>
    </row>
    <row r="4661" spans="1:4">
      <c r="A4661" s="58" t="s">
        <v>7282</v>
      </c>
      <c r="B4661" s="58" t="s">
        <v>588</v>
      </c>
      <c r="C4661" s="58" t="s">
        <v>7283</v>
      </c>
      <c r="D4661" s="58" t="s">
        <v>599</v>
      </c>
    </row>
    <row r="4662" spans="1:4">
      <c r="A4662" s="58" t="s">
        <v>7284</v>
      </c>
      <c r="B4662" s="58">
        <v>531051</v>
      </c>
      <c r="C4662" s="58" t="s">
        <v>588</v>
      </c>
      <c r="D4662" s="58" t="s">
        <v>605</v>
      </c>
    </row>
    <row r="4663" spans="1:4">
      <c r="A4663" s="58" t="s">
        <v>7285</v>
      </c>
      <c r="B4663" s="58">
        <v>524129</v>
      </c>
      <c r="C4663" s="58" t="s">
        <v>7286</v>
      </c>
      <c r="D4663" s="58" t="s">
        <v>965</v>
      </c>
    </row>
    <row r="4664" spans="1:4">
      <c r="A4664" s="58" t="s">
        <v>7287</v>
      </c>
      <c r="B4664" s="58">
        <v>524129</v>
      </c>
      <c r="C4664" s="58" t="s">
        <v>7288</v>
      </c>
      <c r="D4664" s="58" t="s">
        <v>965</v>
      </c>
    </row>
    <row r="4665" spans="1:4">
      <c r="A4665" s="58" t="s">
        <v>7289</v>
      </c>
      <c r="B4665" s="58">
        <v>530401</v>
      </c>
      <c r="C4665" s="58" t="s">
        <v>588</v>
      </c>
      <c r="D4665" s="58" t="s">
        <v>636</v>
      </c>
    </row>
    <row r="4666" spans="1:4">
      <c r="A4666" s="58" t="s">
        <v>7290</v>
      </c>
      <c r="B4666" s="58">
        <v>532613</v>
      </c>
      <c r="C4666" s="58" t="s">
        <v>7291</v>
      </c>
      <c r="D4666" s="58" t="s">
        <v>610</v>
      </c>
    </row>
    <row r="4667" spans="1:4">
      <c r="A4667" s="58" t="s">
        <v>7292</v>
      </c>
      <c r="B4667" s="58">
        <v>507880</v>
      </c>
      <c r="C4667" s="58" t="s">
        <v>7293</v>
      </c>
      <c r="D4667" s="58" t="s">
        <v>702</v>
      </c>
    </row>
    <row r="4668" spans="1:4">
      <c r="A4668" s="58" t="s">
        <v>7294</v>
      </c>
      <c r="B4668" s="58">
        <v>514302</v>
      </c>
      <c r="C4668" s="58" t="s">
        <v>588</v>
      </c>
      <c r="D4668" s="58" t="s">
        <v>603</v>
      </c>
    </row>
    <row r="4669" spans="1:4">
      <c r="A4669" s="58" t="s">
        <v>7295</v>
      </c>
      <c r="B4669" s="58">
        <v>511726</v>
      </c>
      <c r="C4669" s="58" t="s">
        <v>7296</v>
      </c>
      <c r="D4669" s="58" t="s">
        <v>674</v>
      </c>
    </row>
    <row r="4670" spans="1:4">
      <c r="A4670" s="58" t="s">
        <v>7297</v>
      </c>
      <c r="B4670" s="58">
        <v>530627</v>
      </c>
      <c r="C4670" s="58" t="s">
        <v>588</v>
      </c>
      <c r="D4670" s="58" t="s">
        <v>748</v>
      </c>
    </row>
    <row r="4671" spans="1:4">
      <c r="A4671" s="58" t="s">
        <v>7298</v>
      </c>
      <c r="B4671" s="58">
        <v>519457</v>
      </c>
      <c r="C4671" s="58" t="s">
        <v>588</v>
      </c>
      <c r="D4671" s="58" t="s">
        <v>648</v>
      </c>
    </row>
    <row r="4672" spans="1:4">
      <c r="A4672" s="58" t="s">
        <v>7299</v>
      </c>
      <c r="B4672" s="58">
        <v>530521</v>
      </c>
      <c r="C4672" s="58" t="s">
        <v>588</v>
      </c>
      <c r="D4672" s="58" t="s">
        <v>702</v>
      </c>
    </row>
    <row r="4673" spans="1:4">
      <c r="A4673" s="58" t="s">
        <v>7300</v>
      </c>
      <c r="B4673" s="58">
        <v>539167</v>
      </c>
      <c r="C4673" s="58" t="s">
        <v>588</v>
      </c>
      <c r="D4673" s="58" t="s">
        <v>605</v>
      </c>
    </row>
    <row r="4674" spans="1:4">
      <c r="A4674" s="58" t="s">
        <v>7301</v>
      </c>
      <c r="B4674" s="58">
        <v>532354</v>
      </c>
      <c r="C4674" s="58" t="s">
        <v>588</v>
      </c>
      <c r="D4674" s="58" t="s">
        <v>681</v>
      </c>
    </row>
    <row r="4675" spans="1:4">
      <c r="A4675" s="58" t="s">
        <v>7302</v>
      </c>
      <c r="B4675" s="58">
        <v>532372</v>
      </c>
      <c r="C4675" s="58" t="s">
        <v>588</v>
      </c>
      <c r="D4675" s="58" t="s">
        <v>681</v>
      </c>
    </row>
    <row r="4676" spans="1:4">
      <c r="A4676" s="58" t="s">
        <v>7303</v>
      </c>
      <c r="B4676" s="58">
        <v>534741</v>
      </c>
      <c r="C4676" s="58" t="s">
        <v>588</v>
      </c>
      <c r="D4676" s="58" t="s">
        <v>693</v>
      </c>
    </row>
    <row r="4677" spans="1:4">
      <c r="A4677" s="58" t="s">
        <v>7304</v>
      </c>
      <c r="B4677" s="58">
        <v>531126</v>
      </c>
      <c r="C4677" s="58" t="s">
        <v>588</v>
      </c>
      <c r="D4677" s="58" t="s">
        <v>681</v>
      </c>
    </row>
    <row r="4678" spans="1:4">
      <c r="A4678" s="58" t="s">
        <v>7305</v>
      </c>
      <c r="B4678" s="58">
        <v>532721</v>
      </c>
      <c r="C4678" s="58" t="s">
        <v>7306</v>
      </c>
      <c r="D4678" s="58" t="s">
        <v>620</v>
      </c>
    </row>
    <row r="4679" spans="1:4">
      <c r="A4679" s="58" t="s">
        <v>7307</v>
      </c>
      <c r="B4679" s="58">
        <v>531025</v>
      </c>
      <c r="C4679" s="58" t="s">
        <v>588</v>
      </c>
      <c r="D4679" s="58" t="s">
        <v>571</v>
      </c>
    </row>
    <row r="4680" spans="1:4">
      <c r="A4680" s="58" t="s">
        <v>7308</v>
      </c>
      <c r="B4680" s="58">
        <v>506146</v>
      </c>
      <c r="C4680" s="58" t="s">
        <v>7309</v>
      </c>
      <c r="D4680" s="58" t="s">
        <v>603</v>
      </c>
    </row>
    <row r="4681" spans="1:4">
      <c r="A4681" s="58" t="s">
        <v>7310</v>
      </c>
      <c r="B4681" s="58">
        <v>509055</v>
      </c>
      <c r="C4681" s="58" t="s">
        <v>7311</v>
      </c>
      <c r="D4681" s="58" t="s">
        <v>601</v>
      </c>
    </row>
    <row r="4682" spans="1:4">
      <c r="A4682" s="58" t="s">
        <v>7312</v>
      </c>
      <c r="B4682" s="58">
        <v>540097</v>
      </c>
      <c r="C4682" s="58" t="s">
        <v>588</v>
      </c>
      <c r="D4682" s="58" t="s">
        <v>571</v>
      </c>
    </row>
    <row r="4683" spans="1:4">
      <c r="A4683" s="58" t="s">
        <v>7313</v>
      </c>
      <c r="B4683" s="58">
        <v>532411</v>
      </c>
      <c r="C4683" s="58" t="s">
        <v>7314</v>
      </c>
      <c r="D4683" s="58" t="s">
        <v>681</v>
      </c>
    </row>
    <row r="4684" spans="1:4">
      <c r="A4684" s="58" t="s">
        <v>7315</v>
      </c>
      <c r="B4684" s="58">
        <v>539398</v>
      </c>
      <c r="C4684" s="58" t="s">
        <v>588</v>
      </c>
      <c r="D4684" s="58" t="s">
        <v>596</v>
      </c>
    </row>
    <row r="4685" spans="1:4">
      <c r="A4685" s="58" t="s">
        <v>7316</v>
      </c>
      <c r="B4685" s="58">
        <v>538598</v>
      </c>
      <c r="C4685" s="58" t="s">
        <v>588</v>
      </c>
      <c r="D4685" s="58" t="s">
        <v>603</v>
      </c>
    </row>
    <row r="4686" spans="1:4">
      <c r="A4686" s="58" t="s">
        <v>7317</v>
      </c>
      <c r="B4686" s="58">
        <v>516072</v>
      </c>
      <c r="C4686" s="58" t="s">
        <v>7318</v>
      </c>
      <c r="D4686" s="58" t="s">
        <v>636</v>
      </c>
    </row>
    <row r="4687" spans="1:4">
      <c r="A4687" s="58" t="s">
        <v>7319</v>
      </c>
      <c r="B4687" s="58">
        <v>512064</v>
      </c>
      <c r="C4687" s="58" t="s">
        <v>7320</v>
      </c>
      <c r="D4687" s="58" t="s">
        <v>1009</v>
      </c>
    </row>
    <row r="4688" spans="1:4">
      <c r="A4688" s="58" t="s">
        <v>7321</v>
      </c>
      <c r="B4688" s="58">
        <v>526441</v>
      </c>
      <c r="C4688" s="58" t="s">
        <v>588</v>
      </c>
      <c r="D4688" s="58" t="s">
        <v>2188</v>
      </c>
    </row>
    <row r="4689" spans="1:4">
      <c r="A4689" s="58" t="s">
        <v>7322</v>
      </c>
      <c r="B4689" s="58">
        <v>531668</v>
      </c>
      <c r="C4689" s="58" t="s">
        <v>588</v>
      </c>
      <c r="D4689" s="58" t="s">
        <v>591</v>
      </c>
    </row>
    <row r="4690" spans="1:4">
      <c r="A4690" s="58" t="s">
        <v>7323</v>
      </c>
      <c r="B4690" s="58">
        <v>524711</v>
      </c>
      <c r="C4690" s="58" t="s">
        <v>588</v>
      </c>
      <c r="D4690" s="58" t="s">
        <v>626</v>
      </c>
    </row>
    <row r="4691" spans="1:4">
      <c r="A4691" s="58" t="s">
        <v>7324</v>
      </c>
      <c r="B4691" s="58">
        <v>538565</v>
      </c>
      <c r="C4691" s="58" t="s">
        <v>588</v>
      </c>
      <c r="D4691" s="58" t="s">
        <v>605</v>
      </c>
    </row>
    <row r="4692" spans="1:4">
      <c r="A4692" s="58" t="s">
        <v>7325</v>
      </c>
      <c r="B4692" s="58">
        <v>540823</v>
      </c>
      <c r="C4692" s="58" t="s">
        <v>588</v>
      </c>
      <c r="D4692" s="58" t="s">
        <v>610</v>
      </c>
    </row>
    <row r="4693" spans="1:4">
      <c r="A4693" s="58" t="s">
        <v>7326</v>
      </c>
      <c r="B4693" s="58">
        <v>541735</v>
      </c>
      <c r="C4693" s="58" t="s">
        <v>588</v>
      </c>
      <c r="D4693" s="58" t="s">
        <v>986</v>
      </c>
    </row>
    <row r="4694" spans="1:4">
      <c r="A4694" s="58" t="s">
        <v>7327</v>
      </c>
      <c r="B4694" s="58">
        <v>530057</v>
      </c>
      <c r="C4694" s="58" t="s">
        <v>588</v>
      </c>
      <c r="D4694" s="58" t="s">
        <v>626</v>
      </c>
    </row>
    <row r="4695" spans="1:4">
      <c r="A4695" s="58" t="s">
        <v>7328</v>
      </c>
      <c r="B4695" s="58">
        <v>524576</v>
      </c>
      <c r="C4695" s="58" t="s">
        <v>588</v>
      </c>
      <c r="D4695" s="58" t="s">
        <v>636</v>
      </c>
    </row>
    <row r="4696" spans="1:4">
      <c r="A4696" s="58" t="s">
        <v>7329</v>
      </c>
      <c r="B4696" s="58">
        <v>532660</v>
      </c>
      <c r="C4696" s="58" t="s">
        <v>7330</v>
      </c>
      <c r="D4696" s="58" t="s">
        <v>626</v>
      </c>
    </row>
    <row r="4697" spans="1:4">
      <c r="A4697" s="58" t="s">
        <v>7331</v>
      </c>
      <c r="B4697" s="58">
        <v>511509</v>
      </c>
      <c r="C4697" s="58" t="s">
        <v>588</v>
      </c>
      <c r="D4697" s="58" t="s">
        <v>926</v>
      </c>
    </row>
    <row r="4698" spans="1:4">
      <c r="A4698" s="58" t="s">
        <v>7332</v>
      </c>
      <c r="B4698" s="58">
        <v>509026</v>
      </c>
      <c r="C4698" s="58" t="s">
        <v>588</v>
      </c>
      <c r="D4698" s="58" t="s">
        <v>693</v>
      </c>
    </row>
    <row r="4699" spans="1:4">
      <c r="A4699" s="58" t="s">
        <v>7333</v>
      </c>
      <c r="B4699" s="58">
        <v>536128</v>
      </c>
      <c r="C4699" s="58" t="s">
        <v>588</v>
      </c>
      <c r="D4699" s="58" t="s">
        <v>986</v>
      </c>
    </row>
    <row r="4700" spans="1:4">
      <c r="A4700" s="58" t="s">
        <v>7334</v>
      </c>
      <c r="B4700" s="58">
        <v>511333</v>
      </c>
      <c r="C4700" s="58" t="s">
        <v>7335</v>
      </c>
      <c r="D4700" s="58" t="s">
        <v>571</v>
      </c>
    </row>
    <row r="4701" spans="1:4">
      <c r="A4701" s="58" t="s">
        <v>7336</v>
      </c>
      <c r="B4701" s="58">
        <v>534976</v>
      </c>
      <c r="C4701" s="58" t="s">
        <v>7337</v>
      </c>
      <c r="D4701" s="58" t="s">
        <v>757</v>
      </c>
    </row>
    <row r="4702" spans="1:4">
      <c r="A4702" s="58" t="s">
        <v>7338</v>
      </c>
      <c r="B4702" s="58">
        <v>533427</v>
      </c>
      <c r="C4702" s="58" t="s">
        <v>588</v>
      </c>
      <c r="D4702" s="58" t="s">
        <v>724</v>
      </c>
    </row>
    <row r="4703" spans="1:4">
      <c r="A4703" s="58" t="s">
        <v>7339</v>
      </c>
      <c r="B4703" s="58">
        <v>539222</v>
      </c>
      <c r="C4703" s="58" t="s">
        <v>588</v>
      </c>
      <c r="D4703" s="58" t="s">
        <v>1589</v>
      </c>
    </row>
    <row r="4704" spans="1:4">
      <c r="A4704" s="58" t="s">
        <v>7340</v>
      </c>
      <c r="B4704" s="58">
        <v>532822</v>
      </c>
      <c r="C4704" s="58" t="s">
        <v>7341</v>
      </c>
      <c r="D4704" s="58" t="s">
        <v>1530</v>
      </c>
    </row>
    <row r="4705" spans="1:4">
      <c r="A4705" s="58" t="s">
        <v>7342</v>
      </c>
      <c r="B4705" s="58">
        <v>522122</v>
      </c>
      <c r="C4705" s="58" t="s">
        <v>588</v>
      </c>
      <c r="D4705" s="58" t="s">
        <v>603</v>
      </c>
    </row>
    <row r="4706" spans="1:4">
      <c r="A4706" s="58" t="s">
        <v>7343</v>
      </c>
      <c r="B4706" s="58">
        <v>522122</v>
      </c>
      <c r="C4706" s="58" t="s">
        <v>588</v>
      </c>
      <c r="D4706" s="58" t="s">
        <v>603</v>
      </c>
    </row>
    <row r="4707" spans="1:4">
      <c r="A4707" s="58" t="s">
        <v>7344</v>
      </c>
      <c r="B4707" s="58">
        <v>509038</v>
      </c>
      <c r="C4707" s="58" t="s">
        <v>588</v>
      </c>
      <c r="D4707" s="58" t="s">
        <v>605</v>
      </c>
    </row>
    <row r="4708" spans="1:4">
      <c r="A4708" s="58" t="s">
        <v>7345</v>
      </c>
      <c r="B4708" s="58">
        <v>532757</v>
      </c>
      <c r="C4708" s="58" t="s">
        <v>7346</v>
      </c>
      <c r="D4708" s="58" t="s">
        <v>631</v>
      </c>
    </row>
    <row r="4709" spans="1:4">
      <c r="A4709" s="58" t="s">
        <v>7347</v>
      </c>
      <c r="B4709" s="58">
        <v>500575</v>
      </c>
      <c r="C4709" s="58" t="s">
        <v>7348</v>
      </c>
      <c r="D4709" s="58" t="s">
        <v>957</v>
      </c>
    </row>
    <row r="4710" spans="1:4">
      <c r="A4710" s="58" t="s">
        <v>7349</v>
      </c>
      <c r="B4710" s="58">
        <v>512215</v>
      </c>
      <c r="C4710" s="58" t="s">
        <v>588</v>
      </c>
      <c r="D4710" s="58" t="s">
        <v>571</v>
      </c>
    </row>
    <row r="4711" spans="1:4">
      <c r="A4711" s="58" t="s">
        <v>7350</v>
      </c>
      <c r="B4711" s="58">
        <v>539118</v>
      </c>
      <c r="C4711" s="58" t="s">
        <v>7351</v>
      </c>
      <c r="D4711" s="58" t="s">
        <v>909</v>
      </c>
    </row>
    <row r="4712" spans="1:4">
      <c r="A4712" s="58" t="s">
        <v>7352</v>
      </c>
      <c r="B4712" s="58">
        <v>519331</v>
      </c>
      <c r="C4712" s="58" t="s">
        <v>588</v>
      </c>
      <c r="D4712" s="58" t="s">
        <v>986</v>
      </c>
    </row>
    <row r="4713" spans="1:4">
      <c r="A4713" s="58" t="s">
        <v>7353</v>
      </c>
      <c r="B4713" s="58">
        <v>509966</v>
      </c>
      <c r="C4713" s="58" t="s">
        <v>7354</v>
      </c>
      <c r="D4713" s="58" t="s">
        <v>2756</v>
      </c>
    </row>
    <row r="4714" spans="1:4">
      <c r="A4714" s="58" t="s">
        <v>7355</v>
      </c>
      <c r="B4714" s="58">
        <v>532893</v>
      </c>
      <c r="C4714" s="58" t="s">
        <v>588</v>
      </c>
      <c r="D4714" s="58" t="s">
        <v>603</v>
      </c>
    </row>
    <row r="4715" spans="1:4">
      <c r="A4715" s="58" t="s">
        <v>7356</v>
      </c>
      <c r="B4715" s="58">
        <v>517399</v>
      </c>
      <c r="C4715" s="58" t="s">
        <v>7357</v>
      </c>
      <c r="D4715" s="58" t="s">
        <v>957</v>
      </c>
    </row>
    <row r="4716" spans="1:4">
      <c r="A4716" s="58" t="s">
        <v>7358</v>
      </c>
      <c r="B4716" s="58">
        <v>506142</v>
      </c>
      <c r="C4716" s="58" t="s">
        <v>588</v>
      </c>
      <c r="D4716" s="58" t="s">
        <v>571</v>
      </c>
    </row>
    <row r="4717" spans="1:4">
      <c r="A4717" s="58" t="s">
        <v>7359</v>
      </c>
      <c r="B4717" s="58">
        <v>501391</v>
      </c>
      <c r="C4717" s="58" t="s">
        <v>588</v>
      </c>
      <c r="D4717" s="58" t="s">
        <v>610</v>
      </c>
    </row>
    <row r="4718" spans="1:4">
      <c r="A4718" s="58" t="s">
        <v>7360</v>
      </c>
      <c r="B4718" s="58">
        <v>504220</v>
      </c>
      <c r="C4718" s="58" t="s">
        <v>588</v>
      </c>
      <c r="D4718" s="58" t="s">
        <v>596</v>
      </c>
    </row>
    <row r="4719" spans="1:4">
      <c r="A4719" s="58" t="s">
        <v>7361</v>
      </c>
      <c r="B4719" s="58" t="s">
        <v>588</v>
      </c>
      <c r="C4719" s="58" t="s">
        <v>7362</v>
      </c>
      <c r="D4719" s="58" t="s">
        <v>679</v>
      </c>
    </row>
    <row r="4720" spans="1:4">
      <c r="A4720" s="58" t="s">
        <v>7363</v>
      </c>
      <c r="B4720" s="58">
        <v>504220</v>
      </c>
      <c r="C4720" s="58" t="s">
        <v>588</v>
      </c>
      <c r="D4720" s="58" t="s">
        <v>596</v>
      </c>
    </row>
    <row r="4721" spans="1:4">
      <c r="A4721" s="58" t="s">
        <v>7364</v>
      </c>
      <c r="B4721" s="58">
        <v>505583</v>
      </c>
      <c r="C4721" s="58" t="s">
        <v>588</v>
      </c>
      <c r="D4721" s="58" t="s">
        <v>674</v>
      </c>
    </row>
    <row r="4722" spans="1:4">
      <c r="A4722" s="58" t="s">
        <v>7365</v>
      </c>
      <c r="B4722" s="58">
        <v>541445</v>
      </c>
      <c r="C4722" s="58" t="s">
        <v>588</v>
      </c>
      <c r="D4722" s="58" t="s">
        <v>886</v>
      </c>
    </row>
    <row r="4723" spans="1:4">
      <c r="A4723" s="58" t="s">
        <v>7366</v>
      </c>
      <c r="B4723" s="58">
        <v>533023</v>
      </c>
      <c r="C4723" s="58" t="s">
        <v>7367</v>
      </c>
      <c r="D4723" s="58" t="s">
        <v>943</v>
      </c>
    </row>
    <row r="4724" spans="1:4">
      <c r="A4724" s="58" t="s">
        <v>7368</v>
      </c>
      <c r="B4724" s="58">
        <v>533023</v>
      </c>
      <c r="C4724" s="58" t="s">
        <v>7369</v>
      </c>
      <c r="D4724" s="58" t="s">
        <v>943</v>
      </c>
    </row>
    <row r="4725" spans="1:4">
      <c r="A4725" s="58" t="s">
        <v>7370</v>
      </c>
      <c r="B4725" s="58">
        <v>503675</v>
      </c>
      <c r="C4725" s="58" t="s">
        <v>588</v>
      </c>
      <c r="D4725" s="58" t="s">
        <v>1009</v>
      </c>
    </row>
    <row r="4726" spans="1:4">
      <c r="A4726" s="58" t="s">
        <v>7371</v>
      </c>
      <c r="B4726" s="58">
        <v>501370</v>
      </c>
      <c r="C4726" s="58" t="s">
        <v>588</v>
      </c>
      <c r="D4726" s="58" t="s">
        <v>672</v>
      </c>
    </row>
    <row r="4727" spans="1:4">
      <c r="A4727" s="58" t="s">
        <v>7372</v>
      </c>
      <c r="B4727" s="58">
        <v>507410</v>
      </c>
      <c r="C4727" s="58" t="s">
        <v>7373</v>
      </c>
      <c r="D4727" s="58" t="s">
        <v>577</v>
      </c>
    </row>
    <row r="4728" spans="1:4">
      <c r="A4728" s="58" t="s">
        <v>7374</v>
      </c>
      <c r="B4728" s="58">
        <v>511147</v>
      </c>
      <c r="C4728" s="58" t="s">
        <v>588</v>
      </c>
      <c r="D4728" s="58" t="s">
        <v>605</v>
      </c>
    </row>
    <row r="4729" spans="1:4">
      <c r="A4729" s="58" t="s">
        <v>7375</v>
      </c>
      <c r="B4729" s="58">
        <v>532053</v>
      </c>
      <c r="C4729" s="58" t="s">
        <v>588</v>
      </c>
      <c r="D4729" s="58" t="s">
        <v>571</v>
      </c>
    </row>
    <row r="4730" spans="1:4">
      <c r="A4730" s="58" t="s">
        <v>7376</v>
      </c>
      <c r="B4730" s="58">
        <v>524212</v>
      </c>
      <c r="C4730" s="58" t="s">
        <v>7377</v>
      </c>
      <c r="D4730" s="58" t="s">
        <v>626</v>
      </c>
    </row>
    <row r="4731" spans="1:4">
      <c r="A4731" s="58" t="s">
        <v>7378</v>
      </c>
      <c r="B4731" s="58">
        <v>511690</v>
      </c>
      <c r="C4731" s="58" t="s">
        <v>588</v>
      </c>
      <c r="D4731" s="58" t="s">
        <v>605</v>
      </c>
    </row>
    <row r="4732" spans="1:4">
      <c r="A4732" s="58" t="s">
        <v>7379</v>
      </c>
      <c r="B4732" s="58">
        <v>508494</v>
      </c>
      <c r="C4732" s="58" t="s">
        <v>588</v>
      </c>
      <c r="D4732" s="58" t="s">
        <v>995</v>
      </c>
    </row>
    <row r="4733" spans="1:4">
      <c r="A4733" s="58" t="s">
        <v>7380</v>
      </c>
      <c r="B4733" s="58">
        <v>523660</v>
      </c>
      <c r="C4733" s="58" t="s">
        <v>588</v>
      </c>
      <c r="D4733" s="58" t="s">
        <v>668</v>
      </c>
    </row>
    <row r="4734" spans="1:4">
      <c r="A4734" s="58" t="s">
        <v>7381</v>
      </c>
      <c r="B4734" s="58" t="s">
        <v>588</v>
      </c>
      <c r="C4734" s="58" t="s">
        <v>7382</v>
      </c>
      <c r="D4734" s="58" t="s">
        <v>599</v>
      </c>
    </row>
    <row r="4735" spans="1:4">
      <c r="A4735" s="58" t="s">
        <v>7383</v>
      </c>
      <c r="B4735" s="58">
        <v>780016</v>
      </c>
      <c r="C4735" s="58" t="s">
        <v>588</v>
      </c>
      <c r="D4735" s="58" t="s">
        <v>679</v>
      </c>
    </row>
    <row r="4736" spans="1:4">
      <c r="A4736" s="58" t="s">
        <v>7384</v>
      </c>
      <c r="B4736" s="58">
        <v>517498</v>
      </c>
      <c r="C4736" s="58" t="s">
        <v>7385</v>
      </c>
      <c r="D4736" s="58" t="s">
        <v>886</v>
      </c>
    </row>
    <row r="4737" spans="1:4">
      <c r="A4737" s="58" t="s">
        <v>7386</v>
      </c>
      <c r="B4737" s="58">
        <v>511074</v>
      </c>
      <c r="C4737" s="58" t="s">
        <v>588</v>
      </c>
      <c r="D4737" s="58" t="s">
        <v>605</v>
      </c>
    </row>
    <row r="4738" spans="1:4">
      <c r="A4738" s="58" t="s">
        <v>7387</v>
      </c>
      <c r="B4738" s="58">
        <v>533452</v>
      </c>
      <c r="C4738" s="58" t="s">
        <v>7388</v>
      </c>
      <c r="D4738" s="58" t="s">
        <v>571</v>
      </c>
    </row>
    <row r="4739" spans="1:4">
      <c r="A4739" s="58" t="s">
        <v>7389</v>
      </c>
      <c r="B4739" s="58">
        <v>523011</v>
      </c>
      <c r="C4739" s="58" t="s">
        <v>7390</v>
      </c>
      <c r="D4739" s="58" t="s">
        <v>610</v>
      </c>
    </row>
    <row r="4740" spans="1:4">
      <c r="A4740" s="58" t="s">
        <v>7391</v>
      </c>
      <c r="B4740" s="58">
        <v>504988</v>
      </c>
      <c r="C4740" s="58" t="s">
        <v>588</v>
      </c>
      <c r="D4740" s="58" t="s">
        <v>1506</v>
      </c>
    </row>
    <row r="4741" spans="1:4">
      <c r="A4741" s="58" t="s">
        <v>7392</v>
      </c>
      <c r="B4741" s="58">
        <v>524661</v>
      </c>
      <c r="C4741" s="58" t="s">
        <v>588</v>
      </c>
      <c r="D4741" s="58" t="s">
        <v>626</v>
      </c>
    </row>
    <row r="4742" spans="1:4">
      <c r="A4742" s="58" t="s">
        <v>7393</v>
      </c>
      <c r="B4742" s="58">
        <v>532016</v>
      </c>
      <c r="C4742" s="58" t="s">
        <v>588</v>
      </c>
      <c r="D4742" s="58" t="s">
        <v>674</v>
      </c>
    </row>
    <row r="4743" spans="1:4">
      <c r="A4743" s="58" t="s">
        <v>7394</v>
      </c>
      <c r="B4743" s="58">
        <v>531211</v>
      </c>
      <c r="C4743" s="58" t="s">
        <v>588</v>
      </c>
      <c r="D4743" s="58" t="s">
        <v>571</v>
      </c>
    </row>
    <row r="4744" spans="1:4">
      <c r="A4744" s="58" t="s">
        <v>7395</v>
      </c>
      <c r="B4744" s="58">
        <v>514162</v>
      </c>
      <c r="C4744" s="58" t="s">
        <v>7396</v>
      </c>
      <c r="D4744" s="58" t="s">
        <v>603</v>
      </c>
    </row>
    <row r="4745" spans="1:4">
      <c r="A4745" s="58" t="s">
        <v>7397</v>
      </c>
      <c r="B4745" s="58">
        <v>532144</v>
      </c>
      <c r="C4745" s="58" t="s">
        <v>7398</v>
      </c>
      <c r="D4745" s="58" t="s">
        <v>986</v>
      </c>
    </row>
    <row r="4746" spans="1:4">
      <c r="A4746" s="58" t="s">
        <v>7399</v>
      </c>
      <c r="B4746" s="58">
        <v>532553</v>
      </c>
      <c r="C4746" s="58" t="s">
        <v>7400</v>
      </c>
      <c r="D4746" s="58" t="s">
        <v>986</v>
      </c>
    </row>
    <row r="4747" spans="1:4">
      <c r="A4747" s="58" t="s">
        <v>7401</v>
      </c>
      <c r="B4747" s="58">
        <v>514162</v>
      </c>
      <c r="C4747" s="58" t="s">
        <v>7396</v>
      </c>
      <c r="D4747" s="58" t="s">
        <v>603</v>
      </c>
    </row>
    <row r="4748" spans="1:4">
      <c r="A4748" s="58" t="s">
        <v>7402</v>
      </c>
      <c r="B4748" s="58">
        <v>533252</v>
      </c>
      <c r="C4748" s="58" t="s">
        <v>7403</v>
      </c>
      <c r="D4748" s="58" t="s">
        <v>571</v>
      </c>
    </row>
    <row r="4749" spans="1:4">
      <c r="A4749" s="58" t="s">
        <v>7404</v>
      </c>
      <c r="B4749" s="58">
        <v>526431</v>
      </c>
      <c r="C4749" s="58" t="s">
        <v>588</v>
      </c>
      <c r="D4749" s="58" t="s">
        <v>1014</v>
      </c>
    </row>
    <row r="4750" spans="1:4">
      <c r="A4750" s="58" t="s">
        <v>7405</v>
      </c>
      <c r="B4750" s="58">
        <v>505412</v>
      </c>
      <c r="C4750" s="58" t="s">
        <v>7406</v>
      </c>
      <c r="D4750" s="58" t="s">
        <v>596</v>
      </c>
    </row>
    <row r="4751" spans="1:4">
      <c r="A4751" s="58" t="s">
        <v>7407</v>
      </c>
      <c r="B4751" s="58">
        <v>505412</v>
      </c>
      <c r="C4751" s="58" t="s">
        <v>7406</v>
      </c>
      <c r="D4751" s="58" t="s">
        <v>596</v>
      </c>
    </row>
    <row r="4752" spans="1:4">
      <c r="A4752" s="58" t="s">
        <v>7408</v>
      </c>
      <c r="B4752" s="58">
        <v>532373</v>
      </c>
      <c r="C4752" s="58" t="s">
        <v>588</v>
      </c>
      <c r="D4752" s="58" t="s">
        <v>610</v>
      </c>
    </row>
    <row r="4753" spans="1:4">
      <c r="A4753" s="58" t="s">
        <v>7409</v>
      </c>
      <c r="B4753" s="58">
        <v>500444</v>
      </c>
      <c r="C4753" s="58" t="s">
        <v>7410</v>
      </c>
      <c r="D4753" s="58" t="s">
        <v>582</v>
      </c>
    </row>
    <row r="4754" spans="1:4">
      <c r="A4754" s="58" t="s">
        <v>7411</v>
      </c>
      <c r="B4754" s="58">
        <v>538382</v>
      </c>
      <c r="C4754" s="58" t="s">
        <v>588</v>
      </c>
      <c r="D4754" s="58" t="s">
        <v>610</v>
      </c>
    </row>
    <row r="4755" spans="1:4">
      <c r="A4755" s="58" t="s">
        <v>7412</v>
      </c>
      <c r="B4755" s="58">
        <v>504998</v>
      </c>
      <c r="C4755" s="58" t="s">
        <v>588</v>
      </c>
      <c r="D4755" s="58" t="s">
        <v>620</v>
      </c>
    </row>
    <row r="4756" spans="1:4">
      <c r="A4756" s="58" t="s">
        <v>7413</v>
      </c>
      <c r="B4756" s="58">
        <v>505533</v>
      </c>
      <c r="C4756" s="58" t="s">
        <v>588</v>
      </c>
      <c r="D4756" s="58" t="s">
        <v>1077</v>
      </c>
    </row>
    <row r="4757" spans="1:4">
      <c r="A4757" s="58" t="s">
        <v>7414</v>
      </c>
      <c r="B4757" s="58">
        <v>590073</v>
      </c>
      <c r="C4757" s="58" t="s">
        <v>7415</v>
      </c>
      <c r="D4757" s="58" t="s">
        <v>943</v>
      </c>
    </row>
    <row r="4758" spans="1:4">
      <c r="A4758" s="58" t="s">
        <v>7416</v>
      </c>
      <c r="B4758" s="58">
        <v>590073</v>
      </c>
      <c r="C4758" s="58" t="s">
        <v>7415</v>
      </c>
      <c r="D4758" s="58" t="s">
        <v>943</v>
      </c>
    </row>
    <row r="4759" spans="1:4">
      <c r="A4759" s="58" t="s">
        <v>7417</v>
      </c>
      <c r="B4759" s="58">
        <v>500238</v>
      </c>
      <c r="C4759" s="58" t="s">
        <v>7418</v>
      </c>
      <c r="D4759" s="58" t="s">
        <v>957</v>
      </c>
    </row>
    <row r="4760" spans="1:4">
      <c r="A4760" s="58" t="s">
        <v>7419</v>
      </c>
      <c r="B4760" s="58">
        <v>500238</v>
      </c>
      <c r="C4760" s="58" t="s">
        <v>7418</v>
      </c>
      <c r="D4760" s="58" t="s">
        <v>957</v>
      </c>
    </row>
    <row r="4761" spans="1:4">
      <c r="A4761" s="58" t="s">
        <v>7420</v>
      </c>
      <c r="B4761" s="58">
        <v>513713</v>
      </c>
      <c r="C4761" s="58" t="s">
        <v>588</v>
      </c>
      <c r="D4761" s="58" t="s">
        <v>702</v>
      </c>
    </row>
    <row r="4762" spans="1:4">
      <c r="A4762" s="58" t="s">
        <v>7421</v>
      </c>
      <c r="B4762" s="58">
        <v>542667</v>
      </c>
      <c r="C4762" s="58" t="s">
        <v>7422</v>
      </c>
      <c r="D4762" s="58" t="s">
        <v>954</v>
      </c>
    </row>
    <row r="4763" spans="1:4">
      <c r="A4763" s="58" t="s">
        <v>7423</v>
      </c>
      <c r="B4763" s="58">
        <v>519214</v>
      </c>
      <c r="C4763" s="58" t="s">
        <v>588</v>
      </c>
      <c r="D4763" s="58" t="s">
        <v>605</v>
      </c>
    </row>
    <row r="4764" spans="1:4">
      <c r="A4764" s="58" t="s">
        <v>7424</v>
      </c>
      <c r="B4764" s="58">
        <v>519224</v>
      </c>
      <c r="C4764" s="58" t="s">
        <v>7425</v>
      </c>
      <c r="D4764" s="58" t="s">
        <v>610</v>
      </c>
    </row>
    <row r="4765" spans="1:4">
      <c r="A4765" s="58" t="s">
        <v>7426</v>
      </c>
      <c r="B4765" s="58">
        <v>526586</v>
      </c>
      <c r="C4765" s="58" t="s">
        <v>588</v>
      </c>
      <c r="D4765" s="58" t="s">
        <v>708</v>
      </c>
    </row>
    <row r="4766" spans="1:4">
      <c r="A4766" s="58" t="s">
        <v>7427</v>
      </c>
      <c r="B4766" s="58">
        <v>522029</v>
      </c>
      <c r="C4766" s="58" t="s">
        <v>7428</v>
      </c>
      <c r="D4766" s="58" t="s">
        <v>596</v>
      </c>
    </row>
    <row r="4767" spans="1:4">
      <c r="A4767" s="58" t="s">
        <v>7429</v>
      </c>
      <c r="B4767" s="58">
        <v>512022</v>
      </c>
      <c r="C4767" s="58" t="s">
        <v>588</v>
      </c>
      <c r="D4767" s="58" t="s">
        <v>571</v>
      </c>
    </row>
    <row r="4768" spans="1:4">
      <c r="A4768" s="58" t="s">
        <v>7430</v>
      </c>
      <c r="B4768" s="58">
        <v>512022</v>
      </c>
      <c r="C4768" s="58" t="s">
        <v>588</v>
      </c>
      <c r="D4768" s="58" t="s">
        <v>571</v>
      </c>
    </row>
    <row r="4769" spans="1:4">
      <c r="A4769" s="58" t="s">
        <v>7431</v>
      </c>
      <c r="B4769" s="58">
        <v>526471</v>
      </c>
      <c r="C4769" s="58" t="s">
        <v>588</v>
      </c>
      <c r="D4769" s="58" t="s">
        <v>1219</v>
      </c>
    </row>
    <row r="4770" spans="1:4">
      <c r="A4770" s="58" t="s">
        <v>7432</v>
      </c>
      <c r="B4770" s="58">
        <v>514470</v>
      </c>
      <c r="C4770" s="58" t="s">
        <v>588</v>
      </c>
      <c r="D4770" s="58" t="s">
        <v>603</v>
      </c>
    </row>
    <row r="4771" spans="1:4">
      <c r="A4771" s="58" t="s">
        <v>7433</v>
      </c>
      <c r="B4771" s="58">
        <v>514348</v>
      </c>
      <c r="C4771" s="58" t="s">
        <v>7434</v>
      </c>
      <c r="D4771" s="58" t="s">
        <v>603</v>
      </c>
    </row>
    <row r="4772" spans="1:4">
      <c r="A4772" s="58" t="s">
        <v>7435</v>
      </c>
      <c r="B4772" s="58">
        <v>524758</v>
      </c>
      <c r="C4772" s="58" t="s">
        <v>588</v>
      </c>
      <c r="D4772" s="58" t="s">
        <v>626</v>
      </c>
    </row>
    <row r="4773" spans="1:4">
      <c r="A4773" s="58" t="s">
        <v>7436</v>
      </c>
      <c r="B4773" s="58">
        <v>538873</v>
      </c>
      <c r="C4773" s="58" t="s">
        <v>588</v>
      </c>
      <c r="D4773" s="58" t="s">
        <v>605</v>
      </c>
    </row>
    <row r="4774" spans="1:4">
      <c r="A4774" s="58" t="s">
        <v>7437</v>
      </c>
      <c r="B4774" s="58">
        <v>507685</v>
      </c>
      <c r="C4774" s="58" t="s">
        <v>7438</v>
      </c>
      <c r="D4774" s="58" t="s">
        <v>574</v>
      </c>
    </row>
    <row r="4775" spans="1:4">
      <c r="A4775" s="58" t="s">
        <v>7439</v>
      </c>
      <c r="B4775" s="58">
        <v>507817</v>
      </c>
      <c r="C4775" s="58" t="s">
        <v>588</v>
      </c>
      <c r="D4775" s="58" t="s">
        <v>603</v>
      </c>
    </row>
    <row r="4776" spans="1:4">
      <c r="A4776" s="58" t="s">
        <v>7440</v>
      </c>
      <c r="B4776" s="58">
        <v>511642</v>
      </c>
      <c r="C4776" s="58" t="s">
        <v>588</v>
      </c>
      <c r="D4776" s="58" t="s">
        <v>605</v>
      </c>
    </row>
    <row r="4777" spans="1:4">
      <c r="A4777" s="58" t="s">
        <v>7441</v>
      </c>
      <c r="B4777" s="58">
        <v>532300</v>
      </c>
      <c r="C4777" s="58" t="s">
        <v>7442</v>
      </c>
      <c r="D4777" s="58" t="s">
        <v>626</v>
      </c>
    </row>
    <row r="4778" spans="1:4">
      <c r="A4778" s="58" t="s">
        <v>7443</v>
      </c>
      <c r="B4778" s="58">
        <v>531396</v>
      </c>
      <c r="C4778" s="58" t="s">
        <v>588</v>
      </c>
      <c r="D4778" s="58" t="s">
        <v>681</v>
      </c>
    </row>
    <row r="4779" spans="1:4">
      <c r="A4779" s="58" t="s">
        <v>7444</v>
      </c>
      <c r="B4779" s="58">
        <v>538128</v>
      </c>
      <c r="C4779" s="58" t="s">
        <v>588</v>
      </c>
      <c r="D4779" s="58" t="s">
        <v>702</v>
      </c>
    </row>
    <row r="4780" spans="1:4">
      <c r="A4780" s="58" t="s">
        <v>7445</v>
      </c>
      <c r="B4780" s="58">
        <v>538268</v>
      </c>
      <c r="C4780" s="58" t="s">
        <v>7446</v>
      </c>
      <c r="D4780" s="58" t="s">
        <v>766</v>
      </c>
    </row>
    <row r="4781" spans="1:4">
      <c r="A4781" s="58" t="s">
        <v>7447</v>
      </c>
      <c r="B4781" s="58">
        <v>526959</v>
      </c>
      <c r="C4781" s="58" t="s">
        <v>588</v>
      </c>
      <c r="D4781" s="58" t="s">
        <v>789</v>
      </c>
    </row>
    <row r="4782" spans="1:4">
      <c r="A4782" s="58" t="s">
        <v>7448</v>
      </c>
      <c r="B4782" s="58">
        <v>526525</v>
      </c>
      <c r="C4782" s="58" t="s">
        <v>588</v>
      </c>
      <c r="D4782" s="58" t="s">
        <v>702</v>
      </c>
    </row>
    <row r="4783" spans="1:4">
      <c r="A4783" s="58" t="s">
        <v>7449</v>
      </c>
      <c r="B4783" s="58">
        <v>538451</v>
      </c>
      <c r="C4783" s="58" t="s">
        <v>588</v>
      </c>
      <c r="D4783" s="58" t="s">
        <v>608</v>
      </c>
    </row>
    <row r="4784" spans="1:4">
      <c r="A4784" s="58" t="s">
        <v>7450</v>
      </c>
      <c r="B4784" s="58" t="s">
        <v>588</v>
      </c>
      <c r="C4784" s="58" t="s">
        <v>7451</v>
      </c>
      <c r="D4784" s="58" t="s">
        <v>599</v>
      </c>
    </row>
    <row r="4785" spans="1:4">
      <c r="A4785" s="58" t="s">
        <v>7452</v>
      </c>
      <c r="B4785" s="58">
        <v>505872</v>
      </c>
      <c r="C4785" s="58" t="s">
        <v>588</v>
      </c>
      <c r="D4785" s="58" t="s">
        <v>596</v>
      </c>
    </row>
    <row r="4786" spans="1:4">
      <c r="A4786" s="58" t="s">
        <v>7453</v>
      </c>
      <c r="B4786" s="58">
        <v>532616</v>
      </c>
      <c r="C4786" s="58" t="s">
        <v>7454</v>
      </c>
      <c r="D4786" s="58" t="s">
        <v>918</v>
      </c>
    </row>
    <row r="4787" spans="1:4">
      <c r="A4787" s="58" t="s">
        <v>7455</v>
      </c>
      <c r="B4787" s="58">
        <v>542367</v>
      </c>
      <c r="C4787" s="58" t="s">
        <v>7456</v>
      </c>
      <c r="D4787" s="58" t="s">
        <v>5707</v>
      </c>
    </row>
    <row r="4788" spans="1:4">
      <c r="A4788" s="58" t="s">
        <v>7457</v>
      </c>
      <c r="B4788" s="58">
        <v>532788</v>
      </c>
      <c r="C4788" s="58" t="s">
        <v>7458</v>
      </c>
      <c r="D4788" s="58" t="s">
        <v>734</v>
      </c>
    </row>
    <row r="4789" spans="1:4">
      <c r="A4789" s="58" t="s">
        <v>7459</v>
      </c>
      <c r="B4789" s="58">
        <v>590013</v>
      </c>
      <c r="C4789" s="58" t="s">
        <v>7460</v>
      </c>
      <c r="D4789" s="58" t="s">
        <v>636</v>
      </c>
    </row>
    <row r="4790" spans="1:4">
      <c r="A4790" s="58" t="s">
        <v>7461</v>
      </c>
      <c r="B4790" s="58">
        <v>590013</v>
      </c>
      <c r="C4790" s="58" t="s">
        <v>7462</v>
      </c>
      <c r="D4790" s="58" t="s">
        <v>636</v>
      </c>
    </row>
    <row r="4791" spans="1:4">
      <c r="A4791" s="58" t="s">
        <v>7463</v>
      </c>
      <c r="B4791" s="58">
        <v>511012</v>
      </c>
      <c r="C4791" s="58" t="s">
        <v>588</v>
      </c>
      <c r="D4791" s="58" t="s">
        <v>608</v>
      </c>
    </row>
    <row r="4792" spans="1:4">
      <c r="A4792" s="58" t="s">
        <v>7464</v>
      </c>
      <c r="B4792" s="58">
        <v>514378</v>
      </c>
      <c r="C4792" s="58" t="s">
        <v>588</v>
      </c>
      <c r="D4792" s="58" t="s">
        <v>610</v>
      </c>
    </row>
    <row r="4793" spans="1:4">
      <c r="A4793" s="58" t="s">
        <v>7465</v>
      </c>
      <c r="B4793" s="58">
        <v>539939</v>
      </c>
      <c r="C4793" s="58" t="s">
        <v>588</v>
      </c>
      <c r="D4793" s="58" t="s">
        <v>748</v>
      </c>
    </row>
    <row r="4794" spans="1:4">
      <c r="A4794" s="58" t="s">
        <v>7466</v>
      </c>
      <c r="B4794" s="58">
        <v>511601</v>
      </c>
      <c r="C4794" s="58" t="s">
        <v>588</v>
      </c>
      <c r="D4794" s="58" t="s">
        <v>610</v>
      </c>
    </row>
    <row r="4795" spans="1:4">
      <c r="A4795" s="58" t="s">
        <v>7467</v>
      </c>
      <c r="B4795" s="58">
        <v>516030</v>
      </c>
      <c r="C4795" s="58" t="s">
        <v>588</v>
      </c>
      <c r="D4795" s="58" t="s">
        <v>582</v>
      </c>
    </row>
    <row r="4796" spans="1:4">
      <c r="A4796" s="58" t="s">
        <v>7468</v>
      </c>
      <c r="B4796" s="58">
        <v>541167</v>
      </c>
      <c r="C4796" s="58" t="s">
        <v>588</v>
      </c>
      <c r="D4796" s="58" t="s">
        <v>748</v>
      </c>
    </row>
    <row r="4797" spans="1:4">
      <c r="A4797" s="58" t="s">
        <v>7469</v>
      </c>
      <c r="B4797" s="58">
        <v>530063</v>
      </c>
      <c r="C4797" s="58" t="s">
        <v>588</v>
      </c>
      <c r="D4797" s="58" t="s">
        <v>783</v>
      </c>
    </row>
    <row r="4798" spans="1:4">
      <c r="A4798" s="58" t="s">
        <v>7470</v>
      </c>
      <c r="B4798" s="58">
        <v>532648</v>
      </c>
      <c r="C4798" s="58" t="s">
        <v>7471</v>
      </c>
      <c r="D4798" s="58" t="s">
        <v>906</v>
      </c>
    </row>
    <row r="4799" spans="1:4">
      <c r="A4799" s="58" t="s">
        <v>7472</v>
      </c>
      <c r="B4799" s="58">
        <v>531260</v>
      </c>
      <c r="C4799" s="58" t="s">
        <v>588</v>
      </c>
      <c r="D4799" s="58" t="s">
        <v>648</v>
      </c>
    </row>
    <row r="4800" spans="1:4">
      <c r="A4800" s="58" t="s">
        <v>7473</v>
      </c>
      <c r="B4800" s="58">
        <v>522209</v>
      </c>
      <c r="C4800" s="58" t="s">
        <v>588</v>
      </c>
      <c r="D4800" s="58" t="s">
        <v>571</v>
      </c>
    </row>
    <row r="4801" spans="1:4">
      <c r="A4801" s="58" t="s">
        <v>7474</v>
      </c>
      <c r="B4801" s="58">
        <v>522209</v>
      </c>
      <c r="C4801" s="58" t="s">
        <v>588</v>
      </c>
      <c r="D4801" s="58" t="s">
        <v>571</v>
      </c>
    </row>
    <row r="4802" spans="1:4">
      <c r="A4802" s="58" t="s">
        <v>7475</v>
      </c>
      <c r="B4802" s="58">
        <v>539097</v>
      </c>
      <c r="C4802" s="58" t="s">
        <v>588</v>
      </c>
      <c r="D4802" s="58" t="s">
        <v>610</v>
      </c>
    </row>
    <row r="4803" spans="1:4">
      <c r="A4803" s="58" t="s">
        <v>7476</v>
      </c>
      <c r="B4803" s="58">
        <v>530675</v>
      </c>
      <c r="C4803" s="58" t="s">
        <v>588</v>
      </c>
      <c r="D4803" s="58" t="s">
        <v>702</v>
      </c>
    </row>
    <row r="4804" spans="1:4">
      <c r="A4804" s="58" t="s">
        <v>7477</v>
      </c>
      <c r="B4804" s="58">
        <v>540550</v>
      </c>
      <c r="C4804" s="58" t="s">
        <v>588</v>
      </c>
      <c r="D4804" s="58" t="s">
        <v>748</v>
      </c>
    </row>
    <row r="4805" spans="1:4">
      <c r="A4805" s="58" t="s">
        <v>7478</v>
      </c>
      <c r="B4805" s="58">
        <v>522108</v>
      </c>
      <c r="C4805" s="58" t="s">
        <v>588</v>
      </c>
      <c r="D4805" s="58" t="s">
        <v>943</v>
      </c>
    </row>
    <row r="4806" spans="1:4">
      <c r="A4806" s="58" t="s">
        <v>7479</v>
      </c>
      <c r="B4806" s="58">
        <v>522108</v>
      </c>
      <c r="C4806" s="58" t="s">
        <v>588</v>
      </c>
      <c r="D4806" s="58" t="s">
        <v>943</v>
      </c>
    </row>
    <row r="4807" spans="1:4">
      <c r="A4807" s="58" t="s">
        <v>7480</v>
      </c>
      <c r="B4807" s="58">
        <v>536846</v>
      </c>
      <c r="C4807" s="58" t="s">
        <v>588</v>
      </c>
      <c r="D4807" s="58" t="s">
        <v>986</v>
      </c>
    </row>
    <row r="4808" spans="1:4">
      <c r="A4808" s="58" t="s">
        <v>7481</v>
      </c>
      <c r="B4808" s="58">
        <v>531663</v>
      </c>
      <c r="C4808" s="58" t="s">
        <v>7482</v>
      </c>
      <c r="D4808" s="58" t="s">
        <v>2404</v>
      </c>
    </row>
    <row r="4809" spans="1:4">
      <c r="A4809" s="58" t="s">
        <v>7483</v>
      </c>
      <c r="B4809" s="58">
        <v>505163</v>
      </c>
      <c r="C4809" s="58" t="s">
        <v>588</v>
      </c>
      <c r="D4809" s="58" t="s">
        <v>943</v>
      </c>
    </row>
    <row r="4810" spans="1:4">
      <c r="A4810" s="58" t="s">
        <v>7484</v>
      </c>
      <c r="B4810" s="58">
        <v>505163</v>
      </c>
      <c r="C4810" s="58" t="s">
        <v>588</v>
      </c>
      <c r="D4810" s="58" t="s">
        <v>943</v>
      </c>
    </row>
    <row r="4811" spans="1:4">
      <c r="A4811" s="58" t="s">
        <v>7485</v>
      </c>
      <c r="B4811" s="58">
        <v>539963</v>
      </c>
      <c r="C4811" s="58" t="s">
        <v>588</v>
      </c>
      <c r="D4811" s="58" t="s">
        <v>668</v>
      </c>
    </row>
    <row r="4812" spans="1:4">
      <c r="A4812" s="58" t="s">
        <v>7486</v>
      </c>
      <c r="B4812" s="58">
        <v>505537</v>
      </c>
      <c r="C4812" s="58" t="s">
        <v>7487</v>
      </c>
      <c r="D4812" s="58" t="s">
        <v>1325</v>
      </c>
    </row>
    <row r="4813" spans="1:4">
      <c r="A4813" s="58" t="s">
        <v>7488</v>
      </c>
      <c r="B4813" s="58">
        <v>533287</v>
      </c>
      <c r="C4813" s="58" t="s">
        <v>7489</v>
      </c>
      <c r="D4813" s="58" t="s">
        <v>693</v>
      </c>
    </row>
    <row r="4814" spans="1:4">
      <c r="A4814" s="58" t="s">
        <v>7490</v>
      </c>
      <c r="B4814" s="58">
        <v>532794</v>
      </c>
      <c r="C4814" s="58" t="s">
        <v>7491</v>
      </c>
      <c r="D4814" s="58" t="s">
        <v>1325</v>
      </c>
    </row>
    <row r="4815" spans="1:4">
      <c r="A4815" s="58" t="s">
        <v>7492</v>
      </c>
      <c r="B4815" s="58">
        <v>533339</v>
      </c>
      <c r="C4815" s="58" t="s">
        <v>7493</v>
      </c>
      <c r="D4815" s="58" t="s">
        <v>681</v>
      </c>
    </row>
    <row r="4816" spans="1:4">
      <c r="A4816" s="58" t="s">
        <v>7494</v>
      </c>
      <c r="B4816" s="58">
        <v>531845</v>
      </c>
      <c r="C4816" s="58" t="s">
        <v>7495</v>
      </c>
      <c r="D4816" s="58" t="s">
        <v>986</v>
      </c>
    </row>
    <row r="4817" spans="1:4">
      <c r="A4817" s="58" t="s">
        <v>7496</v>
      </c>
      <c r="B4817" s="58">
        <v>531845</v>
      </c>
      <c r="C4817" s="58" t="s">
        <v>7495</v>
      </c>
      <c r="D4817" s="58" t="s">
        <v>986</v>
      </c>
    </row>
    <row r="4818" spans="1:4">
      <c r="A4818" s="58" t="s">
        <v>7497</v>
      </c>
      <c r="B4818" s="58">
        <v>512553</v>
      </c>
      <c r="C4818" s="58" t="s">
        <v>7498</v>
      </c>
      <c r="D4818" s="58" t="s">
        <v>603</v>
      </c>
    </row>
    <row r="4819" spans="1:4">
      <c r="A4819" s="58" t="s">
        <v>7499</v>
      </c>
      <c r="B4819" s="58">
        <v>514266</v>
      </c>
      <c r="C4819" s="58" t="s">
        <v>588</v>
      </c>
      <c r="D4819" s="58" t="s">
        <v>603</v>
      </c>
    </row>
    <row r="4820" spans="1:4">
      <c r="A4820" s="58" t="s">
        <v>7500</v>
      </c>
      <c r="B4820" s="58">
        <v>530665</v>
      </c>
      <c r="C4820" s="58" t="s">
        <v>588</v>
      </c>
      <c r="D4820" s="58" t="s">
        <v>626</v>
      </c>
    </row>
    <row r="4821" spans="1:4">
      <c r="A4821" s="58" t="s">
        <v>7501</v>
      </c>
      <c r="B4821" s="58">
        <v>530697</v>
      </c>
      <c r="C4821" s="58" t="s">
        <v>588</v>
      </c>
      <c r="D4821" s="58" t="s">
        <v>1009</v>
      </c>
    </row>
    <row r="4822" spans="1:4">
      <c r="A4822" s="58" t="s">
        <v>7502</v>
      </c>
      <c r="B4822" s="58">
        <v>532039</v>
      </c>
      <c r="C4822" s="58" t="s">
        <v>588</v>
      </c>
      <c r="D4822" s="58" t="s">
        <v>626</v>
      </c>
    </row>
    <row r="4823" spans="1:4">
      <c r="A4823" s="58" t="s">
        <v>7503</v>
      </c>
      <c r="B4823" s="58">
        <v>504067</v>
      </c>
      <c r="C4823" s="58" t="s">
        <v>7504</v>
      </c>
      <c r="D4823" s="58" t="s">
        <v>574</v>
      </c>
    </row>
    <row r="4824" spans="1:4">
      <c r="A4824" s="58" t="s">
        <v>7505</v>
      </c>
      <c r="B4824" s="58">
        <v>531404</v>
      </c>
      <c r="C4824" s="58" t="s">
        <v>7506</v>
      </c>
      <c r="D4824" s="58" t="s">
        <v>1130</v>
      </c>
    </row>
    <row r="4825" spans="1:4">
      <c r="A4825" s="58" t="s">
        <v>7507</v>
      </c>
      <c r="B4825" s="58">
        <v>541400</v>
      </c>
      <c r="C4825" s="58" t="s">
        <v>588</v>
      </c>
      <c r="D4825" s="58" t="s">
        <v>626</v>
      </c>
    </row>
    <row r="4826" spans="1:4">
      <c r="A4826" s="58" t="s">
        <v>7508</v>
      </c>
      <c r="B4826" s="58">
        <v>521163</v>
      </c>
      <c r="C4826" s="58" t="s">
        <v>7509</v>
      </c>
      <c r="D4826" s="58" t="s">
        <v>702</v>
      </c>
    </row>
    <row r="4827" spans="1:4">
      <c r="A4827" s="58" t="s">
        <v>7510</v>
      </c>
      <c r="B4827" s="58" t="s">
        <v>588</v>
      </c>
      <c r="C4827" s="58" t="s">
        <v>7511</v>
      </c>
      <c r="D4827" s="58" t="s">
        <v>599</v>
      </c>
    </row>
    <row r="4828" spans="1:4">
      <c r="A4828" s="58" t="s">
        <v>7512</v>
      </c>
      <c r="B4828" s="58">
        <v>512587</v>
      </c>
      <c r="C4828" s="58" t="s">
        <v>7513</v>
      </c>
      <c r="D4828" s="58" t="s">
        <v>702</v>
      </c>
    </row>
    <row r="4829" spans="1:4">
      <c r="A4829" s="58" t="s">
        <v>7514</v>
      </c>
      <c r="B4829" s="58">
        <v>503641</v>
      </c>
      <c r="C4829" s="58" t="s">
        <v>7515</v>
      </c>
      <c r="D4829" s="58" t="s">
        <v>672</v>
      </c>
    </row>
    <row r="4830" spans="1:4">
      <c r="A4830" s="58" t="s">
        <v>7516</v>
      </c>
      <c r="B4830" s="58" t="s">
        <v>588</v>
      </c>
      <c r="C4830" s="58" t="s">
        <v>7517</v>
      </c>
      <c r="D4830" s="58" t="s">
        <v>599</v>
      </c>
    </row>
    <row r="4831" spans="1:4">
      <c r="A4831" s="58" t="s">
        <v>7518</v>
      </c>
      <c r="B4831" s="58">
        <v>534742</v>
      </c>
      <c r="C4831" s="58" t="s">
        <v>7519</v>
      </c>
      <c r="D4831" s="58" t="s">
        <v>1096</v>
      </c>
    </row>
    <row r="4832" spans="1:4">
      <c r="A4832" s="58" t="s">
        <v>7520</v>
      </c>
      <c r="B4832" s="58">
        <v>500780</v>
      </c>
      <c r="C4832" s="58" t="s">
        <v>7521</v>
      </c>
      <c r="D4832" s="58" t="s">
        <v>1096</v>
      </c>
    </row>
    <row r="4833" spans="1:4">
      <c r="A4833" s="58" t="s">
        <v>7522</v>
      </c>
      <c r="B4833" s="58">
        <v>531335</v>
      </c>
      <c r="C4833" s="58" t="s">
        <v>7523</v>
      </c>
      <c r="D4833" s="58" t="s">
        <v>648</v>
      </c>
    </row>
    <row r="4834" spans="1:4">
      <c r="A4834" s="58" t="s">
        <v>7524</v>
      </c>
      <c r="B4834" s="58">
        <v>532883</v>
      </c>
      <c r="C4834" s="58" t="s">
        <v>7525</v>
      </c>
      <c r="D4834" s="58" t="s">
        <v>681</v>
      </c>
    </row>
    <row r="4835" spans="1:4">
      <c r="A4835" s="58" t="s">
        <v>7526</v>
      </c>
      <c r="B4835" s="58">
        <v>500202</v>
      </c>
      <c r="C4835" s="58" t="s">
        <v>7527</v>
      </c>
      <c r="D4835" s="58" t="s">
        <v>605</v>
      </c>
    </row>
    <row r="4836" spans="1:4">
      <c r="A4836" s="58" t="s">
        <v>7528</v>
      </c>
      <c r="B4836" s="58">
        <v>500458</v>
      </c>
      <c r="C4836" s="58" t="s">
        <v>7529</v>
      </c>
      <c r="D4836" s="58" t="s">
        <v>668</v>
      </c>
    </row>
    <row r="4837" spans="1:4">
      <c r="A4837" s="58" t="s">
        <v>7530</v>
      </c>
      <c r="B4837" s="58">
        <v>501111</v>
      </c>
      <c r="C4837" s="58" t="s">
        <v>7531</v>
      </c>
      <c r="D4837" s="58" t="s">
        <v>610</v>
      </c>
    </row>
    <row r="4838" spans="1:4">
      <c r="A4838" s="58" t="s">
        <v>7532</v>
      </c>
      <c r="B4838" s="58">
        <v>501151</v>
      </c>
      <c r="C4838" s="58" t="s">
        <v>7533</v>
      </c>
      <c r="D4838" s="58" t="s">
        <v>571</v>
      </c>
    </row>
    <row r="4839" spans="1:4">
      <c r="A4839" s="58" t="s">
        <v>7534</v>
      </c>
      <c r="B4839" s="58">
        <v>501311</v>
      </c>
      <c r="C4839" s="58" t="s">
        <v>7535</v>
      </c>
      <c r="D4839" s="58" t="s">
        <v>605</v>
      </c>
    </row>
    <row r="4840" spans="1:4">
      <c r="A4840" s="58" t="s">
        <v>7536</v>
      </c>
      <c r="B4840" s="58">
        <v>501622</v>
      </c>
      <c r="C4840" s="58" t="s">
        <v>7537</v>
      </c>
      <c r="D4840" s="58" t="s">
        <v>7538</v>
      </c>
    </row>
    <row r="4841" spans="1:4">
      <c r="A4841" s="58" t="s">
        <v>7539</v>
      </c>
      <c r="B4841" s="58">
        <v>502850</v>
      </c>
      <c r="C4841" s="58" t="s">
        <v>7540</v>
      </c>
      <c r="D4841" s="58" t="s">
        <v>603</v>
      </c>
    </row>
    <row r="4842" spans="1:4">
      <c r="A4842" s="58" t="s">
        <v>7541</v>
      </c>
      <c r="B4842" s="58">
        <v>503669</v>
      </c>
      <c r="C4842" s="58" t="s">
        <v>7542</v>
      </c>
      <c r="D4842" s="58" t="s">
        <v>7538</v>
      </c>
    </row>
    <row r="4843" spans="1:4">
      <c r="A4843" s="58" t="s">
        <v>7543</v>
      </c>
      <c r="B4843" s="58">
        <v>506975</v>
      </c>
      <c r="C4843" s="58" t="s">
        <v>7544</v>
      </c>
      <c r="D4843" s="58" t="s">
        <v>603</v>
      </c>
    </row>
    <row r="4844" spans="1:4">
      <c r="A4844" s="58" t="s">
        <v>7545</v>
      </c>
      <c r="B4844" s="58">
        <v>508924</v>
      </c>
      <c r="C4844" s="58" t="s">
        <v>7546</v>
      </c>
      <c r="D4844" s="58" t="s">
        <v>7538</v>
      </c>
    </row>
    <row r="4845" spans="1:4">
      <c r="A4845" s="58" t="s">
        <v>7547</v>
      </c>
      <c r="B4845" s="58">
        <v>511260</v>
      </c>
      <c r="C4845" s="58" t="s">
        <v>7548</v>
      </c>
      <c r="D4845" s="58" t="s">
        <v>571</v>
      </c>
    </row>
    <row r="4846" spans="1:4">
      <c r="A4846" s="58" t="s">
        <v>7549</v>
      </c>
      <c r="B4846" s="58">
        <v>511730</v>
      </c>
      <c r="C4846" s="58" t="s">
        <v>7550</v>
      </c>
      <c r="D4846" s="58" t="s">
        <v>605</v>
      </c>
    </row>
    <row r="4847" spans="1:4">
      <c r="A4847" s="58" t="s">
        <v>7551</v>
      </c>
      <c r="B4847" s="58">
        <v>512221</v>
      </c>
      <c r="C4847" s="58" t="s">
        <v>7552</v>
      </c>
      <c r="D4847" s="58" t="s">
        <v>605</v>
      </c>
    </row>
    <row r="4848" spans="1:4">
      <c r="A4848" s="58" t="s">
        <v>7553</v>
      </c>
      <c r="B4848" s="58">
        <v>512344</v>
      </c>
      <c r="C4848" s="58" t="s">
        <v>7554</v>
      </c>
      <c r="D4848" s="58" t="s">
        <v>610</v>
      </c>
    </row>
    <row r="4849" spans="1:4">
      <c r="A4849" s="58" t="s">
        <v>7555</v>
      </c>
      <c r="B4849" s="58">
        <v>512345</v>
      </c>
      <c r="C4849" s="58" t="s">
        <v>7556</v>
      </c>
      <c r="D4849" s="58" t="s">
        <v>571</v>
      </c>
    </row>
    <row r="4850" spans="1:4">
      <c r="A4850" s="58" t="s">
        <v>7557</v>
      </c>
      <c r="B4850" s="58">
        <v>512479</v>
      </c>
      <c r="C4850" s="58" t="s">
        <v>7558</v>
      </c>
      <c r="D4850" s="58" t="s">
        <v>674</v>
      </c>
    </row>
    <row r="4851" spans="1:4">
      <c r="A4851" s="58" t="s">
        <v>7559</v>
      </c>
      <c r="B4851" s="58">
        <v>513343</v>
      </c>
      <c r="C4851" s="58" t="s">
        <v>7560</v>
      </c>
      <c r="D4851" s="58" t="s">
        <v>911</v>
      </c>
    </row>
    <row r="4852" spans="1:4">
      <c r="A4852" s="58" t="s">
        <v>7561</v>
      </c>
      <c r="B4852" s="58">
        <v>513418</v>
      </c>
      <c r="C4852" s="58" t="s">
        <v>7562</v>
      </c>
      <c r="D4852" s="58" t="s">
        <v>1506</v>
      </c>
    </row>
    <row r="4853" spans="1:4">
      <c r="A4853" s="58" t="s">
        <v>7563</v>
      </c>
      <c r="B4853" s="58">
        <v>515008</v>
      </c>
      <c r="C4853" s="58" t="s">
        <v>7564</v>
      </c>
      <c r="D4853" s="58" t="s">
        <v>886</v>
      </c>
    </row>
    <row r="4854" spans="1:4">
      <c r="A4854" s="58" t="s">
        <v>7565</v>
      </c>
      <c r="B4854" s="58">
        <v>517273</v>
      </c>
      <c r="C4854" s="58" t="s">
        <v>7566</v>
      </c>
      <c r="D4854" s="58" t="s">
        <v>886</v>
      </c>
    </row>
    <row r="4855" spans="1:4">
      <c r="A4855" s="58" t="s">
        <v>7567</v>
      </c>
      <c r="B4855" s="58">
        <v>517360</v>
      </c>
      <c r="C4855" s="58" t="s">
        <v>7568</v>
      </c>
      <c r="D4855" s="58" t="s">
        <v>610</v>
      </c>
    </row>
    <row r="4856" spans="1:4">
      <c r="A4856" s="58" t="s">
        <v>7569</v>
      </c>
      <c r="B4856" s="58">
        <v>517393</v>
      </c>
      <c r="C4856" s="58" t="s">
        <v>7570</v>
      </c>
      <c r="D4856" s="58" t="s">
        <v>913</v>
      </c>
    </row>
    <row r="4857" spans="1:4">
      <c r="A4857" s="58" t="s">
        <v>7571</v>
      </c>
      <c r="B4857" s="58">
        <v>519397</v>
      </c>
      <c r="C4857" s="58" t="s">
        <v>7572</v>
      </c>
      <c r="D4857" s="58" t="s">
        <v>648</v>
      </c>
    </row>
    <row r="4858" spans="1:4">
      <c r="A4858" s="58" t="s">
        <v>7573</v>
      </c>
      <c r="B4858" s="58">
        <v>519500</v>
      </c>
      <c r="C4858" s="58" t="s">
        <v>7574</v>
      </c>
      <c r="D4858" s="58" t="s">
        <v>648</v>
      </c>
    </row>
    <row r="4859" spans="1:4">
      <c r="A4859" s="58" t="s">
        <v>7575</v>
      </c>
      <c r="B4859" s="58">
        <v>522171</v>
      </c>
      <c r="C4859" s="58" t="s">
        <v>7576</v>
      </c>
      <c r="D4859" s="58" t="s">
        <v>596</v>
      </c>
    </row>
    <row r="4860" spans="1:4">
      <c r="A4860" s="58" t="s">
        <v>7577</v>
      </c>
      <c r="B4860" s="58">
        <v>524572</v>
      </c>
      <c r="C4860" s="58" t="s">
        <v>7578</v>
      </c>
      <c r="D4860" s="58" t="s">
        <v>626</v>
      </c>
    </row>
    <row r="4861" spans="1:4">
      <c r="A4861" s="58" t="s">
        <v>7579</v>
      </c>
      <c r="B4861" s="58">
        <v>526211</v>
      </c>
      <c r="C4861" s="58" t="s">
        <v>7580</v>
      </c>
      <c r="D4861" s="58" t="s">
        <v>837</v>
      </c>
    </row>
    <row r="4862" spans="1:4">
      <c r="A4862" s="58" t="s">
        <v>7581</v>
      </c>
      <c r="B4862" s="58">
        <v>526638</v>
      </c>
      <c r="C4862" s="58" t="s">
        <v>7582</v>
      </c>
      <c r="D4862" s="58" t="s">
        <v>708</v>
      </c>
    </row>
    <row r="4863" spans="1:4">
      <c r="A4863" s="58" t="s">
        <v>7583</v>
      </c>
      <c r="B4863" s="58">
        <v>530291</v>
      </c>
      <c r="C4863" s="58" t="s">
        <v>7584</v>
      </c>
      <c r="D4863" s="58" t="s">
        <v>837</v>
      </c>
    </row>
    <row r="4864" spans="1:4">
      <c r="A4864" s="58" t="s">
        <v>7585</v>
      </c>
      <c r="B4864" s="58">
        <v>530439</v>
      </c>
      <c r="C4864" s="58" t="s">
        <v>7586</v>
      </c>
      <c r="D4864" s="58" t="s">
        <v>605</v>
      </c>
    </row>
    <row r="4865" spans="1:4">
      <c r="A4865" s="58" t="s">
        <v>7587</v>
      </c>
      <c r="B4865" s="58">
        <v>530443</v>
      </c>
      <c r="C4865" s="58" t="s">
        <v>7588</v>
      </c>
      <c r="D4865" s="58" t="s">
        <v>603</v>
      </c>
    </row>
    <row r="4866" spans="1:4">
      <c r="A4866" s="58" t="s">
        <v>7589</v>
      </c>
      <c r="B4866" s="58">
        <v>531205</v>
      </c>
      <c r="C4866" s="58" t="s">
        <v>7590</v>
      </c>
      <c r="D4866" s="58" t="s">
        <v>610</v>
      </c>
    </row>
    <row r="4867" spans="1:4">
      <c r="A4867" s="58" t="s">
        <v>7591</v>
      </c>
      <c r="B4867" s="58">
        <v>531225</v>
      </c>
      <c r="C4867" s="58" t="s">
        <v>7592</v>
      </c>
      <c r="D4867" s="58" t="s">
        <v>681</v>
      </c>
    </row>
    <row r="4868" spans="1:4">
      <c r="A4868" s="58" t="s">
        <v>7593</v>
      </c>
      <c r="B4868" s="58">
        <v>531436</v>
      </c>
      <c r="C4868" s="58" t="s">
        <v>7594</v>
      </c>
      <c r="D4868" s="58" t="s">
        <v>582</v>
      </c>
    </row>
    <row r="4869" spans="1:4">
      <c r="A4869" s="58" t="s">
        <v>7595</v>
      </c>
      <c r="B4869" s="58">
        <v>531621</v>
      </c>
      <c r="C4869" s="58" t="s">
        <v>7596</v>
      </c>
      <c r="D4869" s="58" t="s">
        <v>594</v>
      </c>
    </row>
    <row r="4870" spans="1:4">
      <c r="A4870" s="58" t="s">
        <v>7597</v>
      </c>
      <c r="B4870" s="58">
        <v>531944</v>
      </c>
      <c r="C4870" s="58" t="s">
        <v>7598</v>
      </c>
      <c r="D4870" s="58" t="s">
        <v>596</v>
      </c>
    </row>
    <row r="4871" spans="1:4">
      <c r="A4871" s="58" t="s">
        <v>7599</v>
      </c>
      <c r="B4871" s="58">
        <v>532138</v>
      </c>
      <c r="C4871" s="58" t="s">
        <v>7600</v>
      </c>
      <c r="D4871" s="58" t="s">
        <v>605</v>
      </c>
    </row>
    <row r="4872" spans="1:4">
      <c r="A4872" s="58" t="s">
        <v>7601</v>
      </c>
      <c r="B4872" s="58">
        <v>533093</v>
      </c>
      <c r="C4872" s="58" t="s">
        <v>7602</v>
      </c>
      <c r="D4872" s="58" t="s">
        <v>837</v>
      </c>
    </row>
    <row r="4873" spans="1:4">
      <c r="A4873" s="58" t="s">
        <v>7603</v>
      </c>
      <c r="B4873" s="58">
        <v>533570</v>
      </c>
      <c r="C4873" s="58" t="s">
        <v>7604</v>
      </c>
      <c r="D4873" s="58" t="s">
        <v>225</v>
      </c>
    </row>
    <row r="4874" spans="1:4">
      <c r="A4874" s="58" t="s">
        <v>7605</v>
      </c>
      <c r="B4874" s="58">
        <v>533719</v>
      </c>
      <c r="C4874" s="58" t="s">
        <v>7606</v>
      </c>
      <c r="D4874" s="58" t="s">
        <v>225</v>
      </c>
    </row>
    <row r="4875" spans="1:4">
      <c r="A4875" s="58" t="s">
        <v>7607</v>
      </c>
      <c r="B4875" s="58">
        <v>535276</v>
      </c>
      <c r="C4875" s="58" t="s">
        <v>7608</v>
      </c>
      <c r="D4875" s="58" t="s">
        <v>225</v>
      </c>
    </row>
    <row r="4876" spans="1:4">
      <c r="A4876" s="58" t="s">
        <v>7609</v>
      </c>
      <c r="B4876" s="58">
        <v>536960</v>
      </c>
      <c r="C4876" s="58" t="s">
        <v>7610</v>
      </c>
      <c r="D4876" s="58" t="s">
        <v>225</v>
      </c>
    </row>
    <row r="4877" spans="1:4">
      <c r="A4877" s="58" t="s">
        <v>7611</v>
      </c>
      <c r="B4877" s="58">
        <v>537007</v>
      </c>
      <c r="C4877" s="58" t="s">
        <v>7612</v>
      </c>
      <c r="D4877" s="58" t="s">
        <v>225</v>
      </c>
    </row>
    <row r="4878" spans="1:4">
      <c r="A4878" s="58" t="s">
        <v>7613</v>
      </c>
      <c r="B4878" s="58">
        <v>537008</v>
      </c>
      <c r="C4878" s="58" t="s">
        <v>7614</v>
      </c>
      <c r="D4878" s="58" t="s">
        <v>225</v>
      </c>
    </row>
    <row r="4879" spans="1:4">
      <c r="A4879" s="58" t="s">
        <v>7615</v>
      </c>
      <c r="B4879" s="58">
        <v>537483</v>
      </c>
      <c r="C4879" s="58" t="s">
        <v>7616</v>
      </c>
      <c r="D4879" s="58" t="s">
        <v>225</v>
      </c>
    </row>
    <row r="4880" spans="1:4">
      <c r="A4880" s="58" t="s">
        <v>7617</v>
      </c>
      <c r="B4880" s="58">
        <v>537708</v>
      </c>
      <c r="C4880" s="58" t="s">
        <v>7618</v>
      </c>
      <c r="D4880" s="58" t="s">
        <v>225</v>
      </c>
    </row>
    <row r="4881" spans="1:4">
      <c r="A4881" s="58" t="s">
        <v>7619</v>
      </c>
      <c r="B4881" s="58">
        <v>538057</v>
      </c>
      <c r="C4881" s="58" t="s">
        <v>7620</v>
      </c>
      <c r="D4881" s="58" t="s">
        <v>225</v>
      </c>
    </row>
    <row r="4882" spans="1:4">
      <c r="A4882" s="58" t="s">
        <v>7621</v>
      </c>
      <c r="B4882" s="58">
        <v>538273</v>
      </c>
      <c r="C4882" s="58" t="s">
        <v>7622</v>
      </c>
      <c r="D4882" s="58" t="s">
        <v>681</v>
      </c>
    </row>
    <row r="4883" spans="1:4">
      <c r="A4883" s="58" t="s">
        <v>7623</v>
      </c>
      <c r="B4883" s="58">
        <v>538452</v>
      </c>
      <c r="C4883" s="58" t="s">
        <v>7624</v>
      </c>
      <c r="D4883" s="58" t="s">
        <v>610</v>
      </c>
    </row>
    <row r="4884" spans="1:4">
      <c r="A4884" s="58" t="s">
        <v>7625</v>
      </c>
      <c r="B4884" s="58">
        <v>538501</v>
      </c>
      <c r="C4884" s="58" t="s">
        <v>7626</v>
      </c>
      <c r="D4884" s="58" t="s">
        <v>225</v>
      </c>
    </row>
    <row r="4885" spans="1:4">
      <c r="A4885" s="58" t="s">
        <v>7627</v>
      </c>
      <c r="B4885" s="58">
        <v>538502</v>
      </c>
      <c r="C4885" s="58" t="s">
        <v>7628</v>
      </c>
      <c r="D4885" s="58" t="s">
        <v>225</v>
      </c>
    </row>
    <row r="4886" spans="1:4">
      <c r="A4886" s="58" t="s">
        <v>7629</v>
      </c>
      <c r="B4886" s="58">
        <v>538577</v>
      </c>
      <c r="C4886" s="58" t="s">
        <v>7630</v>
      </c>
      <c r="D4886" s="58" t="s">
        <v>225</v>
      </c>
    </row>
    <row r="4887" spans="1:4">
      <c r="A4887" s="58" t="s">
        <v>7631</v>
      </c>
      <c r="B4887" s="58">
        <v>538578</v>
      </c>
      <c r="C4887" s="58" t="s">
        <v>7632</v>
      </c>
      <c r="D4887" s="58" t="s">
        <v>225</v>
      </c>
    </row>
    <row r="4888" spans="1:4">
      <c r="A4888" s="58" t="s">
        <v>7633</v>
      </c>
      <c r="B4888" s="58">
        <v>538646</v>
      </c>
      <c r="C4888" s="58" t="s">
        <v>7634</v>
      </c>
      <c r="D4888" s="58" t="s">
        <v>605</v>
      </c>
    </row>
    <row r="4889" spans="1:4">
      <c r="A4889" s="58" t="s">
        <v>7635</v>
      </c>
      <c r="B4889" s="58">
        <v>538683</v>
      </c>
      <c r="C4889" s="58" t="s">
        <v>7636</v>
      </c>
      <c r="D4889" s="58" t="s">
        <v>225</v>
      </c>
    </row>
    <row r="4890" spans="1:4">
      <c r="A4890" s="58" t="s">
        <v>7637</v>
      </c>
      <c r="B4890" s="58">
        <v>538728</v>
      </c>
      <c r="C4890" s="58" t="s">
        <v>7638</v>
      </c>
      <c r="D4890" s="58" t="s">
        <v>225</v>
      </c>
    </row>
    <row r="4891" spans="1:4">
      <c r="A4891" s="58" t="s">
        <v>7639</v>
      </c>
      <c r="B4891" s="58">
        <v>538729</v>
      </c>
      <c r="C4891" s="58" t="s">
        <v>7640</v>
      </c>
      <c r="D4891" s="58" t="s">
        <v>225</v>
      </c>
    </row>
    <row r="4892" spans="1:4">
      <c r="A4892" s="58" t="s">
        <v>7641</v>
      </c>
      <c r="B4892" s="58">
        <v>538808</v>
      </c>
      <c r="C4892" s="58" t="s">
        <v>7642</v>
      </c>
      <c r="D4892" s="58" t="s">
        <v>225</v>
      </c>
    </row>
    <row r="4893" spans="1:4">
      <c r="A4893" s="58" t="s">
        <v>7643</v>
      </c>
      <c r="B4893" s="58">
        <v>538809</v>
      </c>
      <c r="C4893" s="58" t="s">
        <v>7644</v>
      </c>
      <c r="D4893" s="58" t="s">
        <v>225</v>
      </c>
    </row>
    <row r="4894" spans="1:4">
      <c r="A4894" s="58" t="s">
        <v>7645</v>
      </c>
      <c r="B4894" s="58">
        <v>538810</v>
      </c>
      <c r="C4894" s="58" t="s">
        <v>7646</v>
      </c>
      <c r="D4894" s="58" t="s">
        <v>225</v>
      </c>
    </row>
    <row r="4895" spans="1:4">
      <c r="A4895" s="58" t="s">
        <v>7647</v>
      </c>
      <c r="B4895" s="58">
        <v>538811</v>
      </c>
      <c r="C4895" s="58" t="s">
        <v>7648</v>
      </c>
      <c r="D4895" s="58" t="s">
        <v>225</v>
      </c>
    </row>
    <row r="4896" spans="1:4">
      <c r="A4896" s="58" t="s">
        <v>7649</v>
      </c>
      <c r="B4896" s="58">
        <v>539031</v>
      </c>
      <c r="C4896" s="58" t="s">
        <v>7650</v>
      </c>
      <c r="D4896" s="58" t="s">
        <v>225</v>
      </c>
    </row>
    <row r="4897" spans="1:4">
      <c r="A4897" s="58" t="s">
        <v>7651</v>
      </c>
      <c r="B4897" s="58">
        <v>539090</v>
      </c>
      <c r="C4897" s="58" t="s">
        <v>7652</v>
      </c>
      <c r="D4897" s="58" t="s">
        <v>605</v>
      </c>
    </row>
    <row r="4898" spans="1:4">
      <c r="A4898" s="58" t="s">
        <v>7653</v>
      </c>
      <c r="B4898" s="58">
        <v>539142</v>
      </c>
      <c r="C4898" s="58" t="s">
        <v>7654</v>
      </c>
      <c r="D4898" s="58" t="s">
        <v>225</v>
      </c>
    </row>
    <row r="4899" spans="1:4">
      <c r="A4899" s="58" t="s">
        <v>7655</v>
      </c>
      <c r="B4899" s="58">
        <v>539274</v>
      </c>
      <c r="C4899" s="58" t="s">
        <v>7656</v>
      </c>
      <c r="D4899" s="58" t="s">
        <v>605</v>
      </c>
    </row>
    <row r="4900" spans="1:4">
      <c r="A4900" s="58" t="s">
        <v>7657</v>
      </c>
      <c r="B4900" s="58">
        <v>539312</v>
      </c>
      <c r="C4900" s="58" t="s">
        <v>7658</v>
      </c>
      <c r="D4900" s="58" t="s">
        <v>225</v>
      </c>
    </row>
    <row r="4901" spans="1:4">
      <c r="A4901" s="58" t="s">
        <v>7659</v>
      </c>
      <c r="B4901" s="58">
        <v>539313</v>
      </c>
      <c r="C4901" s="58" t="s">
        <v>7660</v>
      </c>
      <c r="D4901" s="58" t="s">
        <v>225</v>
      </c>
    </row>
    <row r="4902" spans="1:4">
      <c r="A4902" s="58" t="s">
        <v>7661</v>
      </c>
      <c r="B4902" s="58">
        <v>539480</v>
      </c>
      <c r="C4902" s="58" t="s">
        <v>7662</v>
      </c>
      <c r="D4902" s="58" t="s">
        <v>225</v>
      </c>
    </row>
    <row r="4903" spans="1:4">
      <c r="A4903" s="58" t="s">
        <v>7663</v>
      </c>
      <c r="B4903" s="58">
        <v>539487</v>
      </c>
      <c r="C4903" s="58" t="s">
        <v>7664</v>
      </c>
      <c r="D4903" s="58" t="s">
        <v>225</v>
      </c>
    </row>
    <row r="4904" spans="1:4">
      <c r="A4904" s="58" t="s">
        <v>7665</v>
      </c>
      <c r="B4904" s="58">
        <v>539516</v>
      </c>
      <c r="C4904" s="58" t="s">
        <v>7666</v>
      </c>
      <c r="D4904" s="58" t="s">
        <v>225</v>
      </c>
    </row>
    <row r="4905" spans="1:4">
      <c r="A4905" s="58" t="s">
        <v>7667</v>
      </c>
      <c r="B4905" s="58">
        <v>539517</v>
      </c>
      <c r="C4905" s="58" t="s">
        <v>7668</v>
      </c>
      <c r="D4905" s="58" t="s">
        <v>225</v>
      </c>
    </row>
    <row r="4906" spans="1:4">
      <c r="A4906" s="58" t="s">
        <v>7669</v>
      </c>
      <c r="B4906" s="58">
        <v>539561</v>
      </c>
      <c r="C4906" s="58" t="s">
        <v>7670</v>
      </c>
      <c r="D4906" s="58" t="s">
        <v>610</v>
      </c>
    </row>
    <row r="4907" spans="1:4">
      <c r="A4907" s="58" t="s">
        <v>7671</v>
      </c>
      <c r="B4907" s="58">
        <v>539784</v>
      </c>
      <c r="C4907" s="58" t="s">
        <v>7672</v>
      </c>
      <c r="D4907" s="58" t="s">
        <v>225</v>
      </c>
    </row>
    <row r="4908" spans="1:4">
      <c r="A4908" s="58" t="s">
        <v>7673</v>
      </c>
      <c r="B4908" s="58">
        <v>539945</v>
      </c>
      <c r="C4908" s="58" t="s">
        <v>7674</v>
      </c>
      <c r="D4908" s="58" t="s">
        <v>225</v>
      </c>
    </row>
    <row r="4909" spans="1:4">
      <c r="A4909" s="58" t="s">
        <v>7675</v>
      </c>
      <c r="B4909" s="58">
        <v>539980</v>
      </c>
      <c r="C4909" s="58" t="s">
        <v>7676</v>
      </c>
      <c r="D4909" s="58" t="s">
        <v>225</v>
      </c>
    </row>
    <row r="4910" spans="1:4">
      <c r="A4910" s="58" t="s">
        <v>7677</v>
      </c>
      <c r="B4910" s="58">
        <v>540008</v>
      </c>
      <c r="C4910" s="58" t="s">
        <v>7678</v>
      </c>
      <c r="D4910" s="58" t="s">
        <v>225</v>
      </c>
    </row>
    <row r="4911" spans="1:4">
      <c r="A4911" s="58" t="s">
        <v>7679</v>
      </c>
      <c r="B4911" s="58">
        <v>540154</v>
      </c>
      <c r="C4911" s="58" t="s">
        <v>7680</v>
      </c>
      <c r="D4911" s="58" t="s">
        <v>225</v>
      </c>
    </row>
    <row r="4912" spans="1:4">
      <c r="A4912" s="58" t="s">
        <v>7681</v>
      </c>
      <c r="B4912" s="58">
        <v>540333</v>
      </c>
      <c r="C4912" s="58" t="s">
        <v>7682</v>
      </c>
      <c r="D4912" s="58" t="s">
        <v>225</v>
      </c>
    </row>
    <row r="4913" spans="1:4">
      <c r="A4913" s="58" t="s">
        <v>7683</v>
      </c>
      <c r="B4913" s="58">
        <v>540334</v>
      </c>
      <c r="C4913" s="58" t="s">
        <v>7684</v>
      </c>
      <c r="D4913" s="58" t="s">
        <v>225</v>
      </c>
    </row>
    <row r="4914" spans="1:4">
      <c r="A4914" s="58" t="s">
        <v>7685</v>
      </c>
      <c r="B4914" s="58">
        <v>540335</v>
      </c>
      <c r="C4914" s="58" t="s">
        <v>7686</v>
      </c>
      <c r="D4914" s="58" t="s">
        <v>225</v>
      </c>
    </row>
    <row r="4915" spans="1:4">
      <c r="A4915" s="58" t="s">
        <v>7687</v>
      </c>
      <c r="B4915" s="58">
        <v>540336</v>
      </c>
      <c r="C4915" s="58" t="s">
        <v>7688</v>
      </c>
      <c r="D4915" s="58" t="s">
        <v>225</v>
      </c>
    </row>
    <row r="4916" spans="1:4">
      <c r="A4916" s="58" t="s">
        <v>7689</v>
      </c>
      <c r="B4916" s="58">
        <v>540469</v>
      </c>
      <c r="C4916" s="58" t="s">
        <v>7690</v>
      </c>
      <c r="D4916" s="58" t="s">
        <v>225</v>
      </c>
    </row>
    <row r="4917" spans="1:4">
      <c r="A4917" s="58" t="s">
        <v>7691</v>
      </c>
      <c r="B4917" s="58">
        <v>540470</v>
      </c>
      <c r="C4917" s="58" t="s">
        <v>7692</v>
      </c>
      <c r="D4917" s="58" t="s">
        <v>225</v>
      </c>
    </row>
    <row r="4918" spans="1:4">
      <c r="A4918" s="58" t="s">
        <v>7693</v>
      </c>
      <c r="B4918" s="58">
        <v>540538</v>
      </c>
      <c r="C4918" s="58" t="s">
        <v>7694</v>
      </c>
      <c r="D4918" s="58" t="s">
        <v>225</v>
      </c>
    </row>
    <row r="4919" spans="1:4">
      <c r="A4919" s="58" t="s">
        <v>7695</v>
      </c>
      <c r="B4919" s="58">
        <v>540539</v>
      </c>
      <c r="C4919" s="58" t="s">
        <v>7696</v>
      </c>
      <c r="D4919" s="58" t="s">
        <v>225</v>
      </c>
    </row>
    <row r="4920" spans="1:4">
      <c r="A4920" s="58" t="s">
        <v>7697</v>
      </c>
      <c r="B4920" s="58">
        <v>540551</v>
      </c>
      <c r="C4920" s="58" t="s">
        <v>7698</v>
      </c>
      <c r="D4920" s="58" t="s">
        <v>225</v>
      </c>
    </row>
    <row r="4921" spans="1:4">
      <c r="A4921" s="58" t="s">
        <v>7699</v>
      </c>
      <c r="B4921" s="58">
        <v>540552</v>
      </c>
      <c r="C4921" s="58" t="s">
        <v>7700</v>
      </c>
      <c r="D4921" s="58" t="s">
        <v>225</v>
      </c>
    </row>
    <row r="4922" spans="1:4">
      <c r="A4922" s="58" t="s">
        <v>7701</v>
      </c>
      <c r="B4922" s="58">
        <v>540586</v>
      </c>
      <c r="C4922" s="58" t="s">
        <v>7702</v>
      </c>
      <c r="D4922" s="58" t="s">
        <v>225</v>
      </c>
    </row>
    <row r="4923" spans="1:4">
      <c r="A4923" s="58" t="s">
        <v>7703</v>
      </c>
      <c r="B4923" s="58">
        <v>540587</v>
      </c>
      <c r="C4923" s="58" t="s">
        <v>7704</v>
      </c>
      <c r="D4923" s="58" t="s">
        <v>225</v>
      </c>
    </row>
    <row r="4924" spans="1:4">
      <c r="A4924" s="58" t="s">
        <v>7705</v>
      </c>
      <c r="B4924" s="58">
        <v>540588</v>
      </c>
      <c r="C4924" s="58" t="s">
        <v>7706</v>
      </c>
      <c r="D4924" s="58" t="s">
        <v>225</v>
      </c>
    </row>
    <row r="4925" spans="1:4">
      <c r="A4925" s="58" t="s">
        <v>7707</v>
      </c>
      <c r="B4925" s="58">
        <v>540589</v>
      </c>
      <c r="C4925" s="58" t="s">
        <v>7708</v>
      </c>
      <c r="D4925" s="58" t="s">
        <v>225</v>
      </c>
    </row>
    <row r="4926" spans="1:4">
      <c r="A4926" s="58" t="s">
        <v>7709</v>
      </c>
      <c r="B4926" s="58">
        <v>540591</v>
      </c>
      <c r="C4926" s="58" t="s">
        <v>7710</v>
      </c>
      <c r="D4926" s="58" t="s">
        <v>225</v>
      </c>
    </row>
    <row r="4927" spans="1:4">
      <c r="A4927" s="58" t="s">
        <v>7711</v>
      </c>
      <c r="B4927" s="58">
        <v>540592</v>
      </c>
      <c r="C4927" s="58" t="s">
        <v>7712</v>
      </c>
      <c r="D4927" s="58" t="s">
        <v>225</v>
      </c>
    </row>
    <row r="4928" spans="1:4">
      <c r="A4928" s="58" t="s">
        <v>7713</v>
      </c>
      <c r="B4928" s="58">
        <v>540593</v>
      </c>
      <c r="C4928" s="58" t="s">
        <v>7714</v>
      </c>
      <c r="D4928" s="58" t="s">
        <v>225</v>
      </c>
    </row>
    <row r="4929" spans="1:4">
      <c r="A4929" s="58" t="s">
        <v>7715</v>
      </c>
      <c r="B4929" s="58">
        <v>540594</v>
      </c>
      <c r="C4929" s="58" t="s">
        <v>7716</v>
      </c>
      <c r="D4929" s="58" t="s">
        <v>225</v>
      </c>
    </row>
    <row r="4930" spans="1:4">
      <c r="A4930" s="58" t="s">
        <v>7717</v>
      </c>
      <c r="B4930" s="58">
        <v>540612</v>
      </c>
      <c r="C4930" s="58" t="s">
        <v>7718</v>
      </c>
      <c r="D4930" s="58" t="s">
        <v>225</v>
      </c>
    </row>
    <row r="4931" spans="1:4">
      <c r="A4931" s="58" t="s">
        <v>7719</v>
      </c>
      <c r="B4931" s="58">
        <v>540617</v>
      </c>
      <c r="C4931" s="58" t="s">
        <v>7720</v>
      </c>
      <c r="D4931" s="58" t="s">
        <v>225</v>
      </c>
    </row>
    <row r="4932" spans="1:4">
      <c r="A4932" s="58" t="s">
        <v>7721</v>
      </c>
      <c r="B4932" s="58">
        <v>540618</v>
      </c>
      <c r="C4932" s="58" t="s">
        <v>7722</v>
      </c>
      <c r="D4932" s="58" t="s">
        <v>225</v>
      </c>
    </row>
    <row r="4933" spans="1:4">
      <c r="A4933" s="58" t="s">
        <v>7723</v>
      </c>
      <c r="B4933" s="58">
        <v>540619</v>
      </c>
      <c r="C4933" s="58" t="s">
        <v>7724</v>
      </c>
      <c r="D4933" s="58" t="s">
        <v>225</v>
      </c>
    </row>
    <row r="4934" spans="1:4">
      <c r="A4934" s="58" t="s">
        <v>7725</v>
      </c>
      <c r="B4934" s="58">
        <v>540620</v>
      </c>
      <c r="C4934" s="58" t="s">
        <v>7726</v>
      </c>
      <c r="D4934" s="58" t="s">
        <v>225</v>
      </c>
    </row>
    <row r="4935" spans="1:4">
      <c r="A4935" s="58" t="s">
        <v>7727</v>
      </c>
      <c r="B4935" s="58">
        <v>540626</v>
      </c>
      <c r="C4935" s="58" t="s">
        <v>7728</v>
      </c>
      <c r="D4935" s="58" t="s">
        <v>225</v>
      </c>
    </row>
    <row r="4936" spans="1:4">
      <c r="A4936" s="58" t="s">
        <v>7729</v>
      </c>
      <c r="B4936" s="58">
        <v>540627</v>
      </c>
      <c r="C4936" s="58" t="s">
        <v>7730</v>
      </c>
      <c r="D4936" s="58" t="s">
        <v>225</v>
      </c>
    </row>
    <row r="4937" spans="1:4">
      <c r="A4937" s="58" t="s">
        <v>7731</v>
      </c>
      <c r="B4937" s="58">
        <v>540629</v>
      </c>
      <c r="C4937" s="58" t="s">
        <v>7732</v>
      </c>
      <c r="D4937" s="58" t="s">
        <v>225</v>
      </c>
    </row>
    <row r="4938" spans="1:4">
      <c r="A4938" s="58" t="s">
        <v>7733</v>
      </c>
      <c r="B4938" s="58">
        <v>540631</v>
      </c>
      <c r="C4938" s="58" t="s">
        <v>7734</v>
      </c>
      <c r="D4938" s="58" t="s">
        <v>225</v>
      </c>
    </row>
    <row r="4939" spans="1:4">
      <c r="A4939" s="58" t="s">
        <v>7735</v>
      </c>
      <c r="B4939" s="58">
        <v>540634</v>
      </c>
      <c r="C4939" s="58" t="s">
        <v>7736</v>
      </c>
      <c r="D4939" s="58" t="s">
        <v>225</v>
      </c>
    </row>
    <row r="4940" spans="1:4">
      <c r="A4940" s="58" t="s">
        <v>7737</v>
      </c>
      <c r="B4940" s="58">
        <v>540635</v>
      </c>
      <c r="C4940" s="58" t="s">
        <v>7738</v>
      </c>
      <c r="D4940" s="58" t="s">
        <v>225</v>
      </c>
    </row>
    <row r="4941" spans="1:4">
      <c r="A4941" s="58" t="s">
        <v>7739</v>
      </c>
      <c r="B4941" s="58">
        <v>540636</v>
      </c>
      <c r="C4941" s="58" t="s">
        <v>7740</v>
      </c>
      <c r="D4941" s="58" t="s">
        <v>225</v>
      </c>
    </row>
    <row r="4942" spans="1:4">
      <c r="A4942" s="58" t="s">
        <v>7741</v>
      </c>
      <c r="B4942" s="58">
        <v>540637</v>
      </c>
      <c r="C4942" s="58" t="s">
        <v>7742</v>
      </c>
      <c r="D4942" s="58" t="s">
        <v>225</v>
      </c>
    </row>
    <row r="4943" spans="1:4">
      <c r="A4943" s="58" t="s">
        <v>7743</v>
      </c>
      <c r="B4943" s="58">
        <v>540669</v>
      </c>
      <c r="C4943" s="58" t="s">
        <v>7744</v>
      </c>
      <c r="D4943" s="58" t="s">
        <v>225</v>
      </c>
    </row>
    <row r="4944" spans="1:4">
      <c r="A4944" s="58" t="s">
        <v>7745</v>
      </c>
      <c r="B4944" s="58">
        <v>540671</v>
      </c>
      <c r="C4944" s="58" t="s">
        <v>7746</v>
      </c>
      <c r="D4944" s="58" t="s">
        <v>225</v>
      </c>
    </row>
    <row r="4945" spans="1:4">
      <c r="A4945" s="58" t="s">
        <v>7747</v>
      </c>
      <c r="B4945" s="58">
        <v>540672</v>
      </c>
      <c r="C4945" s="58" t="s">
        <v>7748</v>
      </c>
      <c r="D4945" s="58" t="s">
        <v>225</v>
      </c>
    </row>
    <row r="4946" spans="1:4">
      <c r="A4946" s="58" t="s">
        <v>7749</v>
      </c>
      <c r="B4946" s="58">
        <v>540682</v>
      </c>
      <c r="C4946" s="58" t="s">
        <v>7750</v>
      </c>
      <c r="D4946" s="58" t="s">
        <v>225</v>
      </c>
    </row>
    <row r="4947" spans="1:4">
      <c r="A4947" s="58" t="s">
        <v>7751</v>
      </c>
      <c r="B4947" s="58">
        <v>540683</v>
      </c>
      <c r="C4947" s="58" t="s">
        <v>7752</v>
      </c>
      <c r="D4947" s="58" t="s">
        <v>225</v>
      </c>
    </row>
    <row r="4948" spans="1:4">
      <c r="A4948" s="58" t="s">
        <v>7753</v>
      </c>
      <c r="B4948" s="58">
        <v>540684</v>
      </c>
      <c r="C4948" s="58" t="s">
        <v>7754</v>
      </c>
      <c r="D4948" s="58" t="s">
        <v>225</v>
      </c>
    </row>
    <row r="4949" spans="1:4">
      <c r="A4949" s="58" t="s">
        <v>7755</v>
      </c>
      <c r="B4949" s="58">
        <v>540685</v>
      </c>
      <c r="C4949" s="58" t="s">
        <v>7756</v>
      </c>
      <c r="D4949" s="58" t="s">
        <v>225</v>
      </c>
    </row>
    <row r="4950" spans="1:4">
      <c r="A4950" s="58" t="s">
        <v>7757</v>
      </c>
      <c r="B4950" s="58">
        <v>540711</v>
      </c>
      <c r="C4950" s="58" t="s">
        <v>7758</v>
      </c>
      <c r="D4950" s="58" t="s">
        <v>225</v>
      </c>
    </row>
    <row r="4951" spans="1:4">
      <c r="A4951" s="58" t="s">
        <v>7759</v>
      </c>
      <c r="B4951" s="58">
        <v>540712</v>
      </c>
      <c r="C4951" s="58" t="s">
        <v>7760</v>
      </c>
      <c r="D4951" s="58" t="s">
        <v>225</v>
      </c>
    </row>
    <row r="4952" spans="1:4">
      <c r="A4952" s="58" t="s">
        <v>7761</v>
      </c>
      <c r="B4952" s="58">
        <v>540713</v>
      </c>
      <c r="C4952" s="58" t="s">
        <v>7762</v>
      </c>
      <c r="D4952" s="58" t="s">
        <v>225</v>
      </c>
    </row>
    <row r="4953" spans="1:4">
      <c r="A4953" s="58" t="s">
        <v>7763</v>
      </c>
      <c r="B4953" s="58">
        <v>540714</v>
      </c>
      <c r="C4953" s="58" t="s">
        <v>7764</v>
      </c>
      <c r="D4953" s="58" t="s">
        <v>225</v>
      </c>
    </row>
    <row r="4954" spans="1:4">
      <c r="A4954" s="58" t="s">
        <v>7765</v>
      </c>
      <c r="B4954" s="58">
        <v>540739</v>
      </c>
      <c r="C4954" s="58" t="s">
        <v>7766</v>
      </c>
      <c r="D4954" s="58" t="s">
        <v>225</v>
      </c>
    </row>
    <row r="4955" spans="1:4">
      <c r="A4955" s="58" t="s">
        <v>7767</v>
      </c>
      <c r="B4955" s="58">
        <v>540740</v>
      </c>
      <c r="C4955" s="58" t="s">
        <v>7768</v>
      </c>
      <c r="D4955" s="58" t="s">
        <v>225</v>
      </c>
    </row>
    <row r="4956" spans="1:4">
      <c r="A4956" s="58" t="s">
        <v>7769</v>
      </c>
      <c r="B4956" s="58">
        <v>540741</v>
      </c>
      <c r="C4956" s="58" t="s">
        <v>7770</v>
      </c>
      <c r="D4956" s="58" t="s">
        <v>225</v>
      </c>
    </row>
    <row r="4957" spans="1:4">
      <c r="A4957" s="58" t="s">
        <v>7771</v>
      </c>
      <c r="B4957" s="58">
        <v>540742</v>
      </c>
      <c r="C4957" s="58" t="s">
        <v>7772</v>
      </c>
      <c r="D4957" s="58" t="s">
        <v>225</v>
      </c>
    </row>
    <row r="4958" spans="1:4">
      <c r="A4958" s="58" t="s">
        <v>7773</v>
      </c>
      <c r="B4958" s="58">
        <v>540763</v>
      </c>
      <c r="C4958" s="58" t="s">
        <v>7774</v>
      </c>
      <c r="D4958" s="58" t="s">
        <v>225</v>
      </c>
    </row>
    <row r="4959" spans="1:4">
      <c r="A4959" s="58" t="s">
        <v>7775</v>
      </c>
      <c r="B4959" s="58">
        <v>540764</v>
      </c>
      <c r="C4959" s="58" t="s">
        <v>7776</v>
      </c>
      <c r="D4959" s="58" t="s">
        <v>225</v>
      </c>
    </row>
    <row r="4960" spans="1:4">
      <c r="A4960" s="58" t="s">
        <v>7777</v>
      </c>
      <c r="B4960" s="58">
        <v>540765</v>
      </c>
      <c r="C4960" s="58" t="s">
        <v>7778</v>
      </c>
      <c r="D4960" s="58" t="s">
        <v>225</v>
      </c>
    </row>
    <row r="4961" spans="1:4">
      <c r="A4961" s="58" t="s">
        <v>7779</v>
      </c>
      <c r="B4961" s="58">
        <v>540766</v>
      </c>
      <c r="C4961" s="58" t="s">
        <v>7780</v>
      </c>
      <c r="D4961" s="58" t="s">
        <v>225</v>
      </c>
    </row>
    <row r="4962" spans="1:4">
      <c r="A4962" s="58" t="s">
        <v>7781</v>
      </c>
      <c r="B4962" s="58">
        <v>540778</v>
      </c>
      <c r="C4962" s="58" t="s">
        <v>7782</v>
      </c>
      <c r="D4962" s="58" t="s">
        <v>225</v>
      </c>
    </row>
    <row r="4963" spans="1:4">
      <c r="A4963" s="58" t="s">
        <v>7783</v>
      </c>
      <c r="B4963" s="58">
        <v>540779</v>
      </c>
      <c r="C4963" s="58" t="s">
        <v>7784</v>
      </c>
      <c r="D4963" s="58" t="s">
        <v>225</v>
      </c>
    </row>
    <row r="4964" spans="1:4">
      <c r="A4964" s="58" t="s">
        <v>7785</v>
      </c>
      <c r="B4964" s="58">
        <v>540780</v>
      </c>
      <c r="C4964" s="58" t="s">
        <v>7786</v>
      </c>
      <c r="D4964" s="58" t="s">
        <v>225</v>
      </c>
    </row>
    <row r="4965" spans="1:4">
      <c r="A4965" s="58" t="s">
        <v>7787</v>
      </c>
      <c r="B4965" s="58">
        <v>540781</v>
      </c>
      <c r="C4965" s="58" t="s">
        <v>7788</v>
      </c>
      <c r="D4965" s="58" t="s">
        <v>225</v>
      </c>
    </row>
    <row r="4966" spans="1:4">
      <c r="A4966" s="58" t="s">
        <v>7789</v>
      </c>
      <c r="B4966" s="58">
        <v>540787</v>
      </c>
      <c r="C4966" s="58" t="s">
        <v>7790</v>
      </c>
      <c r="D4966" s="58" t="s">
        <v>225</v>
      </c>
    </row>
    <row r="4967" spans="1:4">
      <c r="A4967" s="58" t="s">
        <v>7791</v>
      </c>
      <c r="B4967" s="58">
        <v>540791</v>
      </c>
      <c r="C4967" s="58" t="s">
        <v>7792</v>
      </c>
      <c r="D4967" s="58" t="s">
        <v>225</v>
      </c>
    </row>
    <row r="4968" spans="1:4">
      <c r="A4968" s="58" t="s">
        <v>7793</v>
      </c>
      <c r="B4968" s="58">
        <v>540792</v>
      </c>
      <c r="C4968" s="58" t="s">
        <v>7794</v>
      </c>
      <c r="D4968" s="58" t="s">
        <v>225</v>
      </c>
    </row>
    <row r="4969" spans="1:4">
      <c r="A4969" s="58" t="s">
        <v>7795</v>
      </c>
      <c r="B4969" s="58">
        <v>540793</v>
      </c>
      <c r="C4969" s="58" t="s">
        <v>7796</v>
      </c>
      <c r="D4969" s="58" t="s">
        <v>225</v>
      </c>
    </row>
    <row r="4970" spans="1:4">
      <c r="A4970" s="58" t="s">
        <v>7797</v>
      </c>
      <c r="B4970" s="58">
        <v>540794</v>
      </c>
      <c r="C4970" s="58" t="s">
        <v>7798</v>
      </c>
      <c r="D4970" s="58" t="s">
        <v>225</v>
      </c>
    </row>
    <row r="4971" spans="1:4">
      <c r="A4971" s="58" t="s">
        <v>7799</v>
      </c>
      <c r="B4971" s="58">
        <v>540799</v>
      </c>
      <c r="C4971" s="58" t="s">
        <v>7800</v>
      </c>
      <c r="D4971" s="58" t="s">
        <v>225</v>
      </c>
    </row>
    <row r="4972" spans="1:4">
      <c r="A4972" s="58" t="s">
        <v>7801</v>
      </c>
      <c r="B4972" s="58">
        <v>540800</v>
      </c>
      <c r="C4972" s="58" t="s">
        <v>7802</v>
      </c>
      <c r="D4972" s="58" t="s">
        <v>225</v>
      </c>
    </row>
    <row r="4973" spans="1:4">
      <c r="A4973" s="58" t="s">
        <v>7803</v>
      </c>
      <c r="B4973" s="58">
        <v>540801</v>
      </c>
      <c r="C4973" s="58" t="s">
        <v>7804</v>
      </c>
      <c r="D4973" s="58" t="s">
        <v>225</v>
      </c>
    </row>
    <row r="4974" spans="1:4">
      <c r="A4974" s="58" t="s">
        <v>7805</v>
      </c>
      <c r="B4974" s="58">
        <v>540802</v>
      </c>
      <c r="C4974" s="58" t="s">
        <v>7806</v>
      </c>
      <c r="D4974" s="58" t="s">
        <v>225</v>
      </c>
    </row>
    <row r="4975" spans="1:4">
      <c r="A4975" s="58" t="s">
        <v>7807</v>
      </c>
      <c r="B4975" s="58">
        <v>540825</v>
      </c>
      <c r="C4975" s="58" t="s">
        <v>7808</v>
      </c>
      <c r="D4975" s="58" t="s">
        <v>225</v>
      </c>
    </row>
    <row r="4976" spans="1:4">
      <c r="A4976" s="58" t="s">
        <v>7809</v>
      </c>
      <c r="B4976" s="58">
        <v>540826</v>
      </c>
      <c r="C4976" s="58" t="s">
        <v>7810</v>
      </c>
      <c r="D4976" s="58" t="s">
        <v>225</v>
      </c>
    </row>
    <row r="4977" spans="1:4">
      <c r="A4977" s="58" t="s">
        <v>7811</v>
      </c>
      <c r="B4977" s="58">
        <v>540827</v>
      </c>
      <c r="C4977" s="58" t="s">
        <v>7812</v>
      </c>
      <c r="D4977" s="58" t="s">
        <v>225</v>
      </c>
    </row>
    <row r="4978" spans="1:4">
      <c r="A4978" s="58" t="s">
        <v>7813</v>
      </c>
      <c r="B4978" s="58">
        <v>540828</v>
      </c>
      <c r="C4978" s="58" t="s">
        <v>7814</v>
      </c>
      <c r="D4978" s="58" t="s">
        <v>225</v>
      </c>
    </row>
    <row r="4979" spans="1:4">
      <c r="A4979" s="58" t="s">
        <v>7815</v>
      </c>
      <c r="B4979" s="58">
        <v>540861</v>
      </c>
      <c r="C4979" s="58" t="s">
        <v>7816</v>
      </c>
      <c r="D4979" s="58" t="s">
        <v>225</v>
      </c>
    </row>
    <row r="4980" spans="1:4">
      <c r="A4980" s="58" t="s">
        <v>7817</v>
      </c>
      <c r="B4980" s="58">
        <v>540862</v>
      </c>
      <c r="C4980" s="58" t="s">
        <v>7818</v>
      </c>
      <c r="D4980" s="58" t="s">
        <v>225</v>
      </c>
    </row>
    <row r="4981" spans="1:4">
      <c r="A4981" s="58" t="s">
        <v>7819</v>
      </c>
      <c r="B4981" s="58">
        <v>540863</v>
      </c>
      <c r="C4981" s="58" t="s">
        <v>7820</v>
      </c>
      <c r="D4981" s="58" t="s">
        <v>225</v>
      </c>
    </row>
    <row r="4982" spans="1:4">
      <c r="A4982" s="58" t="s">
        <v>7821</v>
      </c>
      <c r="B4982" s="58">
        <v>540864</v>
      </c>
      <c r="C4982" s="58" t="s">
        <v>7822</v>
      </c>
      <c r="D4982" s="58" t="s">
        <v>225</v>
      </c>
    </row>
    <row r="4983" spans="1:4">
      <c r="A4983" s="58" t="s">
        <v>7823</v>
      </c>
      <c r="B4983" s="58">
        <v>540896</v>
      </c>
      <c r="C4983" s="58" t="s">
        <v>7824</v>
      </c>
      <c r="D4983" s="58" t="s">
        <v>225</v>
      </c>
    </row>
    <row r="4984" spans="1:4">
      <c r="A4984" s="58" t="s">
        <v>7825</v>
      </c>
      <c r="B4984" s="58">
        <v>540897</v>
      </c>
      <c r="C4984" s="58" t="s">
        <v>7826</v>
      </c>
      <c r="D4984" s="58" t="s">
        <v>225</v>
      </c>
    </row>
    <row r="4985" spans="1:4">
      <c r="A4985" s="58" t="s">
        <v>7827</v>
      </c>
      <c r="B4985" s="58">
        <v>540898</v>
      </c>
      <c r="C4985" s="58" t="s">
        <v>7828</v>
      </c>
      <c r="D4985" s="58" t="s">
        <v>225</v>
      </c>
    </row>
    <row r="4986" spans="1:4">
      <c r="A4986" s="58" t="s">
        <v>7829</v>
      </c>
      <c r="B4986" s="58">
        <v>540899</v>
      </c>
      <c r="C4986" s="58" t="s">
        <v>7830</v>
      </c>
      <c r="D4986" s="58" t="s">
        <v>225</v>
      </c>
    </row>
    <row r="4987" spans="1:4">
      <c r="A4987" s="58" t="s">
        <v>7831</v>
      </c>
      <c r="B4987" s="58">
        <v>540947</v>
      </c>
      <c r="C4987" s="58" t="s">
        <v>7832</v>
      </c>
      <c r="D4987" s="58" t="s">
        <v>225</v>
      </c>
    </row>
    <row r="4988" spans="1:4">
      <c r="A4988" s="58" t="s">
        <v>7833</v>
      </c>
      <c r="B4988" s="58">
        <v>540949</v>
      </c>
      <c r="C4988" s="58" t="s">
        <v>7834</v>
      </c>
      <c r="D4988" s="58" t="s">
        <v>225</v>
      </c>
    </row>
    <row r="4989" spans="1:4">
      <c r="A4989" s="58" t="s">
        <v>7835</v>
      </c>
      <c r="B4989" s="58">
        <v>540950</v>
      </c>
      <c r="C4989" s="58" t="s">
        <v>7836</v>
      </c>
      <c r="D4989" s="58" t="s">
        <v>225</v>
      </c>
    </row>
    <row r="4990" spans="1:4">
      <c r="A4990" s="58" t="s">
        <v>7837</v>
      </c>
      <c r="B4990" s="58">
        <v>540951</v>
      </c>
      <c r="C4990" s="58" t="s">
        <v>7838</v>
      </c>
      <c r="D4990" s="58" t="s">
        <v>225</v>
      </c>
    </row>
    <row r="4991" spans="1:4">
      <c r="A4991" s="58" t="s">
        <v>7839</v>
      </c>
      <c r="B4991" s="58">
        <v>540981</v>
      </c>
      <c r="C4991" s="58" t="s">
        <v>7840</v>
      </c>
      <c r="D4991" s="58" t="s">
        <v>225</v>
      </c>
    </row>
    <row r="4992" spans="1:4">
      <c r="A4992" s="58" t="s">
        <v>7841</v>
      </c>
      <c r="B4992" s="58">
        <v>540982</v>
      </c>
      <c r="C4992" s="58" t="s">
        <v>7842</v>
      </c>
      <c r="D4992" s="58" t="s">
        <v>225</v>
      </c>
    </row>
    <row r="4993" spans="1:4">
      <c r="A4993" s="58" t="s">
        <v>7843</v>
      </c>
      <c r="B4993" s="58">
        <v>540983</v>
      </c>
      <c r="C4993" s="58" t="s">
        <v>7844</v>
      </c>
      <c r="D4993" s="58" t="s">
        <v>225</v>
      </c>
    </row>
    <row r="4994" spans="1:4">
      <c r="A4994" s="58" t="s">
        <v>7845</v>
      </c>
      <c r="B4994" s="58">
        <v>540984</v>
      </c>
      <c r="C4994" s="58" t="s">
        <v>7846</v>
      </c>
      <c r="D4994" s="58" t="s">
        <v>225</v>
      </c>
    </row>
    <row r="4995" spans="1:4">
      <c r="A4995" s="58" t="s">
        <v>7847</v>
      </c>
      <c r="B4995" s="58">
        <v>541068</v>
      </c>
      <c r="C4995" s="58" t="s">
        <v>7848</v>
      </c>
      <c r="D4995" s="58" t="s">
        <v>225</v>
      </c>
    </row>
    <row r="4996" spans="1:4">
      <c r="A4996" s="58" t="s">
        <v>7849</v>
      </c>
      <c r="B4996" s="58">
        <v>541069</v>
      </c>
      <c r="C4996" s="58" t="s">
        <v>7850</v>
      </c>
      <c r="D4996" s="58" t="s">
        <v>225</v>
      </c>
    </row>
    <row r="4997" spans="1:4">
      <c r="A4997" s="58" t="s">
        <v>7851</v>
      </c>
      <c r="B4997" s="58">
        <v>541070</v>
      </c>
      <c r="C4997" s="58" t="s">
        <v>7852</v>
      </c>
      <c r="D4997" s="58" t="s">
        <v>225</v>
      </c>
    </row>
    <row r="4998" spans="1:4">
      <c r="A4998" s="58" t="s">
        <v>7853</v>
      </c>
      <c r="B4998" s="58">
        <v>541071</v>
      </c>
      <c r="C4998" s="58" t="s">
        <v>7854</v>
      </c>
      <c r="D4998" s="58" t="s">
        <v>225</v>
      </c>
    </row>
    <row r="4999" spans="1:4">
      <c r="A4999" s="58" t="s">
        <v>7855</v>
      </c>
      <c r="B4999" s="58">
        <v>541084</v>
      </c>
      <c r="C4999" s="58" t="s">
        <v>7856</v>
      </c>
      <c r="D4999" s="58" t="s">
        <v>225</v>
      </c>
    </row>
    <row r="5000" spans="1:4">
      <c r="A5000" s="58" t="s">
        <v>7857</v>
      </c>
      <c r="B5000" s="58">
        <v>541085</v>
      </c>
      <c r="C5000" s="58" t="s">
        <v>7858</v>
      </c>
      <c r="D5000" s="58" t="s">
        <v>225</v>
      </c>
    </row>
    <row r="5001" spans="1:4">
      <c r="A5001" s="58" t="s">
        <v>7859</v>
      </c>
      <c r="B5001" s="58">
        <v>541086</v>
      </c>
      <c r="C5001" s="58" t="s">
        <v>7860</v>
      </c>
      <c r="D5001" s="58" t="s">
        <v>225</v>
      </c>
    </row>
    <row r="5002" spans="1:4">
      <c r="A5002" s="58" t="s">
        <v>7861</v>
      </c>
      <c r="B5002" s="58">
        <v>541087</v>
      </c>
      <c r="C5002" s="58" t="s">
        <v>7862</v>
      </c>
      <c r="D5002" s="58" t="s">
        <v>225</v>
      </c>
    </row>
    <row r="5003" spans="1:4">
      <c r="A5003" s="58" t="s">
        <v>7863</v>
      </c>
      <c r="B5003" s="58">
        <v>541092</v>
      </c>
      <c r="C5003" s="58" t="s">
        <v>7864</v>
      </c>
      <c r="D5003" s="58" t="s">
        <v>225</v>
      </c>
    </row>
    <row r="5004" spans="1:4">
      <c r="A5004" s="58" t="s">
        <v>7865</v>
      </c>
      <c r="B5004" s="58">
        <v>541093</v>
      </c>
      <c r="C5004" s="58" t="s">
        <v>7866</v>
      </c>
      <c r="D5004" s="58" t="s">
        <v>225</v>
      </c>
    </row>
    <row r="5005" spans="1:4">
      <c r="A5005" s="58" t="s">
        <v>7867</v>
      </c>
      <c r="B5005" s="58">
        <v>541094</v>
      </c>
      <c r="C5005" s="58" t="s">
        <v>7868</v>
      </c>
      <c r="D5005" s="58" t="s">
        <v>225</v>
      </c>
    </row>
    <row r="5006" spans="1:4">
      <c r="A5006" s="58" t="s">
        <v>7869</v>
      </c>
      <c r="B5006" s="58">
        <v>541095</v>
      </c>
      <c r="C5006" s="58" t="s">
        <v>7870</v>
      </c>
      <c r="D5006" s="58" t="s">
        <v>225</v>
      </c>
    </row>
    <row r="5007" spans="1:4">
      <c r="A5007" s="58" t="s">
        <v>7871</v>
      </c>
      <c r="B5007" s="58">
        <v>541252</v>
      </c>
      <c r="C5007" s="58" t="s">
        <v>7872</v>
      </c>
      <c r="D5007" s="58" t="s">
        <v>225</v>
      </c>
    </row>
    <row r="5008" spans="1:4">
      <c r="A5008" s="58" t="s">
        <v>7873</v>
      </c>
      <c r="B5008" s="58">
        <v>541253</v>
      </c>
      <c r="C5008" s="58" t="s">
        <v>7874</v>
      </c>
      <c r="D5008" s="58" t="s">
        <v>225</v>
      </c>
    </row>
    <row r="5009" spans="1:4">
      <c r="A5009" s="58" t="s">
        <v>7875</v>
      </c>
      <c r="B5009" s="58">
        <v>541254</v>
      </c>
      <c r="C5009" s="58" t="s">
        <v>7876</v>
      </c>
      <c r="D5009" s="58" t="s">
        <v>225</v>
      </c>
    </row>
    <row r="5010" spans="1:4">
      <c r="A5010" s="58" t="s">
        <v>7877</v>
      </c>
      <c r="B5010" s="58">
        <v>541255</v>
      </c>
      <c r="C5010" s="58" t="s">
        <v>7878</v>
      </c>
      <c r="D5010" s="58" t="s">
        <v>225</v>
      </c>
    </row>
    <row r="5011" spans="1:4">
      <c r="A5011" s="58" t="s">
        <v>7879</v>
      </c>
      <c r="B5011" s="58">
        <v>541300</v>
      </c>
      <c r="C5011" s="58" t="s">
        <v>7880</v>
      </c>
      <c r="D5011" s="58" t="s">
        <v>225</v>
      </c>
    </row>
    <row r="5012" spans="1:4">
      <c r="A5012" s="58" t="s">
        <v>7881</v>
      </c>
      <c r="B5012" s="58">
        <v>541309</v>
      </c>
      <c r="C5012" s="58" t="s">
        <v>7882</v>
      </c>
      <c r="D5012" s="58" t="s">
        <v>225</v>
      </c>
    </row>
    <row r="5013" spans="1:4">
      <c r="A5013" s="58" t="s">
        <v>7883</v>
      </c>
      <c r="B5013" s="58">
        <v>541310</v>
      </c>
      <c r="C5013" s="58" t="s">
        <v>7884</v>
      </c>
      <c r="D5013" s="58" t="s">
        <v>225</v>
      </c>
    </row>
    <row r="5014" spans="1:4">
      <c r="A5014" s="58" t="s">
        <v>7885</v>
      </c>
      <c r="B5014" s="58">
        <v>541311</v>
      </c>
      <c r="C5014" s="58" t="s">
        <v>7886</v>
      </c>
      <c r="D5014" s="58" t="s">
        <v>225</v>
      </c>
    </row>
    <row r="5015" spans="1:4">
      <c r="A5015" s="58" t="s">
        <v>7887</v>
      </c>
      <c r="B5015" s="58">
        <v>541312</v>
      </c>
      <c r="C5015" s="58" t="s">
        <v>7888</v>
      </c>
      <c r="D5015" s="58" t="s">
        <v>225</v>
      </c>
    </row>
    <row r="5016" spans="1:4">
      <c r="A5016" s="58" t="s">
        <v>7889</v>
      </c>
      <c r="B5016" s="58">
        <v>541313</v>
      </c>
      <c r="C5016" s="58" t="s">
        <v>7890</v>
      </c>
      <c r="D5016" s="58" t="s">
        <v>225</v>
      </c>
    </row>
    <row r="5017" spans="1:4">
      <c r="A5017" s="58" t="s">
        <v>7891</v>
      </c>
      <c r="B5017" s="58">
        <v>541341</v>
      </c>
      <c r="C5017" s="58" t="s">
        <v>7892</v>
      </c>
      <c r="D5017" s="58" t="s">
        <v>225</v>
      </c>
    </row>
    <row r="5018" spans="1:4">
      <c r="A5018" s="58" t="s">
        <v>7893</v>
      </c>
      <c r="B5018" s="58">
        <v>541343</v>
      </c>
      <c r="C5018" s="58" t="s">
        <v>7894</v>
      </c>
      <c r="D5018" s="58" t="s">
        <v>225</v>
      </c>
    </row>
    <row r="5019" spans="1:4">
      <c r="A5019" s="58" t="s">
        <v>7895</v>
      </c>
      <c r="B5019" s="58">
        <v>541345</v>
      </c>
      <c r="C5019" s="58" t="s">
        <v>7896</v>
      </c>
      <c r="D5019" s="58" t="s">
        <v>225</v>
      </c>
    </row>
    <row r="5020" spans="1:4">
      <c r="A5020" s="58" t="s">
        <v>7897</v>
      </c>
      <c r="B5020" s="58">
        <v>541346</v>
      </c>
      <c r="C5020" s="58" t="s">
        <v>7898</v>
      </c>
      <c r="D5020" s="58" t="s">
        <v>225</v>
      </c>
    </row>
    <row r="5021" spans="1:4">
      <c r="A5021" s="58" t="s">
        <v>7899</v>
      </c>
      <c r="B5021" s="58">
        <v>541672</v>
      </c>
      <c r="C5021" s="58" t="s">
        <v>7900</v>
      </c>
      <c r="D5021" s="58" t="s">
        <v>225</v>
      </c>
    </row>
    <row r="5022" spans="1:4">
      <c r="A5022" s="58" t="s">
        <v>7901</v>
      </c>
      <c r="B5022" s="58">
        <v>541673</v>
      </c>
      <c r="C5022" s="58" t="s">
        <v>7902</v>
      </c>
      <c r="D5022" s="58" t="s">
        <v>225</v>
      </c>
    </row>
    <row r="5023" spans="1:4">
      <c r="A5023" s="58" t="s">
        <v>7903</v>
      </c>
      <c r="B5023" s="58">
        <v>541674</v>
      </c>
      <c r="C5023" s="58" t="s">
        <v>7904</v>
      </c>
      <c r="D5023" s="58" t="s">
        <v>225</v>
      </c>
    </row>
    <row r="5024" spans="1:4">
      <c r="A5024" s="58" t="s">
        <v>7905</v>
      </c>
      <c r="B5024" s="58">
        <v>541675</v>
      </c>
      <c r="C5024" s="58" t="s">
        <v>7906</v>
      </c>
      <c r="D5024" s="58" t="s">
        <v>225</v>
      </c>
    </row>
    <row r="5025" spans="1:4">
      <c r="A5025" s="58" t="s">
        <v>7907</v>
      </c>
      <c r="B5025" s="58">
        <v>541676</v>
      </c>
      <c r="C5025" s="58" t="s">
        <v>7908</v>
      </c>
      <c r="D5025" s="58" t="s">
        <v>225</v>
      </c>
    </row>
    <row r="5026" spans="1:4">
      <c r="A5026" s="58" t="s">
        <v>7909</v>
      </c>
      <c r="B5026" s="58">
        <v>541677</v>
      </c>
      <c r="C5026" s="58" t="s">
        <v>7910</v>
      </c>
      <c r="D5026" s="58" t="s">
        <v>225</v>
      </c>
    </row>
    <row r="5027" spans="1:4">
      <c r="A5027" s="58" t="s">
        <v>7911</v>
      </c>
      <c r="B5027" s="58">
        <v>541678</v>
      </c>
      <c r="C5027" s="58" t="s">
        <v>7912</v>
      </c>
      <c r="D5027" s="58" t="s">
        <v>225</v>
      </c>
    </row>
    <row r="5028" spans="1:4">
      <c r="A5028" s="58" t="s">
        <v>7913</v>
      </c>
      <c r="B5028" s="58">
        <v>541679</v>
      </c>
      <c r="C5028" s="58" t="s">
        <v>7914</v>
      </c>
      <c r="D5028" s="58" t="s">
        <v>225</v>
      </c>
    </row>
    <row r="5029" spans="1:4">
      <c r="A5029" s="58" t="s">
        <v>7915</v>
      </c>
      <c r="B5029" s="58">
        <v>541725</v>
      </c>
      <c r="C5029" s="58" t="s">
        <v>7916</v>
      </c>
      <c r="D5029" s="58" t="s">
        <v>225</v>
      </c>
    </row>
    <row r="5030" spans="1:4">
      <c r="A5030" s="58" t="s">
        <v>7917</v>
      </c>
      <c r="B5030" s="58">
        <v>541726</v>
      </c>
      <c r="C5030" s="58" t="s">
        <v>7918</v>
      </c>
      <c r="D5030" s="58" t="s">
        <v>225</v>
      </c>
    </row>
    <row r="5031" spans="1:4">
      <c r="A5031" s="58" t="s">
        <v>7919</v>
      </c>
      <c r="B5031" s="58">
        <v>541727</v>
      </c>
      <c r="C5031" s="58" t="s">
        <v>7920</v>
      </c>
      <c r="D5031" s="58" t="s">
        <v>225</v>
      </c>
    </row>
    <row r="5032" spans="1:4">
      <c r="A5032" s="58" t="s">
        <v>7921</v>
      </c>
      <c r="B5032" s="58">
        <v>541728</v>
      </c>
      <c r="C5032" s="58" t="s">
        <v>7922</v>
      </c>
      <c r="D5032" s="58" t="s">
        <v>225</v>
      </c>
    </row>
    <row r="5033" spans="1:4">
      <c r="A5033" s="58" t="s">
        <v>7923</v>
      </c>
      <c r="B5033" s="58">
        <v>541742</v>
      </c>
      <c r="C5033" s="58" t="s">
        <v>7924</v>
      </c>
      <c r="D5033" s="58" t="s">
        <v>225</v>
      </c>
    </row>
    <row r="5034" spans="1:4">
      <c r="A5034" s="58" t="s">
        <v>7925</v>
      </c>
      <c r="B5034" s="58">
        <v>541743</v>
      </c>
      <c r="C5034" s="58" t="s">
        <v>7926</v>
      </c>
      <c r="D5034" s="58" t="s">
        <v>225</v>
      </c>
    </row>
    <row r="5035" spans="1:4">
      <c r="A5035" s="58" t="s">
        <v>7927</v>
      </c>
      <c r="B5035" s="58">
        <v>541744</v>
      </c>
      <c r="C5035" s="58" t="s">
        <v>7928</v>
      </c>
      <c r="D5035" s="58" t="s">
        <v>225</v>
      </c>
    </row>
    <row r="5036" spans="1:4">
      <c r="A5036" s="58" t="s">
        <v>7929</v>
      </c>
      <c r="B5036" s="58">
        <v>541745</v>
      </c>
      <c r="C5036" s="58" t="s">
        <v>7930</v>
      </c>
      <c r="D5036" s="58" t="s">
        <v>225</v>
      </c>
    </row>
    <row r="5037" spans="1:4">
      <c r="A5037" s="58" t="s">
        <v>7931</v>
      </c>
      <c r="B5037" s="58">
        <v>541804</v>
      </c>
      <c r="C5037" s="58" t="s">
        <v>7932</v>
      </c>
      <c r="D5037" s="58" t="s">
        <v>225</v>
      </c>
    </row>
    <row r="5038" spans="1:4">
      <c r="A5038" s="58" t="s">
        <v>7933</v>
      </c>
      <c r="B5038" s="58">
        <v>541805</v>
      </c>
      <c r="C5038" s="58" t="s">
        <v>7934</v>
      </c>
      <c r="D5038" s="58" t="s">
        <v>225</v>
      </c>
    </row>
    <row r="5039" spans="1:4">
      <c r="A5039" s="58" t="s">
        <v>7935</v>
      </c>
      <c r="B5039" s="58">
        <v>541806</v>
      </c>
      <c r="C5039" s="58" t="s">
        <v>7936</v>
      </c>
      <c r="D5039" s="58" t="s">
        <v>225</v>
      </c>
    </row>
    <row r="5040" spans="1:4">
      <c r="A5040" s="58" t="s">
        <v>7937</v>
      </c>
      <c r="B5040" s="58">
        <v>541807</v>
      </c>
      <c r="C5040" s="58" t="s">
        <v>7938</v>
      </c>
      <c r="D5040" s="58" t="s">
        <v>225</v>
      </c>
    </row>
    <row r="5041" spans="1:4">
      <c r="A5041" s="58" t="s">
        <v>7939</v>
      </c>
      <c r="B5041" s="58">
        <v>541809</v>
      </c>
      <c r="C5041" s="58" t="s">
        <v>7940</v>
      </c>
      <c r="D5041" s="58" t="s">
        <v>225</v>
      </c>
    </row>
    <row r="5042" spans="1:4">
      <c r="A5042" s="58" t="s">
        <v>7941</v>
      </c>
      <c r="B5042" s="58">
        <v>541879</v>
      </c>
      <c r="C5042" s="58" t="s">
        <v>7942</v>
      </c>
      <c r="D5042" s="58" t="s">
        <v>225</v>
      </c>
    </row>
    <row r="5043" spans="1:4">
      <c r="A5043" s="58" t="s">
        <v>7943</v>
      </c>
      <c r="B5043" s="58">
        <v>541881</v>
      </c>
      <c r="C5043" s="58" t="s">
        <v>7944</v>
      </c>
      <c r="D5043" s="58" t="s">
        <v>225</v>
      </c>
    </row>
    <row r="5044" spans="1:4">
      <c r="A5044" s="58" t="s">
        <v>7945</v>
      </c>
      <c r="B5044" s="58">
        <v>541882</v>
      </c>
      <c r="C5044" s="58" t="s">
        <v>7946</v>
      </c>
      <c r="D5044" s="58" t="s">
        <v>225</v>
      </c>
    </row>
    <row r="5045" spans="1:4">
      <c r="A5045" s="58" t="s">
        <v>7947</v>
      </c>
      <c r="B5045" s="58">
        <v>541884</v>
      </c>
      <c r="C5045" s="58" t="s">
        <v>7948</v>
      </c>
      <c r="D5045" s="58" t="s">
        <v>225</v>
      </c>
    </row>
    <row r="5046" spans="1:4">
      <c r="A5046" s="58" t="s">
        <v>7949</v>
      </c>
      <c r="B5046" s="58">
        <v>541972</v>
      </c>
      <c r="C5046" s="58" t="s">
        <v>7950</v>
      </c>
      <c r="D5046" s="58" t="s">
        <v>225</v>
      </c>
    </row>
    <row r="5047" spans="1:4">
      <c r="A5047" s="58" t="s">
        <v>7951</v>
      </c>
      <c r="B5047" s="58">
        <v>541984</v>
      </c>
      <c r="C5047" s="58" t="s">
        <v>7952</v>
      </c>
      <c r="D5047" s="58" t="s">
        <v>225</v>
      </c>
    </row>
    <row r="5048" spans="1:4">
      <c r="A5048" s="58" t="s">
        <v>7953</v>
      </c>
      <c r="B5048" s="58">
        <v>541985</v>
      </c>
      <c r="C5048" s="58" t="s">
        <v>7954</v>
      </c>
      <c r="D5048" s="58" t="s">
        <v>225</v>
      </c>
    </row>
    <row r="5049" spans="1:4">
      <c r="A5049" s="58" t="s">
        <v>7955</v>
      </c>
      <c r="B5049" s="58">
        <v>541986</v>
      </c>
      <c r="C5049" s="58" t="s">
        <v>7956</v>
      </c>
      <c r="D5049" s="58" t="s">
        <v>225</v>
      </c>
    </row>
    <row r="5050" spans="1:4">
      <c r="A5050" s="58" t="s">
        <v>7957</v>
      </c>
      <c r="B5050" s="58">
        <v>541987</v>
      </c>
      <c r="C5050" s="58" t="s">
        <v>7958</v>
      </c>
      <c r="D5050" s="58" t="s">
        <v>225</v>
      </c>
    </row>
    <row r="5051" spans="1:4">
      <c r="A5051" s="58" t="s">
        <v>7959</v>
      </c>
      <c r="B5051" s="58">
        <v>542131</v>
      </c>
      <c r="C5051" s="58" t="s">
        <v>7960</v>
      </c>
      <c r="D5051" s="58" t="s">
        <v>225</v>
      </c>
    </row>
    <row r="5052" spans="1:4">
      <c r="A5052" s="58" t="s">
        <v>7961</v>
      </c>
      <c r="B5052" s="58">
        <v>542156</v>
      </c>
      <c r="C5052" s="58" t="s">
        <v>7962</v>
      </c>
      <c r="D5052" s="58" t="s">
        <v>225</v>
      </c>
    </row>
    <row r="5053" spans="1:4">
      <c r="A5053" s="58" t="s">
        <v>7963</v>
      </c>
      <c r="B5053" s="58">
        <v>542158</v>
      </c>
      <c r="C5053" s="58" t="s">
        <v>7964</v>
      </c>
      <c r="D5053" s="58" t="s">
        <v>225</v>
      </c>
    </row>
    <row r="5054" spans="1:4">
      <c r="A5054" s="58" t="s">
        <v>7965</v>
      </c>
      <c r="B5054" s="58">
        <v>542160</v>
      </c>
      <c r="C5054" s="58" t="s">
        <v>7966</v>
      </c>
      <c r="D5054" s="58" t="s">
        <v>225</v>
      </c>
    </row>
    <row r="5055" spans="1:4">
      <c r="A5055" s="58" t="s">
        <v>7967</v>
      </c>
      <c r="B5055" s="58">
        <v>542163</v>
      </c>
      <c r="C5055" s="58" t="s">
        <v>7968</v>
      </c>
      <c r="D5055" s="58" t="s">
        <v>225</v>
      </c>
    </row>
    <row r="5056" spans="1:4">
      <c r="A5056" s="58" t="s">
        <v>7969</v>
      </c>
      <c r="B5056" s="58">
        <v>542230</v>
      </c>
      <c r="C5056" s="58" t="s">
        <v>7970</v>
      </c>
      <c r="D5056" s="58" t="s">
        <v>225</v>
      </c>
    </row>
    <row r="5057" spans="1:4">
      <c r="A5057" s="58" t="s">
        <v>7971</v>
      </c>
      <c r="B5057" s="58">
        <v>542244</v>
      </c>
      <c r="C5057" s="58" t="s">
        <v>7972</v>
      </c>
      <c r="D5057" s="58" t="s">
        <v>225</v>
      </c>
    </row>
    <row r="5058" spans="1:4">
      <c r="A5058" s="58" t="s">
        <v>7973</v>
      </c>
      <c r="B5058" s="58">
        <v>542245</v>
      </c>
      <c r="C5058" s="58" t="s">
        <v>7974</v>
      </c>
      <c r="D5058" s="58" t="s">
        <v>225</v>
      </c>
    </row>
    <row r="5059" spans="1:4">
      <c r="A5059" s="58" t="s">
        <v>7975</v>
      </c>
      <c r="B5059" s="58">
        <v>542246</v>
      </c>
      <c r="C5059" s="58" t="s">
        <v>7976</v>
      </c>
      <c r="D5059" s="58" t="s">
        <v>225</v>
      </c>
    </row>
    <row r="5060" spans="1:4">
      <c r="A5060" s="58" t="s">
        <v>7977</v>
      </c>
      <c r="B5060" s="58">
        <v>542247</v>
      </c>
      <c r="C5060" s="58" t="s">
        <v>7978</v>
      </c>
      <c r="D5060" s="58" t="s">
        <v>225</v>
      </c>
    </row>
    <row r="5061" spans="1:4">
      <c r="A5061" s="58" t="s">
        <v>7979</v>
      </c>
      <c r="B5061" s="58">
        <v>542513</v>
      </c>
      <c r="C5061" s="58" t="s">
        <v>7980</v>
      </c>
      <c r="D5061" s="58" t="s">
        <v>225</v>
      </c>
    </row>
    <row r="5062" spans="1:4">
      <c r="A5062" s="58" t="s">
        <v>7981</v>
      </c>
      <c r="B5062" s="58">
        <v>542543</v>
      </c>
      <c r="C5062" s="58" t="s">
        <v>7982</v>
      </c>
      <c r="D5062" s="58" t="s">
        <v>225</v>
      </c>
    </row>
    <row r="5063" spans="1:4">
      <c r="A5063" s="58" t="s">
        <v>7983</v>
      </c>
      <c r="B5063" s="58">
        <v>542694</v>
      </c>
      <c r="C5063" s="58" t="s">
        <v>7984</v>
      </c>
      <c r="D5063" s="58" t="s">
        <v>610</v>
      </c>
    </row>
    <row r="5064" spans="1:4">
      <c r="A5064" s="58" t="s">
        <v>7985</v>
      </c>
      <c r="B5064" s="58">
        <v>542721</v>
      </c>
      <c r="C5064" s="58" t="s">
        <v>7986</v>
      </c>
      <c r="D5064" s="58" t="s">
        <v>610</v>
      </c>
    </row>
    <row r="5065" spans="1:4">
      <c r="A5065" s="58" t="s">
        <v>7987</v>
      </c>
      <c r="B5065" s="58">
        <v>542724</v>
      </c>
      <c r="C5065" s="58" t="s">
        <v>7988</v>
      </c>
      <c r="D5065" s="58" t="s">
        <v>626</v>
      </c>
    </row>
    <row r="5066" spans="1:4">
      <c r="A5066" s="58" t="s">
        <v>7989</v>
      </c>
      <c r="B5066" s="58">
        <v>542725</v>
      </c>
      <c r="C5066" s="58" t="s">
        <v>7990</v>
      </c>
      <c r="D5066" s="58" t="s">
        <v>702</v>
      </c>
    </row>
    <row r="5067" spans="1:4">
      <c r="A5067" s="58" t="s">
        <v>7991</v>
      </c>
      <c r="B5067" s="58">
        <v>542726</v>
      </c>
      <c r="C5067" s="58" t="s">
        <v>7992</v>
      </c>
      <c r="D5067" s="58" t="s">
        <v>594</v>
      </c>
    </row>
    <row r="5068" spans="1:4">
      <c r="A5068" s="58" t="s">
        <v>7993</v>
      </c>
      <c r="B5068" s="58">
        <v>542727</v>
      </c>
      <c r="C5068" s="58" t="s">
        <v>7994</v>
      </c>
      <c r="D5068" s="58" t="s">
        <v>589</v>
      </c>
    </row>
    <row r="5069" spans="1:4">
      <c r="A5069" s="58" t="s">
        <v>7995</v>
      </c>
      <c r="B5069" s="58">
        <v>542728</v>
      </c>
      <c r="C5069" s="58" t="s">
        <v>7996</v>
      </c>
      <c r="D5069" s="58" t="s">
        <v>702</v>
      </c>
    </row>
    <row r="5070" spans="1:4">
      <c r="A5070" s="58" t="s">
        <v>7997</v>
      </c>
      <c r="B5070" s="58">
        <v>542729</v>
      </c>
      <c r="C5070" s="58" t="s">
        <v>7998</v>
      </c>
      <c r="D5070" s="58" t="s">
        <v>603</v>
      </c>
    </row>
    <row r="5071" spans="1:4">
      <c r="A5071" s="58" t="s">
        <v>7999</v>
      </c>
      <c r="B5071" s="58">
        <v>542730</v>
      </c>
      <c r="C5071" s="58" t="s">
        <v>8000</v>
      </c>
      <c r="D5071" s="58" t="s">
        <v>225</v>
      </c>
    </row>
    <row r="5072" spans="1:4">
      <c r="A5072" s="58" t="s">
        <v>8001</v>
      </c>
      <c r="B5072" s="58">
        <v>542747</v>
      </c>
      <c r="C5072" s="58" t="s">
        <v>8002</v>
      </c>
      <c r="D5072" s="58" t="s">
        <v>225</v>
      </c>
    </row>
    <row r="5073" spans="1:4">
      <c r="A5073" s="58" t="s">
        <v>8003</v>
      </c>
      <c r="B5073" s="58">
        <v>542752</v>
      </c>
      <c r="C5073" s="58" t="s">
        <v>8004</v>
      </c>
      <c r="D5073" s="58" t="s">
        <v>2188</v>
      </c>
    </row>
    <row r="5074" spans="1:4">
      <c r="A5074" s="58" t="s">
        <v>8005</v>
      </c>
      <c r="B5074" s="58">
        <v>542753</v>
      </c>
      <c r="C5074" s="58" t="s">
        <v>8006</v>
      </c>
      <c r="D5074" s="58" t="s">
        <v>622</v>
      </c>
    </row>
    <row r="5075" spans="1:4">
      <c r="A5075" s="58" t="s">
        <v>8007</v>
      </c>
      <c r="B5075" s="58">
        <v>542758</v>
      </c>
      <c r="C5075" s="58" t="s">
        <v>8008</v>
      </c>
      <c r="D5075" s="58" t="s">
        <v>225</v>
      </c>
    </row>
    <row r="5076" spans="1:4">
      <c r="A5076" s="58" t="s">
        <v>8009</v>
      </c>
      <c r="B5076" s="58">
        <v>542759</v>
      </c>
      <c r="C5076" s="58" t="s">
        <v>8010</v>
      </c>
      <c r="D5076" s="58" t="s">
        <v>605</v>
      </c>
    </row>
    <row r="5077" spans="1:4">
      <c r="A5077" s="58" t="s">
        <v>8011</v>
      </c>
      <c r="B5077" s="58">
        <v>542760</v>
      </c>
      <c r="C5077" s="58" t="s">
        <v>8012</v>
      </c>
      <c r="D5077" s="58" t="s">
        <v>631</v>
      </c>
    </row>
    <row r="5078" spans="1:4">
      <c r="A5078" s="58" t="s">
        <v>8013</v>
      </c>
      <c r="B5078" s="58">
        <v>542765</v>
      </c>
      <c r="C5078" s="58" t="s">
        <v>8014</v>
      </c>
      <c r="D5078" s="58" t="s">
        <v>1752</v>
      </c>
    </row>
    <row r="5079" spans="1:4">
      <c r="A5079" s="58" t="s">
        <v>8015</v>
      </c>
      <c r="B5079" s="58">
        <v>542770</v>
      </c>
      <c r="C5079" s="58" t="s">
        <v>8016</v>
      </c>
      <c r="D5079" s="58" t="s">
        <v>574</v>
      </c>
    </row>
    <row r="5080" spans="1:4">
      <c r="A5080" s="58" t="s">
        <v>8017</v>
      </c>
      <c r="B5080" s="58">
        <v>542771</v>
      </c>
      <c r="C5080" s="58" t="s">
        <v>8018</v>
      </c>
      <c r="D5080" s="58" t="s">
        <v>770</v>
      </c>
    </row>
    <row r="5081" spans="1:4">
      <c r="A5081" s="58" t="s">
        <v>8019</v>
      </c>
      <c r="B5081" s="58">
        <v>542772</v>
      </c>
      <c r="C5081" s="58" t="s">
        <v>8020</v>
      </c>
      <c r="D5081" s="58" t="s">
        <v>571</v>
      </c>
    </row>
    <row r="5082" spans="1:4">
      <c r="A5082" s="58" t="s">
        <v>8021</v>
      </c>
      <c r="B5082" s="58">
        <v>542773</v>
      </c>
      <c r="C5082" s="58" t="s">
        <v>8022</v>
      </c>
      <c r="D5082" s="58" t="s">
        <v>571</v>
      </c>
    </row>
    <row r="5083" spans="1:4">
      <c r="A5083" s="58" t="s">
        <v>8023</v>
      </c>
      <c r="B5083" s="58">
        <v>542774</v>
      </c>
      <c r="C5083" s="58" t="s">
        <v>8024</v>
      </c>
      <c r="D5083" s="58" t="s">
        <v>605</v>
      </c>
    </row>
    <row r="5084" spans="1:4">
      <c r="A5084" s="58" t="s">
        <v>8025</v>
      </c>
      <c r="B5084" s="58">
        <v>542801</v>
      </c>
      <c r="C5084" s="58" t="s">
        <v>8026</v>
      </c>
      <c r="D5084" s="58" t="s">
        <v>596</v>
      </c>
    </row>
    <row r="5085" spans="1:4">
      <c r="A5085" s="58" t="s">
        <v>8027</v>
      </c>
      <c r="B5085" s="58">
        <v>542802</v>
      </c>
      <c r="C5085" s="58" t="s">
        <v>8028</v>
      </c>
      <c r="D5085" s="58" t="s">
        <v>571</v>
      </c>
    </row>
    <row r="5086" spans="1:4">
      <c r="A5086" s="58" t="s">
        <v>8029</v>
      </c>
      <c r="B5086" s="58">
        <v>542803</v>
      </c>
      <c r="C5086" s="58" t="s">
        <v>8030</v>
      </c>
      <c r="D5086" s="58" t="s">
        <v>610</v>
      </c>
    </row>
    <row r="5087" spans="1:4">
      <c r="A5087" s="58" t="s">
        <v>8031</v>
      </c>
      <c r="B5087" s="58">
        <v>542804</v>
      </c>
      <c r="C5087" s="58" t="s">
        <v>8032</v>
      </c>
      <c r="D5087" s="58" t="s">
        <v>225</v>
      </c>
    </row>
    <row r="5088" spans="1:4">
      <c r="A5088" s="58" t="s">
        <v>8033</v>
      </c>
      <c r="B5088" s="58">
        <v>542805</v>
      </c>
      <c r="C5088" s="58" t="s">
        <v>8034</v>
      </c>
      <c r="D5088" s="58" t="s">
        <v>225</v>
      </c>
    </row>
    <row r="5089" spans="1:4">
      <c r="A5089" s="58" t="s">
        <v>8035</v>
      </c>
      <c r="B5089" s="58">
        <v>542806</v>
      </c>
      <c r="C5089" s="58" t="s">
        <v>8036</v>
      </c>
      <c r="D5089" s="58" t="s">
        <v>225</v>
      </c>
    </row>
    <row r="5090" spans="1:4">
      <c r="A5090" s="58" t="s">
        <v>8037</v>
      </c>
      <c r="B5090" s="58">
        <v>542807</v>
      </c>
      <c r="C5090" s="58" t="s">
        <v>8038</v>
      </c>
      <c r="D5090" s="58" t="s">
        <v>225</v>
      </c>
    </row>
    <row r="5091" spans="1:4">
      <c r="A5091" s="58" t="s">
        <v>8039</v>
      </c>
      <c r="B5091" s="58">
        <v>542808</v>
      </c>
      <c r="C5091" s="58" t="s">
        <v>8040</v>
      </c>
      <c r="D5091" s="58" t="s">
        <v>225</v>
      </c>
    </row>
    <row r="5092" spans="1:4">
      <c r="A5092" s="58" t="s">
        <v>8041</v>
      </c>
      <c r="B5092" s="58">
        <v>542809</v>
      </c>
      <c r="C5092" s="58" t="s">
        <v>8042</v>
      </c>
      <c r="D5092" s="58" t="s">
        <v>225</v>
      </c>
    </row>
    <row r="5093" spans="1:4">
      <c r="A5093" s="58" t="s">
        <v>8043</v>
      </c>
      <c r="B5093" s="58">
        <v>542810</v>
      </c>
      <c r="C5093" s="58" t="s">
        <v>8044</v>
      </c>
      <c r="D5093" s="58" t="s">
        <v>225</v>
      </c>
    </row>
    <row r="5094" spans="1:4">
      <c r="A5094" s="58" t="s">
        <v>8045</v>
      </c>
      <c r="B5094" s="58">
        <v>542811</v>
      </c>
      <c r="C5094" s="58" t="s">
        <v>8046</v>
      </c>
      <c r="D5094" s="58" t="s">
        <v>225</v>
      </c>
    </row>
    <row r="5095" spans="1:4">
      <c r="A5095" s="58" t="s">
        <v>8047</v>
      </c>
      <c r="B5095" s="58">
        <v>542812</v>
      </c>
      <c r="C5095" s="58" t="s">
        <v>8048</v>
      </c>
      <c r="D5095" s="58" t="s">
        <v>748</v>
      </c>
    </row>
    <row r="5096" spans="1:4">
      <c r="A5096" s="58" t="s">
        <v>8049</v>
      </c>
      <c r="B5096" s="58">
        <v>542813</v>
      </c>
      <c r="C5096" s="58" t="s">
        <v>8050</v>
      </c>
      <c r="D5096" s="58" t="s">
        <v>225</v>
      </c>
    </row>
    <row r="5097" spans="1:4">
      <c r="A5097" s="58" t="s">
        <v>8051</v>
      </c>
      <c r="B5097" s="58">
        <v>542814</v>
      </c>
      <c r="C5097" s="58" t="s">
        <v>8052</v>
      </c>
      <c r="D5097" s="58" t="s">
        <v>225</v>
      </c>
    </row>
    <row r="5098" spans="1:4">
      <c r="A5098" s="58" t="s">
        <v>8053</v>
      </c>
      <c r="B5098" s="58">
        <v>542815</v>
      </c>
      <c r="C5098" s="58" t="s">
        <v>8054</v>
      </c>
      <c r="D5098" s="58" t="s">
        <v>225</v>
      </c>
    </row>
    <row r="5099" spans="1:4">
      <c r="A5099" s="58" t="s">
        <v>8055</v>
      </c>
      <c r="B5099" s="58">
        <v>542816</v>
      </c>
      <c r="C5099" s="58" t="s">
        <v>8056</v>
      </c>
      <c r="D5099" s="58" t="s">
        <v>225</v>
      </c>
    </row>
    <row r="5100" spans="1:4">
      <c r="A5100" s="58" t="s">
        <v>8057</v>
      </c>
      <c r="B5100" s="58">
        <v>542817</v>
      </c>
      <c r="C5100" s="58" t="s">
        <v>8058</v>
      </c>
      <c r="D5100" s="58" t="s">
        <v>225</v>
      </c>
    </row>
    <row r="5101" spans="1:4">
      <c r="A5101" s="58" t="s">
        <v>8059</v>
      </c>
      <c r="B5101" s="58">
        <v>542818</v>
      </c>
      <c r="C5101" s="58" t="s">
        <v>8060</v>
      </c>
      <c r="D5101" s="58" t="s">
        <v>225</v>
      </c>
    </row>
    <row r="5102" spans="1:4">
      <c r="A5102" s="58" t="s">
        <v>8061</v>
      </c>
      <c r="B5102" s="58">
        <v>542819</v>
      </c>
      <c r="C5102" s="58" t="s">
        <v>8062</v>
      </c>
      <c r="D5102" s="58" t="s">
        <v>225</v>
      </c>
    </row>
    <row r="5103" spans="1:4">
      <c r="A5103" s="58" t="s">
        <v>8063</v>
      </c>
      <c r="B5103" s="58">
        <v>542820</v>
      </c>
      <c r="C5103" s="58" t="s">
        <v>8064</v>
      </c>
      <c r="D5103" s="58" t="s">
        <v>225</v>
      </c>
    </row>
    <row r="5104" spans="1:4">
      <c r="A5104" s="58" t="s">
        <v>8065</v>
      </c>
      <c r="B5104" s="58">
        <v>542830</v>
      </c>
      <c r="C5104" s="58" t="s">
        <v>8066</v>
      </c>
      <c r="D5104" s="58" t="s">
        <v>1589</v>
      </c>
    </row>
    <row r="5105" spans="1:4">
      <c r="A5105" s="58" t="s">
        <v>8067</v>
      </c>
      <c r="B5105" s="58">
        <v>542836</v>
      </c>
      <c r="C5105" s="58" t="s">
        <v>8068</v>
      </c>
      <c r="D5105" s="58" t="s">
        <v>225</v>
      </c>
    </row>
    <row r="5106" spans="1:4">
      <c r="A5106" s="58" t="s">
        <v>8069</v>
      </c>
      <c r="B5106" s="58">
        <v>542837</v>
      </c>
      <c r="C5106" s="58" t="s">
        <v>8070</v>
      </c>
      <c r="D5106" s="58" t="s">
        <v>225</v>
      </c>
    </row>
    <row r="5107" spans="1:4">
      <c r="A5107" s="58" t="s">
        <v>8071</v>
      </c>
      <c r="B5107" s="58">
        <v>542838</v>
      </c>
      <c r="C5107" s="58" t="s">
        <v>8072</v>
      </c>
      <c r="D5107" s="58" t="s">
        <v>225</v>
      </c>
    </row>
    <row r="5108" spans="1:4">
      <c r="A5108" s="58" t="s">
        <v>8073</v>
      </c>
      <c r="B5108" s="58">
        <v>542839</v>
      </c>
      <c r="C5108" s="58" t="s">
        <v>8074</v>
      </c>
      <c r="D5108" s="58" t="s">
        <v>225</v>
      </c>
    </row>
    <row r="5109" spans="1:4">
      <c r="A5109" s="58" t="s">
        <v>8075</v>
      </c>
      <c r="B5109" s="58">
        <v>542840</v>
      </c>
      <c r="C5109" s="58" t="s">
        <v>8076</v>
      </c>
      <c r="D5109" s="58" t="s">
        <v>225</v>
      </c>
    </row>
    <row r="5110" spans="1:4">
      <c r="A5110" s="58" t="s">
        <v>8077</v>
      </c>
      <c r="B5110" s="58">
        <v>542841</v>
      </c>
      <c r="C5110" s="58" t="s">
        <v>8078</v>
      </c>
      <c r="D5110" s="58" t="s">
        <v>225</v>
      </c>
    </row>
    <row r="5111" spans="1:4">
      <c r="A5111" s="58" t="s">
        <v>8079</v>
      </c>
      <c r="B5111" s="58">
        <v>542842</v>
      </c>
      <c r="C5111" s="58" t="s">
        <v>8080</v>
      </c>
      <c r="D5111" s="58" t="s">
        <v>225</v>
      </c>
    </row>
    <row r="5112" spans="1:4">
      <c r="A5112" s="58" t="s">
        <v>8081</v>
      </c>
      <c r="B5112" s="58">
        <v>542843</v>
      </c>
      <c r="C5112" s="58" t="s">
        <v>8082</v>
      </c>
      <c r="D5112" s="58" t="s">
        <v>225</v>
      </c>
    </row>
    <row r="5113" spans="1:4">
      <c r="A5113" s="58" t="s">
        <v>8083</v>
      </c>
      <c r="B5113" s="58">
        <v>542844</v>
      </c>
      <c r="C5113" s="58" t="s">
        <v>8084</v>
      </c>
      <c r="D5113" s="58" t="s">
        <v>225</v>
      </c>
    </row>
    <row r="5114" spans="1:4">
      <c r="A5114" s="58" t="s">
        <v>8085</v>
      </c>
      <c r="B5114" s="58">
        <v>542845</v>
      </c>
      <c r="C5114" s="58" t="s">
        <v>8086</v>
      </c>
      <c r="D5114" s="58" t="s">
        <v>225</v>
      </c>
    </row>
    <row r="5115" spans="1:4">
      <c r="A5115" s="58" t="s">
        <v>8087</v>
      </c>
      <c r="B5115" s="58">
        <v>542846</v>
      </c>
      <c r="C5115" s="58" t="s">
        <v>8088</v>
      </c>
      <c r="D5115" s="58" t="s">
        <v>225</v>
      </c>
    </row>
    <row r="5116" spans="1:4">
      <c r="A5116" s="58" t="s">
        <v>8089</v>
      </c>
      <c r="B5116" s="58">
        <v>542847</v>
      </c>
      <c r="C5116" s="58" t="s">
        <v>8090</v>
      </c>
      <c r="D5116" s="58" t="s">
        <v>225</v>
      </c>
    </row>
    <row r="5117" spans="1:4">
      <c r="A5117" s="58" t="s">
        <v>8091</v>
      </c>
      <c r="B5117" s="58">
        <v>542848</v>
      </c>
      <c r="C5117" s="58" t="s">
        <v>8092</v>
      </c>
      <c r="D5117" s="58" t="s">
        <v>225</v>
      </c>
    </row>
    <row r="5118" spans="1:4">
      <c r="A5118" s="58" t="s">
        <v>8093</v>
      </c>
      <c r="B5118" s="58">
        <v>542849</v>
      </c>
      <c r="C5118" s="58" t="s">
        <v>8094</v>
      </c>
      <c r="D5118" s="58" t="s">
        <v>225</v>
      </c>
    </row>
    <row r="5119" spans="1:4">
      <c r="A5119" s="58" t="s">
        <v>8095</v>
      </c>
      <c r="B5119" s="58">
        <v>542850</v>
      </c>
      <c r="C5119" s="58" t="s">
        <v>8096</v>
      </c>
      <c r="D5119" s="58" t="s">
        <v>702</v>
      </c>
    </row>
    <row r="5120" spans="1:4">
      <c r="A5120" s="58" t="s">
        <v>8097</v>
      </c>
      <c r="B5120" s="58">
        <v>542851</v>
      </c>
      <c r="C5120" s="58" t="s">
        <v>8098</v>
      </c>
      <c r="D5120" s="58" t="s">
        <v>672</v>
      </c>
    </row>
    <row r="5121" spans="1:4">
      <c r="A5121" s="58" t="s">
        <v>8099</v>
      </c>
      <c r="B5121" s="58">
        <v>542852</v>
      </c>
      <c r="C5121" s="58" t="s">
        <v>8100</v>
      </c>
      <c r="D5121" s="58" t="s">
        <v>1286</v>
      </c>
    </row>
    <row r="5122" spans="1:4">
      <c r="A5122" s="58" t="s">
        <v>8101</v>
      </c>
      <c r="B5122" s="58">
        <v>542857</v>
      </c>
      <c r="C5122" s="58" t="s">
        <v>8102</v>
      </c>
      <c r="D5122" s="58" t="s">
        <v>1083</v>
      </c>
    </row>
    <row r="5123" spans="1:4">
      <c r="A5123" s="58" t="s">
        <v>8103</v>
      </c>
      <c r="B5123" s="58">
        <v>542862</v>
      </c>
      <c r="C5123" s="58" t="s">
        <v>8104</v>
      </c>
      <c r="D5123" s="58" t="s">
        <v>603</v>
      </c>
    </row>
    <row r="5124" spans="1:4">
      <c r="A5124" s="58" t="s">
        <v>8105</v>
      </c>
      <c r="B5124" s="58">
        <v>542863</v>
      </c>
      <c r="C5124" s="58" t="s">
        <v>8106</v>
      </c>
      <c r="D5124" s="58" t="s">
        <v>225</v>
      </c>
    </row>
    <row r="5125" spans="1:4">
      <c r="A5125" s="58" t="s">
        <v>8107</v>
      </c>
      <c r="B5125" s="58">
        <v>542864</v>
      </c>
      <c r="C5125" s="58" t="s">
        <v>8108</v>
      </c>
      <c r="D5125" s="58" t="s">
        <v>674</v>
      </c>
    </row>
    <row r="5126" spans="1:4">
      <c r="A5126" s="58" t="s">
        <v>8109</v>
      </c>
      <c r="B5126" s="58">
        <v>542865</v>
      </c>
      <c r="C5126" s="58" t="s">
        <v>8110</v>
      </c>
      <c r="D5126" s="58" t="s">
        <v>783</v>
      </c>
    </row>
    <row r="5127" spans="1:4">
      <c r="A5127" s="58" t="s">
        <v>8111</v>
      </c>
      <c r="B5127" s="58">
        <v>542866</v>
      </c>
      <c r="C5127" s="58" t="s">
        <v>8112</v>
      </c>
      <c r="D5127" s="58" t="s">
        <v>571</v>
      </c>
    </row>
    <row r="5128" spans="1:4">
      <c r="A5128" s="58" t="s">
        <v>8113</v>
      </c>
      <c r="B5128" s="58">
        <v>542867</v>
      </c>
      <c r="C5128" s="58" t="s">
        <v>8114</v>
      </c>
      <c r="D5128" s="58" t="s">
        <v>906</v>
      </c>
    </row>
    <row r="5129" spans="1:4">
      <c r="A5129" s="58" t="s">
        <v>8115</v>
      </c>
      <c r="B5129" s="58">
        <v>542904</v>
      </c>
      <c r="C5129" s="58" t="s">
        <v>8116</v>
      </c>
      <c r="D5129" s="58" t="s">
        <v>906</v>
      </c>
    </row>
    <row r="5130" spans="1:4">
      <c r="A5130" s="58" t="s">
        <v>8117</v>
      </c>
      <c r="B5130" s="58">
        <v>542905</v>
      </c>
      <c r="C5130" s="58" t="s">
        <v>8118</v>
      </c>
      <c r="D5130" s="58" t="s">
        <v>886</v>
      </c>
    </row>
    <row r="5131" spans="1:4">
      <c r="A5131" s="58" t="s">
        <v>8119</v>
      </c>
      <c r="B5131" s="58">
        <v>542906</v>
      </c>
      <c r="C5131" s="58" t="s">
        <v>8120</v>
      </c>
      <c r="D5131" s="58" t="s">
        <v>605</v>
      </c>
    </row>
    <row r="5132" spans="1:4">
      <c r="A5132" s="58" t="s">
        <v>8121</v>
      </c>
      <c r="B5132" s="58">
        <v>542907</v>
      </c>
      <c r="C5132" s="58" t="s">
        <v>8122</v>
      </c>
      <c r="D5132" s="58" t="s">
        <v>708</v>
      </c>
    </row>
    <row r="5133" spans="1:4">
      <c r="A5133" s="58" t="s">
        <v>8123</v>
      </c>
      <c r="B5133" s="58">
        <v>542910</v>
      </c>
      <c r="C5133" s="58" t="s">
        <v>8124</v>
      </c>
      <c r="D5133" s="58" t="s">
        <v>1023</v>
      </c>
    </row>
    <row r="5134" spans="1:4">
      <c r="A5134" s="58" t="s">
        <v>8125</v>
      </c>
      <c r="B5134" s="58">
        <v>542911</v>
      </c>
      <c r="C5134" s="58" t="s">
        <v>8126</v>
      </c>
      <c r="D5134" s="58" t="s">
        <v>605</v>
      </c>
    </row>
    <row r="5135" spans="1:4">
      <c r="A5135" s="58" t="s">
        <v>8127</v>
      </c>
      <c r="B5135" s="58">
        <v>542918</v>
      </c>
      <c r="C5135" s="58" t="s">
        <v>8128</v>
      </c>
      <c r="D5135" s="58" t="s">
        <v>777</v>
      </c>
    </row>
    <row r="5136" spans="1:4">
      <c r="A5136" s="58" t="s">
        <v>8129</v>
      </c>
      <c r="B5136" s="58">
        <v>542919</v>
      </c>
      <c r="C5136" s="58" t="s">
        <v>8130</v>
      </c>
      <c r="D5136" s="58" t="s">
        <v>777</v>
      </c>
    </row>
    <row r="5137" spans="1:4">
      <c r="A5137" s="58" t="s">
        <v>8131</v>
      </c>
      <c r="B5137" s="58">
        <v>542920</v>
      </c>
      <c r="C5137" s="58" t="s">
        <v>8132</v>
      </c>
      <c r="D5137" s="58" t="s">
        <v>732</v>
      </c>
    </row>
    <row r="5138" spans="1:4">
      <c r="A5138" s="58" t="s">
        <v>8133</v>
      </c>
      <c r="B5138" s="58">
        <v>542921</v>
      </c>
      <c r="C5138" s="58" t="s">
        <v>8134</v>
      </c>
      <c r="D5138" s="58" t="s">
        <v>225</v>
      </c>
    </row>
    <row r="5139" spans="1:4">
      <c r="A5139" s="58" t="s">
        <v>8135</v>
      </c>
      <c r="B5139" s="58">
        <v>542922</v>
      </c>
      <c r="C5139" s="58" t="s">
        <v>8136</v>
      </c>
      <c r="D5139" s="58" t="s">
        <v>225</v>
      </c>
    </row>
    <row r="5140" spans="1:4">
      <c r="A5140" s="58" t="s">
        <v>8137</v>
      </c>
      <c r="B5140" s="58">
        <v>542923</v>
      </c>
      <c r="C5140" s="58" t="s">
        <v>8138</v>
      </c>
      <c r="D5140" s="58" t="s">
        <v>574</v>
      </c>
    </row>
    <row r="5141" spans="1:4">
      <c r="A5141" s="58" t="s">
        <v>8139</v>
      </c>
      <c r="B5141" s="58">
        <v>542924</v>
      </c>
      <c r="C5141" s="58" t="s">
        <v>8140</v>
      </c>
      <c r="D5141" s="58" t="s">
        <v>577</v>
      </c>
    </row>
    <row r="5142" spans="1:4">
      <c r="A5142" s="58" t="s">
        <v>8141</v>
      </c>
      <c r="B5142" s="58">
        <v>542931</v>
      </c>
      <c r="C5142" s="58" t="s">
        <v>8142</v>
      </c>
      <c r="D5142" s="58" t="s">
        <v>605</v>
      </c>
    </row>
    <row r="5143" spans="1:4">
      <c r="A5143" s="58" t="s">
        <v>8143</v>
      </c>
      <c r="B5143" s="58">
        <v>542932</v>
      </c>
      <c r="C5143" s="58" t="s">
        <v>8144</v>
      </c>
      <c r="D5143" s="58" t="s">
        <v>1068</v>
      </c>
    </row>
    <row r="5144" spans="1:4">
      <c r="A5144" s="58" t="s">
        <v>8145</v>
      </c>
      <c r="B5144" s="58">
        <v>542933</v>
      </c>
      <c r="C5144" s="58" t="s">
        <v>8146</v>
      </c>
      <c r="D5144" s="58" t="s">
        <v>1824</v>
      </c>
    </row>
    <row r="5145" spans="1:4">
      <c r="A5145" s="58" t="s">
        <v>8147</v>
      </c>
      <c r="B5145" s="58">
        <v>542934</v>
      </c>
      <c r="C5145" s="58" t="s">
        <v>8148</v>
      </c>
      <c r="D5145" s="58" t="s">
        <v>626</v>
      </c>
    </row>
    <row r="5146" spans="1:4">
      <c r="A5146" s="58" t="s">
        <v>8149</v>
      </c>
      <c r="B5146" s="58">
        <v>542935</v>
      </c>
      <c r="C5146" s="58" t="s">
        <v>8150</v>
      </c>
      <c r="D5146" s="58" t="s">
        <v>648</v>
      </c>
    </row>
    <row r="5147" spans="1:4">
      <c r="A5147" s="58" t="s">
        <v>8151</v>
      </c>
      <c r="B5147" s="58">
        <v>542938</v>
      </c>
      <c r="C5147" s="58" t="s">
        <v>8152</v>
      </c>
      <c r="D5147" s="58" t="s">
        <v>995</v>
      </c>
    </row>
    <row r="5148" spans="1:4">
      <c r="A5148" s="58" t="s">
        <v>8153</v>
      </c>
      <c r="B5148" s="58">
        <v>543064</v>
      </c>
      <c r="C5148" s="58" t="s">
        <v>8154</v>
      </c>
      <c r="D5148" s="58" t="s">
        <v>626</v>
      </c>
    </row>
    <row r="5149" spans="1:4">
      <c r="A5149" s="58" t="s">
        <v>8155</v>
      </c>
      <c r="B5149" s="58">
        <v>543065</v>
      </c>
      <c r="C5149" s="58" t="s">
        <v>8156</v>
      </c>
      <c r="D5149" s="58" t="s">
        <v>773</v>
      </c>
    </row>
    <row r="5150" spans="1:4">
      <c r="A5150" s="58" t="s">
        <v>8157</v>
      </c>
      <c r="B5150" s="58">
        <v>543066</v>
      </c>
      <c r="C5150" s="58" t="s">
        <v>8158</v>
      </c>
      <c r="D5150" s="58" t="s">
        <v>605</v>
      </c>
    </row>
    <row r="5151" spans="1:4">
      <c r="A5151" s="58" t="s">
        <v>8159</v>
      </c>
      <c r="B5151" s="58">
        <v>543144</v>
      </c>
      <c r="C5151" s="58" t="s">
        <v>8160</v>
      </c>
      <c r="D5151" s="58" t="s">
        <v>225</v>
      </c>
    </row>
    <row r="5152" spans="1:4">
      <c r="A5152" s="58" t="s">
        <v>8161</v>
      </c>
      <c r="B5152" s="58">
        <v>543145</v>
      </c>
      <c r="C5152" s="58" t="s">
        <v>8162</v>
      </c>
      <c r="D5152" s="58" t="s">
        <v>225</v>
      </c>
    </row>
    <row r="5153" spans="1:4">
      <c r="A5153" s="58" t="s">
        <v>8159</v>
      </c>
      <c r="B5153" s="58">
        <v>543146</v>
      </c>
      <c r="C5153" s="58" t="s">
        <v>8163</v>
      </c>
      <c r="D5153" s="58" t="s">
        <v>225</v>
      </c>
    </row>
    <row r="5154" spans="1:4">
      <c r="A5154" s="58" t="s">
        <v>8164</v>
      </c>
      <c r="B5154" s="58">
        <v>543147</v>
      </c>
      <c r="C5154" s="58" t="s">
        <v>8165</v>
      </c>
      <c r="D5154" s="58" t="s">
        <v>225</v>
      </c>
    </row>
    <row r="5155" spans="1:4">
      <c r="A5155" s="58" t="s">
        <v>8164</v>
      </c>
      <c r="B5155" s="58">
        <v>543148</v>
      </c>
      <c r="C5155" s="58" t="s">
        <v>8166</v>
      </c>
      <c r="D5155" s="58" t="s">
        <v>225</v>
      </c>
    </row>
    <row r="5156" spans="1:4">
      <c r="A5156" s="58" t="s">
        <v>8167</v>
      </c>
      <c r="B5156" s="58">
        <v>543149</v>
      </c>
      <c r="C5156" s="58" t="s">
        <v>8168</v>
      </c>
      <c r="D5156" s="58" t="s">
        <v>225</v>
      </c>
    </row>
    <row r="5157" spans="1:4">
      <c r="A5157" s="58" t="s">
        <v>8169</v>
      </c>
      <c r="B5157" s="58">
        <v>543150</v>
      </c>
      <c r="C5157" s="58" t="s">
        <v>8170</v>
      </c>
      <c r="D5157" s="58" t="s">
        <v>225</v>
      </c>
    </row>
    <row r="5158" spans="1:4">
      <c r="A5158" s="58" t="s">
        <v>8171</v>
      </c>
      <c r="B5158" s="58">
        <v>543151</v>
      </c>
      <c r="C5158" s="58" t="s">
        <v>8172</v>
      </c>
      <c r="D5158" s="58" t="s">
        <v>225</v>
      </c>
    </row>
    <row r="5159" spans="1:4">
      <c r="A5159" s="58" t="s">
        <v>8173</v>
      </c>
      <c r="B5159" s="58">
        <v>543152</v>
      </c>
      <c r="C5159" s="58" t="s">
        <v>8174</v>
      </c>
      <c r="D5159" s="58" t="s">
        <v>225</v>
      </c>
    </row>
    <row r="5160" spans="1:4">
      <c r="A5160" s="58" t="s">
        <v>8175</v>
      </c>
      <c r="B5160" s="58">
        <v>543153</v>
      </c>
      <c r="C5160" s="58" t="s">
        <v>8176</v>
      </c>
      <c r="D5160" s="58" t="s">
        <v>225</v>
      </c>
    </row>
    <row r="5161" spans="1:4">
      <c r="A5161" s="58" t="s">
        <v>8173</v>
      </c>
      <c r="B5161" s="58">
        <v>543154</v>
      </c>
      <c r="C5161" s="58" t="s">
        <v>8177</v>
      </c>
      <c r="D5161" s="58" t="s">
        <v>225</v>
      </c>
    </row>
    <row r="5162" spans="1:4">
      <c r="A5162" s="58" t="s">
        <v>8178</v>
      </c>
      <c r="B5162" s="58">
        <v>543155</v>
      </c>
      <c r="C5162" s="58" t="s">
        <v>8179</v>
      </c>
      <c r="D5162" s="58" t="s">
        <v>225</v>
      </c>
    </row>
    <row r="5163" spans="1:4">
      <c r="A5163" s="58" t="s">
        <v>8180</v>
      </c>
      <c r="B5163" s="58">
        <v>543156</v>
      </c>
      <c r="C5163" s="58" t="s">
        <v>8181</v>
      </c>
      <c r="D5163" s="58" t="s">
        <v>225</v>
      </c>
    </row>
    <row r="5164" spans="1:4">
      <c r="A5164" s="58" t="s">
        <v>8178</v>
      </c>
      <c r="B5164" s="58">
        <v>543168</v>
      </c>
      <c r="C5164" s="58" t="s">
        <v>8182</v>
      </c>
      <c r="D5164" s="58" t="s">
        <v>225</v>
      </c>
    </row>
    <row r="5165" spans="1:4">
      <c r="A5165" s="58" t="s">
        <v>8180</v>
      </c>
      <c r="B5165" s="58">
        <v>543169</v>
      </c>
      <c r="C5165" s="58" t="s">
        <v>8183</v>
      </c>
      <c r="D5165" s="58" t="s">
        <v>225</v>
      </c>
    </row>
    <row r="5166" spans="1:4">
      <c r="A5166" s="58" t="s">
        <v>8161</v>
      </c>
      <c r="B5166" s="58">
        <v>543170</v>
      </c>
      <c r="C5166" s="58" t="s">
        <v>8184</v>
      </c>
      <c r="D5166" s="58" t="s">
        <v>225</v>
      </c>
    </row>
    <row r="5167" spans="1:4">
      <c r="A5167" s="58" t="s">
        <v>8185</v>
      </c>
      <c r="B5167" s="58">
        <v>543171</v>
      </c>
      <c r="C5167" s="58" t="s">
        <v>8186</v>
      </c>
      <c r="D5167" s="58" t="s">
        <v>702</v>
      </c>
    </row>
    <row r="5168" spans="1:4">
      <c r="A5168" s="58" t="s">
        <v>8187</v>
      </c>
      <c r="B5168" s="58">
        <v>543172</v>
      </c>
      <c r="C5168" s="58" t="s">
        <v>8188</v>
      </c>
      <c r="D5168" s="58" t="s">
        <v>596</v>
      </c>
    </row>
    <row r="5169" spans="1:4">
      <c r="A5169" s="58" t="s">
        <v>8189</v>
      </c>
      <c r="B5169" s="58">
        <v>543173</v>
      </c>
      <c r="C5169" s="58" t="s">
        <v>8190</v>
      </c>
      <c r="D5169" s="58" t="s">
        <v>225</v>
      </c>
    </row>
    <row r="5170" spans="1:4">
      <c r="A5170" s="58" t="s">
        <v>8191</v>
      </c>
      <c r="B5170" s="58">
        <v>543174</v>
      </c>
      <c r="C5170" s="58" t="s">
        <v>8192</v>
      </c>
      <c r="D5170" s="58" t="s">
        <v>225</v>
      </c>
    </row>
    <row r="5171" spans="1:4">
      <c r="A5171" s="58" t="s">
        <v>8193</v>
      </c>
      <c r="B5171" s="58">
        <v>543175</v>
      </c>
      <c r="C5171" s="58" t="s">
        <v>8194</v>
      </c>
      <c r="D5171" s="58" t="s">
        <v>225</v>
      </c>
    </row>
    <row r="5172" spans="1:4">
      <c r="A5172" s="58" t="s">
        <v>8195</v>
      </c>
      <c r="B5172" s="58">
        <v>543176</v>
      </c>
      <c r="C5172" s="58" t="s">
        <v>8196</v>
      </c>
      <c r="D5172" s="58" t="s">
        <v>225</v>
      </c>
    </row>
    <row r="5173" spans="1:4">
      <c r="A5173" s="58" t="s">
        <v>8197</v>
      </c>
      <c r="B5173" s="58">
        <v>543177</v>
      </c>
      <c r="C5173" s="58" t="s">
        <v>8198</v>
      </c>
      <c r="D5173" s="58" t="s">
        <v>225</v>
      </c>
    </row>
    <row r="5174" spans="1:4">
      <c r="A5174" s="58" t="s">
        <v>8199</v>
      </c>
      <c r="B5174" s="58">
        <v>543178</v>
      </c>
      <c r="C5174" s="58" t="s">
        <v>8200</v>
      </c>
      <c r="D5174" s="58" t="s">
        <v>225</v>
      </c>
    </row>
    <row r="5175" spans="1:4">
      <c r="A5175" s="58" t="s">
        <v>8201</v>
      </c>
      <c r="B5175" s="58">
        <v>543179</v>
      </c>
      <c r="C5175" s="58" t="s">
        <v>8202</v>
      </c>
      <c r="D5175" s="58" t="s">
        <v>225</v>
      </c>
    </row>
    <row r="5176" spans="1:4">
      <c r="A5176" s="58" t="s">
        <v>8203</v>
      </c>
      <c r="B5176" s="58">
        <v>543180</v>
      </c>
      <c r="C5176" s="58" t="s">
        <v>8204</v>
      </c>
      <c r="D5176" s="58" t="s">
        <v>225</v>
      </c>
    </row>
    <row r="5177" spans="1:4">
      <c r="A5177" s="58" t="s">
        <v>8205</v>
      </c>
      <c r="B5177" s="58">
        <v>543181</v>
      </c>
      <c r="C5177" s="58" t="s">
        <v>8206</v>
      </c>
      <c r="D5177" s="58" t="s">
        <v>225</v>
      </c>
    </row>
    <row r="5178" spans="1:4">
      <c r="A5178" s="58" t="s">
        <v>8207</v>
      </c>
      <c r="B5178" s="58">
        <v>543182</v>
      </c>
      <c r="C5178" s="58" t="s">
        <v>8208</v>
      </c>
      <c r="D5178" s="58" t="s">
        <v>225</v>
      </c>
    </row>
    <row r="5179" spans="1:4">
      <c r="A5179" s="58" t="s">
        <v>8209</v>
      </c>
      <c r="B5179" s="58">
        <v>543183</v>
      </c>
      <c r="C5179" s="58" t="s">
        <v>8210</v>
      </c>
      <c r="D5179" s="58" t="s">
        <v>225</v>
      </c>
    </row>
    <row r="5180" spans="1:4">
      <c r="A5180" s="58" t="s">
        <v>8211</v>
      </c>
      <c r="B5180" s="58">
        <v>543184</v>
      </c>
      <c r="C5180" s="58" t="s">
        <v>8212</v>
      </c>
      <c r="D5180" s="58" t="s">
        <v>225</v>
      </c>
    </row>
    <row r="5181" spans="1:4">
      <c r="A5181" s="58" t="s">
        <v>8213</v>
      </c>
      <c r="B5181" s="58">
        <v>543185</v>
      </c>
      <c r="C5181" s="58" t="s">
        <v>8214</v>
      </c>
      <c r="D5181" s="58" t="s">
        <v>225</v>
      </c>
    </row>
    <row r="5182" spans="1:4">
      <c r="A5182" s="58" t="s">
        <v>8215</v>
      </c>
      <c r="B5182" s="58">
        <v>543186</v>
      </c>
      <c r="C5182" s="58" t="s">
        <v>8216</v>
      </c>
      <c r="D5182" s="58" t="s">
        <v>225</v>
      </c>
    </row>
    <row r="5183" spans="1:4">
      <c r="A5183" s="58" t="s">
        <v>8217</v>
      </c>
      <c r="B5183" s="58">
        <v>543187</v>
      </c>
      <c r="C5183" s="58" t="s">
        <v>8218</v>
      </c>
      <c r="D5183" s="58" t="s">
        <v>631</v>
      </c>
    </row>
    <row r="5184" spans="1:4">
      <c r="A5184" s="58" t="s">
        <v>8219</v>
      </c>
      <c r="B5184" s="58">
        <v>543193</v>
      </c>
      <c r="C5184" s="58" t="s">
        <v>8220</v>
      </c>
      <c r="D5184" s="58" t="s">
        <v>909</v>
      </c>
    </row>
    <row r="5185" spans="1:4">
      <c r="A5185" s="58" t="s">
        <v>8221</v>
      </c>
      <c r="B5185" s="58">
        <v>543194</v>
      </c>
      <c r="C5185" s="58" t="s">
        <v>8222</v>
      </c>
      <c r="D5185" s="58" t="s">
        <v>7538</v>
      </c>
    </row>
    <row r="5186" spans="1:4">
      <c r="A5186" s="58" t="s">
        <v>8223</v>
      </c>
      <c r="B5186" s="58">
        <v>543207</v>
      </c>
      <c r="C5186" s="58" t="s">
        <v>8224</v>
      </c>
      <c r="D5186" s="58" t="s">
        <v>732</v>
      </c>
    </row>
    <row r="5187" spans="1:4">
      <c r="A5187" s="58" t="s">
        <v>8225</v>
      </c>
      <c r="B5187" s="58">
        <v>543208</v>
      </c>
      <c r="C5187" s="58" t="s">
        <v>8226</v>
      </c>
      <c r="D5187" s="58" t="s">
        <v>605</v>
      </c>
    </row>
    <row r="5188" spans="1:4">
      <c r="A5188" s="58" t="s">
        <v>8227</v>
      </c>
      <c r="B5188" s="58">
        <v>543209</v>
      </c>
      <c r="C5188" s="58" t="s">
        <v>8228</v>
      </c>
      <c r="D5188" s="58" t="s">
        <v>577</v>
      </c>
    </row>
    <row r="5189" spans="1:4">
      <c r="A5189" s="58" t="s">
        <v>8229</v>
      </c>
      <c r="B5189" s="58">
        <v>543210</v>
      </c>
      <c r="C5189" s="58" t="s">
        <v>8230</v>
      </c>
      <c r="D5189" s="58" t="s">
        <v>748</v>
      </c>
    </row>
    <row r="5190" spans="1:4">
      <c r="A5190" s="58" t="s">
        <v>8231</v>
      </c>
      <c r="B5190" s="58">
        <v>543211</v>
      </c>
      <c r="C5190" s="58" t="s">
        <v>8232</v>
      </c>
      <c r="D5190" s="58" t="s">
        <v>1506</v>
      </c>
    </row>
    <row r="5191" spans="1:4">
      <c r="A5191" s="58" t="s">
        <v>8233</v>
      </c>
      <c r="B5191" s="58">
        <v>543212</v>
      </c>
      <c r="C5191" s="58" t="s">
        <v>8234</v>
      </c>
      <c r="D5191" s="58" t="s">
        <v>1632</v>
      </c>
    </row>
    <row r="5192" spans="1:4">
      <c r="A5192" s="58" t="s">
        <v>8235</v>
      </c>
      <c r="B5192" s="58">
        <v>543213</v>
      </c>
      <c r="C5192" s="58" t="s">
        <v>8236</v>
      </c>
      <c r="D5192" s="58" t="s">
        <v>748</v>
      </c>
    </row>
    <row r="5193" spans="1:4">
      <c r="A5193" s="58" t="s">
        <v>8237</v>
      </c>
      <c r="B5193" s="58">
        <v>543214</v>
      </c>
      <c r="C5193" s="58" t="s">
        <v>8238</v>
      </c>
      <c r="D5193" s="58" t="s">
        <v>943</v>
      </c>
    </row>
    <row r="5194" spans="1:4">
      <c r="A5194" s="58" t="s">
        <v>8239</v>
      </c>
      <c r="B5194" s="58">
        <v>543217</v>
      </c>
      <c r="C5194" s="58" t="s">
        <v>8240</v>
      </c>
      <c r="D5194" s="58" t="s">
        <v>225</v>
      </c>
    </row>
    <row r="5195" spans="1:4">
      <c r="A5195" s="58" t="s">
        <v>8241</v>
      </c>
      <c r="B5195" s="58">
        <v>543218</v>
      </c>
      <c r="C5195" s="58" t="s">
        <v>8242</v>
      </c>
      <c r="D5195" s="58" t="s">
        <v>674</v>
      </c>
    </row>
    <row r="5196" spans="1:4">
      <c r="A5196" s="58" t="s">
        <v>8243</v>
      </c>
      <c r="B5196" s="58">
        <v>543219</v>
      </c>
      <c r="C5196" s="58" t="s">
        <v>8244</v>
      </c>
      <c r="D5196" s="58" t="s">
        <v>225</v>
      </c>
    </row>
    <row r="5197" spans="1:4">
      <c r="A5197" s="58" t="s">
        <v>8245</v>
      </c>
      <c r="B5197" s="58">
        <v>543220</v>
      </c>
      <c r="C5197" s="58" t="s">
        <v>8246</v>
      </c>
      <c r="D5197" s="58" t="s">
        <v>1058</v>
      </c>
    </row>
    <row r="5198" spans="1:4">
      <c r="A5198" s="58" t="s">
        <v>8247</v>
      </c>
      <c r="B5198" s="58">
        <v>543221</v>
      </c>
      <c r="C5198" s="58" t="s">
        <v>8248</v>
      </c>
      <c r="D5198" s="58" t="s">
        <v>225</v>
      </c>
    </row>
    <row r="5199" spans="1:4">
      <c r="A5199" s="58" t="s">
        <v>8249</v>
      </c>
      <c r="B5199" s="58">
        <v>543222</v>
      </c>
      <c r="C5199" s="58" t="s">
        <v>8250</v>
      </c>
      <c r="D5199" s="58" t="s">
        <v>711</v>
      </c>
    </row>
    <row r="5200" spans="1:4">
      <c r="A5200" s="58" t="s">
        <v>8251</v>
      </c>
      <c r="B5200" s="58">
        <v>543223</v>
      </c>
      <c r="C5200" s="58" t="s">
        <v>4304</v>
      </c>
      <c r="D5200" s="58" t="s">
        <v>754</v>
      </c>
    </row>
    <row r="5201" spans="1:4">
      <c r="A5201" s="58" t="s">
        <v>8252</v>
      </c>
      <c r="B5201" s="58">
        <v>543224</v>
      </c>
      <c r="C5201" s="58" t="s">
        <v>8253</v>
      </c>
      <c r="D5201" s="58" t="s">
        <v>225</v>
      </c>
    </row>
    <row r="5202" spans="1:4">
      <c r="A5202" s="58" t="s">
        <v>8254</v>
      </c>
      <c r="B5202" s="58">
        <v>543225</v>
      </c>
      <c r="C5202" s="58" t="s">
        <v>8255</v>
      </c>
      <c r="D5202" s="58" t="s">
        <v>225</v>
      </c>
    </row>
    <row r="5203" spans="1:4">
      <c r="A5203" s="58" t="s">
        <v>8256</v>
      </c>
      <c r="B5203" s="58">
        <v>543226</v>
      </c>
      <c r="C5203" s="58" t="s">
        <v>8257</v>
      </c>
      <c r="D5203" s="58" t="s">
        <v>225</v>
      </c>
    </row>
    <row r="5204" spans="1:4">
      <c r="A5204" s="58" t="s">
        <v>8258</v>
      </c>
      <c r="B5204" s="58">
        <v>543227</v>
      </c>
      <c r="C5204" s="58" t="s">
        <v>8259</v>
      </c>
      <c r="D5204" s="58" t="s">
        <v>574</v>
      </c>
    </row>
    <row r="5205" spans="1:4">
      <c r="A5205" s="58" t="s">
        <v>8260</v>
      </c>
      <c r="B5205" s="58">
        <v>543228</v>
      </c>
      <c r="C5205" s="58" t="s">
        <v>8261</v>
      </c>
      <c r="D5205" s="58" t="s">
        <v>594</v>
      </c>
    </row>
    <row r="5206" spans="1:4">
      <c r="A5206" s="58" t="s">
        <v>8262</v>
      </c>
      <c r="B5206" s="58">
        <v>543230</v>
      </c>
      <c r="C5206" s="58" t="s">
        <v>8263</v>
      </c>
      <c r="D5206" s="58" t="s">
        <v>886</v>
      </c>
    </row>
    <row r="5207" spans="1:4">
      <c r="A5207" s="58" t="s">
        <v>8264</v>
      </c>
      <c r="B5207" s="58">
        <v>543231</v>
      </c>
      <c r="C5207" s="58" t="s">
        <v>8265</v>
      </c>
      <c r="D5207" s="58" t="s">
        <v>1083</v>
      </c>
    </row>
    <row r="5208" spans="1:4">
      <c r="A5208" s="58" t="s">
        <v>8266</v>
      </c>
      <c r="B5208" s="58">
        <v>543232</v>
      </c>
      <c r="C5208" s="58" t="s">
        <v>8267</v>
      </c>
      <c r="D5208" s="58" t="s">
        <v>571</v>
      </c>
    </row>
    <row r="5209" spans="1:4">
      <c r="A5209" s="58" t="s">
        <v>8268</v>
      </c>
      <c r="B5209" s="58">
        <v>543233</v>
      </c>
      <c r="C5209" s="58" t="s">
        <v>8269</v>
      </c>
      <c r="D5209" s="58" t="s">
        <v>748</v>
      </c>
    </row>
    <row r="5210" spans="1:4">
      <c r="A5210" s="58" t="s">
        <v>8270</v>
      </c>
      <c r="B5210" s="58">
        <v>543234</v>
      </c>
      <c r="C5210" s="58" t="s">
        <v>8271</v>
      </c>
      <c r="D5210" s="58" t="s">
        <v>574</v>
      </c>
    </row>
    <row r="5211" spans="1:4">
      <c r="A5211" s="58" t="s">
        <v>8272</v>
      </c>
      <c r="B5211" s="58">
        <v>543235</v>
      </c>
      <c r="C5211" s="58" t="s">
        <v>8273</v>
      </c>
      <c r="D5211" s="58" t="s">
        <v>571</v>
      </c>
    </row>
    <row r="5212" spans="1:4">
      <c r="A5212" s="58" t="s">
        <v>8274</v>
      </c>
      <c r="B5212" s="58">
        <v>543236</v>
      </c>
      <c r="C5212" s="58" t="s">
        <v>8275</v>
      </c>
      <c r="D5212" s="58" t="s">
        <v>596</v>
      </c>
    </row>
    <row r="5213" spans="1:4">
      <c r="A5213" s="58" t="s">
        <v>8276</v>
      </c>
      <c r="B5213" s="58">
        <v>543237</v>
      </c>
      <c r="C5213" s="58" t="s">
        <v>8277</v>
      </c>
      <c r="D5213" s="58" t="s">
        <v>1061</v>
      </c>
    </row>
    <row r="5214" spans="1:4">
      <c r="A5214" s="58" t="s">
        <v>8278</v>
      </c>
      <c r="B5214" s="58">
        <v>543238</v>
      </c>
      <c r="C5214" s="58" t="s">
        <v>8279</v>
      </c>
      <c r="D5214" s="58" t="s">
        <v>2990</v>
      </c>
    </row>
    <row r="5215" spans="1:4">
      <c r="A5215" s="58" t="s">
        <v>8280</v>
      </c>
      <c r="B5215" s="58">
        <v>543239</v>
      </c>
      <c r="C5215" s="58" t="s">
        <v>8281</v>
      </c>
      <c r="D5215" s="58" t="s">
        <v>708</v>
      </c>
    </row>
    <row r="5216" spans="1:4">
      <c r="A5216" s="58" t="s">
        <v>8282</v>
      </c>
      <c r="B5216" s="58">
        <v>543240</v>
      </c>
      <c r="C5216" s="58" t="s">
        <v>8283</v>
      </c>
      <c r="D5216" s="58" t="s">
        <v>986</v>
      </c>
    </row>
    <row r="5217" spans="1:4">
      <c r="A5217" s="58" t="s">
        <v>8284</v>
      </c>
      <c r="B5217" s="58">
        <v>543241</v>
      </c>
      <c r="C5217" s="58" t="s">
        <v>8285</v>
      </c>
      <c r="D5217" s="58" t="s">
        <v>674</v>
      </c>
    </row>
    <row r="5218" spans="1:4">
      <c r="A5218" s="58" t="s">
        <v>8286</v>
      </c>
      <c r="B5218" s="58">
        <v>543242</v>
      </c>
      <c r="C5218" s="58" t="s">
        <v>8287</v>
      </c>
      <c r="D5218" s="58" t="s">
        <v>674</v>
      </c>
    </row>
    <row r="5219" spans="1:4">
      <c r="A5219" s="58" t="s">
        <v>8288</v>
      </c>
      <c r="B5219" s="58">
        <v>543243</v>
      </c>
      <c r="C5219" s="58" t="s">
        <v>8289</v>
      </c>
      <c r="D5219" s="58" t="s">
        <v>906</v>
      </c>
    </row>
    <row r="5220" spans="1:4">
      <c r="A5220" s="58" t="s">
        <v>8290</v>
      </c>
      <c r="B5220" s="58">
        <v>543244</v>
      </c>
      <c r="C5220" s="58" t="s">
        <v>8291</v>
      </c>
      <c r="D5220" s="58" t="s">
        <v>603</v>
      </c>
    </row>
    <row r="5221" spans="1:4">
      <c r="A5221" s="58" t="s">
        <v>8292</v>
      </c>
      <c r="B5221" s="58">
        <v>500270</v>
      </c>
      <c r="C5221" s="58" t="s">
        <v>8293</v>
      </c>
      <c r="D5221" s="58" t="s">
        <v>8294</v>
      </c>
    </row>
    <row r="5222" spans="1:4">
      <c r="A5222" s="58" t="s">
        <v>8295</v>
      </c>
      <c r="B5222" s="58">
        <v>503685</v>
      </c>
      <c r="C5222" s="58" t="s">
        <v>8296</v>
      </c>
      <c r="D5222" s="58" t="s">
        <v>8297</v>
      </c>
    </row>
    <row r="5223" spans="1:4">
      <c r="A5223" s="58" t="s">
        <v>8298</v>
      </c>
      <c r="B5223" s="58">
        <v>505100</v>
      </c>
      <c r="C5223" s="58" t="s">
        <v>8299</v>
      </c>
      <c r="D5223" s="58" t="s">
        <v>8300</v>
      </c>
    </row>
    <row r="5224" spans="1:4">
      <c r="A5224" s="58" t="s">
        <v>8301</v>
      </c>
      <c r="B5224" s="58">
        <v>506580</v>
      </c>
      <c r="C5224" s="58" t="s">
        <v>8302</v>
      </c>
      <c r="D5224" s="58" t="s">
        <v>8303</v>
      </c>
    </row>
    <row r="5225" spans="1:4">
      <c r="A5225" s="58" t="s">
        <v>8304</v>
      </c>
      <c r="B5225" s="58">
        <v>509069</v>
      </c>
      <c r="C5225" s="58" t="s">
        <v>8305</v>
      </c>
      <c r="D5225" s="58" t="s">
        <v>8306</v>
      </c>
    </row>
    <row r="5226" spans="1:4">
      <c r="A5226" s="58" t="s">
        <v>8307</v>
      </c>
      <c r="B5226" s="58">
        <v>509960</v>
      </c>
      <c r="C5226" s="58" t="s">
        <v>8308</v>
      </c>
      <c r="D5226" s="58" t="s">
        <v>8309</v>
      </c>
    </row>
    <row r="5227" spans="1:4">
      <c r="A5227" s="58" t="s">
        <v>8310</v>
      </c>
      <c r="B5227" s="58">
        <v>511016</v>
      </c>
      <c r="C5227" s="58" t="s">
        <v>8311</v>
      </c>
      <c r="D5227" s="58" t="s">
        <v>8312</v>
      </c>
    </row>
    <row r="5228" spans="1:4">
      <c r="A5228" s="58" t="s">
        <v>8313</v>
      </c>
      <c r="B5228" s="58">
        <v>511194</v>
      </c>
      <c r="C5228" s="58" t="s">
        <v>8314</v>
      </c>
      <c r="D5228" s="58" t="s">
        <v>7538</v>
      </c>
    </row>
    <row r="5229" spans="1:4">
      <c r="A5229" s="58" t="s">
        <v>8315</v>
      </c>
      <c r="B5229" s="58">
        <v>512097</v>
      </c>
      <c r="C5229" s="58" t="s">
        <v>8316</v>
      </c>
      <c r="D5229" s="58" t="s">
        <v>8317</v>
      </c>
    </row>
    <row r="5230" spans="1:4">
      <c r="A5230" s="58" t="s">
        <v>8318</v>
      </c>
      <c r="B5230" s="58">
        <v>512115</v>
      </c>
      <c r="C5230" s="58" t="s">
        <v>8319</v>
      </c>
      <c r="D5230" s="58" t="s">
        <v>8317</v>
      </c>
    </row>
    <row r="5231" spans="1:4">
      <c r="A5231" s="58" t="s">
        <v>8320</v>
      </c>
      <c r="B5231" s="58">
        <v>514260</v>
      </c>
      <c r="C5231" s="58" t="s">
        <v>8321</v>
      </c>
      <c r="D5231" s="58" t="s">
        <v>8294</v>
      </c>
    </row>
    <row r="5232" spans="1:4">
      <c r="A5232" s="58" t="s">
        <v>8322</v>
      </c>
      <c r="B5232" s="58">
        <v>523309</v>
      </c>
      <c r="C5232" s="58" t="s">
        <v>8323</v>
      </c>
      <c r="D5232" s="58" t="s">
        <v>8324</v>
      </c>
    </row>
    <row r="5233" spans="1:4">
      <c r="A5233" s="58" t="s">
        <v>8325</v>
      </c>
      <c r="B5233" s="58">
        <v>523868</v>
      </c>
      <c r="C5233" s="58" t="s">
        <v>8326</v>
      </c>
      <c r="D5233" s="58" t="s">
        <v>596</v>
      </c>
    </row>
    <row r="5234" spans="1:4">
      <c r="A5234" s="58" t="s">
        <v>8327</v>
      </c>
      <c r="B5234" s="58">
        <v>524046</v>
      </c>
      <c r="C5234" s="58" t="s">
        <v>8328</v>
      </c>
      <c r="D5234" s="58" t="s">
        <v>8329</v>
      </c>
    </row>
    <row r="5235" spans="1:4">
      <c r="A5235" s="58" t="s">
        <v>8330</v>
      </c>
      <c r="B5235" s="58">
        <v>526345</v>
      </c>
      <c r="C5235" s="58" t="s">
        <v>8331</v>
      </c>
      <c r="D5235" s="58" t="s">
        <v>648</v>
      </c>
    </row>
    <row r="5236" spans="1:4">
      <c r="A5236" s="58" t="s">
        <v>8332</v>
      </c>
      <c r="B5236" s="58">
        <v>526468</v>
      </c>
      <c r="C5236" s="58" t="s">
        <v>8333</v>
      </c>
      <c r="D5236" s="58" t="s">
        <v>8334</v>
      </c>
    </row>
    <row r="5237" spans="1:4">
      <c r="A5237" s="58" t="s">
        <v>8335</v>
      </c>
      <c r="B5237" s="58">
        <v>526677</v>
      </c>
      <c r="C5237" s="58" t="s">
        <v>8336</v>
      </c>
      <c r="D5237" s="58" t="s">
        <v>693</v>
      </c>
    </row>
    <row r="5238" spans="1:4">
      <c r="A5238" s="58" t="s">
        <v>8337</v>
      </c>
      <c r="B5238" s="58">
        <v>526877</v>
      </c>
      <c r="C5238" s="58" t="s">
        <v>8338</v>
      </c>
      <c r="D5238" s="58" t="s">
        <v>8317</v>
      </c>
    </row>
    <row r="5239" spans="1:4">
      <c r="A5239" s="58" t="s">
        <v>8339</v>
      </c>
      <c r="B5239" s="58">
        <v>530027</v>
      </c>
      <c r="C5239" s="58" t="s">
        <v>8340</v>
      </c>
      <c r="D5239" s="58" t="s">
        <v>802</v>
      </c>
    </row>
    <row r="5240" spans="1:4">
      <c r="A5240" s="58" t="s">
        <v>8341</v>
      </c>
      <c r="B5240" s="58">
        <v>531240</v>
      </c>
      <c r="C5240" s="58" t="s">
        <v>8342</v>
      </c>
      <c r="D5240" s="58" t="s">
        <v>8317</v>
      </c>
    </row>
    <row r="5241" spans="1:4">
      <c r="A5241" s="58" t="s">
        <v>8343</v>
      </c>
      <c r="B5241" s="58">
        <v>531399</v>
      </c>
      <c r="C5241" s="58" t="s">
        <v>8344</v>
      </c>
      <c r="D5241" s="58" t="s">
        <v>8300</v>
      </c>
    </row>
    <row r="5242" spans="1:4">
      <c r="A5242" s="58" t="s">
        <v>8345</v>
      </c>
      <c r="B5242" s="58">
        <v>531812</v>
      </c>
      <c r="C5242" s="58" t="s">
        <v>8346</v>
      </c>
      <c r="D5242" s="58" t="s">
        <v>8312</v>
      </c>
    </row>
    <row r="5243" spans="1:4">
      <c r="A5243" s="58" t="s">
        <v>8347</v>
      </c>
      <c r="B5243" s="58">
        <v>532019</v>
      </c>
      <c r="C5243" s="58" t="s">
        <v>8348</v>
      </c>
      <c r="D5243" s="58" t="s">
        <v>8349</v>
      </c>
    </row>
    <row r="5244" spans="1:4">
      <c r="A5244" s="58" t="s">
        <v>8350</v>
      </c>
      <c r="B5244" s="58">
        <v>532335</v>
      </c>
      <c r="C5244" s="58" t="s">
        <v>8351</v>
      </c>
      <c r="D5244" s="58" t="s">
        <v>2404</v>
      </c>
    </row>
    <row r="5245" spans="1:4">
      <c r="A5245" s="58" t="s">
        <v>8352</v>
      </c>
      <c r="B5245" s="58">
        <v>537709</v>
      </c>
      <c r="C5245" s="58" t="s">
        <v>8353</v>
      </c>
      <c r="D5245" s="58" t="s">
        <v>1286</v>
      </c>
    </row>
    <row r="5246" spans="1:4">
      <c r="A5246" s="58" t="s">
        <v>8354</v>
      </c>
      <c r="B5246" s="58">
        <v>543229</v>
      </c>
      <c r="C5246" s="58" t="s">
        <v>8355</v>
      </c>
      <c r="D5246" s="58" t="s">
        <v>8356</v>
      </c>
    </row>
    <row r="5247" spans="1:4">
      <c r="A5247" s="58" t="s">
        <v>8357</v>
      </c>
      <c r="B5247" s="58">
        <v>543245</v>
      </c>
      <c r="C5247" s="58" t="s">
        <v>8358</v>
      </c>
      <c r="D5247" s="58" t="s">
        <v>626</v>
      </c>
    </row>
    <row r="5248" spans="1:4">
      <c r="A5248" s="58" t="s">
        <v>8359</v>
      </c>
      <c r="B5248" s="58">
        <v>543246</v>
      </c>
      <c r="C5248" s="58" t="s">
        <v>8360</v>
      </c>
      <c r="D5248" s="58" t="s">
        <v>225</v>
      </c>
    </row>
    <row r="5249" spans="1:4">
      <c r="A5249" s="58" t="s">
        <v>8361</v>
      </c>
      <c r="B5249" s="58">
        <v>543247</v>
      </c>
      <c r="C5249" s="58" t="s">
        <v>8362</v>
      </c>
      <c r="D5249" s="58" t="s">
        <v>8297</v>
      </c>
    </row>
    <row r="5250" spans="1:4">
      <c r="A5250" s="58" t="s">
        <v>8363</v>
      </c>
      <c r="B5250" s="58">
        <v>543248</v>
      </c>
      <c r="C5250" s="58" t="s">
        <v>8364</v>
      </c>
      <c r="D5250" s="58" t="s">
        <v>1077</v>
      </c>
    </row>
    <row r="5251" spans="1:4">
      <c r="A5251" s="58" t="s">
        <v>8365</v>
      </c>
      <c r="B5251" s="58">
        <v>543249</v>
      </c>
      <c r="C5251" s="58" t="s">
        <v>8366</v>
      </c>
      <c r="D5251" s="58" t="s">
        <v>8367</v>
      </c>
    </row>
    <row r="5252" spans="1:4">
      <c r="A5252" s="58" t="s">
        <v>8368</v>
      </c>
      <c r="B5252" s="58">
        <v>543251</v>
      </c>
      <c r="C5252" s="58" t="s">
        <v>8369</v>
      </c>
      <c r="D5252" s="58" t="s">
        <v>8367</v>
      </c>
    </row>
    <row r="5253" spans="1:4">
      <c r="A5253" s="58" t="s">
        <v>8370</v>
      </c>
      <c r="B5253" s="58">
        <v>543252</v>
      </c>
      <c r="C5253" s="58" t="s">
        <v>8371</v>
      </c>
      <c r="D5253" s="58" t="s">
        <v>748</v>
      </c>
    </row>
    <row r="5254" spans="1:4">
      <c r="A5254" s="58" t="s">
        <v>8372</v>
      </c>
      <c r="B5254" s="58">
        <v>543253</v>
      </c>
      <c r="C5254" s="58" t="s">
        <v>8373</v>
      </c>
      <c r="D5254" s="58" t="s">
        <v>648</v>
      </c>
    </row>
    <row r="5255" spans="1:4">
      <c r="A5255" s="58" t="s">
        <v>8374</v>
      </c>
      <c r="B5255" s="58">
        <v>543254</v>
      </c>
      <c r="C5255" s="58" t="s">
        <v>8375</v>
      </c>
      <c r="D5255" s="58" t="s">
        <v>8376</v>
      </c>
    </row>
    <row r="5256" spans="1:4">
      <c r="A5256" s="58" t="s">
        <v>8377</v>
      </c>
      <c r="B5256" s="58">
        <v>543255</v>
      </c>
      <c r="C5256" s="58" t="s">
        <v>8378</v>
      </c>
      <c r="D5256" s="58" t="s">
        <v>225</v>
      </c>
    </row>
    <row r="5257" spans="1:4">
      <c r="A5257" s="58" t="s">
        <v>8379</v>
      </c>
      <c r="B5257" s="58">
        <v>543256</v>
      </c>
      <c r="C5257" s="58" t="s">
        <v>8380</v>
      </c>
      <c r="D5257" s="58" t="s">
        <v>8381</v>
      </c>
    </row>
    <row r="5258" spans="1:4">
      <c r="A5258" s="58" t="s">
        <v>8382</v>
      </c>
      <c r="B5258" s="58">
        <v>543257</v>
      </c>
      <c r="C5258" s="58" t="s">
        <v>8383</v>
      </c>
      <c r="D5258" s="58" t="s">
        <v>8384</v>
      </c>
    </row>
    <row r="5259" spans="1:4">
      <c r="A5259" s="58" t="s">
        <v>8385</v>
      </c>
      <c r="B5259" s="58">
        <v>543258</v>
      </c>
      <c r="C5259" s="58" t="s">
        <v>8386</v>
      </c>
      <c r="D5259" s="58" t="s">
        <v>8387</v>
      </c>
    </row>
    <row r="5260" spans="1:4">
      <c r="A5260" s="58" t="s">
        <v>8388</v>
      </c>
      <c r="B5260" s="58">
        <v>543259</v>
      </c>
      <c r="C5260" s="58" t="s">
        <v>8389</v>
      </c>
      <c r="D5260" s="58" t="s">
        <v>8390</v>
      </c>
    </row>
    <row r="5261" spans="1:4">
      <c r="A5261" s="58" t="s">
        <v>8391</v>
      </c>
      <c r="B5261" s="58">
        <v>543260</v>
      </c>
      <c r="C5261" s="58" t="s">
        <v>8392</v>
      </c>
      <c r="D5261" s="58" t="s">
        <v>1351</v>
      </c>
    </row>
    <row r="5262" spans="1:4">
      <c r="A5262" s="58" t="s">
        <v>8393</v>
      </c>
      <c r="B5262" s="58">
        <v>543261</v>
      </c>
      <c r="C5262" s="58" t="s">
        <v>8394</v>
      </c>
      <c r="D5262" s="58" t="s">
        <v>8395</v>
      </c>
    </row>
    <row r="5263" spans="1:4">
      <c r="A5263" s="58" t="s">
        <v>8396</v>
      </c>
      <c r="B5263" s="58">
        <v>543262</v>
      </c>
      <c r="C5263" s="58" t="s">
        <v>8397</v>
      </c>
      <c r="D5263" s="58" t="s">
        <v>622</v>
      </c>
    </row>
    <row r="5264" spans="1:4">
      <c r="A5264" s="58" t="s">
        <v>8398</v>
      </c>
      <c r="B5264" s="58">
        <v>543263</v>
      </c>
      <c r="C5264" s="58" t="s">
        <v>8399</v>
      </c>
      <c r="D5264" s="58" t="s">
        <v>8400</v>
      </c>
    </row>
    <row r="5265" spans="1:4">
      <c r="A5265" s="58" t="s">
        <v>8401</v>
      </c>
      <c r="B5265" s="58">
        <v>543264</v>
      </c>
      <c r="C5265" s="58" t="s">
        <v>8402</v>
      </c>
      <c r="D5265" s="58" t="s">
        <v>8403</v>
      </c>
    </row>
    <row r="5266" spans="1:4">
      <c r="A5266" s="58" t="s">
        <v>8404</v>
      </c>
      <c r="B5266" s="58">
        <v>543265</v>
      </c>
      <c r="C5266" s="58" t="s">
        <v>8405</v>
      </c>
      <c r="D5266" s="58" t="s">
        <v>1533</v>
      </c>
    </row>
    <row r="5267" spans="1:4">
      <c r="A5267" s="58" t="s">
        <v>8406</v>
      </c>
      <c r="B5267" s="58">
        <v>543266</v>
      </c>
      <c r="C5267" s="58" t="s">
        <v>8407</v>
      </c>
      <c r="D5267" s="58" t="s">
        <v>8303</v>
      </c>
    </row>
    <row r="5268" spans="1:4">
      <c r="A5268" s="58" t="s">
        <v>8408</v>
      </c>
      <c r="B5268" s="58">
        <v>543267</v>
      </c>
      <c r="C5268" s="58" t="s">
        <v>8409</v>
      </c>
      <c r="D5268" s="58" t="s">
        <v>1286</v>
      </c>
    </row>
    <row r="5269" spans="1:4">
      <c r="A5269" s="58" t="s">
        <v>8410</v>
      </c>
      <c r="B5269" s="58">
        <v>543269</v>
      </c>
      <c r="C5269" s="58" t="s">
        <v>8411</v>
      </c>
      <c r="D5269" s="58" t="s">
        <v>8412</v>
      </c>
    </row>
    <row r="5270" spans="1:4">
      <c r="A5270" s="58" t="s">
        <v>8413</v>
      </c>
      <c r="B5270" s="58">
        <v>543270</v>
      </c>
      <c r="C5270" s="58" t="s">
        <v>8414</v>
      </c>
      <c r="D5270" s="58" t="s">
        <v>8415</v>
      </c>
    </row>
    <row r="5271" spans="1:4">
      <c r="A5271" s="58" t="s">
        <v>8416</v>
      </c>
      <c r="B5271" s="58">
        <v>543271</v>
      </c>
      <c r="C5271" s="58" t="s">
        <v>8417</v>
      </c>
      <c r="D5271" s="58" t="s">
        <v>748</v>
      </c>
    </row>
    <row r="5272" spans="1:4">
      <c r="A5272" s="58" t="s">
        <v>8418</v>
      </c>
      <c r="B5272" s="58">
        <v>543272</v>
      </c>
      <c r="C5272" s="58" t="s">
        <v>8419</v>
      </c>
      <c r="D5272" s="58" t="s">
        <v>8420</v>
      </c>
    </row>
    <row r="5273" spans="1:4">
      <c r="A5273" s="58" t="s">
        <v>8421</v>
      </c>
      <c r="B5273" s="58">
        <v>543273</v>
      </c>
      <c r="C5273" s="58" t="s">
        <v>8422</v>
      </c>
      <c r="D5273" s="58" t="s">
        <v>1833</v>
      </c>
    </row>
    <row r="5274" spans="1:4">
      <c r="A5274" s="58" t="s">
        <v>8423</v>
      </c>
      <c r="B5274" s="58">
        <v>543274</v>
      </c>
      <c r="C5274" s="58" t="s">
        <v>8424</v>
      </c>
      <c r="D5274" s="58" t="s">
        <v>8294</v>
      </c>
    </row>
    <row r="5275" spans="1:4">
      <c r="A5275" s="58" t="s">
        <v>8425</v>
      </c>
      <c r="B5275" s="58">
        <v>543275</v>
      </c>
      <c r="C5275" s="58" t="s">
        <v>8426</v>
      </c>
      <c r="D5275" s="58" t="s">
        <v>748</v>
      </c>
    </row>
    <row r="5276" spans="1:4">
      <c r="A5276" s="58" t="s">
        <v>8427</v>
      </c>
      <c r="B5276" s="58">
        <v>543276</v>
      </c>
      <c r="C5276" s="58" t="s">
        <v>8428</v>
      </c>
      <c r="D5276" s="58" t="s">
        <v>8300</v>
      </c>
    </row>
    <row r="5277" spans="1:4">
      <c r="A5277" s="58" t="s">
        <v>8429</v>
      </c>
      <c r="B5277" s="58">
        <v>543277</v>
      </c>
      <c r="C5277" s="58" t="s">
        <v>8430</v>
      </c>
      <c r="D5277" s="58" t="s">
        <v>748</v>
      </c>
    </row>
    <row r="5278" spans="1:4">
      <c r="A5278" s="58" t="s">
        <v>8431</v>
      </c>
      <c r="B5278" s="58">
        <v>543278</v>
      </c>
      <c r="C5278" s="58" t="s">
        <v>8432</v>
      </c>
      <c r="D5278" s="58" t="s">
        <v>8334</v>
      </c>
    </row>
    <row r="5279" spans="1:4">
      <c r="A5279" s="58" t="s">
        <v>8433</v>
      </c>
      <c r="B5279" s="58">
        <v>543279</v>
      </c>
      <c r="C5279" s="58" t="s">
        <v>8434</v>
      </c>
      <c r="D5279" s="58" t="s">
        <v>8435</v>
      </c>
    </row>
    <row r="5280" spans="1:4">
      <c r="A5280" s="58" t="s">
        <v>8436</v>
      </c>
      <c r="B5280" s="58">
        <v>543280</v>
      </c>
      <c r="C5280" s="58" t="s">
        <v>8437</v>
      </c>
      <c r="D5280" s="58" t="s">
        <v>8438</v>
      </c>
    </row>
    <row r="5281" spans="1:4">
      <c r="A5281" s="58" t="s">
        <v>8439</v>
      </c>
      <c r="B5281" s="58">
        <v>543281</v>
      </c>
      <c r="C5281" s="58" t="s">
        <v>8440</v>
      </c>
      <c r="D5281" s="58" t="s">
        <v>8441</v>
      </c>
    </row>
    <row r="5282" spans="1:4">
      <c r="A5282" s="58" t="s">
        <v>8442</v>
      </c>
      <c r="B5282" s="58">
        <v>543282</v>
      </c>
      <c r="C5282" s="58" t="s">
        <v>8443</v>
      </c>
      <c r="D5282" s="58" t="s">
        <v>8412</v>
      </c>
    </row>
    <row r="5283" spans="1:4">
      <c r="A5283" s="58" t="s">
        <v>8444</v>
      </c>
      <c r="B5283" s="58">
        <v>543283</v>
      </c>
      <c r="C5283" s="58" t="s">
        <v>8445</v>
      </c>
      <c r="D5283" s="58" t="s">
        <v>1077</v>
      </c>
    </row>
    <row r="5284" spans="1:4">
      <c r="A5284" s="58" t="s">
        <v>8446</v>
      </c>
      <c r="B5284" s="58">
        <v>543284</v>
      </c>
      <c r="C5284" s="58" t="s">
        <v>8447</v>
      </c>
      <c r="D5284" s="58" t="s">
        <v>672</v>
      </c>
    </row>
    <row r="5285" spans="1:4">
      <c r="A5285" s="58" t="s">
        <v>8448</v>
      </c>
      <c r="B5285" s="58">
        <v>543285</v>
      </c>
      <c r="C5285" s="58" t="s">
        <v>8449</v>
      </c>
      <c r="D5285" s="58" t="s">
        <v>8450</v>
      </c>
    </row>
    <row r="5286" spans="1:4">
      <c r="A5286" s="58" t="s">
        <v>8451</v>
      </c>
      <c r="B5286" s="58">
        <v>543286</v>
      </c>
      <c r="C5286" s="58" t="s">
        <v>8452</v>
      </c>
      <c r="D5286" s="58" t="s">
        <v>668</v>
      </c>
    </row>
    <row r="5287" spans="1:4">
      <c r="A5287" s="58" t="s">
        <v>8453</v>
      </c>
      <c r="B5287" s="58">
        <v>543287</v>
      </c>
      <c r="C5287" s="58" t="s">
        <v>8454</v>
      </c>
      <c r="D5287" s="58" t="s">
        <v>8367</v>
      </c>
    </row>
    <row r="5288" spans="1:4">
      <c r="A5288" s="58" t="s">
        <v>8455</v>
      </c>
      <c r="B5288" s="58">
        <v>543288</v>
      </c>
      <c r="C5288" s="58" t="s">
        <v>2094</v>
      </c>
      <c r="D5288" s="58" t="s">
        <v>8456</v>
      </c>
    </row>
    <row r="5289" spans="1:4">
      <c r="A5289" s="58" t="s">
        <v>8457</v>
      </c>
      <c r="B5289" s="58">
        <v>543289</v>
      </c>
      <c r="C5289" s="58" t="s">
        <v>8458</v>
      </c>
      <c r="D5289" s="58" t="s">
        <v>693</v>
      </c>
    </row>
    <row r="5290" spans="1:4">
      <c r="A5290" s="58" t="s">
        <v>8459</v>
      </c>
      <c r="B5290" s="58">
        <v>543290</v>
      </c>
      <c r="C5290" s="58" t="s">
        <v>8460</v>
      </c>
      <c r="D5290" s="58" t="s">
        <v>8461</v>
      </c>
    </row>
    <row r="5291" spans="1:4">
      <c r="A5291" s="58" t="s">
        <v>8462</v>
      </c>
      <c r="B5291" s="58">
        <v>543291</v>
      </c>
      <c r="C5291" s="58" t="s">
        <v>8463</v>
      </c>
      <c r="D5291" s="58" t="s">
        <v>225</v>
      </c>
    </row>
    <row r="5292" spans="1:4">
      <c r="A5292" s="58" t="s">
        <v>8464</v>
      </c>
      <c r="B5292" s="58">
        <v>543292</v>
      </c>
      <c r="C5292" s="58" t="s">
        <v>8465</v>
      </c>
      <c r="D5292" s="58" t="s">
        <v>225</v>
      </c>
    </row>
    <row r="5293" spans="1:4">
      <c r="A5293" s="58" t="s">
        <v>8466</v>
      </c>
      <c r="B5293" s="58">
        <v>543297</v>
      </c>
      <c r="C5293" s="58" t="s">
        <v>8467</v>
      </c>
      <c r="D5293" s="58" t="s">
        <v>631</v>
      </c>
    </row>
    <row r="5294" spans="1:4">
      <c r="A5294" s="58" t="s">
        <v>8468</v>
      </c>
      <c r="B5294" s="58">
        <v>543298</v>
      </c>
      <c r="C5294" s="58" t="s">
        <v>8469</v>
      </c>
      <c r="D5294" s="58" t="s">
        <v>626</v>
      </c>
    </row>
    <row r="5295" spans="1:4">
      <c r="A5295" s="58" t="s">
        <v>8470</v>
      </c>
      <c r="B5295" s="58">
        <v>543299</v>
      </c>
      <c r="C5295" s="58" t="s">
        <v>8471</v>
      </c>
      <c r="D5295" s="58" t="s">
        <v>8472</v>
      </c>
    </row>
    <row r="5296" spans="1:4">
      <c r="A5296" s="58" t="s">
        <v>8473</v>
      </c>
      <c r="B5296" s="58">
        <v>543300</v>
      </c>
      <c r="C5296" s="58" t="s">
        <v>8474</v>
      </c>
      <c r="D5296" s="58" t="s">
        <v>8300</v>
      </c>
    </row>
    <row r="5297" spans="1:4">
      <c r="A5297" s="58" t="s">
        <v>8475</v>
      </c>
      <c r="B5297" s="58">
        <v>543305</v>
      </c>
      <c r="C5297" s="58" t="s">
        <v>8476</v>
      </c>
      <c r="D5297" s="58" t="s">
        <v>672</v>
      </c>
    </row>
    <row r="5298" spans="1:4">
      <c r="A5298" s="58" t="s">
        <v>8477</v>
      </c>
      <c r="B5298" s="58">
        <v>543306</v>
      </c>
      <c r="C5298" s="58" t="s">
        <v>8478</v>
      </c>
      <c r="D5298" s="58" t="s">
        <v>8479</v>
      </c>
    </row>
    <row r="5299" spans="1:4">
      <c r="A5299" s="58" t="s">
        <v>8480</v>
      </c>
      <c r="B5299" s="58">
        <v>543308</v>
      </c>
      <c r="C5299" s="58" t="s">
        <v>8481</v>
      </c>
      <c r="D5299" s="58" t="s">
        <v>8482</v>
      </c>
    </row>
    <row r="5300" spans="1:4">
      <c r="A5300" s="58" t="s">
        <v>8483</v>
      </c>
      <c r="B5300" s="58">
        <v>543309</v>
      </c>
      <c r="C5300" s="58" t="s">
        <v>8484</v>
      </c>
      <c r="D5300" s="58" t="s">
        <v>8485</v>
      </c>
    </row>
    <row r="5301" spans="1:4">
      <c r="A5301" s="58" t="s">
        <v>8486</v>
      </c>
      <c r="B5301" s="58">
        <v>543310</v>
      </c>
      <c r="C5301" s="58" t="s">
        <v>8487</v>
      </c>
      <c r="D5301" s="58" t="s">
        <v>786</v>
      </c>
    </row>
    <row r="5302" spans="1:4">
      <c r="A5302" s="58" t="s">
        <v>8488</v>
      </c>
      <c r="B5302" s="58">
        <v>543311</v>
      </c>
      <c r="C5302" s="58" t="s">
        <v>8489</v>
      </c>
      <c r="D5302" s="58" t="s">
        <v>8303</v>
      </c>
    </row>
    <row r="5303" spans="1:4">
      <c r="A5303" s="58" t="s">
        <v>8490</v>
      </c>
      <c r="B5303" s="58">
        <v>543312</v>
      </c>
      <c r="C5303" s="58" t="s">
        <v>2509</v>
      </c>
      <c r="D5303" s="58" t="s">
        <v>8412</v>
      </c>
    </row>
    <row r="5304" spans="1:4">
      <c r="A5304" s="58" t="s">
        <v>8491</v>
      </c>
      <c r="B5304" s="58">
        <v>543317</v>
      </c>
      <c r="C5304" s="58" t="s">
        <v>8492</v>
      </c>
      <c r="D5304" s="58" t="s">
        <v>8493</v>
      </c>
    </row>
    <row r="5305" spans="1:4">
      <c r="A5305" s="58" t="s">
        <v>8494</v>
      </c>
      <c r="B5305" s="58">
        <v>543318</v>
      </c>
      <c r="C5305" s="58" t="s">
        <v>8495</v>
      </c>
      <c r="D5305" s="58" t="s">
        <v>636</v>
      </c>
    </row>
    <row r="5306" spans="1:4">
      <c r="A5306" s="58" t="s">
        <v>8496</v>
      </c>
      <c r="B5306" s="58">
        <v>543319</v>
      </c>
      <c r="C5306" s="58" t="s">
        <v>8497</v>
      </c>
      <c r="D5306" s="58" t="s">
        <v>8317</v>
      </c>
    </row>
    <row r="5307" spans="1:4">
      <c r="A5307" s="58" t="s">
        <v>8498</v>
      </c>
      <c r="B5307" s="58">
        <v>543320</v>
      </c>
      <c r="C5307" s="58" t="s">
        <v>8499</v>
      </c>
      <c r="D5307" s="58" t="s">
        <v>8500</v>
      </c>
    </row>
    <row r="5308" spans="1:4">
      <c r="A5308" s="58" t="s">
        <v>8501</v>
      </c>
      <c r="B5308" s="58">
        <v>543321</v>
      </c>
      <c r="C5308" s="58" t="s">
        <v>8502</v>
      </c>
      <c r="D5308" s="58" t="s">
        <v>748</v>
      </c>
    </row>
    <row r="5309" spans="1:4">
      <c r="A5309" s="58" t="s">
        <v>8503</v>
      </c>
      <c r="B5309" s="58">
        <v>543322</v>
      </c>
      <c r="C5309" s="58" t="s">
        <v>8504</v>
      </c>
      <c r="D5309" s="58" t="s">
        <v>626</v>
      </c>
    </row>
    <row r="5310" spans="1:4">
      <c r="A5310" s="58" t="s">
        <v>8505</v>
      </c>
      <c r="B5310" s="58">
        <v>543323</v>
      </c>
      <c r="C5310" s="58" t="s">
        <v>8506</v>
      </c>
      <c r="D5310" s="58" t="s">
        <v>225</v>
      </c>
    </row>
    <row r="5311" spans="1:4">
      <c r="A5311" s="58" t="s">
        <v>8507</v>
      </c>
      <c r="B5311" s="58">
        <v>543324</v>
      </c>
      <c r="C5311" s="58" t="s">
        <v>8508</v>
      </c>
      <c r="D5311" s="58" t="s">
        <v>8509</v>
      </c>
    </row>
    <row r="5312" spans="1:4">
      <c r="A5312" s="58" t="s">
        <v>8510</v>
      </c>
      <c r="B5312" s="58">
        <v>543325</v>
      </c>
      <c r="C5312" s="58" t="s">
        <v>8511</v>
      </c>
      <c r="D5312" s="58" t="s">
        <v>8300</v>
      </c>
    </row>
    <row r="5313" spans="1:4">
      <c r="A5313" s="58" t="s">
        <v>8512</v>
      </c>
      <c r="B5313" s="58">
        <v>543326</v>
      </c>
      <c r="C5313" s="58" t="s">
        <v>8513</v>
      </c>
      <c r="D5313" s="58" t="s">
        <v>225</v>
      </c>
    </row>
    <row r="5314" spans="1:4">
      <c r="A5314" s="58" t="s">
        <v>8514</v>
      </c>
      <c r="B5314" s="58">
        <v>543327</v>
      </c>
      <c r="C5314" s="58" t="s">
        <v>8515</v>
      </c>
      <c r="D5314" s="58" t="s">
        <v>8516</v>
      </c>
    </row>
    <row r="5315" spans="1:4">
      <c r="A5315" s="58" t="s">
        <v>8517</v>
      </c>
      <c r="B5315" s="58">
        <v>543328</v>
      </c>
      <c r="C5315" s="58" t="s">
        <v>8518</v>
      </c>
      <c r="D5315" s="58" t="s">
        <v>8519</v>
      </c>
    </row>
    <row r="5316" spans="1:4">
      <c r="A5316" s="58" t="s">
        <v>8520</v>
      </c>
      <c r="B5316" s="58">
        <v>543329</v>
      </c>
      <c r="C5316" s="58" t="s">
        <v>8521</v>
      </c>
      <c r="D5316" s="58" t="s">
        <v>626</v>
      </c>
    </row>
    <row r="5317" spans="1:4">
      <c r="A5317" s="58" t="s">
        <v>8522</v>
      </c>
      <c r="B5317" s="58">
        <v>543330</v>
      </c>
      <c r="C5317" s="58" t="s">
        <v>8523</v>
      </c>
      <c r="D5317" s="58" t="s">
        <v>1077</v>
      </c>
    </row>
    <row r="5318" spans="1:4">
      <c r="A5318" s="58" t="s">
        <v>8524</v>
      </c>
      <c r="B5318" s="58">
        <v>543331</v>
      </c>
      <c r="C5318" s="58" t="s">
        <v>8525</v>
      </c>
      <c r="D5318" s="58" t="s">
        <v>8303</v>
      </c>
    </row>
    <row r="5319" spans="1:4">
      <c r="A5319" s="58" t="s">
        <v>8526</v>
      </c>
      <c r="B5319" s="58">
        <v>543332</v>
      </c>
      <c r="C5319" s="58" t="s">
        <v>8527</v>
      </c>
      <c r="D5319" s="58" t="s">
        <v>748</v>
      </c>
    </row>
    <row r="5320" spans="1:4">
      <c r="A5320" s="58" t="s">
        <v>8528</v>
      </c>
      <c r="B5320" s="58">
        <v>543333</v>
      </c>
      <c r="C5320" s="58" t="s">
        <v>8529</v>
      </c>
      <c r="D5320" s="58" t="s">
        <v>8500</v>
      </c>
    </row>
    <row r="5321" spans="1:4">
      <c r="A5321" s="58" t="s">
        <v>8530</v>
      </c>
      <c r="B5321" s="58">
        <v>543334</v>
      </c>
      <c r="C5321" s="58" t="s">
        <v>8531</v>
      </c>
      <c r="D5321" s="58" t="s">
        <v>601</v>
      </c>
    </row>
    <row r="5322" spans="1:4">
      <c r="A5322" s="58" t="s">
        <v>8532</v>
      </c>
      <c r="B5322" s="58">
        <v>543335</v>
      </c>
      <c r="C5322" s="58" t="s">
        <v>8533</v>
      </c>
      <c r="D5322" s="58" t="s">
        <v>8390</v>
      </c>
    </row>
    <row r="5323" spans="1:4">
      <c r="A5323" s="58" t="s">
        <v>8534</v>
      </c>
      <c r="B5323" s="58">
        <v>543336</v>
      </c>
      <c r="C5323" s="58" t="s">
        <v>8535</v>
      </c>
      <c r="D5323" s="58" t="s">
        <v>636</v>
      </c>
    </row>
    <row r="5324" spans="1:4">
      <c r="A5324" s="58" t="s">
        <v>8536</v>
      </c>
      <c r="B5324" s="58">
        <v>543341</v>
      </c>
      <c r="C5324" s="58" t="s">
        <v>8537</v>
      </c>
      <c r="D5324" s="58" t="s">
        <v>8538</v>
      </c>
    </row>
    <row r="5325" spans="1:4">
      <c r="A5325" s="58" t="s">
        <v>8539</v>
      </c>
      <c r="B5325" s="58">
        <v>543346</v>
      </c>
      <c r="C5325" s="58" t="s">
        <v>8540</v>
      </c>
      <c r="D5325" s="58" t="s">
        <v>8482</v>
      </c>
    </row>
    <row r="5326" spans="1:4">
      <c r="A5326" s="58" t="s">
        <v>8541</v>
      </c>
      <c r="B5326" s="58">
        <v>543347</v>
      </c>
      <c r="C5326" s="58" t="s">
        <v>8542</v>
      </c>
      <c r="D5326" s="58" t="s">
        <v>225</v>
      </c>
    </row>
    <row r="5327" spans="1:4">
      <c r="A5327" s="58" t="s">
        <v>8543</v>
      </c>
      <c r="B5327" s="58">
        <v>543348</v>
      </c>
      <c r="C5327" s="58" t="s">
        <v>8544</v>
      </c>
      <c r="D5327" s="58" t="s">
        <v>225</v>
      </c>
    </row>
    <row r="5328" spans="1:4">
      <c r="A5328" s="58" t="s">
        <v>8545</v>
      </c>
      <c r="B5328" s="58">
        <v>543349</v>
      </c>
      <c r="C5328" s="58" t="s">
        <v>8546</v>
      </c>
      <c r="D5328" s="58" t="s">
        <v>626</v>
      </c>
    </row>
    <row r="5329" spans="1:4">
      <c r="A5329" s="58" t="s">
        <v>8547</v>
      </c>
      <c r="B5329" s="58">
        <v>543350</v>
      </c>
      <c r="C5329" s="58" t="s">
        <v>8548</v>
      </c>
      <c r="D5329" s="58" t="s">
        <v>8519</v>
      </c>
    </row>
    <row r="5330" spans="1:4">
      <c r="A5330" s="58" t="s">
        <v>8549</v>
      </c>
      <c r="B5330" s="58">
        <v>543351</v>
      </c>
      <c r="C5330" s="58" t="s">
        <v>8550</v>
      </c>
      <c r="D5330" s="58" t="s">
        <v>8412</v>
      </c>
    </row>
    <row r="5331" spans="1:4">
      <c r="A5331" s="58" t="s">
        <v>8551</v>
      </c>
      <c r="B5331" s="58">
        <v>543352</v>
      </c>
      <c r="C5331" s="58" t="s">
        <v>8552</v>
      </c>
      <c r="D5331" s="58" t="s">
        <v>8553</v>
      </c>
    </row>
    <row r="5332" spans="1:4">
      <c r="A5332" s="58" t="s">
        <v>8554</v>
      </c>
      <c r="B5332" s="58">
        <v>543357</v>
      </c>
      <c r="C5332" s="58" t="s">
        <v>8555</v>
      </c>
      <c r="D5332" s="58" t="s">
        <v>225</v>
      </c>
    </row>
    <row r="5333" spans="1:4">
      <c r="A5333" s="58" t="s">
        <v>8556</v>
      </c>
      <c r="B5333" s="58">
        <v>543358</v>
      </c>
      <c r="C5333" s="58" t="s">
        <v>8557</v>
      </c>
      <c r="D5333" s="58" t="s">
        <v>8300</v>
      </c>
    </row>
    <row r="5334" spans="1:4">
      <c r="A5334" s="58" t="s">
        <v>8558</v>
      </c>
      <c r="B5334" s="58">
        <v>543363</v>
      </c>
      <c r="C5334" s="58" t="s">
        <v>8559</v>
      </c>
      <c r="D5334" s="58" t="s">
        <v>8403</v>
      </c>
    </row>
    <row r="5335" spans="1:4">
      <c r="A5335" s="58" t="s">
        <v>8560</v>
      </c>
      <c r="B5335" s="58">
        <v>543364</v>
      </c>
      <c r="C5335" s="58" t="s">
        <v>8561</v>
      </c>
      <c r="D5335" s="58" t="s">
        <v>8493</v>
      </c>
    </row>
    <row r="5336" spans="1:4">
      <c r="A5336" s="58" t="s">
        <v>8562</v>
      </c>
      <c r="B5336" s="58">
        <v>543365</v>
      </c>
      <c r="C5336" s="58" t="s">
        <v>8563</v>
      </c>
      <c r="D5336" s="58" t="s">
        <v>225</v>
      </c>
    </row>
    <row r="5337" spans="1:4">
      <c r="A5337" s="58" t="s">
        <v>8564</v>
      </c>
      <c r="B5337" s="58">
        <v>543366</v>
      </c>
      <c r="C5337" s="58" t="s">
        <v>8565</v>
      </c>
      <c r="D5337" s="58" t="s">
        <v>8367</v>
      </c>
    </row>
    <row r="5338" spans="1:4">
      <c r="A5338" s="58" t="s">
        <v>8566</v>
      </c>
      <c r="B5338" s="58">
        <v>543367</v>
      </c>
      <c r="C5338" s="58" t="s">
        <v>8567</v>
      </c>
      <c r="D5338" s="58" t="s">
        <v>8415</v>
      </c>
    </row>
    <row r="5339" spans="1:4">
      <c r="A5339" s="58" t="s">
        <v>8568</v>
      </c>
      <c r="B5339" s="58">
        <v>543372</v>
      </c>
      <c r="C5339" s="58" t="s">
        <v>8569</v>
      </c>
      <c r="D5339" s="58" t="s">
        <v>8570</v>
      </c>
    </row>
    <row r="5340" spans="1:4">
      <c r="A5340" s="58" t="s">
        <v>8571</v>
      </c>
      <c r="B5340" s="58">
        <v>543373</v>
      </c>
      <c r="C5340" s="58" t="s">
        <v>8572</v>
      </c>
      <c r="D5340" s="58" t="s">
        <v>8324</v>
      </c>
    </row>
    <row r="5341" spans="1:4">
      <c r="A5341" s="58" t="s">
        <v>8573</v>
      </c>
      <c r="B5341" s="58">
        <v>543374</v>
      </c>
      <c r="C5341" s="58" t="s">
        <v>8574</v>
      </c>
      <c r="D5341" s="58" t="s">
        <v>8575</v>
      </c>
    </row>
    <row r="5342" spans="1:4">
      <c r="A5342" s="58" t="s">
        <v>8576</v>
      </c>
      <c r="B5342" s="58">
        <v>543375</v>
      </c>
      <c r="C5342" s="58" t="s">
        <v>8577</v>
      </c>
      <c r="D5342" s="58" t="s">
        <v>8578</v>
      </c>
    </row>
    <row r="5343" spans="1:4">
      <c r="A5343" s="58" t="s">
        <v>8579</v>
      </c>
      <c r="B5343" s="58">
        <v>543376</v>
      </c>
      <c r="C5343" s="58" t="s">
        <v>8580</v>
      </c>
      <c r="D5343" s="58" t="s">
        <v>8367</v>
      </c>
    </row>
    <row r="5344" spans="1:4">
      <c r="A5344" s="58" t="s">
        <v>8581</v>
      </c>
      <c r="B5344" s="58">
        <v>543377</v>
      </c>
      <c r="C5344" s="58" t="s">
        <v>8582</v>
      </c>
      <c r="D5344" s="58" t="s">
        <v>911</v>
      </c>
    </row>
    <row r="5345" spans="1:4">
      <c r="A5345" s="58" t="s">
        <v>8583</v>
      </c>
      <c r="B5345" s="58">
        <v>543378</v>
      </c>
      <c r="C5345" s="58" t="s">
        <v>8584</v>
      </c>
      <c r="D5345" s="58" t="s">
        <v>957</v>
      </c>
    </row>
    <row r="5346" spans="1:4">
      <c r="A5346" s="58" t="s">
        <v>8585</v>
      </c>
      <c r="B5346" s="58">
        <v>543383</v>
      </c>
      <c r="C5346" s="58" t="s">
        <v>8586</v>
      </c>
      <c r="D5346" s="58" t="s">
        <v>225</v>
      </c>
    </row>
    <row r="5347" spans="1:4">
      <c r="A5347" s="58" t="s">
        <v>8587</v>
      </c>
      <c r="B5347" s="58">
        <v>543384</v>
      </c>
      <c r="C5347" s="58" t="s">
        <v>8588</v>
      </c>
      <c r="D5347" s="58" t="s">
        <v>8500</v>
      </c>
    </row>
    <row r="5348" spans="1:4">
      <c r="A5348" s="58" t="s">
        <v>8589</v>
      </c>
      <c r="B5348" s="58">
        <v>543385</v>
      </c>
      <c r="C5348" s="58" t="s">
        <v>8590</v>
      </c>
      <c r="D5348" s="58" t="s">
        <v>8493</v>
      </c>
    </row>
    <row r="5349" spans="1:4">
      <c r="A5349" s="58" t="s">
        <v>8591</v>
      </c>
      <c r="B5349" s="58">
        <v>543386</v>
      </c>
      <c r="C5349" s="58" t="s">
        <v>8592</v>
      </c>
      <c r="D5349" s="58" t="s">
        <v>8435</v>
      </c>
    </row>
    <row r="5350" spans="1:4">
      <c r="A5350" s="58" t="s">
        <v>8593</v>
      </c>
      <c r="B5350" s="58">
        <v>543387</v>
      </c>
      <c r="C5350" s="58" t="s">
        <v>8594</v>
      </c>
      <c r="D5350" s="58" t="s">
        <v>8300</v>
      </c>
    </row>
    <row r="5351" spans="1:4">
      <c r="A5351" s="58" t="s">
        <v>8595</v>
      </c>
      <c r="B5351" s="58">
        <v>543388</v>
      </c>
      <c r="C5351" s="58" t="s">
        <v>8596</v>
      </c>
      <c r="D5351" s="58" t="s">
        <v>225</v>
      </c>
    </row>
    <row r="5352" spans="1:4">
      <c r="A5352" s="58" t="s">
        <v>8597</v>
      </c>
      <c r="B5352" s="58">
        <v>543389</v>
      </c>
      <c r="C5352" s="58" t="s">
        <v>8598</v>
      </c>
      <c r="D5352" s="58" t="s">
        <v>626</v>
      </c>
    </row>
    <row r="5353" spans="1:4">
      <c r="A5353" s="58" t="s">
        <v>8599</v>
      </c>
      <c r="B5353" s="58">
        <v>543390</v>
      </c>
      <c r="C5353" s="58" t="s">
        <v>8600</v>
      </c>
      <c r="D5353" s="58" t="s">
        <v>8441</v>
      </c>
    </row>
    <row r="5354" spans="1:4">
      <c r="A5354" s="58" t="s">
        <v>8601</v>
      </c>
      <c r="B5354" s="58">
        <v>543391</v>
      </c>
      <c r="C5354" s="58" t="s">
        <v>8602</v>
      </c>
      <c r="D5354" s="58" t="s">
        <v>8493</v>
      </c>
    </row>
    <row r="5355" spans="1:4">
      <c r="A5355" s="58" t="s">
        <v>8603</v>
      </c>
      <c r="B5355" s="58">
        <v>543396</v>
      </c>
      <c r="C5355" s="58" t="s">
        <v>8604</v>
      </c>
      <c r="D5355" s="58" t="s">
        <v>8441</v>
      </c>
    </row>
    <row r="5356" spans="1:4">
      <c r="A5356" s="58" t="s">
        <v>8605</v>
      </c>
      <c r="B5356" s="58">
        <v>543397</v>
      </c>
      <c r="C5356" s="58" t="s">
        <v>8606</v>
      </c>
      <c r="D5356" s="58" t="s">
        <v>1077</v>
      </c>
    </row>
    <row r="5357" spans="1:4">
      <c r="A5357" s="58" t="s">
        <v>8607</v>
      </c>
      <c r="B5357" s="58">
        <v>543398</v>
      </c>
      <c r="C5357" s="58" t="s">
        <v>8608</v>
      </c>
      <c r="D5357" s="58" t="s">
        <v>8412</v>
      </c>
    </row>
    <row r="5358" spans="1:4">
      <c r="A5358" s="58" t="s">
        <v>8609</v>
      </c>
      <c r="B5358" s="58">
        <v>543399</v>
      </c>
      <c r="C5358" s="58" t="s">
        <v>8610</v>
      </c>
      <c r="D5358" s="58" t="s">
        <v>8403</v>
      </c>
    </row>
    <row r="5359" spans="1:4">
      <c r="A5359" s="58" t="s">
        <v>8611</v>
      </c>
      <c r="B5359" s="58">
        <v>543400</v>
      </c>
      <c r="C5359" s="58" t="s">
        <v>8612</v>
      </c>
      <c r="D5359" s="58" t="s">
        <v>8613</v>
      </c>
    </row>
    <row r="5360" spans="1:4">
      <c r="A5360" s="58" t="s">
        <v>8614</v>
      </c>
      <c r="B5360" s="58">
        <v>543401</v>
      </c>
      <c r="C5360" s="58" t="s">
        <v>8615</v>
      </c>
      <c r="D5360" s="58" t="s">
        <v>8616</v>
      </c>
    </row>
    <row r="5361" spans="1:4">
      <c r="A5361" s="58" t="s">
        <v>8617</v>
      </c>
      <c r="B5361" s="58">
        <v>543410</v>
      </c>
      <c r="C5361" s="58" t="s">
        <v>8618</v>
      </c>
      <c r="D5361" s="58" t="s">
        <v>672</v>
      </c>
    </row>
    <row r="5362" spans="1:4">
      <c r="A5362" s="58" t="s">
        <v>8619</v>
      </c>
      <c r="B5362" s="58">
        <v>543411</v>
      </c>
      <c r="C5362" s="58" t="s">
        <v>3113</v>
      </c>
      <c r="D5362" s="58" t="s">
        <v>911</v>
      </c>
    </row>
    <row r="5363" spans="1:4">
      <c r="A5363" s="58" t="s">
        <v>8620</v>
      </c>
      <c r="B5363" s="58">
        <v>543412</v>
      </c>
      <c r="C5363" s="58" t="s">
        <v>8621</v>
      </c>
      <c r="D5363" s="58" t="s">
        <v>2668</v>
      </c>
    </row>
    <row r="5364" spans="1:4">
      <c r="A5364" s="58" t="s">
        <v>8622</v>
      </c>
      <c r="B5364" s="58">
        <v>543413</v>
      </c>
      <c r="C5364" s="58" t="s">
        <v>8623</v>
      </c>
      <c r="D5364" s="58" t="s">
        <v>8624</v>
      </c>
    </row>
    <row r="5365" spans="1:4">
      <c r="A5365" s="58" t="s">
        <v>8625</v>
      </c>
      <c r="B5365" s="58">
        <v>543414</v>
      </c>
      <c r="C5365" s="58" t="s">
        <v>8626</v>
      </c>
      <c r="D5365" s="58" t="s">
        <v>225</v>
      </c>
    </row>
    <row r="5366" spans="1:4">
      <c r="A5366" s="58" t="s">
        <v>8627</v>
      </c>
      <c r="B5366" s="58">
        <v>543415</v>
      </c>
      <c r="C5366" s="58" t="s">
        <v>8628</v>
      </c>
      <c r="D5366" s="58" t="s">
        <v>8629</v>
      </c>
    </row>
    <row r="5367" spans="1:4">
      <c r="A5367" s="58" t="s">
        <v>8630</v>
      </c>
      <c r="B5367" s="58">
        <v>543416</v>
      </c>
      <c r="C5367" s="58" t="s">
        <v>7511</v>
      </c>
      <c r="D5367" s="58" t="s">
        <v>8578</v>
      </c>
    </row>
    <row r="5368" spans="1:4">
      <c r="A5368" s="58" t="s">
        <v>8631</v>
      </c>
      <c r="B5368" s="58">
        <v>543417</v>
      </c>
      <c r="C5368" s="58" t="s">
        <v>8632</v>
      </c>
      <c r="D5368" s="58" t="s">
        <v>8412</v>
      </c>
    </row>
    <row r="5369" spans="1:4">
      <c r="A5369" s="58" t="s">
        <v>8633</v>
      </c>
      <c r="B5369" s="58">
        <v>543419</v>
      </c>
      <c r="C5369" s="58" t="s">
        <v>8634</v>
      </c>
      <c r="D5369" s="58" t="s">
        <v>8367</v>
      </c>
    </row>
    <row r="5370" spans="1:4">
      <c r="A5370" s="58" t="s">
        <v>8635</v>
      </c>
      <c r="B5370" s="58">
        <v>543420</v>
      </c>
      <c r="C5370" s="58" t="s">
        <v>3558</v>
      </c>
      <c r="D5370" s="58" t="s">
        <v>8636</v>
      </c>
    </row>
    <row r="5371" spans="1:4">
      <c r="A5371" s="58" t="s">
        <v>8637</v>
      </c>
      <c r="B5371" s="58">
        <v>543425</v>
      </c>
      <c r="C5371" s="58" t="s">
        <v>8638</v>
      </c>
      <c r="D5371" s="58" t="s">
        <v>8639</v>
      </c>
    </row>
    <row r="5372" spans="1:4">
      <c r="A5372" s="58" t="s">
        <v>8640</v>
      </c>
      <c r="B5372" s="58">
        <v>543426</v>
      </c>
      <c r="C5372" s="58" t="s">
        <v>8641</v>
      </c>
      <c r="D5372" s="58" t="s">
        <v>1014</v>
      </c>
    </row>
    <row r="5373" spans="1:4">
      <c r="A5373" s="58" t="s">
        <v>8642</v>
      </c>
      <c r="B5373" s="58">
        <v>543427</v>
      </c>
      <c r="C5373" s="58" t="s">
        <v>8643</v>
      </c>
      <c r="D5373" s="58" t="s">
        <v>8644</v>
      </c>
    </row>
    <row r="5374" spans="1:4">
      <c r="A5374" s="58" t="s">
        <v>8645</v>
      </c>
      <c r="B5374" s="58">
        <v>543428</v>
      </c>
      <c r="C5374" s="58" t="s">
        <v>8646</v>
      </c>
      <c r="D5374" s="58" t="s">
        <v>8415</v>
      </c>
    </row>
    <row r="5375" spans="1:4">
      <c r="A5375" s="58" t="s">
        <v>8647</v>
      </c>
      <c r="B5375" s="58">
        <v>543433</v>
      </c>
      <c r="C5375" s="58" t="s">
        <v>8648</v>
      </c>
      <c r="D5375" s="58" t="s">
        <v>748</v>
      </c>
    </row>
    <row r="5376" spans="1:4">
      <c r="A5376" s="58" t="s">
        <v>8649</v>
      </c>
      <c r="B5376" s="58">
        <v>543434</v>
      </c>
      <c r="C5376" s="58" t="s">
        <v>8650</v>
      </c>
      <c r="D5376" s="58" t="s">
        <v>626</v>
      </c>
    </row>
    <row r="5377" spans="1:4">
      <c r="A5377" s="58" t="s">
        <v>8651</v>
      </c>
      <c r="B5377" s="58">
        <v>543435</v>
      </c>
      <c r="C5377" s="58" t="s">
        <v>8652</v>
      </c>
      <c r="D5377" s="58" t="s">
        <v>8450</v>
      </c>
    </row>
    <row r="5378" spans="1:4">
      <c r="A5378" s="58" t="s">
        <v>8653</v>
      </c>
      <c r="B5378" s="58">
        <v>543436</v>
      </c>
      <c r="C5378" s="58" t="s">
        <v>8654</v>
      </c>
      <c r="D5378" s="58" t="s">
        <v>8412</v>
      </c>
    </row>
    <row r="5379" spans="1:4">
      <c r="A5379" s="58" t="s">
        <v>8655</v>
      </c>
      <c r="B5379" s="58">
        <v>543437</v>
      </c>
      <c r="C5379" s="58" t="s">
        <v>8656</v>
      </c>
      <c r="D5379" s="58" t="s">
        <v>225</v>
      </c>
    </row>
    <row r="5380" spans="1:4">
      <c r="A5380" s="58" t="s">
        <v>8657</v>
      </c>
      <c r="B5380" s="58">
        <v>543438</v>
      </c>
      <c r="C5380" s="58" t="s">
        <v>8658</v>
      </c>
      <c r="D5380" s="58" t="s">
        <v>225</v>
      </c>
    </row>
    <row r="5381" spans="1:4">
      <c r="A5381" s="58" t="s">
        <v>8659</v>
      </c>
      <c r="B5381" s="58">
        <v>543439</v>
      </c>
      <c r="C5381" s="58" t="s">
        <v>8660</v>
      </c>
      <c r="D5381" s="58" t="s">
        <v>8538</v>
      </c>
    </row>
    <row r="5382" spans="1:4">
      <c r="A5382" s="58" t="s">
        <v>8661</v>
      </c>
      <c r="B5382" s="58">
        <v>543440</v>
      </c>
      <c r="C5382" s="58" t="s">
        <v>8662</v>
      </c>
      <c r="D5382" s="58" t="s">
        <v>225</v>
      </c>
    </row>
    <row r="5383" spans="1:4">
      <c r="A5383" s="58" t="s">
        <v>8663</v>
      </c>
      <c r="B5383" s="58">
        <v>543441</v>
      </c>
      <c r="C5383" s="58" t="s">
        <v>8664</v>
      </c>
      <c r="D5383" s="58" t="s">
        <v>7538</v>
      </c>
    </row>
    <row r="5384" spans="1:4">
      <c r="A5384" s="58" t="s">
        <v>8665</v>
      </c>
      <c r="B5384" s="58">
        <v>543442</v>
      </c>
      <c r="C5384" s="58" t="s">
        <v>1643</v>
      </c>
      <c r="D5384" s="58" t="s">
        <v>8616</v>
      </c>
    </row>
    <row r="5385" spans="1:4">
      <c r="A5385" s="58" t="s">
        <v>8666</v>
      </c>
      <c r="B5385" s="58">
        <v>543443</v>
      </c>
      <c r="C5385" s="58" t="s">
        <v>8667</v>
      </c>
      <c r="D5385" s="58" t="s">
        <v>693</v>
      </c>
    </row>
    <row r="5386" spans="1:4">
      <c r="A5386" s="58" t="s">
        <v>8668</v>
      </c>
      <c r="B5386" s="58">
        <v>543444</v>
      </c>
      <c r="C5386" s="58" t="s">
        <v>8669</v>
      </c>
      <c r="D5386" s="58" t="s">
        <v>626</v>
      </c>
    </row>
    <row r="5387" spans="1:4">
      <c r="A5387" s="58" t="s">
        <v>8670</v>
      </c>
      <c r="B5387" s="58">
        <v>543449</v>
      </c>
      <c r="C5387" s="58" t="s">
        <v>8671</v>
      </c>
      <c r="D5387" s="58" t="s">
        <v>1351</v>
      </c>
    </row>
    <row r="5388" spans="1:4">
      <c r="A5388" s="58" t="s">
        <v>8672</v>
      </c>
      <c r="B5388" s="58">
        <v>543450</v>
      </c>
      <c r="C5388" s="58" t="s">
        <v>8673</v>
      </c>
      <c r="D5388" s="58" t="s">
        <v>225</v>
      </c>
    </row>
    <row r="5389" spans="1:4">
      <c r="A5389" s="58" t="s">
        <v>8674</v>
      </c>
      <c r="B5389" s="58">
        <v>543451</v>
      </c>
      <c r="C5389" s="58" t="s">
        <v>8675</v>
      </c>
      <c r="D5389" s="58" t="s">
        <v>7538</v>
      </c>
    </row>
    <row r="5390" spans="1:4">
      <c r="A5390" s="58" t="s">
        <v>8676</v>
      </c>
      <c r="B5390" s="58">
        <v>543452</v>
      </c>
      <c r="C5390" s="58" t="s">
        <v>8677</v>
      </c>
      <c r="D5390" s="58" t="s">
        <v>225</v>
      </c>
    </row>
    <row r="5391" spans="1:4">
      <c r="A5391" s="58" t="s">
        <v>8678</v>
      </c>
      <c r="B5391" s="58">
        <v>543453</v>
      </c>
      <c r="C5391" s="58" t="s">
        <v>8679</v>
      </c>
      <c r="D5391" s="58" t="s">
        <v>8680</v>
      </c>
    </row>
    <row r="5392" spans="1:4">
      <c r="A5392" s="58" t="s">
        <v>8681</v>
      </c>
      <c r="B5392" s="58">
        <v>543454</v>
      </c>
      <c r="C5392" s="58" t="s">
        <v>8682</v>
      </c>
      <c r="D5392" s="58" t="s">
        <v>225</v>
      </c>
    </row>
    <row r="5393" spans="1:4">
      <c r="A5393" s="58" t="s">
        <v>8683</v>
      </c>
      <c r="B5393" s="58">
        <v>543458</v>
      </c>
      <c r="C5393" s="58" t="s">
        <v>8684</v>
      </c>
      <c r="D5393" s="58" t="s">
        <v>8324</v>
      </c>
    </row>
    <row r="5394" spans="1:4">
      <c r="A5394" s="58" t="s">
        <v>8685</v>
      </c>
      <c r="B5394" s="58">
        <v>543460</v>
      </c>
      <c r="C5394" s="58" t="s">
        <v>8686</v>
      </c>
      <c r="D5394" s="58" t="s">
        <v>596</v>
      </c>
    </row>
    <row r="5395" spans="1:4">
      <c r="A5395" s="58" t="s">
        <v>8687</v>
      </c>
      <c r="B5395" s="58">
        <v>543461</v>
      </c>
      <c r="C5395" s="58" t="s">
        <v>8688</v>
      </c>
      <c r="D5395" s="58" t="s">
        <v>8317</v>
      </c>
    </row>
    <row r="5396" spans="1:4">
      <c r="A5396" s="58" t="s">
        <v>8689</v>
      </c>
      <c r="B5396" s="58">
        <v>543462</v>
      </c>
      <c r="C5396" s="58" t="s">
        <v>2117</v>
      </c>
      <c r="D5396" s="58" t="s">
        <v>8690</v>
      </c>
    </row>
    <row r="5397" spans="1:4">
      <c r="A5397" s="58" t="s">
        <v>8691</v>
      </c>
      <c r="B5397" s="58">
        <v>543463</v>
      </c>
      <c r="C5397" s="58" t="s">
        <v>8692</v>
      </c>
      <c r="D5397" s="58" t="s">
        <v>8616</v>
      </c>
    </row>
    <row r="5398" spans="1:4">
      <c r="A5398" s="58" t="s">
        <v>8693</v>
      </c>
      <c r="B5398" s="58">
        <v>543464</v>
      </c>
      <c r="C5398" s="58" t="s">
        <v>8694</v>
      </c>
      <c r="D5398" s="58" t="s">
        <v>1632</v>
      </c>
    </row>
    <row r="5399" spans="1:4">
      <c r="A5399" s="58" t="s">
        <v>8695</v>
      </c>
      <c r="B5399" s="58">
        <v>543465</v>
      </c>
      <c r="C5399" s="58" t="s">
        <v>8696</v>
      </c>
      <c r="D5399" s="58" t="s">
        <v>225</v>
      </c>
    </row>
    <row r="5400" spans="1:4">
      <c r="A5400" s="58" t="s">
        <v>8697</v>
      </c>
      <c r="B5400" s="58">
        <v>543470</v>
      </c>
      <c r="C5400" s="58" t="s">
        <v>6239</v>
      </c>
      <c r="D5400" s="58" t="s">
        <v>8412</v>
      </c>
    </row>
    <row r="5401" spans="1:4">
      <c r="A5401" s="58" t="s">
        <v>8698</v>
      </c>
      <c r="B5401" s="58">
        <v>543471</v>
      </c>
      <c r="C5401" s="58" t="s">
        <v>8699</v>
      </c>
      <c r="D5401" s="58" t="s">
        <v>225</v>
      </c>
    </row>
    <row r="5402" spans="1:4">
      <c r="A5402" s="58" t="s">
        <v>8700</v>
      </c>
      <c r="B5402" s="58">
        <v>543472</v>
      </c>
      <c r="C5402" s="58" t="s">
        <v>8701</v>
      </c>
      <c r="D5402" s="58" t="s">
        <v>225</v>
      </c>
    </row>
    <row r="5403" spans="1:4">
      <c r="A5403" s="58" t="s">
        <v>8702</v>
      </c>
      <c r="B5403" s="58">
        <v>543473</v>
      </c>
      <c r="C5403" s="58" t="s">
        <v>8703</v>
      </c>
      <c r="D5403" s="58" t="s">
        <v>225</v>
      </c>
    </row>
    <row r="5404" spans="1:4">
      <c r="A5404" s="58" t="s">
        <v>8704</v>
      </c>
      <c r="B5404" s="58">
        <v>543474</v>
      </c>
      <c r="C5404" s="58" t="s">
        <v>8705</v>
      </c>
      <c r="D5404" s="58" t="s">
        <v>225</v>
      </c>
    </row>
    <row r="5405" spans="1:4">
      <c r="A5405" s="58" t="s">
        <v>8706</v>
      </c>
      <c r="B5405" s="58">
        <v>543475</v>
      </c>
      <c r="C5405" s="58" t="s">
        <v>8707</v>
      </c>
      <c r="D5405" s="58" t="s">
        <v>8690</v>
      </c>
    </row>
    <row r="5406" spans="1:4">
      <c r="A5406" s="58" t="s">
        <v>8708</v>
      </c>
      <c r="B5406" s="58">
        <v>543481</v>
      </c>
      <c r="C5406" s="58" t="s">
        <v>8709</v>
      </c>
      <c r="D5406" s="58" t="s">
        <v>225</v>
      </c>
    </row>
    <row r="5407" spans="1:4">
      <c r="A5407" s="58" t="s">
        <v>8710</v>
      </c>
      <c r="B5407" s="58">
        <v>543482</v>
      </c>
      <c r="C5407" s="58" t="s">
        <v>8711</v>
      </c>
      <c r="D5407" s="58" t="s">
        <v>1351</v>
      </c>
    </row>
    <row r="5408" spans="1:4">
      <c r="A5408" s="58" t="s">
        <v>8712</v>
      </c>
      <c r="B5408" s="58">
        <v>543489</v>
      </c>
      <c r="C5408" s="58" t="s">
        <v>8713</v>
      </c>
      <c r="D5408" s="58" t="s">
        <v>8636</v>
      </c>
    </row>
    <row r="5409" spans="1:4">
      <c r="A5409" s="58" t="s">
        <v>8714</v>
      </c>
      <c r="B5409" s="58">
        <v>543490</v>
      </c>
      <c r="C5409" s="58" t="s">
        <v>8715</v>
      </c>
      <c r="D5409" s="58" t="s">
        <v>8578</v>
      </c>
    </row>
    <row r="5410" spans="1:4">
      <c r="A5410" s="58" t="s">
        <v>8716</v>
      </c>
      <c r="B5410" s="58">
        <v>543497</v>
      </c>
      <c r="C5410" s="58" t="s">
        <v>8717</v>
      </c>
      <c r="D5410" s="58" t="s">
        <v>748</v>
      </c>
    </row>
    <row r="5411" spans="1:4">
      <c r="A5411" s="58" t="s">
        <v>8718</v>
      </c>
      <c r="B5411" s="58">
        <v>543498</v>
      </c>
      <c r="C5411" s="58" t="s">
        <v>8719</v>
      </c>
      <c r="D5411" s="58" t="s">
        <v>8300</v>
      </c>
    </row>
    <row r="5412" spans="1:4">
      <c r="A5412" s="58" t="s">
        <v>8720</v>
      </c>
      <c r="B5412" s="58">
        <v>543499</v>
      </c>
      <c r="C5412" s="58" t="s">
        <v>8721</v>
      </c>
      <c r="D5412" s="58" t="s">
        <v>626</v>
      </c>
    </row>
    <row r="5413" spans="1:4">
      <c r="A5413" s="58" t="s">
        <v>8722</v>
      </c>
      <c r="B5413" s="58">
        <v>543500</v>
      </c>
      <c r="C5413" s="58" t="s">
        <v>8723</v>
      </c>
      <c r="D5413" s="58" t="s">
        <v>8317</v>
      </c>
    </row>
    <row r="5414" spans="1:4">
      <c r="A5414" s="58" t="s">
        <v>8724</v>
      </c>
      <c r="B5414" s="58">
        <v>543501</v>
      </c>
      <c r="C5414" s="58" t="s">
        <v>8725</v>
      </c>
      <c r="D5414" s="58" t="s">
        <v>225</v>
      </c>
    </row>
    <row r="5415" spans="1:4">
      <c r="A5415" s="58" t="s">
        <v>8726</v>
      </c>
      <c r="B5415" s="58">
        <v>543512</v>
      </c>
      <c r="C5415" s="58" t="s">
        <v>8727</v>
      </c>
      <c r="D5415" s="58" t="s">
        <v>8728</v>
      </c>
    </row>
    <row r="5416" spans="1:4">
      <c r="A5416" s="58" t="s">
        <v>8729</v>
      </c>
      <c r="B5416" s="58">
        <v>543513</v>
      </c>
      <c r="C5416" s="58" t="s">
        <v>8730</v>
      </c>
      <c r="D5416" s="58" t="s">
        <v>8317</v>
      </c>
    </row>
    <row r="5417" spans="1:4">
      <c r="A5417" s="58" t="s">
        <v>8731</v>
      </c>
      <c r="B5417" s="58">
        <v>543514</v>
      </c>
      <c r="C5417" s="58" t="s">
        <v>8732</v>
      </c>
      <c r="D5417" s="58" t="s">
        <v>8349</v>
      </c>
    </row>
    <row r="5418" spans="1:4">
      <c r="A5418" s="58" t="s">
        <v>8733</v>
      </c>
      <c r="B5418" s="58">
        <v>543515</v>
      </c>
      <c r="C5418" s="58" t="s">
        <v>8734</v>
      </c>
      <c r="D5418" s="58" t="s">
        <v>8317</v>
      </c>
    </row>
    <row r="5419" spans="1:4">
      <c r="A5419" s="58" t="s">
        <v>8735</v>
      </c>
      <c r="B5419" s="58">
        <v>543516</v>
      </c>
      <c r="C5419" s="58" t="s">
        <v>8736</v>
      </c>
      <c r="D5419" s="58" t="s">
        <v>8317</v>
      </c>
    </row>
    <row r="5420" spans="1:4">
      <c r="A5420" s="58" t="s">
        <v>8737</v>
      </c>
      <c r="B5420" s="58">
        <v>543517</v>
      </c>
      <c r="C5420" s="58" t="s">
        <v>8738</v>
      </c>
      <c r="D5420" s="58" t="s">
        <v>911</v>
      </c>
    </row>
    <row r="5421" spans="1:4">
      <c r="A5421" s="58" t="s">
        <v>8739</v>
      </c>
      <c r="B5421" s="58">
        <v>543518</v>
      </c>
      <c r="C5421" s="58" t="s">
        <v>8740</v>
      </c>
      <c r="D5421" s="58" t="s">
        <v>8334</v>
      </c>
    </row>
    <row r="5422" spans="1:4">
      <c r="A5422" s="58" t="s">
        <v>8741</v>
      </c>
      <c r="B5422" s="58">
        <v>543519</v>
      </c>
      <c r="C5422" s="58" t="s">
        <v>8742</v>
      </c>
      <c r="D5422" s="58" t="s">
        <v>8516</v>
      </c>
    </row>
    <row r="5423" spans="1:4">
      <c r="A5423" s="58" t="s">
        <v>8743</v>
      </c>
      <c r="B5423" s="58">
        <v>543520</v>
      </c>
      <c r="C5423" s="58" t="s">
        <v>8744</v>
      </c>
      <c r="D5423" s="58" t="s">
        <v>8482</v>
      </c>
    </row>
    <row r="5424" spans="1:4">
      <c r="A5424" s="58" t="s">
        <v>8745</v>
      </c>
      <c r="B5424" s="58">
        <v>543521</v>
      </c>
      <c r="C5424" s="58" t="s">
        <v>8746</v>
      </c>
      <c r="D5424" s="58" t="s">
        <v>8500</v>
      </c>
    </row>
    <row r="5425" spans="1:4">
      <c r="A5425" s="58" t="s">
        <v>8747</v>
      </c>
      <c r="B5425" s="58">
        <v>543522</v>
      </c>
      <c r="C5425" s="58" t="s">
        <v>8748</v>
      </c>
      <c r="D5425" s="58" t="s">
        <v>8749</v>
      </c>
    </row>
    <row r="5426" spans="1:4">
      <c r="A5426" s="58" t="s">
        <v>8750</v>
      </c>
      <c r="B5426" s="58">
        <v>543523</v>
      </c>
      <c r="C5426" s="58" t="s">
        <v>8751</v>
      </c>
      <c r="D5426" s="58" t="s">
        <v>1014</v>
      </c>
    </row>
    <row r="5427" spans="1:4">
      <c r="A5427" s="58" t="s">
        <v>8752</v>
      </c>
      <c r="B5427" s="58">
        <v>543524</v>
      </c>
      <c r="C5427" s="58" t="s">
        <v>8753</v>
      </c>
      <c r="D5427" s="58" t="s">
        <v>8482</v>
      </c>
    </row>
    <row r="5428" spans="1:4">
      <c r="A5428" s="58" t="s">
        <v>8754</v>
      </c>
      <c r="B5428" s="58">
        <v>543525</v>
      </c>
      <c r="C5428" s="58" t="s">
        <v>6152</v>
      </c>
      <c r="D5428" s="58" t="s">
        <v>8690</v>
      </c>
    </row>
    <row r="5429" spans="1:4">
      <c r="A5429" s="58" t="s">
        <v>8755</v>
      </c>
      <c r="B5429" s="58">
        <v>543526</v>
      </c>
      <c r="C5429" s="58" t="s">
        <v>8756</v>
      </c>
      <c r="D5429" s="58" t="s">
        <v>2997</v>
      </c>
    </row>
    <row r="5430" spans="1:4">
      <c r="A5430" s="58" t="s">
        <v>8757</v>
      </c>
      <c r="B5430" s="58">
        <v>543527</v>
      </c>
      <c r="C5430" s="58" t="s">
        <v>8758</v>
      </c>
      <c r="D5430" s="58" t="s">
        <v>8629</v>
      </c>
    </row>
    <row r="5431" spans="1:4">
      <c r="A5431" s="58" t="s">
        <v>8759</v>
      </c>
      <c r="B5431" s="58">
        <v>543528</v>
      </c>
      <c r="C5431" s="58" t="s">
        <v>8760</v>
      </c>
      <c r="D5431" s="58" t="s">
        <v>911</v>
      </c>
    </row>
    <row r="5432" spans="1:4">
      <c r="A5432" s="58" t="s">
        <v>8761</v>
      </c>
      <c r="B5432" s="58">
        <v>543529</v>
      </c>
      <c r="C5432" s="58" t="s">
        <v>8762</v>
      </c>
      <c r="D5432" s="58" t="s">
        <v>8636</v>
      </c>
    </row>
    <row r="5433" spans="1:4">
      <c r="A5433" s="58" t="s">
        <v>8763</v>
      </c>
      <c r="B5433" s="58">
        <v>543530</v>
      </c>
      <c r="C5433" s="58" t="s">
        <v>8764</v>
      </c>
      <c r="D5433" s="58" t="s">
        <v>1096</v>
      </c>
    </row>
    <row r="5434" spans="1:4">
      <c r="A5434" s="58" t="s">
        <v>8765</v>
      </c>
      <c r="B5434" s="58">
        <v>543531</v>
      </c>
      <c r="C5434" s="58" t="s">
        <v>8766</v>
      </c>
      <c r="D5434" s="58" t="s">
        <v>786</v>
      </c>
    </row>
    <row r="5435" spans="1:4">
      <c r="A5435" s="58" t="s">
        <v>8767</v>
      </c>
      <c r="B5435" s="58">
        <v>543532</v>
      </c>
      <c r="C5435" s="58" t="s">
        <v>8768</v>
      </c>
      <c r="D5435" s="58" t="s">
        <v>8334</v>
      </c>
    </row>
    <row r="5436" spans="1:4">
      <c r="A5436" s="58" t="s">
        <v>8769</v>
      </c>
      <c r="B5436" s="58">
        <v>543533</v>
      </c>
      <c r="C5436" s="58" t="s">
        <v>8770</v>
      </c>
      <c r="D5436" s="58" t="s">
        <v>8690</v>
      </c>
    </row>
    <row r="5437" spans="1:4">
      <c r="A5437" s="58" t="s">
        <v>8771</v>
      </c>
      <c r="B5437" s="58">
        <v>543534</v>
      </c>
      <c r="C5437" s="58" t="s">
        <v>8772</v>
      </c>
      <c r="D5437" s="58" t="s">
        <v>748</v>
      </c>
    </row>
    <row r="5438" spans="1:4">
      <c r="A5438" s="58" t="s">
        <v>8773</v>
      </c>
      <c r="B5438" s="58">
        <v>543535</v>
      </c>
      <c r="C5438" s="58" t="s">
        <v>8774</v>
      </c>
      <c r="D5438" s="58" t="s">
        <v>8553</v>
      </c>
    </row>
    <row r="5439" spans="1:4">
      <c r="A5439" s="58" t="s">
        <v>8775</v>
      </c>
      <c r="B5439" s="58">
        <v>543536</v>
      </c>
      <c r="C5439" s="58" t="s">
        <v>8776</v>
      </c>
      <c r="D5439" s="58" t="s">
        <v>8309</v>
      </c>
    </row>
    <row r="5440" spans="1:4">
      <c r="A5440" s="58" t="s">
        <v>8777</v>
      </c>
      <c r="B5440" s="58">
        <v>590136</v>
      </c>
      <c r="C5440" s="58" t="s">
        <v>8778</v>
      </c>
      <c r="D5440" s="58" t="s">
        <v>225</v>
      </c>
    </row>
    <row r="5441" spans="1:4">
      <c r="A5441" s="58" t="s">
        <v>8779</v>
      </c>
      <c r="B5441" s="58">
        <v>590137</v>
      </c>
      <c r="C5441" s="58" t="s">
        <v>8780</v>
      </c>
      <c r="D5441" s="58" t="s">
        <v>225</v>
      </c>
    </row>
    <row r="5442" spans="1:4">
      <c r="A5442" s="58" t="s">
        <v>8781</v>
      </c>
      <c r="B5442" s="58">
        <v>590138</v>
      </c>
      <c r="C5442" s="58" t="s">
        <v>8782</v>
      </c>
      <c r="D5442" s="58"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20</vt:i4>
      </vt:variant>
    </vt:vector>
  </HeadingPairs>
  <TitlesOfParts>
    <vt:vector size="45" baseType="lpstr">
      <vt:lpstr>HistoricalFS</vt:lpstr>
      <vt:lpstr>Ration Analysis</vt:lpstr>
      <vt:lpstr>Forcasting</vt:lpstr>
      <vt:lpstr>Common Size Statement </vt:lpstr>
      <vt:lpstr>DCF&gt;</vt:lpstr>
      <vt:lpstr>DCF</vt:lpstr>
      <vt:lpstr>Data&gt;</vt:lpstr>
      <vt:lpstr>WACC</vt:lpstr>
      <vt:lpstr>Beta-Regression</vt:lpstr>
      <vt:lpstr>Intrisic Growth</vt:lpstr>
      <vt:lpstr>Raw FS</vt:lpstr>
      <vt:lpstr>Comps Analysis</vt:lpstr>
      <vt:lpstr>Football Field</vt:lpstr>
      <vt:lpstr>Dupont Analysis</vt:lpstr>
      <vt:lpstr>Altman Z Score</vt:lpstr>
      <vt:lpstr>VAR&gt;</vt:lpstr>
      <vt:lpstr>Historical Apporoach</vt:lpstr>
      <vt:lpstr>Monte Carlo Simulation</vt:lpstr>
      <vt:lpstr>Data Room&gt;</vt:lpstr>
      <vt:lpstr>Data Sheet</vt:lpstr>
      <vt:lpstr> Cash Flow Date</vt:lpstr>
      <vt:lpstr>RM</vt:lpstr>
      <vt:lpstr>Beta-comps</vt:lpstr>
      <vt:lpstr>Realtive Data</vt:lpstr>
      <vt:lpstr>List of Stock</vt:lpstr>
      <vt:lpstr>COD</vt:lpstr>
      <vt:lpstr>COE</vt:lpstr>
      <vt:lpstr>Cost_of_Debt</vt:lpstr>
      <vt:lpstr>'Altman Z Score'!Print_Area</vt:lpstr>
      <vt:lpstr>'Beta-Regression'!Print_Area</vt:lpstr>
      <vt:lpstr>'Common Size Statement '!Print_Area</vt:lpstr>
      <vt:lpstr>'Comps Analysis'!Print_Area</vt:lpstr>
      <vt:lpstr>DCF!Print_Area</vt:lpstr>
      <vt:lpstr>'Dupont Analysis'!Print_Area</vt:lpstr>
      <vt:lpstr>Forcasting!Print_Area</vt:lpstr>
      <vt:lpstr>'Historical Apporoach'!Print_Area</vt:lpstr>
      <vt:lpstr>HistoricalFS!Print_Area</vt:lpstr>
      <vt:lpstr>'Intrisic Growth'!Print_Area</vt:lpstr>
      <vt:lpstr>'Monte Carlo Simulation'!Print_Area</vt:lpstr>
      <vt:lpstr>'Ration Analysis'!Print_Area</vt:lpstr>
      <vt:lpstr>WACC!Print_Area</vt:lpstr>
      <vt:lpstr>Taper_rate</vt:lpstr>
      <vt:lpstr>Tax_rate</vt:lpstr>
      <vt:lpstr>UPDATE</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Atharv</cp:lastModifiedBy>
  <cp:lastPrinted>2026-02-20T07:28:25Z</cp:lastPrinted>
  <dcterms:created xsi:type="dcterms:W3CDTF">2012-08-17T09:55:37Z</dcterms:created>
  <dcterms:modified xsi:type="dcterms:W3CDTF">2026-03-30T08:00:28Z</dcterms:modified>
</cp:coreProperties>
</file>