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Projects\Finance Projects\"/>
    </mc:Choice>
  </mc:AlternateContent>
  <bookViews>
    <workbookView xWindow="0" yWindow="0" windowWidth="20490" windowHeight="7620"/>
  </bookViews>
  <sheets>
    <sheet name="Solar Projects" sheetId="1" r:id="rId1"/>
  </sheets>
  <definedNames>
    <definedName name="Capacity">'Solar Projects'!$C$10</definedName>
    <definedName name="Capacity_Factor">'Solar Projects'!$C$11</definedName>
    <definedName name="Degradation">'Solar Projects'!$C$12</definedName>
    <definedName name="Discount_Rate">'Solar Projects'!$F$22</definedName>
    <definedName name="Inflation_rate">'Solar Projects'!$C$22</definedName>
    <definedName name="Interest_rate">'Solar Projects'!$F$13</definedName>
    <definedName name="PPA_Tariff">'Solar Projects'!$C$15</definedName>
    <definedName name="Project_Life">'Solar Projects'!$C$13</definedName>
    <definedName name="Tariff_escalator">'Solar Projects'!$C$16</definedName>
    <definedName name="Tax_Rate">'Solar Projects'!$F$15</definedName>
    <definedName name="WC_days">'Solar Projects'!$F$20</definedName>
    <definedName name="Yearly_hours">'Solar Projects'!$C$17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1" i="1" l="1"/>
  <c r="E90" i="1"/>
  <c r="E82" i="1"/>
  <c r="C78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E58" i="1"/>
  <c r="E84" i="1" s="1"/>
  <c r="E89" i="1" s="1"/>
  <c r="C67" i="1"/>
  <c r="C66" i="1"/>
  <c r="E56" i="1"/>
  <c r="E36" i="1"/>
  <c r="B36" i="1"/>
  <c r="B45" i="1" s="1"/>
  <c r="B53" i="1" s="1"/>
  <c r="B69" i="1" s="1"/>
  <c r="B78" i="1" s="1"/>
  <c r="E31" i="1"/>
  <c r="F27" i="1"/>
  <c r="G27" i="1" s="1"/>
  <c r="C17" i="1"/>
  <c r="E93" i="1" l="1"/>
  <c r="E94" i="1" s="1"/>
  <c r="H27" i="1"/>
  <c r="I27" i="1" s="1"/>
  <c r="I30" i="1" s="1"/>
  <c r="G36" i="1"/>
  <c r="E45" i="1"/>
  <c r="E53" i="1" s="1"/>
  <c r="E69" i="1" s="1"/>
  <c r="E78" i="1" s="1"/>
  <c r="F38" i="1"/>
  <c r="F39" i="1" s="1"/>
  <c r="F36" i="1"/>
  <c r="E30" i="1"/>
  <c r="E32" i="1" s="1"/>
  <c r="E81" i="1" s="1"/>
  <c r="E83" i="1" s="1"/>
  <c r="F31" i="1"/>
  <c r="G31" i="1"/>
  <c r="F30" i="1"/>
  <c r="G30" i="1"/>
  <c r="H31" i="1" l="1"/>
  <c r="I31" i="1"/>
  <c r="I32" i="1" s="1"/>
  <c r="I81" i="1" s="1"/>
  <c r="H30" i="1"/>
  <c r="I47" i="1"/>
  <c r="I48" i="1" s="1"/>
  <c r="H36" i="1"/>
  <c r="H45" i="1" s="1"/>
  <c r="H53" i="1" s="1"/>
  <c r="H69" i="1" s="1"/>
  <c r="H78" i="1" s="1"/>
  <c r="F40" i="1"/>
  <c r="F41" i="1" s="1"/>
  <c r="F82" i="1" s="1"/>
  <c r="I38" i="1"/>
  <c r="I39" i="1" s="1"/>
  <c r="G45" i="1"/>
  <c r="G53" i="1" s="1"/>
  <c r="G69" i="1" s="1"/>
  <c r="G78" i="1" s="1"/>
  <c r="H38" i="1"/>
  <c r="H39" i="1" s="1"/>
  <c r="G38" i="1"/>
  <c r="G39" i="1" s="1"/>
  <c r="F45" i="1"/>
  <c r="F53" i="1" s="1"/>
  <c r="F69" i="1" s="1"/>
  <c r="F78" i="1" s="1"/>
  <c r="J27" i="1"/>
  <c r="I36" i="1"/>
  <c r="G32" i="1"/>
  <c r="F32" i="1"/>
  <c r="H32" i="1" l="1"/>
  <c r="H40" i="1"/>
  <c r="H41" i="1" s="1"/>
  <c r="H82" i="1" s="1"/>
  <c r="F47" i="1"/>
  <c r="F48" i="1" s="1"/>
  <c r="F81" i="1"/>
  <c r="F83" i="1" s="1"/>
  <c r="G47" i="1"/>
  <c r="G48" i="1" s="1"/>
  <c r="G81" i="1"/>
  <c r="H47" i="1"/>
  <c r="H48" i="1" s="1"/>
  <c r="H81" i="1"/>
  <c r="I40" i="1"/>
  <c r="G40" i="1"/>
  <c r="I45" i="1"/>
  <c r="I53" i="1" s="1"/>
  <c r="I69" i="1" s="1"/>
  <c r="I78" i="1" s="1"/>
  <c r="J38" i="1"/>
  <c r="J39" i="1" s="1"/>
  <c r="K27" i="1"/>
  <c r="J36" i="1"/>
  <c r="J31" i="1"/>
  <c r="J30" i="1"/>
  <c r="J40" i="1" s="1"/>
  <c r="J41" i="1" l="1"/>
  <c r="I41" i="1"/>
  <c r="I82" i="1" s="1"/>
  <c r="I83" i="1" s="1"/>
  <c r="G41" i="1"/>
  <c r="G82" i="1" s="1"/>
  <c r="G83" i="1" s="1"/>
  <c r="H49" i="1"/>
  <c r="H91" i="1" s="1"/>
  <c r="F49" i="1"/>
  <c r="G49" i="1"/>
  <c r="I49" i="1"/>
  <c r="I91" i="1" s="1"/>
  <c r="G91" i="1"/>
  <c r="F91" i="1"/>
  <c r="H83" i="1"/>
  <c r="K38" i="1"/>
  <c r="K39" i="1" s="1"/>
  <c r="J45" i="1"/>
  <c r="J53" i="1" s="1"/>
  <c r="J69" i="1" s="1"/>
  <c r="J78" i="1" s="1"/>
  <c r="J82" i="1"/>
  <c r="J32" i="1"/>
  <c r="L27" i="1"/>
  <c r="K36" i="1"/>
  <c r="K31" i="1"/>
  <c r="K30" i="1"/>
  <c r="K40" i="1" l="1"/>
  <c r="J47" i="1"/>
  <c r="J48" i="1" s="1"/>
  <c r="J81" i="1"/>
  <c r="J83" i="1" s="1"/>
  <c r="K45" i="1"/>
  <c r="K53" i="1" s="1"/>
  <c r="K69" i="1" s="1"/>
  <c r="K78" i="1" s="1"/>
  <c r="L38" i="1"/>
  <c r="L39" i="1" s="1"/>
  <c r="K32" i="1"/>
  <c r="M27" i="1"/>
  <c r="L30" i="1"/>
  <c r="L36" i="1"/>
  <c r="L31" i="1"/>
  <c r="L32" i="1" s="1"/>
  <c r="K41" i="1" l="1"/>
  <c r="K82" i="1" s="1"/>
  <c r="J49" i="1"/>
  <c r="J91" i="1" s="1"/>
  <c r="L47" i="1"/>
  <c r="L48" i="1" s="1"/>
  <c r="L81" i="1"/>
  <c r="K47" i="1"/>
  <c r="K48" i="1" s="1"/>
  <c r="K81" i="1"/>
  <c r="M38" i="1"/>
  <c r="M39" i="1" s="1"/>
  <c r="L45" i="1"/>
  <c r="L53" i="1" s="1"/>
  <c r="L69" i="1" s="1"/>
  <c r="L78" i="1" s="1"/>
  <c r="N27" i="1"/>
  <c r="M36" i="1"/>
  <c r="M30" i="1"/>
  <c r="M40" i="1" s="1"/>
  <c r="M31" i="1"/>
  <c r="L40" i="1"/>
  <c r="K83" i="1" l="1"/>
  <c r="M41" i="1"/>
  <c r="M82" i="1" s="1"/>
  <c r="L41" i="1"/>
  <c r="L82" i="1" s="1"/>
  <c r="L83" i="1" s="1"/>
  <c r="L49" i="1"/>
  <c r="L91" i="1" s="1"/>
  <c r="K49" i="1"/>
  <c r="K91" i="1" s="1"/>
  <c r="M32" i="1"/>
  <c r="M45" i="1"/>
  <c r="M53" i="1" s="1"/>
  <c r="M69" i="1" s="1"/>
  <c r="M78" i="1" s="1"/>
  <c r="N38" i="1"/>
  <c r="N39" i="1" s="1"/>
  <c r="O27" i="1"/>
  <c r="N36" i="1"/>
  <c r="N31" i="1"/>
  <c r="N30" i="1"/>
  <c r="N40" i="1" s="1"/>
  <c r="N41" i="1" l="1"/>
  <c r="M47" i="1"/>
  <c r="M48" i="1" s="1"/>
  <c r="M81" i="1"/>
  <c r="M83" i="1" s="1"/>
  <c r="O38" i="1"/>
  <c r="O39" i="1" s="1"/>
  <c r="N45" i="1"/>
  <c r="N53" i="1" s="1"/>
  <c r="N69" i="1" s="1"/>
  <c r="N78" i="1" s="1"/>
  <c r="N82" i="1"/>
  <c r="N32" i="1"/>
  <c r="P27" i="1"/>
  <c r="O36" i="1"/>
  <c r="O31" i="1"/>
  <c r="O30" i="1"/>
  <c r="M49" i="1" l="1"/>
  <c r="M91" i="1" s="1"/>
  <c r="O40" i="1"/>
  <c r="O41" i="1" s="1"/>
  <c r="O82" i="1" s="1"/>
  <c r="N47" i="1"/>
  <c r="N48" i="1" s="1"/>
  <c r="N81" i="1"/>
  <c r="N83" i="1" s="1"/>
  <c r="O45" i="1"/>
  <c r="O53" i="1" s="1"/>
  <c r="O69" i="1" s="1"/>
  <c r="O78" i="1" s="1"/>
  <c r="P38" i="1"/>
  <c r="P39" i="1" s="1"/>
  <c r="O32" i="1"/>
  <c r="Q27" i="1"/>
  <c r="P30" i="1"/>
  <c r="P36" i="1"/>
  <c r="P31" i="1"/>
  <c r="P32" i="1" s="1"/>
  <c r="N49" i="1" l="1"/>
  <c r="N91" i="1" s="1"/>
  <c r="P47" i="1"/>
  <c r="P48" i="1" s="1"/>
  <c r="P81" i="1"/>
  <c r="O47" i="1"/>
  <c r="O48" i="1" s="1"/>
  <c r="O81" i="1"/>
  <c r="O83" i="1" s="1"/>
  <c r="Q38" i="1"/>
  <c r="Q39" i="1" s="1"/>
  <c r="P45" i="1"/>
  <c r="P53" i="1" s="1"/>
  <c r="P69" i="1" s="1"/>
  <c r="P78" i="1" s="1"/>
  <c r="R27" i="1"/>
  <c r="Q36" i="1"/>
  <c r="Q30" i="1"/>
  <c r="Q40" i="1" s="1"/>
  <c r="Q31" i="1"/>
  <c r="P40" i="1"/>
  <c r="Q41" i="1" l="1"/>
  <c r="P41" i="1"/>
  <c r="P82" i="1" s="1"/>
  <c r="P83" i="1" s="1"/>
  <c r="P49" i="1"/>
  <c r="P91" i="1" s="1"/>
  <c r="O49" i="1"/>
  <c r="O91" i="1" s="1"/>
  <c r="Q32" i="1"/>
  <c r="Q45" i="1"/>
  <c r="Q53" i="1" s="1"/>
  <c r="Q69" i="1" s="1"/>
  <c r="R38" i="1"/>
  <c r="R39" i="1" s="1"/>
  <c r="S27" i="1"/>
  <c r="R36" i="1"/>
  <c r="R31" i="1"/>
  <c r="R30" i="1"/>
  <c r="R40" i="1" s="1"/>
  <c r="Q82" i="1"/>
  <c r="R41" i="1" l="1"/>
  <c r="Q47" i="1"/>
  <c r="Q48" i="1" s="1"/>
  <c r="Q81" i="1"/>
  <c r="Q83" i="1" s="1"/>
  <c r="Q73" i="1"/>
  <c r="Q95" i="1" s="1"/>
  <c r="Q96" i="1" s="1"/>
  <c r="Q78" i="1"/>
  <c r="S38" i="1"/>
  <c r="S39" i="1" s="1"/>
  <c r="R45" i="1"/>
  <c r="R53" i="1" s="1"/>
  <c r="R69" i="1" s="1"/>
  <c r="R82" i="1"/>
  <c r="R32" i="1"/>
  <c r="T27" i="1"/>
  <c r="S36" i="1"/>
  <c r="S31" i="1"/>
  <c r="S30" i="1"/>
  <c r="Q49" i="1" l="1"/>
  <c r="Q91" i="1" s="1"/>
  <c r="R47" i="1"/>
  <c r="R48" i="1" s="1"/>
  <c r="R81" i="1"/>
  <c r="R83" i="1" s="1"/>
  <c r="R78" i="1"/>
  <c r="R73" i="1"/>
  <c r="R95" i="1" s="1"/>
  <c r="R96" i="1" s="1"/>
  <c r="S40" i="1"/>
  <c r="S45" i="1"/>
  <c r="S53" i="1" s="1"/>
  <c r="S69" i="1" s="1"/>
  <c r="T38" i="1"/>
  <c r="T39" i="1" s="1"/>
  <c r="S32" i="1"/>
  <c r="T31" i="1"/>
  <c r="T30" i="1"/>
  <c r="T36" i="1"/>
  <c r="T45" i="1" s="1"/>
  <c r="T53" i="1" s="1"/>
  <c r="T69" i="1" s="1"/>
  <c r="S41" i="1" l="1"/>
  <c r="S82" i="1" s="1"/>
  <c r="R49" i="1"/>
  <c r="R91" i="1" s="1"/>
  <c r="S47" i="1"/>
  <c r="S48" i="1" s="1"/>
  <c r="S81" i="1"/>
  <c r="S73" i="1"/>
  <c r="S95" i="1" s="1"/>
  <c r="S78" i="1"/>
  <c r="T78" i="1"/>
  <c r="T73" i="1"/>
  <c r="T95" i="1" s="1"/>
  <c r="T32" i="1"/>
  <c r="T40" i="1"/>
  <c r="S83" i="1" l="1"/>
  <c r="S96" i="1" s="1"/>
  <c r="T41" i="1"/>
  <c r="T82" i="1" s="1"/>
  <c r="S49" i="1"/>
  <c r="S91" i="1" s="1"/>
  <c r="T47" i="1"/>
  <c r="T48" i="1" s="1"/>
  <c r="T81" i="1"/>
  <c r="T83" i="1" l="1"/>
  <c r="T96" i="1" s="1"/>
  <c r="T49" i="1"/>
  <c r="T91" i="1" s="1"/>
  <c r="H93" i="1" l="1"/>
  <c r="H94" i="1"/>
  <c r="J94" i="1"/>
  <c r="J93" i="1"/>
  <c r="L93" i="1"/>
  <c r="L94" i="1"/>
  <c r="N94" i="1"/>
  <c r="N93" i="1"/>
  <c r="P93" i="1"/>
  <c r="P94" i="1"/>
  <c r="L88" i="1"/>
  <c r="L87" i="1"/>
  <c r="P88" i="1"/>
  <c r="P87" i="1"/>
  <c r="J88" i="1"/>
  <c r="J87" i="1"/>
  <c r="R94" i="1"/>
  <c r="R93" i="1"/>
  <c r="G94" i="1"/>
  <c r="G93" i="1"/>
  <c r="K93" i="1"/>
  <c r="K94" i="1"/>
  <c r="K88" i="1"/>
  <c r="K87" i="1"/>
  <c r="M93" i="1"/>
  <c r="M94" i="1"/>
  <c r="M88" i="1"/>
  <c r="M87" i="1"/>
  <c r="O94" i="1"/>
  <c r="O93" i="1"/>
  <c r="Q94" i="1"/>
  <c r="Q93" i="1"/>
  <c r="S94" i="1"/>
  <c r="S93" i="1"/>
  <c r="P89" i="1"/>
  <c r="P86" i="1"/>
  <c r="Q88" i="1"/>
  <c r="Q87" i="1"/>
  <c r="L89" i="1"/>
  <c r="L86" i="1"/>
  <c r="J86" i="1"/>
  <c r="J89" i="1"/>
  <c r="M86" i="1"/>
  <c r="M89" i="1"/>
  <c r="O88" i="1"/>
  <c r="O87" i="1"/>
  <c r="Q89" i="1"/>
  <c r="Q86" i="1"/>
  <c r="G88" i="1"/>
  <c r="G87" i="1"/>
  <c r="K86" i="1"/>
  <c r="K89" i="1"/>
  <c r="O89" i="1"/>
  <c r="O86" i="1"/>
  <c r="I94" i="1"/>
  <c r="I93" i="1"/>
  <c r="I88" i="1"/>
  <c r="I87" i="1"/>
  <c r="G86" i="1"/>
  <c r="G89" i="1"/>
  <c r="S88" i="1"/>
  <c r="S87" i="1"/>
  <c r="N88" i="1"/>
  <c r="N87" i="1"/>
  <c r="N89" i="1"/>
  <c r="N86" i="1"/>
  <c r="I86" i="1"/>
  <c r="I89" i="1"/>
  <c r="S86" i="1"/>
  <c r="S89" i="1"/>
  <c r="R88" i="1"/>
  <c r="R87" i="1"/>
  <c r="R86" i="1"/>
  <c r="R89" i="1"/>
  <c r="H87" i="1"/>
  <c r="H88" i="1"/>
  <c r="H89" i="1"/>
  <c r="H86" i="1"/>
  <c r="T90" i="1"/>
  <c r="S90" i="1"/>
  <c r="L84" i="1"/>
  <c r="L58" i="1"/>
  <c r="S72" i="1"/>
  <c r="T72" i="1"/>
  <c r="I96" i="1"/>
  <c r="M72" i="1"/>
  <c r="M90" i="1"/>
  <c r="H58" i="1"/>
  <c r="H84" i="1"/>
  <c r="M85" i="1"/>
  <c r="F85" i="1"/>
  <c r="T94" i="1"/>
  <c r="T88" i="1"/>
  <c r="T87" i="1"/>
  <c r="P72" i="1"/>
  <c r="P90" i="1"/>
  <c r="I85" i="1"/>
  <c r="K72" i="1"/>
  <c r="K90" i="1"/>
  <c r="G58" i="1"/>
  <c r="G84" i="1"/>
  <c r="L85" i="1"/>
  <c r="O96" i="1"/>
  <c r="O72" i="1"/>
  <c r="O90" i="1"/>
  <c r="J58" i="1"/>
  <c r="J84" i="1"/>
  <c r="R58" i="1"/>
  <c r="R84" i="1"/>
  <c r="T89" i="1"/>
  <c r="T86" i="1"/>
  <c r="T58" i="1"/>
  <c r="T84" i="1"/>
  <c r="T93" i="1"/>
  <c r="R72" i="1"/>
  <c r="R90" i="1"/>
  <c r="F72" i="1"/>
  <c r="F90" i="1"/>
  <c r="I58" i="1"/>
  <c r="I84" i="1"/>
  <c r="T74" i="1"/>
  <c r="C93" i="1"/>
  <c r="O58" i="1"/>
  <c r="O84" i="1"/>
  <c r="K96" i="1"/>
  <c r="G96" i="1"/>
  <c r="N85" i="1"/>
  <c r="M71" i="1"/>
  <c r="M58" i="1"/>
  <c r="M84" i="1"/>
  <c r="P85" i="1"/>
  <c r="C94" i="1"/>
  <c r="C98" i="1"/>
  <c r="O73" i="1"/>
  <c r="O95" i="1"/>
  <c r="G85" i="1"/>
  <c r="S74" i="1"/>
  <c r="T70" i="1"/>
  <c r="T71" i="1"/>
  <c r="T85" i="1"/>
  <c r="P71" i="1"/>
  <c r="F89" i="1"/>
  <c r="F93" i="1"/>
  <c r="J96" i="1"/>
  <c r="S71" i="1"/>
  <c r="S85" i="1"/>
  <c r="Q85" i="1"/>
  <c r="I73" i="1"/>
  <c r="I95" i="1"/>
  <c r="H85" i="1"/>
  <c r="R85" i="1"/>
  <c r="C65" i="1"/>
  <c r="E86" i="1"/>
  <c r="N96" i="1"/>
  <c r="J72" i="1"/>
  <c r="J90" i="1"/>
  <c r="K73" i="1"/>
  <c r="K95" i="1"/>
  <c r="Q58" i="1"/>
  <c r="Q84" i="1"/>
  <c r="H72" i="1"/>
  <c r="H90" i="1"/>
  <c r="S70" i="1"/>
  <c r="G72" i="1"/>
  <c r="G90" i="1"/>
  <c r="S58" i="1"/>
  <c r="S84" i="1"/>
  <c r="L71" i="1"/>
  <c r="E85" i="1"/>
  <c r="F87" i="1"/>
  <c r="K71" i="1"/>
  <c r="K85" i="1"/>
  <c r="S55" i="1"/>
  <c r="S59" i="1"/>
  <c r="T55" i="1"/>
  <c r="T59" i="1"/>
  <c r="T92" i="1"/>
  <c r="P96" i="1"/>
  <c r="N72" i="1"/>
  <c r="N90" i="1"/>
  <c r="L73" i="1"/>
  <c r="L95" i="1"/>
  <c r="L96" i="1"/>
  <c r="L72" i="1"/>
  <c r="L90" i="1"/>
  <c r="I71" i="1"/>
  <c r="N71" i="1"/>
  <c r="J73" i="1"/>
  <c r="J95" i="1"/>
  <c r="O71" i="1"/>
  <c r="O85" i="1"/>
  <c r="N58" i="1"/>
  <c r="N84" i="1"/>
  <c r="F73" i="1"/>
  <c r="F95" i="1"/>
  <c r="F96" i="1"/>
  <c r="M73" i="1"/>
  <c r="M95" i="1"/>
  <c r="M96" i="1"/>
  <c r="Q72" i="1"/>
  <c r="Q90" i="1"/>
  <c r="F58" i="1"/>
  <c r="F84" i="1"/>
  <c r="F86" i="1"/>
  <c r="F88" i="1"/>
  <c r="F94" i="1"/>
  <c r="C99" i="1"/>
  <c r="J71" i="1"/>
  <c r="J85" i="1"/>
  <c r="R71" i="1"/>
  <c r="R70" i="1"/>
  <c r="R74" i="1"/>
  <c r="F71" i="1"/>
  <c r="Q71" i="1"/>
  <c r="I70" i="1"/>
  <c r="I74" i="1"/>
  <c r="J70" i="1"/>
  <c r="J74" i="1"/>
  <c r="K70" i="1"/>
  <c r="K74" i="1"/>
  <c r="L70" i="1"/>
  <c r="L74" i="1"/>
  <c r="M70" i="1"/>
  <c r="M74" i="1"/>
  <c r="N70" i="1"/>
  <c r="N74" i="1"/>
  <c r="O70" i="1"/>
  <c r="O74" i="1"/>
  <c r="P70" i="1"/>
  <c r="P74" i="1"/>
  <c r="Q70" i="1"/>
  <c r="Q74" i="1"/>
  <c r="N73" i="1"/>
  <c r="N95" i="1"/>
  <c r="H71" i="1"/>
  <c r="H70" i="1"/>
  <c r="H74" i="1"/>
  <c r="G71" i="1"/>
  <c r="F70" i="1"/>
  <c r="F74" i="1"/>
  <c r="G70" i="1"/>
  <c r="G74" i="1"/>
  <c r="R55" i="1"/>
  <c r="R59" i="1"/>
  <c r="H73" i="1"/>
  <c r="H95" i="1"/>
  <c r="H96" i="1"/>
  <c r="K58" i="1"/>
  <c r="K84" i="1"/>
  <c r="P58" i="1"/>
  <c r="P84" i="1"/>
  <c r="P73" i="1"/>
  <c r="P95" i="1"/>
  <c r="I72" i="1"/>
  <c r="I90" i="1"/>
  <c r="E74" i="1"/>
  <c r="G73" i="1"/>
  <c r="G95" i="1"/>
  <c r="M59" i="1"/>
  <c r="N55" i="1"/>
  <c r="N59" i="1"/>
  <c r="O55" i="1"/>
  <c r="O59" i="1"/>
  <c r="P55" i="1"/>
  <c r="P59" i="1"/>
  <c r="Q55" i="1"/>
  <c r="Q59" i="1"/>
  <c r="J55" i="1"/>
  <c r="J59" i="1"/>
  <c r="K55" i="1"/>
  <c r="K59" i="1"/>
  <c r="L55" i="1"/>
  <c r="L59" i="1"/>
  <c r="M55" i="1"/>
  <c r="H55" i="1"/>
  <c r="H59" i="1"/>
  <c r="I55" i="1"/>
  <c r="I59" i="1"/>
  <c r="G55" i="1"/>
  <c r="G59" i="1"/>
  <c r="C63" i="1"/>
  <c r="C64" i="1"/>
  <c r="C74" i="1"/>
  <c r="E70" i="1"/>
  <c r="E71" i="1"/>
  <c r="E57" i="1"/>
  <c r="E59" i="1"/>
  <c r="F55" i="1"/>
  <c r="F59" i="1"/>
</calcChain>
</file>

<file path=xl/sharedStrings.xml><?xml version="1.0" encoding="utf-8"?>
<sst xmlns="http://schemas.openxmlformats.org/spreadsheetml/2006/main" count="86" uniqueCount="80">
  <si>
    <t>Project Finance Model</t>
  </si>
  <si>
    <t>Key Assumptions</t>
  </si>
  <si>
    <t>Project Name</t>
  </si>
  <si>
    <t>PW Solar Project</t>
  </si>
  <si>
    <t>Capacity &amp; Revenue</t>
  </si>
  <si>
    <t>Capacity (MW)</t>
  </si>
  <si>
    <t>Specific Yeild / Capacity Factor (Decimal)</t>
  </si>
  <si>
    <t>Annual degradation (decimal)</t>
  </si>
  <si>
    <t>Operational life (years)</t>
  </si>
  <si>
    <t>Construction period (years)</t>
  </si>
  <si>
    <t>PPA tariff (INR/MWh)</t>
  </si>
  <si>
    <t>Annual tariff escalator (decimal)</t>
  </si>
  <si>
    <t>Yearly Hours</t>
  </si>
  <si>
    <t>Expenses</t>
  </si>
  <si>
    <t>Fixed O&amp;M (INR/MW-Year)</t>
  </si>
  <si>
    <t>Varible O&amp;M (INR/MWh)</t>
  </si>
  <si>
    <t>Inflation (for O%M escalation)</t>
  </si>
  <si>
    <t>Initial CapEx (INR Core)</t>
  </si>
  <si>
    <t>Precent debt (%of capex)</t>
  </si>
  <si>
    <t>Debt tenor (Years)</t>
  </si>
  <si>
    <t>Debt Interst Rate (Annum)</t>
  </si>
  <si>
    <t>Debt Grace Period (Years)</t>
  </si>
  <si>
    <t>Corporate Tax Rate</t>
  </si>
  <si>
    <t>Deperication Life (Years)</t>
  </si>
  <si>
    <t xml:space="preserve">Salvage Value </t>
  </si>
  <si>
    <t>Project Details</t>
  </si>
  <si>
    <t>Working Capital (Days Revenue)</t>
  </si>
  <si>
    <t>DSRA requirement (months of debt service)</t>
  </si>
  <si>
    <t>Discount Rate</t>
  </si>
  <si>
    <t>ENERGY &amp; REVENUE</t>
  </si>
  <si>
    <t>(in INR Crs)</t>
  </si>
  <si>
    <t>Particular</t>
  </si>
  <si>
    <t>Operating Flag</t>
  </si>
  <si>
    <t>Energy Produced (MWh)</t>
  </si>
  <si>
    <t>Average Tariff (MWh)</t>
  </si>
  <si>
    <t>Revenue (INR Crs.)</t>
  </si>
  <si>
    <t>Operations &amp; Maintenance</t>
  </si>
  <si>
    <t>Infaltion Factor</t>
  </si>
  <si>
    <t>Fixed Expenses</t>
  </si>
  <si>
    <t>Varible Expenses</t>
  </si>
  <si>
    <t xml:space="preserve">Total O&amp;M </t>
  </si>
  <si>
    <t>Working Capital</t>
  </si>
  <si>
    <t>Revenue</t>
  </si>
  <si>
    <t>Working Capital Required</t>
  </si>
  <si>
    <t>Working Capital Change</t>
  </si>
  <si>
    <t>Capx &amp; Deperciation</t>
  </si>
  <si>
    <t>Opening Balance</t>
  </si>
  <si>
    <t>Addition / Sales</t>
  </si>
  <si>
    <t>Capitalzation of Interest</t>
  </si>
  <si>
    <t>Deperciation</t>
  </si>
  <si>
    <t>Closing Balance</t>
  </si>
  <si>
    <t>Finance &amp; Debt Schedule</t>
  </si>
  <si>
    <t>Year 0</t>
  </si>
  <si>
    <t>Capex (INR)</t>
  </si>
  <si>
    <t>Debt Drawdown (INR)</t>
  </si>
  <si>
    <t>Equity Invest</t>
  </si>
  <si>
    <t>Debt Tenor (years)</t>
  </si>
  <si>
    <t>Debt Interest Rate</t>
  </si>
  <si>
    <t>Opening debt balance</t>
  </si>
  <si>
    <t>Interest</t>
  </si>
  <si>
    <t>Princial Repayment</t>
  </si>
  <si>
    <t>Debt Repayment (anually)</t>
  </si>
  <si>
    <t>Closhing debt balance</t>
  </si>
  <si>
    <t>Cash Flow &amp; DSCR</t>
  </si>
  <si>
    <t>Operational Flag</t>
  </si>
  <si>
    <t>Total O%M</t>
  </si>
  <si>
    <t>EBITDA</t>
  </si>
  <si>
    <t>Deperication</t>
  </si>
  <si>
    <t>Earning Before Tax</t>
  </si>
  <si>
    <t>Tax</t>
  </si>
  <si>
    <t>Net Income</t>
  </si>
  <si>
    <t>Add: Depericiation</t>
  </si>
  <si>
    <t>Less: Principal repayment</t>
  </si>
  <si>
    <t>Capital Expenditure Salvage</t>
  </si>
  <si>
    <t>DSRA</t>
  </si>
  <si>
    <t>Free Cash Flow to Equity</t>
  </si>
  <si>
    <t>Debt service (Interest+Principal)</t>
  </si>
  <si>
    <t>DSCR (EBITDA/ Debt Service)</t>
  </si>
  <si>
    <t>Equity IRR</t>
  </si>
  <si>
    <t>Equity NPA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</si>
</sst>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Year&quot;\ 0"/>
    <numFmt numFmtId="165" formatCode="0.00;\(0.00\)"/>
  </numFmts>
  <fonts count="20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8"/>
      <color rgb="FF00206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i/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4"/>
      <color theme="0"/>
      <name val="Arial"/>
      <family val="2"/>
    </font>
    <font>
      <b/>
      <sz val="22"/>
      <color theme="0"/>
      <name val="Arial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0070C0"/>
      <name val="Arial"/>
      <family val="2"/>
    </font>
    <font>
      <sz val="12"/>
      <name val="Arial"/>
      <family val="2"/>
    </font>
    <font>
      <i/>
      <sz val="11"/>
      <name val="Arial"/>
      <family val="2"/>
    </font>
    <font>
      <i/>
      <sz val="11"/>
      <color theme="0" tint="-0.49998474074526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darkUp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-0.249977111117893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dashed">
        <color theme="0" tint="-0.499984740745262"/>
      </top>
      <bottom style="dashed">
        <color theme="0" tint="-0.499984740745262"/>
      </bottom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/>
      <right style="thick">
        <color theme="0"/>
      </right>
      <top style="thin">
        <color auto="1"/>
      </top>
      <bottom style="thin">
        <color auto="1"/>
      </bottom>
      <diagonal/>
    </border>
    <border>
      <left/>
      <right style="thick">
        <color theme="0"/>
      </right>
      <top/>
      <bottom style="thin">
        <color auto="1"/>
      </bottom>
      <diagonal/>
    </border>
    <border>
      <left style="thick">
        <color theme="0"/>
      </left>
      <right style="thick">
        <color theme="0"/>
      </right>
      <top/>
      <bottom style="thin">
        <color auto="1"/>
      </bottom>
      <diagonal/>
    </border>
    <border>
      <left/>
      <right style="thick">
        <color theme="0"/>
      </right>
      <top style="dashed">
        <color theme="0" tint="-0.499984740745262"/>
      </top>
      <bottom style="dashed">
        <color theme="0" tint="-0.499984740745262"/>
      </bottom>
      <diagonal/>
    </border>
    <border>
      <left/>
      <right/>
      <top/>
      <bottom style="thick">
        <color theme="0"/>
      </bottom>
      <diagonal/>
    </border>
    <border>
      <left/>
      <right style="thick">
        <color theme="0"/>
      </right>
      <top style="medium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ck">
        <color theme="0"/>
      </right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dashed">
        <color rgb="FF002060"/>
      </top>
      <bottom/>
      <diagonal/>
    </border>
    <border>
      <left/>
      <right/>
      <top style="dashed">
        <color auto="1"/>
      </top>
      <bottom/>
      <diagonal/>
    </border>
    <border>
      <left/>
      <right style="thick">
        <color theme="0"/>
      </right>
      <top style="thin">
        <color auto="1"/>
      </top>
      <bottom style="medium">
        <color theme="1"/>
      </bottom>
      <diagonal/>
    </border>
    <border>
      <left style="thick">
        <color theme="0"/>
      </left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dashed">
        <color theme="0" tint="-0.499984740745262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9">
    <xf numFmtId="0" fontId="0" fillId="0" borderId="0" xfId="0"/>
    <xf numFmtId="0" fontId="2" fillId="0" borderId="0" xfId="0" applyFont="1" applyFill="1" applyBorder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0" applyFont="1" applyFill="1" applyBorder="1" applyAlignment="1">
      <alignment horizontal="right"/>
    </xf>
    <xf numFmtId="0" fontId="3" fillId="0" borderId="0" xfId="0" applyFont="1" applyFill="1"/>
    <xf numFmtId="0" fontId="3" fillId="0" borderId="0" xfId="0" applyFont="1" applyBorder="1"/>
    <xf numFmtId="0" fontId="6" fillId="0" borderId="0" xfId="0" applyFont="1" applyFill="1" applyBorder="1" applyAlignment="1">
      <alignment horizontal="left"/>
    </xf>
    <xf numFmtId="0" fontId="7" fillId="0" borderId="0" xfId="0" applyFont="1"/>
    <xf numFmtId="0" fontId="9" fillId="0" borderId="0" xfId="0" applyFont="1"/>
    <xf numFmtId="3" fontId="10" fillId="0" borderId="0" xfId="0" applyNumberFormat="1" applyFont="1" applyBorder="1"/>
    <xf numFmtId="3" fontId="11" fillId="0" borderId="0" xfId="0" applyNumberFormat="1" applyFont="1" applyBorder="1"/>
    <xf numFmtId="0" fontId="2" fillId="0" borderId="0" xfId="0" applyFont="1"/>
    <xf numFmtId="0" fontId="7" fillId="0" borderId="0" xfId="0" applyFont="1" applyFill="1"/>
    <xf numFmtId="0" fontId="8" fillId="0" borderId="0" xfId="0" applyFont="1" applyFill="1" applyAlignment="1">
      <alignment horizontal="left" vertical="center"/>
    </xf>
    <xf numFmtId="0" fontId="8" fillId="0" borderId="0" xfId="0" applyFont="1" applyFill="1"/>
    <xf numFmtId="164" fontId="8" fillId="0" borderId="0" xfId="0" applyNumberFormat="1" applyFont="1" applyFill="1"/>
    <xf numFmtId="2" fontId="3" fillId="0" borderId="0" xfId="0" applyNumberFormat="1" applyFont="1"/>
    <xf numFmtId="2" fontId="3" fillId="0" borderId="0" xfId="0" applyNumberFormat="1" applyFont="1" applyBorder="1"/>
    <xf numFmtId="165" fontId="3" fillId="0" borderId="0" xfId="0" applyNumberFormat="1" applyFont="1"/>
    <xf numFmtId="0" fontId="3" fillId="0" borderId="1" xfId="0" applyFont="1" applyBorder="1"/>
    <xf numFmtId="0" fontId="3" fillId="0" borderId="4" xfId="0" applyFont="1" applyBorder="1"/>
    <xf numFmtId="2" fontId="3" fillId="0" borderId="4" xfId="0" applyNumberFormat="1" applyFont="1" applyBorder="1"/>
    <xf numFmtId="9" fontId="3" fillId="0" borderId="4" xfId="1" applyNumberFormat="1" applyFont="1" applyBorder="1"/>
    <xf numFmtId="0" fontId="14" fillId="0" borderId="0" xfId="0" applyFont="1"/>
    <xf numFmtId="0" fontId="15" fillId="0" borderId="0" xfId="0" applyFont="1"/>
    <xf numFmtId="0" fontId="7" fillId="0" borderId="0" xfId="0" applyFont="1" applyFill="1" applyBorder="1"/>
    <xf numFmtId="0" fontId="15" fillId="0" borderId="0" xfId="0" applyFont="1" applyFill="1"/>
    <xf numFmtId="0" fontId="18" fillId="4" borderId="0" xfId="0" applyFont="1" applyFill="1" applyBorder="1"/>
    <xf numFmtId="0" fontId="3" fillId="0" borderId="5" xfId="0" applyFont="1" applyBorder="1"/>
    <xf numFmtId="0" fontId="3" fillId="0" borderId="6" xfId="0" applyFont="1" applyBorder="1"/>
    <xf numFmtId="165" fontId="3" fillId="0" borderId="9" xfId="0" applyNumberFormat="1" applyFont="1" applyBorder="1"/>
    <xf numFmtId="165" fontId="3" fillId="0" borderId="6" xfId="0" applyNumberFormat="1" applyFont="1" applyBorder="1"/>
    <xf numFmtId="0" fontId="4" fillId="6" borderId="7" xfId="0" applyFont="1" applyFill="1" applyBorder="1"/>
    <xf numFmtId="0" fontId="15" fillId="0" borderId="5" xfId="0" applyFont="1" applyBorder="1"/>
    <xf numFmtId="0" fontId="15" fillId="0" borderId="0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0" xfId="0" applyNumberFormat="1" applyFont="1" applyBorder="1"/>
    <xf numFmtId="2" fontId="3" fillId="0" borderId="8" xfId="0" applyNumberFormat="1" applyFont="1" applyBorder="1"/>
    <xf numFmtId="0" fontId="19" fillId="0" borderId="0" xfId="0" applyFont="1" applyBorder="1"/>
    <xf numFmtId="0" fontId="4" fillId="7" borderId="2" xfId="0" applyFont="1" applyFill="1" applyBorder="1"/>
    <xf numFmtId="0" fontId="3" fillId="7" borderId="2" xfId="0" applyFont="1" applyFill="1" applyBorder="1"/>
    <xf numFmtId="2" fontId="4" fillId="7" borderId="2" xfId="0" applyNumberFormat="1" applyFont="1" applyFill="1" applyBorder="1"/>
    <xf numFmtId="0" fontId="4" fillId="0" borderId="0" xfId="0" applyFont="1" applyFill="1" applyBorder="1"/>
    <xf numFmtId="165" fontId="4" fillId="0" borderId="0" xfId="0" applyNumberFormat="1" applyFont="1" applyFill="1" applyBorder="1"/>
    <xf numFmtId="165" fontId="3" fillId="0" borderId="12" xfId="0" applyNumberFormat="1" applyFont="1" applyBorder="1"/>
    <xf numFmtId="165" fontId="3" fillId="0" borderId="8" xfId="0" applyNumberFormat="1" applyFont="1" applyBorder="1"/>
    <xf numFmtId="0" fontId="16" fillId="0" borderId="0" xfId="0" applyFont="1" applyFill="1" applyBorder="1"/>
    <xf numFmtId="0" fontId="15" fillId="0" borderId="14" xfId="0" applyFont="1" applyBorder="1"/>
    <xf numFmtId="9" fontId="16" fillId="0" borderId="13" xfId="1" applyNumberFormat="1" applyFont="1" applyFill="1" applyBorder="1"/>
    <xf numFmtId="0" fontId="16" fillId="0" borderId="13" xfId="0" applyFont="1" applyFill="1" applyBorder="1"/>
    <xf numFmtId="9" fontId="16" fillId="0" borderId="13" xfId="0" applyNumberFormat="1" applyFont="1" applyFill="1" applyBorder="1"/>
    <xf numFmtId="3" fontId="16" fillId="0" borderId="13" xfId="0" applyNumberFormat="1" applyFont="1" applyBorder="1"/>
    <xf numFmtId="0" fontId="17" fillId="0" borderId="15" xfId="0" applyFont="1" applyFill="1" applyBorder="1"/>
    <xf numFmtId="3" fontId="16" fillId="0" borderId="16" xfId="0" applyNumberFormat="1" applyFont="1" applyBorder="1"/>
    <xf numFmtId="0" fontId="17" fillId="0" borderId="14" xfId="0" applyFont="1" applyFill="1" applyBorder="1"/>
    <xf numFmtId="0" fontId="16" fillId="0" borderId="17" xfId="0" applyFont="1" applyFill="1" applyBorder="1"/>
    <xf numFmtId="1" fontId="16" fillId="0" borderId="13" xfId="0" applyNumberFormat="1" applyFont="1" applyFill="1" applyBorder="1"/>
    <xf numFmtId="0" fontId="3" fillId="5" borderId="5" xfId="0" applyFont="1" applyFill="1" applyBorder="1"/>
    <xf numFmtId="164" fontId="8" fillId="0" borderId="5" xfId="0" applyNumberFormat="1" applyFont="1" applyFill="1" applyBorder="1"/>
    <xf numFmtId="165" fontId="3" fillId="0" borderId="1" xfId="0" applyNumberFormat="1" applyFont="1" applyBorder="1"/>
    <xf numFmtId="10" fontId="4" fillId="6" borderId="5" xfId="0" applyNumberFormat="1" applyFont="1" applyFill="1" applyBorder="1"/>
    <xf numFmtId="2" fontId="4" fillId="6" borderId="18" xfId="0" applyNumberFormat="1" applyFont="1" applyFill="1" applyBorder="1"/>
    <xf numFmtId="0" fontId="4" fillId="6" borderId="5" xfId="0" applyFont="1" applyFill="1" applyBorder="1"/>
    <xf numFmtId="0" fontId="3" fillId="0" borderId="5" xfId="0" applyFont="1" applyFill="1" applyBorder="1"/>
    <xf numFmtId="0" fontId="3" fillId="0" borderId="15" xfId="0" applyFont="1" applyBorder="1"/>
    <xf numFmtId="165" fontId="3" fillId="0" borderId="19" xfId="0" applyNumberFormat="1" applyFont="1" applyBorder="1"/>
    <xf numFmtId="0" fontId="3" fillId="0" borderId="20" xfId="0" applyFont="1" applyBorder="1"/>
    <xf numFmtId="0" fontId="13" fillId="2" borderId="0" xfId="0" applyFont="1" applyFill="1" applyAlignment="1">
      <alignment horizontal="center"/>
    </xf>
    <xf numFmtId="0" fontId="12" fillId="8" borderId="0" xfId="0" applyFont="1" applyFill="1"/>
    <xf numFmtId="0" fontId="12" fillId="8" borderId="0" xfId="0" applyFont="1" applyFill="1" applyBorder="1" applyAlignment="1">
      <alignment horizontal="right"/>
    </xf>
    <xf numFmtId="164" fontId="8" fillId="8" borderId="0" xfId="0" applyNumberFormat="1" applyFont="1" applyFill="1" applyBorder="1"/>
    <xf numFmtId="0" fontId="7" fillId="3" borderId="2" xfId="0" applyFont="1" applyFill="1" applyBorder="1" applyAlignment="1">
      <alignment horizontal="left"/>
    </xf>
    <xf numFmtId="3" fontId="4" fillId="7" borderId="2" xfId="0" applyNumberFormat="1" applyFont="1" applyFill="1" applyBorder="1"/>
    <xf numFmtId="4" fontId="4" fillId="7" borderId="2" xfId="0" applyNumberFormat="1" applyFont="1" applyFill="1" applyBorder="1"/>
    <xf numFmtId="3" fontId="11" fillId="0" borderId="1" xfId="0" applyNumberFormat="1" applyFont="1" applyBorder="1"/>
    <xf numFmtId="2" fontId="3" fillId="0" borderId="20" xfId="0" applyNumberFormat="1" applyFont="1" applyBorder="1"/>
    <xf numFmtId="4" fontId="4" fillId="7" borderId="3" xfId="0" applyNumberFormat="1" applyFont="1" applyFill="1" applyBorder="1"/>
    <xf numFmtId="0" fontId="4" fillId="0" borderId="15" xfId="0" applyFont="1" applyFill="1" applyBorder="1"/>
    <xf numFmtId="165" fontId="3" fillId="0" borderId="20" xfId="0" applyNumberFormat="1" applyFont="1" applyBorder="1"/>
    <xf numFmtId="2" fontId="3" fillId="0" borderId="1" xfId="0" applyNumberFormat="1" applyFont="1" applyBorder="1"/>
    <xf numFmtId="0" fontId="3" fillId="5" borderId="1" xfId="0" applyFont="1" applyFill="1" applyBorder="1"/>
    <xf numFmtId="165" fontId="3" fillId="0" borderId="15" xfId="0" applyNumberFormat="1" applyFont="1" applyBorder="1"/>
    <xf numFmtId="0" fontId="3" fillId="5" borderId="0" xfId="0" applyFont="1" applyFill="1" applyBorder="1"/>
    <xf numFmtId="0" fontId="3" fillId="0" borderId="21" xfId="0" applyFont="1" applyBorder="1"/>
    <xf numFmtId="0" fontId="3" fillId="0" borderId="1" xfId="0" applyFont="1" applyFill="1" applyBorder="1"/>
    <xf numFmtId="0" fontId="3" fillId="5" borderId="22" xfId="0" applyFont="1" applyFill="1" applyBorder="1"/>
    <xf numFmtId="0" fontId="3" fillId="0" borderId="0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0CE9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T100"/>
  <sheetViews>
    <sheetView showGridLines="0" tabSelected="1" topLeftCell="A21" zoomScale="85" zoomScaleNormal="85" zoomScaleSheetLayoutView="55" workbookViewId="0">
      <selection activeCell="A106" sqref="A106"/>
    </sheetView>
  </sheetViews>
  <sheetFormatPr defaultRowHeight="14.25" outlineLevelRow="1" x14ac:dyDescent="0.2"/>
  <cols>
    <col min="1" max="1" width="1.85546875" style="2" customWidth="1"/>
    <col min="2" max="2" width="37.5703125" style="2" bestFit="1" customWidth="1"/>
    <col min="3" max="3" width="24" style="2" bestFit="1" customWidth="1"/>
    <col min="4" max="4" width="3.42578125" style="2" customWidth="1"/>
    <col min="5" max="5" width="45.7109375" style="2" bestFit="1" customWidth="1"/>
    <col min="6" max="13" width="9.28515625" style="2" bestFit="1" customWidth="1"/>
    <col min="14" max="20" width="9.85546875" style="2" bestFit="1" customWidth="1"/>
    <col min="21" max="16384" width="9.140625" style="2"/>
  </cols>
  <sheetData>
    <row r="1" spans="1:20" x14ac:dyDescent="0.2">
      <c r="C1" s="6"/>
    </row>
    <row r="2" spans="1:20" ht="27.75" x14ac:dyDescent="0.4">
      <c r="B2" s="69" t="s">
        <v>0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</row>
    <row r="4" spans="1:20" ht="20.25" x14ac:dyDescent="0.3">
      <c r="B4" s="24" t="s">
        <v>1</v>
      </c>
    </row>
    <row r="6" spans="1:20" ht="18" x14ac:dyDescent="0.25">
      <c r="B6" s="70" t="s">
        <v>2</v>
      </c>
      <c r="C6" s="71" t="s">
        <v>3</v>
      </c>
    </row>
    <row r="7" spans="1:20" ht="15" x14ac:dyDescent="0.25">
      <c r="B7" s="3"/>
      <c r="C7" s="4"/>
    </row>
    <row r="8" spans="1:20" s="25" customFormat="1" ht="16.5" outlineLevel="1" thickBot="1" x14ac:dyDescent="0.3">
      <c r="A8" s="2"/>
      <c r="B8" s="73" t="s">
        <v>4</v>
      </c>
      <c r="C8" s="73"/>
      <c r="D8" s="35"/>
      <c r="E8" s="73" t="s">
        <v>4</v>
      </c>
      <c r="F8" s="73"/>
    </row>
    <row r="9" spans="1:20" s="27" customFormat="1" ht="5.25" customHeight="1" outlineLevel="1" x14ac:dyDescent="0.25">
      <c r="A9" s="5"/>
      <c r="B9" s="26"/>
      <c r="C9" s="26"/>
      <c r="E9" s="26"/>
      <c r="F9" s="26"/>
    </row>
    <row r="10" spans="1:20" s="25" customFormat="1" ht="15" outlineLevel="1" x14ac:dyDescent="0.2">
      <c r="A10" s="2"/>
      <c r="B10" s="34" t="s">
        <v>5</v>
      </c>
      <c r="C10" s="48">
        <v>50</v>
      </c>
      <c r="E10" s="49" t="s">
        <v>17</v>
      </c>
      <c r="F10" s="51">
        <v>200</v>
      </c>
    </row>
    <row r="11" spans="1:20" s="25" customFormat="1" ht="15" outlineLevel="1" x14ac:dyDescent="0.2">
      <c r="A11" s="2"/>
      <c r="B11" s="49" t="s">
        <v>6</v>
      </c>
      <c r="C11" s="50">
        <v>0.2</v>
      </c>
      <c r="E11" s="49" t="s">
        <v>18</v>
      </c>
      <c r="F11" s="50">
        <v>0.7</v>
      </c>
    </row>
    <row r="12" spans="1:20" s="25" customFormat="1" ht="15" outlineLevel="1" x14ac:dyDescent="0.2">
      <c r="A12" s="2"/>
      <c r="B12" s="49" t="s">
        <v>7</v>
      </c>
      <c r="C12" s="51">
        <v>5.0000000000000001E-3</v>
      </c>
      <c r="E12" s="49" t="s">
        <v>19</v>
      </c>
      <c r="F12" s="51">
        <v>12</v>
      </c>
    </row>
    <row r="13" spans="1:20" s="25" customFormat="1" ht="15" outlineLevel="1" x14ac:dyDescent="0.2">
      <c r="A13" s="2"/>
      <c r="B13" s="49" t="s">
        <v>8</v>
      </c>
      <c r="C13" s="51">
        <v>15</v>
      </c>
      <c r="E13" s="49" t="s">
        <v>20</v>
      </c>
      <c r="F13" s="52">
        <v>0.08</v>
      </c>
    </row>
    <row r="14" spans="1:20" s="25" customFormat="1" ht="15" outlineLevel="1" x14ac:dyDescent="0.2">
      <c r="A14" s="2"/>
      <c r="B14" s="49" t="s">
        <v>9</v>
      </c>
      <c r="C14" s="51">
        <v>1</v>
      </c>
      <c r="E14" s="49" t="s">
        <v>21</v>
      </c>
      <c r="F14" s="51">
        <v>1</v>
      </c>
    </row>
    <row r="15" spans="1:20" s="25" customFormat="1" ht="15" outlineLevel="1" x14ac:dyDescent="0.2">
      <c r="A15" s="2"/>
      <c r="B15" s="49" t="s">
        <v>10</v>
      </c>
      <c r="C15" s="51">
        <v>3500</v>
      </c>
      <c r="E15" s="49" t="s">
        <v>22</v>
      </c>
      <c r="F15" s="52">
        <v>0.25</v>
      </c>
    </row>
    <row r="16" spans="1:20" s="25" customFormat="1" ht="15" outlineLevel="1" x14ac:dyDescent="0.2">
      <c r="A16" s="2"/>
      <c r="B16" s="49" t="s">
        <v>11</v>
      </c>
      <c r="C16" s="52">
        <v>0.02</v>
      </c>
      <c r="E16" s="49" t="s">
        <v>23</v>
      </c>
      <c r="F16" s="58">
        <v>15</v>
      </c>
    </row>
    <row r="17" spans="1:20" s="25" customFormat="1" ht="15" outlineLevel="1" x14ac:dyDescent="0.2">
      <c r="A17" s="2"/>
      <c r="B17" s="49" t="s">
        <v>12</v>
      </c>
      <c r="C17" s="53">
        <f>24*365</f>
        <v>8760</v>
      </c>
      <c r="E17" s="49" t="s">
        <v>24</v>
      </c>
      <c r="F17" s="52">
        <v>0.1</v>
      </c>
    </row>
    <row r="18" spans="1:20" s="25" customFormat="1" ht="15" outlineLevel="1" x14ac:dyDescent="0.2">
      <c r="A18" s="2"/>
      <c r="B18" s="34"/>
    </row>
    <row r="19" spans="1:20" s="25" customFormat="1" ht="16.5" outlineLevel="1" thickBot="1" x14ac:dyDescent="0.3">
      <c r="A19" s="2"/>
      <c r="B19" s="73" t="s">
        <v>13</v>
      </c>
      <c r="C19" s="73"/>
      <c r="E19" s="73" t="s">
        <v>25</v>
      </c>
      <c r="F19" s="73"/>
    </row>
    <row r="20" spans="1:20" s="25" customFormat="1" ht="15" outlineLevel="1" x14ac:dyDescent="0.2">
      <c r="A20" s="2"/>
      <c r="B20" s="54" t="s">
        <v>14</v>
      </c>
      <c r="C20" s="55">
        <v>100000</v>
      </c>
      <c r="E20" s="54" t="s">
        <v>26</v>
      </c>
      <c r="F20" s="57">
        <v>30</v>
      </c>
    </row>
    <row r="21" spans="1:20" s="25" customFormat="1" ht="15" outlineLevel="1" x14ac:dyDescent="0.2">
      <c r="A21" s="2"/>
      <c r="B21" s="56" t="s">
        <v>15</v>
      </c>
      <c r="C21" s="51">
        <v>5</v>
      </c>
      <c r="E21" s="56" t="s">
        <v>27</v>
      </c>
      <c r="F21" s="51">
        <v>6</v>
      </c>
    </row>
    <row r="22" spans="1:20" s="25" customFormat="1" ht="15" outlineLevel="1" x14ac:dyDescent="0.2">
      <c r="A22" s="2"/>
      <c r="B22" s="56" t="s">
        <v>16</v>
      </c>
      <c r="C22" s="52">
        <v>0.03</v>
      </c>
      <c r="E22" s="56" t="s">
        <v>28</v>
      </c>
      <c r="F22" s="52">
        <v>0.1</v>
      </c>
    </row>
    <row r="23" spans="1:20" x14ac:dyDescent="0.2">
      <c r="B23" s="29"/>
      <c r="E23" s="29"/>
    </row>
    <row r="24" spans="1:20" x14ac:dyDescent="0.2">
      <c r="B24" s="29"/>
    </row>
    <row r="25" spans="1:20" s="6" customFormat="1" ht="23.25" x14ac:dyDescent="0.2">
      <c r="B25" s="1" t="s">
        <v>29</v>
      </c>
      <c r="E25" s="7" t="s">
        <v>30</v>
      </c>
    </row>
    <row r="26" spans="1:20" ht="5.25" customHeight="1" x14ac:dyDescent="0.2"/>
    <row r="27" spans="1:20" s="8" customFormat="1" ht="18.75" customHeight="1" outlineLevel="1" x14ac:dyDescent="0.25">
      <c r="B27" s="72" t="s">
        <v>31</v>
      </c>
      <c r="C27" s="72"/>
      <c r="D27" s="72"/>
      <c r="E27" s="72">
        <v>1</v>
      </c>
      <c r="F27" s="72">
        <f>E27+1</f>
        <v>2</v>
      </c>
      <c r="G27" s="72">
        <f t="shared" ref="G27:T27" si="0">F27+1</f>
        <v>3</v>
      </c>
      <c r="H27" s="72">
        <f t="shared" si="0"/>
        <v>4</v>
      </c>
      <c r="I27" s="72">
        <f t="shared" si="0"/>
        <v>5</v>
      </c>
      <c r="J27" s="72">
        <f t="shared" si="0"/>
        <v>6</v>
      </c>
      <c r="K27" s="72">
        <f t="shared" si="0"/>
        <v>7</v>
      </c>
      <c r="L27" s="72">
        <f t="shared" si="0"/>
        <v>8</v>
      </c>
      <c r="M27" s="72">
        <f t="shared" si="0"/>
        <v>9</v>
      </c>
      <c r="N27" s="72">
        <f t="shared" si="0"/>
        <v>10</v>
      </c>
      <c r="O27" s="72">
        <f t="shared" si="0"/>
        <v>11</v>
      </c>
      <c r="P27" s="72">
        <f t="shared" si="0"/>
        <v>12</v>
      </c>
      <c r="Q27" s="72">
        <f t="shared" si="0"/>
        <v>13</v>
      </c>
      <c r="R27" s="72">
        <f t="shared" si="0"/>
        <v>14</v>
      </c>
      <c r="S27" s="72">
        <f t="shared" si="0"/>
        <v>15</v>
      </c>
      <c r="T27" s="72">
        <f t="shared" si="0"/>
        <v>16</v>
      </c>
    </row>
    <row r="28" spans="1:20" s="13" customFormat="1" ht="6" customHeight="1" outlineLevel="1" x14ac:dyDescent="0.25">
      <c r="B28" s="14"/>
      <c r="C28" s="15"/>
      <c r="D28" s="15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</row>
    <row r="29" spans="1:20" outlineLevel="1" x14ac:dyDescent="0.2">
      <c r="B29" s="28" t="s">
        <v>32</v>
      </c>
      <c r="C29" s="9"/>
      <c r="D29" s="9"/>
      <c r="E29" s="40">
        <v>0</v>
      </c>
      <c r="F29" s="40">
        <v>1</v>
      </c>
      <c r="G29" s="40">
        <v>1</v>
      </c>
      <c r="H29" s="40">
        <v>1</v>
      </c>
      <c r="I29" s="40">
        <v>1</v>
      </c>
      <c r="J29" s="40">
        <v>1</v>
      </c>
      <c r="K29" s="40">
        <v>1</v>
      </c>
      <c r="L29" s="40">
        <v>1</v>
      </c>
      <c r="M29" s="40">
        <v>1</v>
      </c>
      <c r="N29" s="40">
        <v>1</v>
      </c>
      <c r="O29" s="40">
        <v>1</v>
      </c>
      <c r="P29" s="40">
        <v>1</v>
      </c>
      <c r="Q29" s="40">
        <v>1</v>
      </c>
      <c r="R29" s="40">
        <v>1</v>
      </c>
      <c r="S29" s="40">
        <v>1</v>
      </c>
      <c r="T29" s="40">
        <v>1</v>
      </c>
    </row>
    <row r="30" spans="1:20" ht="15" outlineLevel="1" x14ac:dyDescent="0.25">
      <c r="B30" s="3" t="s">
        <v>33</v>
      </c>
      <c r="E30" s="10">
        <f>IFERROR((Capacity*Capacity_Factor*Yearly_hours*(1-Degradation)^(E27-2)*E29),"-")</f>
        <v>0</v>
      </c>
      <c r="F30" s="10">
        <f t="shared" ref="F30:T30" si="1">Capacity*Capacity_Factor*Yearly_hours*(1-Degradation)^(F27-2)*F29</f>
        <v>87600</v>
      </c>
      <c r="G30" s="10">
        <f t="shared" si="1"/>
        <v>87162</v>
      </c>
      <c r="H30" s="10">
        <f t="shared" si="1"/>
        <v>86726.19</v>
      </c>
      <c r="I30" s="10">
        <f t="shared" si="1"/>
        <v>86292.559049999996</v>
      </c>
      <c r="J30" s="10">
        <f t="shared" si="1"/>
        <v>85861.096254750009</v>
      </c>
      <c r="K30" s="10">
        <f t="shared" si="1"/>
        <v>85431.790773476256</v>
      </c>
      <c r="L30" s="10">
        <f t="shared" si="1"/>
        <v>85004.631819608883</v>
      </c>
      <c r="M30" s="10">
        <f t="shared" si="1"/>
        <v>84579.608660510828</v>
      </c>
      <c r="N30" s="10">
        <f t="shared" si="1"/>
        <v>84156.710617208271</v>
      </c>
      <c r="O30" s="10">
        <f t="shared" si="1"/>
        <v>83735.927064122225</v>
      </c>
      <c r="P30" s="10">
        <f t="shared" si="1"/>
        <v>83317.247428801624</v>
      </c>
      <c r="Q30" s="10">
        <f t="shared" si="1"/>
        <v>82900.661191657608</v>
      </c>
      <c r="R30" s="10">
        <f t="shared" si="1"/>
        <v>82486.157885699329</v>
      </c>
      <c r="S30" s="10">
        <f t="shared" si="1"/>
        <v>82073.727096270843</v>
      </c>
      <c r="T30" s="10">
        <f t="shared" si="1"/>
        <v>81663.358460789488</v>
      </c>
    </row>
    <row r="31" spans="1:20" outlineLevel="1" x14ac:dyDescent="0.2">
      <c r="B31" s="2" t="s">
        <v>34</v>
      </c>
      <c r="E31" s="11">
        <f t="shared" ref="E31:T31" si="2">PPA_Tariff*(1+Tariff_escalator)^(E27-2)*E29</f>
        <v>0</v>
      </c>
      <c r="F31" s="76">
        <f t="shared" si="2"/>
        <v>3500</v>
      </c>
      <c r="G31" s="76">
        <f t="shared" si="2"/>
        <v>3570</v>
      </c>
      <c r="H31" s="76">
        <f t="shared" si="2"/>
        <v>3641.4</v>
      </c>
      <c r="I31" s="76">
        <f t="shared" si="2"/>
        <v>3714.2279999999996</v>
      </c>
      <c r="J31" s="76">
        <f t="shared" si="2"/>
        <v>3788.5125600000001</v>
      </c>
      <c r="K31" s="76">
        <f t="shared" si="2"/>
        <v>3864.2828112000002</v>
      </c>
      <c r="L31" s="76">
        <f t="shared" si="2"/>
        <v>3941.5684674240001</v>
      </c>
      <c r="M31" s="76">
        <f t="shared" si="2"/>
        <v>4020.3998367724794</v>
      </c>
      <c r="N31" s="76">
        <f t="shared" si="2"/>
        <v>4100.807833507929</v>
      </c>
      <c r="O31" s="76">
        <f t="shared" si="2"/>
        <v>4182.823990178088</v>
      </c>
      <c r="P31" s="76">
        <f t="shared" si="2"/>
        <v>4266.4804699816495</v>
      </c>
      <c r="Q31" s="76">
        <f t="shared" si="2"/>
        <v>4351.8100793812819</v>
      </c>
      <c r="R31" s="76">
        <f t="shared" si="2"/>
        <v>4438.8462809689081</v>
      </c>
      <c r="S31" s="76">
        <f t="shared" si="2"/>
        <v>4527.6232065882859</v>
      </c>
      <c r="T31" s="76">
        <f t="shared" si="2"/>
        <v>4618.1756707200529</v>
      </c>
    </row>
    <row r="32" spans="1:20" ht="15.75" outlineLevel="1" thickBot="1" x14ac:dyDescent="0.3">
      <c r="B32" s="41" t="s">
        <v>35</v>
      </c>
      <c r="C32" s="41"/>
      <c r="D32" s="41"/>
      <c r="E32" s="74">
        <f>E31*E30/10^7</f>
        <v>0</v>
      </c>
      <c r="F32" s="75">
        <f t="shared" ref="F32:T32" si="3">F31*F30/10^7</f>
        <v>30.66</v>
      </c>
      <c r="G32" s="75">
        <f t="shared" si="3"/>
        <v>31.116834000000001</v>
      </c>
      <c r="H32" s="75">
        <f t="shared" si="3"/>
        <v>31.580474826600003</v>
      </c>
      <c r="I32" s="75">
        <f t="shared" si="3"/>
        <v>32.051023901516338</v>
      </c>
      <c r="J32" s="75">
        <f t="shared" si="3"/>
        <v>32.528584157648936</v>
      </c>
      <c r="K32" s="75">
        <f t="shared" si="3"/>
        <v>33.013260061597904</v>
      </c>
      <c r="L32" s="75">
        <f t="shared" si="3"/>
        <v>33.505157636515719</v>
      </c>
      <c r="M32" s="75">
        <f t="shared" si="3"/>
        <v>34.004384485299788</v>
      </c>
      <c r="N32" s="75">
        <f t="shared" si="3"/>
        <v>34.511049814130757</v>
      </c>
      <c r="O32" s="75">
        <f t="shared" si="3"/>
        <v>35.025264456361306</v>
      </c>
      <c r="P32" s="75">
        <f t="shared" si="3"/>
        <v>35.547140896761093</v>
      </c>
      <c r="Q32" s="75">
        <f t="shared" si="3"/>
        <v>36.076793296122823</v>
      </c>
      <c r="R32" s="75">
        <f t="shared" si="3"/>
        <v>36.614337516235068</v>
      </c>
      <c r="S32" s="75">
        <f t="shared" si="3"/>
        <v>37.159891145226965</v>
      </c>
      <c r="T32" s="75">
        <f t="shared" si="3"/>
        <v>37.713573523290862</v>
      </c>
    </row>
    <row r="33" spans="2:20" x14ac:dyDescent="0.2">
      <c r="E33" s="66"/>
      <c r="F33" s="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</row>
    <row r="34" spans="2:20" ht="23.25" x14ac:dyDescent="0.35">
      <c r="B34" s="12" t="s">
        <v>36</v>
      </c>
      <c r="H34" s="29"/>
    </row>
    <row r="35" spans="2:20" ht="4.5" customHeight="1" x14ac:dyDescent="0.2">
      <c r="E35" s="29"/>
    </row>
    <row r="36" spans="2:20" ht="15.75" outlineLevel="1" x14ac:dyDescent="0.25">
      <c r="B36" s="72" t="str">
        <f>B27</f>
        <v>Particular</v>
      </c>
      <c r="C36" s="72"/>
      <c r="D36" s="72"/>
      <c r="E36" s="72">
        <f t="shared" ref="E36:T36" si="4">E27</f>
        <v>1</v>
      </c>
      <c r="F36" s="72">
        <f t="shared" si="4"/>
        <v>2</v>
      </c>
      <c r="G36" s="72">
        <f t="shared" si="4"/>
        <v>3</v>
      </c>
      <c r="H36" s="72">
        <f t="shared" si="4"/>
        <v>4</v>
      </c>
      <c r="I36" s="72">
        <f t="shared" si="4"/>
        <v>5</v>
      </c>
      <c r="J36" s="72">
        <f t="shared" si="4"/>
        <v>6</v>
      </c>
      <c r="K36" s="72">
        <f t="shared" si="4"/>
        <v>7</v>
      </c>
      <c r="L36" s="72">
        <f t="shared" si="4"/>
        <v>8</v>
      </c>
      <c r="M36" s="72">
        <f t="shared" si="4"/>
        <v>9</v>
      </c>
      <c r="N36" s="72">
        <f t="shared" si="4"/>
        <v>10</v>
      </c>
      <c r="O36" s="72">
        <f t="shared" si="4"/>
        <v>11</v>
      </c>
      <c r="P36" s="72">
        <f t="shared" si="4"/>
        <v>12</v>
      </c>
      <c r="Q36" s="72">
        <f t="shared" si="4"/>
        <v>13</v>
      </c>
      <c r="R36" s="72">
        <f t="shared" si="4"/>
        <v>14</v>
      </c>
      <c r="S36" s="72">
        <f t="shared" si="4"/>
        <v>15</v>
      </c>
      <c r="T36" s="72">
        <f t="shared" si="4"/>
        <v>16</v>
      </c>
    </row>
    <row r="37" spans="2:20" s="5" customFormat="1" ht="4.5" customHeight="1" outlineLevel="1" x14ac:dyDescent="0.25">
      <c r="B37" s="14"/>
      <c r="C37" s="15"/>
      <c r="D37" s="14"/>
      <c r="E37" s="60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</row>
    <row r="38" spans="2:20" outlineLevel="1" x14ac:dyDescent="0.2">
      <c r="B38" s="6" t="s">
        <v>37</v>
      </c>
      <c r="C38" s="6"/>
      <c r="D38" s="6"/>
      <c r="E38" s="84"/>
      <c r="F38" s="18">
        <f t="shared" ref="F38:T38" si="5">(1+Inflation_rate)^(E36-1)</f>
        <v>1</v>
      </c>
      <c r="G38" s="18">
        <f t="shared" si="5"/>
        <v>1.03</v>
      </c>
      <c r="H38" s="18">
        <f t="shared" si="5"/>
        <v>1.0609</v>
      </c>
      <c r="I38" s="18">
        <f t="shared" si="5"/>
        <v>1.092727</v>
      </c>
      <c r="J38" s="18">
        <f t="shared" si="5"/>
        <v>1.1255088099999999</v>
      </c>
      <c r="K38" s="18">
        <f t="shared" si="5"/>
        <v>1.1592740742999998</v>
      </c>
      <c r="L38" s="18">
        <f t="shared" si="5"/>
        <v>1.1940522965289999</v>
      </c>
      <c r="M38" s="18">
        <f t="shared" si="5"/>
        <v>1.22987386542487</v>
      </c>
      <c r="N38" s="18">
        <f t="shared" si="5"/>
        <v>1.2667700813876159</v>
      </c>
      <c r="O38" s="18">
        <f t="shared" si="5"/>
        <v>1.3047731838292445</v>
      </c>
      <c r="P38" s="18">
        <f t="shared" si="5"/>
        <v>1.3439163793441218</v>
      </c>
      <c r="Q38" s="18">
        <f t="shared" si="5"/>
        <v>1.3842338707244455</v>
      </c>
      <c r="R38" s="18">
        <f t="shared" si="5"/>
        <v>1.4257608868461786</v>
      </c>
      <c r="S38" s="18">
        <f t="shared" si="5"/>
        <v>1.4685337134515639</v>
      </c>
      <c r="T38" s="18">
        <f t="shared" si="5"/>
        <v>1.512589724855111</v>
      </c>
    </row>
    <row r="39" spans="2:20" outlineLevel="1" x14ac:dyDescent="0.2">
      <c r="B39" s="6" t="s">
        <v>38</v>
      </c>
      <c r="C39" s="6"/>
      <c r="D39" s="6"/>
      <c r="E39" s="84"/>
      <c r="F39" s="18">
        <f t="shared" ref="F39:T39" si="6">Capacity*$C$20*F38/10^7</f>
        <v>0.5</v>
      </c>
      <c r="G39" s="18">
        <f t="shared" si="6"/>
        <v>0.51500000000000001</v>
      </c>
      <c r="H39" s="18">
        <f t="shared" si="6"/>
        <v>0.53044999999999998</v>
      </c>
      <c r="I39" s="18">
        <f t="shared" si="6"/>
        <v>0.5463635</v>
      </c>
      <c r="J39" s="18">
        <f t="shared" si="6"/>
        <v>0.56275440499999996</v>
      </c>
      <c r="K39" s="18">
        <f t="shared" si="6"/>
        <v>0.57963703714999992</v>
      </c>
      <c r="L39" s="18">
        <f t="shared" si="6"/>
        <v>0.59702614826449996</v>
      </c>
      <c r="M39" s="18">
        <f t="shared" si="6"/>
        <v>0.61493693271243499</v>
      </c>
      <c r="N39" s="18">
        <f t="shared" si="6"/>
        <v>0.63338504069380797</v>
      </c>
      <c r="O39" s="18">
        <f t="shared" si="6"/>
        <v>0.65238659191462223</v>
      </c>
      <c r="P39" s="18">
        <f t="shared" si="6"/>
        <v>0.67195818967206089</v>
      </c>
      <c r="Q39" s="18">
        <f t="shared" si="6"/>
        <v>0.69211693536222274</v>
      </c>
      <c r="R39" s="18">
        <f t="shared" si="6"/>
        <v>0.71288044342308932</v>
      </c>
      <c r="S39" s="18">
        <f t="shared" si="6"/>
        <v>0.73426685672578196</v>
      </c>
      <c r="T39" s="18">
        <f t="shared" si="6"/>
        <v>0.7562948624275555</v>
      </c>
    </row>
    <row r="40" spans="2:20" outlineLevel="1" x14ac:dyDescent="0.2">
      <c r="B40" s="20" t="s">
        <v>39</v>
      </c>
      <c r="C40" s="20"/>
      <c r="D40" s="20"/>
      <c r="E40" s="82"/>
      <c r="F40" s="81">
        <f>F30*$C$21*F38/10^7</f>
        <v>4.3799999999999999E-2</v>
      </c>
      <c r="G40" s="81">
        <f t="shared" ref="G40:T40" si="7">G30*$C$21*G38/10^7</f>
        <v>4.488843E-2</v>
      </c>
      <c r="H40" s="81">
        <f t="shared" si="7"/>
        <v>4.6003907485499998E-2</v>
      </c>
      <c r="I40" s="81">
        <f t="shared" si="7"/>
        <v>4.7147104586514672E-2</v>
      </c>
      <c r="J40" s="81">
        <f t="shared" si="7"/>
        <v>4.8318710135489572E-2</v>
      </c>
      <c r="K40" s="81">
        <f t="shared" si="7"/>
        <v>4.9519430082356479E-2</v>
      </c>
      <c r="L40" s="81">
        <f t="shared" si="7"/>
        <v>5.0749987919903039E-2</v>
      </c>
      <c r="M40" s="81">
        <f t="shared" si="7"/>
        <v>5.2011125119712634E-2</v>
      </c>
      <c r="N40" s="81">
        <f t="shared" si="7"/>
        <v>5.330360157893748E-2</v>
      </c>
      <c r="O40" s="81">
        <f t="shared" si="7"/>
        <v>5.4628196078174075E-2</v>
      </c>
      <c r="P40" s="81">
        <f t="shared" si="7"/>
        <v>5.5985706750716714E-2</v>
      </c>
      <c r="Q40" s="81">
        <f t="shared" si="7"/>
        <v>5.7376951563472008E-2</v>
      </c>
      <c r="R40" s="81">
        <f t="shared" si="7"/>
        <v>5.8802768809824282E-2</v>
      </c>
      <c r="S40" s="81">
        <f t="shared" si="7"/>
        <v>6.0264017614748436E-2</v>
      </c>
      <c r="T40" s="81">
        <f t="shared" si="7"/>
        <v>6.1761578452474937E-2</v>
      </c>
    </row>
    <row r="41" spans="2:20" ht="15.75" outlineLevel="1" thickBot="1" x14ac:dyDescent="0.3">
      <c r="B41" s="41" t="s">
        <v>40</v>
      </c>
      <c r="C41" s="42"/>
      <c r="D41" s="42"/>
      <c r="E41" s="42"/>
      <c r="F41" s="75">
        <f>SUM(F39:F40)</f>
        <v>0.54379999999999995</v>
      </c>
      <c r="G41" s="75">
        <f t="shared" ref="G41:T41" si="8">SUM(G39:G40)</f>
        <v>0.55988842999999999</v>
      </c>
      <c r="H41" s="75">
        <f t="shared" si="8"/>
        <v>0.57645390748549996</v>
      </c>
      <c r="I41" s="75">
        <f t="shared" si="8"/>
        <v>0.59351060458651472</v>
      </c>
      <c r="J41" s="75">
        <f t="shared" si="8"/>
        <v>0.61107311513548956</v>
      </c>
      <c r="K41" s="75">
        <f t="shared" si="8"/>
        <v>0.62915646723235641</v>
      </c>
      <c r="L41" s="75">
        <f t="shared" si="8"/>
        <v>0.647776136184403</v>
      </c>
      <c r="M41" s="78">
        <f t="shared" si="8"/>
        <v>0.66694805783214761</v>
      </c>
      <c r="N41" s="75">
        <f t="shared" si="8"/>
        <v>0.6866886422727454</v>
      </c>
      <c r="O41" s="75">
        <f t="shared" si="8"/>
        <v>0.70701478799279627</v>
      </c>
      <c r="P41" s="75">
        <f t="shared" si="8"/>
        <v>0.72794389642277757</v>
      </c>
      <c r="Q41" s="75">
        <f t="shared" si="8"/>
        <v>0.74949388692569474</v>
      </c>
      <c r="R41" s="75">
        <f t="shared" si="8"/>
        <v>0.77168321223291358</v>
      </c>
      <c r="S41" s="75">
        <f t="shared" si="8"/>
        <v>0.79453087434053038</v>
      </c>
      <c r="T41" s="75">
        <f t="shared" si="8"/>
        <v>0.81805644088003049</v>
      </c>
    </row>
    <row r="42" spans="2:20" x14ac:dyDescent="0.2">
      <c r="E42" s="6"/>
      <c r="F42" s="66"/>
      <c r="G42" s="66"/>
    </row>
    <row r="43" spans="2:20" ht="23.25" x14ac:dyDescent="0.35">
      <c r="B43" s="12" t="s">
        <v>41</v>
      </c>
    </row>
    <row r="44" spans="2:20" ht="3.75" customHeight="1" x14ac:dyDescent="0.2"/>
    <row r="45" spans="2:20" ht="15.75" outlineLevel="1" x14ac:dyDescent="0.25">
      <c r="B45" s="72" t="str">
        <f>B36</f>
        <v>Particular</v>
      </c>
      <c r="C45" s="72"/>
      <c r="D45" s="72"/>
      <c r="E45" s="72">
        <f t="shared" ref="E45:T45" si="9">E36</f>
        <v>1</v>
      </c>
      <c r="F45" s="72">
        <f t="shared" si="9"/>
        <v>2</v>
      </c>
      <c r="G45" s="72">
        <f t="shared" si="9"/>
        <v>3</v>
      </c>
      <c r="H45" s="72">
        <f t="shared" si="9"/>
        <v>4</v>
      </c>
      <c r="I45" s="72">
        <f t="shared" si="9"/>
        <v>5</v>
      </c>
      <c r="J45" s="72">
        <f t="shared" si="9"/>
        <v>6</v>
      </c>
      <c r="K45" s="72">
        <f t="shared" si="9"/>
        <v>7</v>
      </c>
      <c r="L45" s="72">
        <f t="shared" si="9"/>
        <v>8</v>
      </c>
      <c r="M45" s="72">
        <f t="shared" si="9"/>
        <v>9</v>
      </c>
      <c r="N45" s="72">
        <f t="shared" si="9"/>
        <v>10</v>
      </c>
      <c r="O45" s="72">
        <f t="shared" si="9"/>
        <v>11</v>
      </c>
      <c r="P45" s="72">
        <f t="shared" si="9"/>
        <v>12</v>
      </c>
      <c r="Q45" s="72">
        <f t="shared" si="9"/>
        <v>13</v>
      </c>
      <c r="R45" s="72">
        <f t="shared" si="9"/>
        <v>14</v>
      </c>
      <c r="S45" s="72">
        <f t="shared" si="9"/>
        <v>15</v>
      </c>
      <c r="T45" s="72">
        <f t="shared" si="9"/>
        <v>16</v>
      </c>
    </row>
    <row r="46" spans="2:20" s="5" customFormat="1" ht="3.75" customHeight="1" outlineLevel="1" x14ac:dyDescent="0.25">
      <c r="B46" s="14"/>
      <c r="C46" s="14"/>
      <c r="D46" s="14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</row>
    <row r="47" spans="2:20" outlineLevel="1" x14ac:dyDescent="0.2">
      <c r="B47" s="6" t="s">
        <v>42</v>
      </c>
      <c r="C47" s="6"/>
      <c r="D47" s="6"/>
      <c r="E47" s="59"/>
      <c r="F47" s="18">
        <f>F32</f>
        <v>30.66</v>
      </c>
      <c r="G47" s="18">
        <f t="shared" ref="G47:T47" si="10">G32</f>
        <v>31.116834000000001</v>
      </c>
      <c r="H47" s="18">
        <f t="shared" si="10"/>
        <v>31.580474826600003</v>
      </c>
      <c r="I47" s="18">
        <f t="shared" si="10"/>
        <v>32.051023901516338</v>
      </c>
      <c r="J47" s="18">
        <f t="shared" si="10"/>
        <v>32.528584157648936</v>
      </c>
      <c r="K47" s="18">
        <f t="shared" si="10"/>
        <v>33.013260061597904</v>
      </c>
      <c r="L47" s="18">
        <f t="shared" si="10"/>
        <v>33.505157636515719</v>
      </c>
      <c r="M47" s="18">
        <f t="shared" si="10"/>
        <v>34.004384485299788</v>
      </c>
      <c r="N47" s="18">
        <f t="shared" si="10"/>
        <v>34.511049814130757</v>
      </c>
      <c r="O47" s="18">
        <f t="shared" si="10"/>
        <v>35.025264456361306</v>
      </c>
      <c r="P47" s="18">
        <f t="shared" si="10"/>
        <v>35.547140896761093</v>
      </c>
      <c r="Q47" s="18">
        <f t="shared" si="10"/>
        <v>36.076793296122823</v>
      </c>
      <c r="R47" s="18">
        <f t="shared" si="10"/>
        <v>36.614337516235068</v>
      </c>
      <c r="S47" s="18">
        <f t="shared" si="10"/>
        <v>37.159891145226965</v>
      </c>
      <c r="T47" s="18">
        <f t="shared" si="10"/>
        <v>37.713573523290862</v>
      </c>
    </row>
    <row r="48" spans="2:20" outlineLevel="1" x14ac:dyDescent="0.2">
      <c r="B48" s="6" t="s">
        <v>43</v>
      </c>
      <c r="C48" s="6"/>
      <c r="D48" s="6"/>
      <c r="E48" s="84"/>
      <c r="F48" s="39">
        <f t="shared" ref="F48:T48" si="11">F47*WC_days/365</f>
        <v>2.52</v>
      </c>
      <c r="G48" s="81">
        <f t="shared" si="11"/>
        <v>2.5575480000000002</v>
      </c>
      <c r="H48" s="81">
        <f t="shared" si="11"/>
        <v>2.5956554652000006</v>
      </c>
      <c r="I48" s="81">
        <f t="shared" si="11"/>
        <v>2.6343307316314801</v>
      </c>
      <c r="J48" s="81">
        <f t="shared" si="11"/>
        <v>2.6735822595327892</v>
      </c>
      <c r="K48" s="81">
        <f t="shared" si="11"/>
        <v>2.7134186351998277</v>
      </c>
      <c r="L48" s="81">
        <f t="shared" si="11"/>
        <v>2.7538485728643058</v>
      </c>
      <c r="M48" s="81">
        <f t="shared" si="11"/>
        <v>2.7948809165999826</v>
      </c>
      <c r="N48" s="81">
        <f t="shared" si="11"/>
        <v>2.8365246422573227</v>
      </c>
      <c r="O48" s="81">
        <f t="shared" si="11"/>
        <v>2.8787888594269564</v>
      </c>
      <c r="P48" s="81">
        <f t="shared" si="11"/>
        <v>2.9216828134324184</v>
      </c>
      <c r="Q48" s="81">
        <f t="shared" si="11"/>
        <v>2.9652158873525609</v>
      </c>
      <c r="R48" s="81">
        <f t="shared" si="11"/>
        <v>3.0093976040741151</v>
      </c>
      <c r="S48" s="81">
        <f t="shared" si="11"/>
        <v>3.0542376283748189</v>
      </c>
      <c r="T48" s="81">
        <f t="shared" si="11"/>
        <v>3.0997457690376051</v>
      </c>
    </row>
    <row r="49" spans="2:20" ht="15.75" outlineLevel="1" thickBot="1" x14ac:dyDescent="0.3">
      <c r="B49" s="41" t="s">
        <v>44</v>
      </c>
      <c r="C49" s="42"/>
      <c r="D49" s="75"/>
      <c r="E49" s="75"/>
      <c r="F49" s="75">
        <f>E48-F48</f>
        <v>-2.52</v>
      </c>
      <c r="G49" s="75">
        <f t="shared" ref="G49:T49" si="12">F48-G48</f>
        <v>-3.7548000000000137E-2</v>
      </c>
      <c r="H49" s="75">
        <f t="shared" si="12"/>
        <v>-3.8107465200000412E-2</v>
      </c>
      <c r="I49" s="75">
        <f t="shared" si="12"/>
        <v>-3.867526643147956E-2</v>
      </c>
      <c r="J49" s="75">
        <f t="shared" si="12"/>
        <v>-3.9251527901309036E-2</v>
      </c>
      <c r="K49" s="75">
        <f t="shared" si="12"/>
        <v>-3.983637566703857E-2</v>
      </c>
      <c r="L49" s="75">
        <f t="shared" si="12"/>
        <v>-4.0429937664478111E-2</v>
      </c>
      <c r="M49" s="75">
        <f t="shared" si="12"/>
        <v>-4.1032343735676768E-2</v>
      </c>
      <c r="N49" s="75">
        <f t="shared" si="12"/>
        <v>-4.1643725657340092E-2</v>
      </c>
      <c r="O49" s="75">
        <f t="shared" si="12"/>
        <v>-4.2264217169633689E-2</v>
      </c>
      <c r="P49" s="75">
        <f t="shared" si="12"/>
        <v>-4.2893954005462032E-2</v>
      </c>
      <c r="Q49" s="75">
        <f t="shared" si="12"/>
        <v>-4.3533073920142495E-2</v>
      </c>
      <c r="R49" s="75">
        <f t="shared" si="12"/>
        <v>-4.4181716721554132E-2</v>
      </c>
      <c r="S49" s="75">
        <f t="shared" si="12"/>
        <v>-4.4840024300703885E-2</v>
      </c>
      <c r="T49" s="75">
        <f t="shared" si="12"/>
        <v>-4.550814066278619E-2</v>
      </c>
    </row>
    <row r="50" spans="2:20" x14ac:dyDescent="0.2">
      <c r="E50" s="6"/>
      <c r="F50" s="66"/>
    </row>
    <row r="51" spans="2:20" ht="23.25" x14ac:dyDescent="0.35">
      <c r="B51" s="12" t="s">
        <v>45</v>
      </c>
    </row>
    <row r="52" spans="2:20" ht="6" customHeight="1" outlineLevel="1" x14ac:dyDescent="0.2"/>
    <row r="53" spans="2:20" ht="15.75" outlineLevel="1" x14ac:dyDescent="0.25">
      <c r="B53" s="72" t="str">
        <f>B45</f>
        <v>Particular</v>
      </c>
      <c r="C53" s="72"/>
      <c r="D53" s="72"/>
      <c r="E53" s="72">
        <f>E45</f>
        <v>1</v>
      </c>
      <c r="F53" s="72">
        <f t="shared" ref="F53:T53" si="13">F45</f>
        <v>2</v>
      </c>
      <c r="G53" s="72">
        <f t="shared" si="13"/>
        <v>3</v>
      </c>
      <c r="H53" s="72">
        <f t="shared" si="13"/>
        <v>4</v>
      </c>
      <c r="I53" s="72">
        <f t="shared" si="13"/>
        <v>5</v>
      </c>
      <c r="J53" s="72">
        <f t="shared" si="13"/>
        <v>6</v>
      </c>
      <c r="K53" s="72">
        <f t="shared" si="13"/>
        <v>7</v>
      </c>
      <c r="L53" s="72">
        <f t="shared" si="13"/>
        <v>8</v>
      </c>
      <c r="M53" s="72">
        <f t="shared" si="13"/>
        <v>9</v>
      </c>
      <c r="N53" s="72">
        <f t="shared" si="13"/>
        <v>10</v>
      </c>
      <c r="O53" s="72">
        <f t="shared" si="13"/>
        <v>11</v>
      </c>
      <c r="P53" s="72">
        <f t="shared" si="13"/>
        <v>12</v>
      </c>
      <c r="Q53" s="72">
        <f t="shared" si="13"/>
        <v>13</v>
      </c>
      <c r="R53" s="72">
        <f t="shared" si="13"/>
        <v>14</v>
      </c>
      <c r="S53" s="72">
        <f t="shared" si="13"/>
        <v>15</v>
      </c>
      <c r="T53" s="72">
        <f t="shared" si="13"/>
        <v>16</v>
      </c>
    </row>
    <row r="54" spans="2:20" s="5" customFormat="1" ht="5.25" customHeight="1" outlineLevel="1" x14ac:dyDescent="0.25">
      <c r="B54" s="14"/>
      <c r="C54" s="14"/>
      <c r="D54" s="14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</row>
    <row r="55" spans="2:20" outlineLevel="1" x14ac:dyDescent="0.2">
      <c r="B55" s="6" t="s">
        <v>46</v>
      </c>
      <c r="C55" s="29"/>
      <c r="D55" s="6"/>
      <c r="E55" s="32">
        <v>0</v>
      </c>
      <c r="F55" s="32">
        <f ca="1">E59</f>
        <v>211.86440677966101</v>
      </c>
      <c r="G55" s="32">
        <f t="shared" ref="G55:T55" ca="1" si="14">F59</f>
        <v>199.0734463276836</v>
      </c>
      <c r="H55" s="32">
        <f t="shared" ca="1" si="14"/>
        <v>186.28248587570619</v>
      </c>
      <c r="I55" s="32">
        <f t="shared" ca="1" si="14"/>
        <v>173.49152542372877</v>
      </c>
      <c r="J55" s="32">
        <f t="shared" ca="1" si="14"/>
        <v>160.70056497175136</v>
      </c>
      <c r="K55" s="32">
        <f t="shared" ca="1" si="14"/>
        <v>147.90960451977395</v>
      </c>
      <c r="L55" s="32">
        <f t="shared" ca="1" si="14"/>
        <v>135.11864406779654</v>
      </c>
      <c r="M55" s="32">
        <f t="shared" ca="1" si="14"/>
        <v>122.32768361581914</v>
      </c>
      <c r="N55" s="32">
        <f t="shared" ca="1" si="14"/>
        <v>109.53672316384174</v>
      </c>
      <c r="O55" s="32">
        <f t="shared" ca="1" si="14"/>
        <v>96.745762711864344</v>
      </c>
      <c r="P55" s="32">
        <f t="shared" ca="1" si="14"/>
        <v>83.954802259886947</v>
      </c>
      <c r="Q55" s="32">
        <f t="shared" ca="1" si="14"/>
        <v>71.163841807909549</v>
      </c>
      <c r="R55" s="32">
        <f t="shared" ca="1" si="14"/>
        <v>58.372881355932151</v>
      </c>
      <c r="S55" s="32">
        <f t="shared" ca="1" si="14"/>
        <v>45.581920903954753</v>
      </c>
      <c r="T55" s="32">
        <f t="shared" ca="1" si="14"/>
        <v>32.790960451977355</v>
      </c>
    </row>
    <row r="56" spans="2:20" outlineLevel="1" x14ac:dyDescent="0.2">
      <c r="B56" s="6" t="s">
        <v>47</v>
      </c>
      <c r="C56" s="29"/>
      <c r="D56" s="6"/>
      <c r="E56" s="38">
        <f>F10</f>
        <v>200</v>
      </c>
      <c r="F56" s="38">
        <v>0</v>
      </c>
      <c r="G56" s="38">
        <v>0</v>
      </c>
      <c r="H56" s="38">
        <v>0</v>
      </c>
      <c r="I56" s="38">
        <v>0</v>
      </c>
      <c r="J56" s="38">
        <v>0</v>
      </c>
      <c r="K56" s="38">
        <v>0</v>
      </c>
      <c r="L56" s="38">
        <v>0</v>
      </c>
      <c r="M56" s="38">
        <v>0</v>
      </c>
      <c r="N56" s="38">
        <v>0</v>
      </c>
      <c r="O56" s="38">
        <v>0</v>
      </c>
      <c r="P56" s="38">
        <v>0</v>
      </c>
      <c r="Q56" s="38">
        <v>0</v>
      </c>
      <c r="R56" s="38">
        <v>0</v>
      </c>
      <c r="S56" s="38">
        <v>0</v>
      </c>
      <c r="T56" s="38">
        <v>0</v>
      </c>
    </row>
    <row r="57" spans="2:20" outlineLevel="1" x14ac:dyDescent="0.2">
      <c r="B57" s="6" t="s">
        <v>48</v>
      </c>
      <c r="C57" s="29"/>
      <c r="D57" s="6"/>
      <c r="E57" s="38">
        <f t="shared" ref="E57:T57" ca="1" si="15">IFERROR(IF(E29=0,E71,0),0)</f>
        <v>11.864406779661016</v>
      </c>
      <c r="F57" s="38">
        <f t="shared" si="15"/>
        <v>0</v>
      </c>
      <c r="G57" s="38">
        <f t="shared" si="15"/>
        <v>0</v>
      </c>
      <c r="H57" s="38">
        <f t="shared" si="15"/>
        <v>0</v>
      </c>
      <c r="I57" s="38">
        <f t="shared" si="15"/>
        <v>0</v>
      </c>
      <c r="J57" s="38">
        <f t="shared" si="15"/>
        <v>0</v>
      </c>
      <c r="K57" s="38">
        <f t="shared" si="15"/>
        <v>0</v>
      </c>
      <c r="L57" s="38">
        <f t="shared" si="15"/>
        <v>0</v>
      </c>
      <c r="M57" s="38">
        <f t="shared" si="15"/>
        <v>0</v>
      </c>
      <c r="N57" s="38">
        <f t="shared" si="15"/>
        <v>0</v>
      </c>
      <c r="O57" s="38">
        <f t="shared" si="15"/>
        <v>0</v>
      </c>
      <c r="P57" s="38">
        <f t="shared" si="15"/>
        <v>0</v>
      </c>
      <c r="Q57" s="38">
        <f t="shared" si="15"/>
        <v>0</v>
      </c>
      <c r="R57" s="38">
        <f t="shared" si="15"/>
        <v>0</v>
      </c>
      <c r="S57" s="38">
        <f t="shared" si="15"/>
        <v>0</v>
      </c>
      <c r="T57" s="38">
        <f t="shared" si="15"/>
        <v>0</v>
      </c>
    </row>
    <row r="58" spans="2:20" outlineLevel="1" x14ac:dyDescent="0.2">
      <c r="B58" s="20" t="s">
        <v>49</v>
      </c>
      <c r="C58" s="20"/>
      <c r="D58" s="20"/>
      <c r="E58" s="61">
        <f t="shared" ref="E58:T58" si="16">-IFERROR(IF(E29=0,0,($E$59-$F$10*$F$17)/Project_Life),0)</f>
        <v>0</v>
      </c>
      <c r="F58" s="61">
        <f t="shared" ca="1" si="16"/>
        <v>-12.790960451977401</v>
      </c>
      <c r="G58" s="61">
        <f t="shared" ca="1" si="16"/>
        <v>-12.790960451977401</v>
      </c>
      <c r="H58" s="61">
        <f t="shared" ca="1" si="16"/>
        <v>-12.790960451977401</v>
      </c>
      <c r="I58" s="61">
        <f t="shared" ca="1" si="16"/>
        <v>-12.790960451977401</v>
      </c>
      <c r="J58" s="61">
        <f t="shared" ca="1" si="16"/>
        <v>-12.790960451977401</v>
      </c>
      <c r="K58" s="61">
        <f t="shared" ca="1" si="16"/>
        <v>-12.790960451977401</v>
      </c>
      <c r="L58" s="61">
        <f t="shared" ca="1" si="16"/>
        <v>-12.790960451977401</v>
      </c>
      <c r="M58" s="61">
        <f t="shared" ca="1" si="16"/>
        <v>-12.790960451977401</v>
      </c>
      <c r="N58" s="61">
        <f t="shared" ca="1" si="16"/>
        <v>-12.790960451977401</v>
      </c>
      <c r="O58" s="61">
        <f t="shared" ca="1" si="16"/>
        <v>-12.790960451977401</v>
      </c>
      <c r="P58" s="61">
        <f t="shared" ca="1" si="16"/>
        <v>-12.790960451977401</v>
      </c>
      <c r="Q58" s="61">
        <f t="shared" ca="1" si="16"/>
        <v>-12.790960451977401</v>
      </c>
      <c r="R58" s="61">
        <f t="shared" ca="1" si="16"/>
        <v>-12.790960451977401</v>
      </c>
      <c r="S58" s="61">
        <f t="shared" ca="1" si="16"/>
        <v>-12.790960451977401</v>
      </c>
      <c r="T58" s="61">
        <f t="shared" ca="1" si="16"/>
        <v>-12.790960451977401</v>
      </c>
    </row>
    <row r="59" spans="2:20" ht="15.75" outlineLevel="1" thickBot="1" x14ac:dyDescent="0.3">
      <c r="B59" s="41" t="s">
        <v>50</v>
      </c>
      <c r="C59" s="41"/>
      <c r="D59" s="75"/>
      <c r="E59" s="75">
        <f ca="1">SUM(E55:E58)</f>
        <v>211.86440677966101</v>
      </c>
      <c r="F59" s="75">
        <f t="shared" ref="F59:T59" ca="1" si="17">SUM(F55:F58)</f>
        <v>199.0734463276836</v>
      </c>
      <c r="G59" s="75">
        <f t="shared" ca="1" si="17"/>
        <v>186.28248587570619</v>
      </c>
      <c r="H59" s="75">
        <f t="shared" ca="1" si="17"/>
        <v>173.49152542372877</v>
      </c>
      <c r="I59" s="75">
        <f t="shared" ca="1" si="17"/>
        <v>160.70056497175136</v>
      </c>
      <c r="J59" s="75">
        <f t="shared" ca="1" si="17"/>
        <v>147.90960451977395</v>
      </c>
      <c r="K59" s="75">
        <f t="shared" ca="1" si="17"/>
        <v>135.11864406779654</v>
      </c>
      <c r="L59" s="75">
        <f t="shared" ca="1" si="17"/>
        <v>122.32768361581914</v>
      </c>
      <c r="M59" s="75">
        <f t="shared" ca="1" si="17"/>
        <v>109.53672316384174</v>
      </c>
      <c r="N59" s="75">
        <f t="shared" ca="1" si="17"/>
        <v>96.745762711864344</v>
      </c>
      <c r="O59" s="75">
        <f t="shared" ca="1" si="17"/>
        <v>83.954802259886947</v>
      </c>
      <c r="P59" s="75">
        <f t="shared" ca="1" si="17"/>
        <v>71.163841807909549</v>
      </c>
      <c r="Q59" s="75">
        <f t="shared" ca="1" si="17"/>
        <v>58.372881355932151</v>
      </c>
      <c r="R59" s="75">
        <f t="shared" ca="1" si="17"/>
        <v>45.581920903954753</v>
      </c>
      <c r="S59" s="75">
        <f t="shared" ca="1" si="17"/>
        <v>32.790960451977355</v>
      </c>
      <c r="T59" s="75">
        <f t="shared" ca="1" si="17"/>
        <v>19.999999999999954</v>
      </c>
    </row>
    <row r="60" spans="2:20" outlineLevel="1" x14ac:dyDescent="0.2"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</row>
    <row r="61" spans="2:20" ht="23.25" x14ac:dyDescent="0.35">
      <c r="B61" s="12" t="s">
        <v>51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spans="2:20" ht="6.75" customHeight="1" x14ac:dyDescent="0.2"/>
    <row r="63" spans="2:20" outlineLevel="1" x14ac:dyDescent="0.2">
      <c r="B63" s="36" t="s">
        <v>53</v>
      </c>
      <c r="C63" s="22">
        <f ca="1">E59</f>
        <v>211.86440677966101</v>
      </c>
    </row>
    <row r="64" spans="2:20" outlineLevel="1" x14ac:dyDescent="0.2">
      <c r="B64" s="36" t="s">
        <v>54</v>
      </c>
      <c r="C64" s="22">
        <f ca="1">C63*F11</f>
        <v>148.30508474576268</v>
      </c>
    </row>
    <row r="65" spans="1:20" outlineLevel="1" x14ac:dyDescent="0.2">
      <c r="B65" s="36" t="s">
        <v>55</v>
      </c>
      <c r="C65" s="22">
        <f ca="1">C63-C64</f>
        <v>63.559322033898326</v>
      </c>
    </row>
    <row r="66" spans="1:20" outlineLevel="1" x14ac:dyDescent="0.2">
      <c r="B66" s="36" t="s">
        <v>56</v>
      </c>
      <c r="C66" s="21">
        <f>F12</f>
        <v>12</v>
      </c>
    </row>
    <row r="67" spans="1:20" outlineLevel="1" x14ac:dyDescent="0.2">
      <c r="B67" s="36" t="s">
        <v>57</v>
      </c>
      <c r="C67" s="23">
        <f>Interest_rate</f>
        <v>0.08</v>
      </c>
    </row>
    <row r="68" spans="1:20" outlineLevel="1" x14ac:dyDescent="0.2">
      <c r="B68" s="6"/>
      <c r="C68" s="85"/>
      <c r="D68" s="38"/>
      <c r="E68" s="38" t="s">
        <v>30</v>
      </c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</row>
    <row r="69" spans="1:20" ht="15.75" outlineLevel="1" x14ac:dyDescent="0.25">
      <c r="B69" s="72" t="str">
        <f>B53</f>
        <v>Particular</v>
      </c>
      <c r="C69" s="72" t="s">
        <v>52</v>
      </c>
      <c r="D69" s="72"/>
      <c r="E69" s="72">
        <f t="shared" ref="E69:T69" si="18">E53</f>
        <v>1</v>
      </c>
      <c r="F69" s="72">
        <f t="shared" si="18"/>
        <v>2</v>
      </c>
      <c r="G69" s="72">
        <f t="shared" si="18"/>
        <v>3</v>
      </c>
      <c r="H69" s="72">
        <f t="shared" si="18"/>
        <v>4</v>
      </c>
      <c r="I69" s="72">
        <f t="shared" si="18"/>
        <v>5</v>
      </c>
      <c r="J69" s="72">
        <f t="shared" si="18"/>
        <v>6</v>
      </c>
      <c r="K69" s="72">
        <f t="shared" si="18"/>
        <v>7</v>
      </c>
      <c r="L69" s="72">
        <f t="shared" si="18"/>
        <v>8</v>
      </c>
      <c r="M69" s="72">
        <f t="shared" si="18"/>
        <v>9</v>
      </c>
      <c r="N69" s="72">
        <f t="shared" si="18"/>
        <v>10</v>
      </c>
      <c r="O69" s="72">
        <f t="shared" si="18"/>
        <v>11</v>
      </c>
      <c r="P69" s="72">
        <f t="shared" si="18"/>
        <v>12</v>
      </c>
      <c r="Q69" s="72">
        <f t="shared" si="18"/>
        <v>13</v>
      </c>
      <c r="R69" s="72">
        <f t="shared" si="18"/>
        <v>14</v>
      </c>
      <c r="S69" s="72">
        <f t="shared" si="18"/>
        <v>15</v>
      </c>
      <c r="T69" s="72">
        <f t="shared" si="18"/>
        <v>16</v>
      </c>
    </row>
    <row r="70" spans="1:20" outlineLevel="1" x14ac:dyDescent="0.2">
      <c r="A70" s="6"/>
      <c r="B70" s="6" t="s">
        <v>58</v>
      </c>
      <c r="C70" s="6"/>
      <c r="D70" s="88"/>
      <c r="E70" s="38">
        <f ca="1">C74</f>
        <v>148.30508474576268</v>
      </c>
      <c r="F70" s="38">
        <f ca="1">E74</f>
        <v>148.30508474576268</v>
      </c>
      <c r="G70" s="38">
        <f t="shared" ref="G70:S70" ca="1" si="19">F74</f>
        <v>140.49014579509983</v>
      </c>
      <c r="H70" s="38">
        <f t="shared" ca="1" si="19"/>
        <v>132.05001172838394</v>
      </c>
      <c r="I70" s="38">
        <f t="shared" ca="1" si="19"/>
        <v>122.93466693633079</v>
      </c>
      <c r="J70" s="38">
        <f t="shared" ca="1" si="19"/>
        <v>113.09009456091337</v>
      </c>
      <c r="K70" s="38">
        <f t="shared" ca="1" si="19"/>
        <v>102.45795639546257</v>
      </c>
      <c r="L70" s="38">
        <f t="shared" ca="1" si="19"/>
        <v>90.97524717677571</v>
      </c>
      <c r="M70" s="38">
        <f t="shared" ca="1" si="19"/>
        <v>78.573921220593888</v>
      </c>
      <c r="N70" s="38">
        <f t="shared" ca="1" si="19"/>
        <v>65.18048918791753</v>
      </c>
      <c r="O70" s="38">
        <f t="shared" ca="1" si="19"/>
        <v>50.715582592627058</v>
      </c>
      <c r="P70" s="38">
        <f t="shared" ca="1" si="19"/>
        <v>35.093483469713348</v>
      </c>
      <c r="Q70" s="38">
        <f t="shared" ca="1" si="19"/>
        <v>18.221616416966548</v>
      </c>
      <c r="R70" s="38">
        <f t="shared" ca="1" si="19"/>
        <v>0</v>
      </c>
      <c r="S70" s="38">
        <f t="shared" ca="1" si="19"/>
        <v>0</v>
      </c>
      <c r="T70" s="38">
        <f t="shared" ref="T70" ca="1" si="20">S74</f>
        <v>0</v>
      </c>
    </row>
    <row r="71" spans="1:20" outlineLevel="1" x14ac:dyDescent="0.2">
      <c r="A71" s="6"/>
      <c r="B71" s="29" t="s">
        <v>59</v>
      </c>
      <c r="C71" s="6"/>
      <c r="D71" s="65"/>
      <c r="E71" s="61">
        <f t="shared" ref="E71:T71" ca="1" si="21">E70*$C$67</f>
        <v>11.864406779661016</v>
      </c>
      <c r="F71" s="38">
        <f t="shared" ca="1" si="21"/>
        <v>11.864406779661016</v>
      </c>
      <c r="G71" s="38">
        <f t="shared" ca="1" si="21"/>
        <v>11.239211663607987</v>
      </c>
      <c r="H71" s="38">
        <f t="shared" ca="1" si="21"/>
        <v>10.564000938270715</v>
      </c>
      <c r="I71" s="38">
        <f t="shared" ca="1" si="21"/>
        <v>9.8347733549064635</v>
      </c>
      <c r="J71" s="38">
        <f t="shared" ca="1" si="21"/>
        <v>9.0472075648730694</v>
      </c>
      <c r="K71" s="38">
        <f t="shared" ca="1" si="21"/>
        <v>8.1966365116370064</v>
      </c>
      <c r="L71" s="38">
        <f t="shared" ca="1" si="21"/>
        <v>7.2780197741420567</v>
      </c>
      <c r="M71" s="38">
        <f t="shared" ca="1" si="21"/>
        <v>6.2859136976475112</v>
      </c>
      <c r="N71" s="38">
        <f t="shared" ca="1" si="21"/>
        <v>5.2144391350334027</v>
      </c>
      <c r="O71" s="38">
        <f t="shared" ca="1" si="21"/>
        <v>4.057246607410165</v>
      </c>
      <c r="P71" s="38">
        <f t="shared" ca="1" si="21"/>
        <v>2.8074786775770679</v>
      </c>
      <c r="Q71" s="38">
        <f t="shared" ca="1" si="21"/>
        <v>1.4577293133573239</v>
      </c>
      <c r="R71" s="38">
        <f t="shared" ca="1" si="21"/>
        <v>0</v>
      </c>
      <c r="S71" s="38">
        <f t="shared" ca="1" si="21"/>
        <v>0</v>
      </c>
      <c r="T71" s="38">
        <f t="shared" ca="1" si="21"/>
        <v>0</v>
      </c>
    </row>
    <row r="72" spans="1:20" outlineLevel="1" x14ac:dyDescent="0.2">
      <c r="A72" s="6"/>
      <c r="B72" s="29" t="s">
        <v>60</v>
      </c>
      <c r="C72" s="6"/>
      <c r="D72" s="88"/>
      <c r="E72" s="87"/>
      <c r="F72" s="38">
        <f t="shared" ref="F72:T72" ca="1" si="22">IFERROR(-PPMT($C$67,E69,$C$66,$C$64),0)</f>
        <v>7.8149389506628566</v>
      </c>
      <c r="G72" s="38">
        <f t="shared" ca="1" si="22"/>
        <v>8.4401340667158848</v>
      </c>
      <c r="H72" s="38">
        <f t="shared" ca="1" si="22"/>
        <v>9.1153447920531558</v>
      </c>
      <c r="I72" s="38">
        <f t="shared" ca="1" si="22"/>
        <v>9.8445723754174086</v>
      </c>
      <c r="J72" s="38">
        <f t="shared" ca="1" si="22"/>
        <v>10.632138165450799</v>
      </c>
      <c r="K72" s="38">
        <f t="shared" ca="1" si="22"/>
        <v>11.482709218686864</v>
      </c>
      <c r="L72" s="38">
        <f t="shared" ca="1" si="22"/>
        <v>12.401325956181816</v>
      </c>
      <c r="M72" s="38">
        <f t="shared" ca="1" si="22"/>
        <v>13.393432032676358</v>
      </c>
      <c r="N72" s="38">
        <f t="shared" ca="1" si="22"/>
        <v>14.464906595290469</v>
      </c>
      <c r="O72" s="38">
        <f t="shared" ca="1" si="22"/>
        <v>15.622099122913706</v>
      </c>
      <c r="P72" s="38">
        <f t="shared" ca="1" si="22"/>
        <v>16.871867052746801</v>
      </c>
      <c r="Q72" s="38">
        <f t="shared" ca="1" si="22"/>
        <v>18.221616416966544</v>
      </c>
      <c r="R72" s="38">
        <f t="shared" ca="1" si="22"/>
        <v>0</v>
      </c>
      <c r="S72" s="38">
        <f t="shared" ca="1" si="22"/>
        <v>0</v>
      </c>
      <c r="T72" s="38">
        <f t="shared" ca="1" si="22"/>
        <v>0</v>
      </c>
    </row>
    <row r="73" spans="1:20" outlineLevel="1" x14ac:dyDescent="0.2">
      <c r="B73" s="20" t="s">
        <v>61</v>
      </c>
      <c r="C73" s="20"/>
      <c r="D73" s="86"/>
      <c r="E73" s="87"/>
      <c r="F73" s="61">
        <f t="shared" ref="F73:T73" ca="1" si="23">IF(F69&gt;$C$66,0,-PMT($C$67,$C$66,$C$64))</f>
        <v>19.67934573032387</v>
      </c>
      <c r="G73" s="47">
        <f t="shared" ca="1" si="23"/>
        <v>19.67934573032387</v>
      </c>
      <c r="H73" s="31">
        <f t="shared" ca="1" si="23"/>
        <v>19.67934573032387</v>
      </c>
      <c r="I73" s="31">
        <f t="shared" ca="1" si="23"/>
        <v>19.67934573032387</v>
      </c>
      <c r="J73" s="31">
        <f t="shared" ca="1" si="23"/>
        <v>19.67934573032387</v>
      </c>
      <c r="K73" s="31">
        <f t="shared" ca="1" si="23"/>
        <v>19.67934573032387</v>
      </c>
      <c r="L73" s="31">
        <f t="shared" ca="1" si="23"/>
        <v>19.67934573032387</v>
      </c>
      <c r="M73" s="31">
        <f t="shared" ca="1" si="23"/>
        <v>19.67934573032387</v>
      </c>
      <c r="N73" s="31">
        <f t="shared" ca="1" si="23"/>
        <v>19.67934573032387</v>
      </c>
      <c r="O73" s="31">
        <f t="shared" ca="1" si="23"/>
        <v>19.67934573032387</v>
      </c>
      <c r="P73" s="31">
        <f t="shared" ca="1" si="23"/>
        <v>19.67934573032387</v>
      </c>
      <c r="Q73" s="31">
        <f t="shared" si="23"/>
        <v>0</v>
      </c>
      <c r="R73" s="31">
        <f t="shared" si="23"/>
        <v>0</v>
      </c>
      <c r="S73" s="31">
        <f t="shared" si="23"/>
        <v>0</v>
      </c>
      <c r="T73" s="31">
        <f t="shared" si="23"/>
        <v>0</v>
      </c>
    </row>
    <row r="74" spans="1:20" ht="15.75" outlineLevel="1" thickBot="1" x14ac:dyDescent="0.3">
      <c r="B74" s="41" t="s">
        <v>62</v>
      </c>
      <c r="C74" s="75">
        <f ca="1">C64</f>
        <v>148.30508474576268</v>
      </c>
      <c r="D74" s="75"/>
      <c r="E74" s="75">
        <f ca="1">E70-E72</f>
        <v>148.30508474576268</v>
      </c>
      <c r="F74" s="75">
        <f ca="1">F70-F72</f>
        <v>140.49014579509983</v>
      </c>
      <c r="G74" s="75">
        <f t="shared" ref="G74:T74" ca="1" si="24">G70-G72</f>
        <v>132.05001172838394</v>
      </c>
      <c r="H74" s="75">
        <f t="shared" ca="1" si="24"/>
        <v>122.93466693633079</v>
      </c>
      <c r="I74" s="75">
        <f t="shared" ca="1" si="24"/>
        <v>113.09009456091337</v>
      </c>
      <c r="J74" s="75">
        <f t="shared" ca="1" si="24"/>
        <v>102.45795639546257</v>
      </c>
      <c r="K74" s="75">
        <f t="shared" ca="1" si="24"/>
        <v>90.97524717677571</v>
      </c>
      <c r="L74" s="75">
        <f t="shared" ca="1" si="24"/>
        <v>78.573921220593888</v>
      </c>
      <c r="M74" s="75">
        <f t="shared" ca="1" si="24"/>
        <v>65.18048918791753</v>
      </c>
      <c r="N74" s="75">
        <f t="shared" ca="1" si="24"/>
        <v>50.715582592627058</v>
      </c>
      <c r="O74" s="75">
        <f t="shared" ca="1" si="24"/>
        <v>35.093483469713348</v>
      </c>
      <c r="P74" s="75">
        <f t="shared" ca="1" si="24"/>
        <v>18.221616416966548</v>
      </c>
      <c r="Q74" s="75">
        <f t="shared" ca="1" si="24"/>
        <v>0</v>
      </c>
      <c r="R74" s="75">
        <f t="shared" ca="1" si="24"/>
        <v>0</v>
      </c>
      <c r="S74" s="75">
        <f t="shared" ca="1" si="24"/>
        <v>0</v>
      </c>
      <c r="T74" s="75">
        <f t="shared" ca="1" si="24"/>
        <v>0</v>
      </c>
    </row>
    <row r="75" spans="1:20" x14ac:dyDescent="0.2">
      <c r="B75" s="66"/>
      <c r="C75" s="18"/>
      <c r="D75" s="6"/>
      <c r="E75" s="66"/>
    </row>
    <row r="76" spans="1:20" ht="24" thickBot="1" x14ac:dyDescent="0.4">
      <c r="B76" s="12" t="s">
        <v>63</v>
      </c>
      <c r="C76" s="37"/>
      <c r="D76" s="29"/>
      <c r="E76" s="7" t="s">
        <v>30</v>
      </c>
    </row>
    <row r="77" spans="1:20" ht="6.75" customHeight="1" thickTop="1" x14ac:dyDescent="0.2">
      <c r="C77" s="6"/>
      <c r="D77" s="29"/>
    </row>
    <row r="78" spans="1:20" ht="15.75" outlineLevel="1" x14ac:dyDescent="0.25">
      <c r="B78" s="72" t="str">
        <f>B69</f>
        <v>Particular</v>
      </c>
      <c r="C78" s="72" t="str">
        <f>C69</f>
        <v>Year 0</v>
      </c>
      <c r="D78" s="72"/>
      <c r="E78" s="72">
        <f t="shared" ref="E78:T78" si="25">E69</f>
        <v>1</v>
      </c>
      <c r="F78" s="72">
        <f t="shared" si="25"/>
        <v>2</v>
      </c>
      <c r="G78" s="72">
        <f t="shared" si="25"/>
        <v>3</v>
      </c>
      <c r="H78" s="72">
        <f t="shared" si="25"/>
        <v>4</v>
      </c>
      <c r="I78" s="72">
        <f t="shared" si="25"/>
        <v>5</v>
      </c>
      <c r="J78" s="72">
        <f t="shared" si="25"/>
        <v>6</v>
      </c>
      <c r="K78" s="72">
        <f t="shared" si="25"/>
        <v>7</v>
      </c>
      <c r="L78" s="72">
        <f t="shared" si="25"/>
        <v>8</v>
      </c>
      <c r="M78" s="72">
        <f t="shared" si="25"/>
        <v>9</v>
      </c>
      <c r="N78" s="72">
        <f t="shared" si="25"/>
        <v>10</v>
      </c>
      <c r="O78" s="72">
        <f t="shared" si="25"/>
        <v>11</v>
      </c>
      <c r="P78" s="72">
        <f t="shared" si="25"/>
        <v>12</v>
      </c>
      <c r="Q78" s="72">
        <f t="shared" si="25"/>
        <v>13</v>
      </c>
      <c r="R78" s="72">
        <f t="shared" si="25"/>
        <v>14</v>
      </c>
      <c r="S78" s="72">
        <f t="shared" si="25"/>
        <v>15</v>
      </c>
      <c r="T78" s="72">
        <f t="shared" si="25"/>
        <v>16</v>
      </c>
    </row>
    <row r="79" spans="1:20" outlineLevel="1" x14ac:dyDescent="0.2">
      <c r="B79" s="29"/>
      <c r="C79" s="6"/>
      <c r="D79" s="29"/>
    </row>
    <row r="80" spans="1:20" outlineLevel="1" x14ac:dyDescent="0.2">
      <c r="B80" s="2" t="s">
        <v>64</v>
      </c>
      <c r="C80" s="29"/>
      <c r="D80" s="29"/>
      <c r="E80" s="40">
        <v>0</v>
      </c>
      <c r="F80" s="40">
        <v>1</v>
      </c>
      <c r="G80" s="40">
        <v>1</v>
      </c>
      <c r="H80" s="40">
        <v>1</v>
      </c>
      <c r="I80" s="40">
        <v>1</v>
      </c>
      <c r="J80" s="40">
        <v>1</v>
      </c>
      <c r="K80" s="40">
        <v>1</v>
      </c>
      <c r="L80" s="40">
        <v>1</v>
      </c>
      <c r="M80" s="40">
        <v>1</v>
      </c>
      <c r="N80" s="40">
        <v>1</v>
      </c>
      <c r="O80" s="40">
        <v>1</v>
      </c>
      <c r="P80" s="40">
        <v>1</v>
      </c>
      <c r="Q80" s="40">
        <v>1</v>
      </c>
      <c r="R80" s="40">
        <v>1</v>
      </c>
      <c r="S80" s="40">
        <v>1</v>
      </c>
      <c r="T80" s="40">
        <v>1</v>
      </c>
    </row>
    <row r="81" spans="2:20" outlineLevel="1" x14ac:dyDescent="0.2">
      <c r="B81" s="2" t="s">
        <v>42</v>
      </c>
      <c r="E81" s="38">
        <f t="shared" ref="E81:T81" si="26">E32</f>
        <v>0</v>
      </c>
      <c r="F81" s="38">
        <f t="shared" si="26"/>
        <v>30.66</v>
      </c>
      <c r="G81" s="38">
        <f t="shared" si="26"/>
        <v>31.116834000000001</v>
      </c>
      <c r="H81" s="38">
        <f t="shared" si="26"/>
        <v>31.580474826600003</v>
      </c>
      <c r="I81" s="38">
        <f t="shared" si="26"/>
        <v>32.051023901516338</v>
      </c>
      <c r="J81" s="38">
        <f t="shared" si="26"/>
        <v>32.528584157648936</v>
      </c>
      <c r="K81" s="38">
        <f t="shared" si="26"/>
        <v>33.013260061597904</v>
      </c>
      <c r="L81" s="38">
        <f t="shared" si="26"/>
        <v>33.505157636515719</v>
      </c>
      <c r="M81" s="38">
        <f t="shared" si="26"/>
        <v>34.004384485299788</v>
      </c>
      <c r="N81" s="38">
        <f t="shared" si="26"/>
        <v>34.511049814130757</v>
      </c>
      <c r="O81" s="38">
        <f t="shared" si="26"/>
        <v>35.025264456361306</v>
      </c>
      <c r="P81" s="38">
        <f t="shared" si="26"/>
        <v>35.547140896761093</v>
      </c>
      <c r="Q81" s="38">
        <f t="shared" si="26"/>
        <v>36.076793296122823</v>
      </c>
      <c r="R81" s="38">
        <f t="shared" si="26"/>
        <v>36.614337516235068</v>
      </c>
      <c r="S81" s="38">
        <f t="shared" si="26"/>
        <v>37.159891145226965</v>
      </c>
      <c r="T81" s="38">
        <f t="shared" si="26"/>
        <v>37.713573523290862</v>
      </c>
    </row>
    <row r="82" spans="2:20" outlineLevel="1" x14ac:dyDescent="0.2">
      <c r="B82" s="2" t="s">
        <v>65</v>
      </c>
      <c r="E82" s="38">
        <f t="shared" ref="E82:T82" si="27">-E41</f>
        <v>0</v>
      </c>
      <c r="F82" s="38">
        <f t="shared" si="27"/>
        <v>-0.54379999999999995</v>
      </c>
      <c r="G82" s="38">
        <f t="shared" si="27"/>
        <v>-0.55988842999999999</v>
      </c>
      <c r="H82" s="38">
        <f t="shared" si="27"/>
        <v>-0.57645390748549996</v>
      </c>
      <c r="I82" s="38">
        <f t="shared" si="27"/>
        <v>-0.59351060458651472</v>
      </c>
      <c r="J82" s="38">
        <f t="shared" si="27"/>
        <v>-0.61107311513548956</v>
      </c>
      <c r="K82" s="38">
        <f t="shared" si="27"/>
        <v>-0.62915646723235641</v>
      </c>
      <c r="L82" s="38">
        <f t="shared" si="27"/>
        <v>-0.647776136184403</v>
      </c>
      <c r="M82" s="38">
        <f t="shared" si="27"/>
        <v>-0.66694805783214761</v>
      </c>
      <c r="N82" s="38">
        <f t="shared" si="27"/>
        <v>-0.6866886422727454</v>
      </c>
      <c r="O82" s="38">
        <f t="shared" si="27"/>
        <v>-0.70701478799279627</v>
      </c>
      <c r="P82" s="38">
        <f t="shared" si="27"/>
        <v>-0.72794389642277757</v>
      </c>
      <c r="Q82" s="38">
        <f t="shared" si="27"/>
        <v>-0.74949388692569474</v>
      </c>
      <c r="R82" s="38">
        <f t="shared" si="27"/>
        <v>-0.77168321223291358</v>
      </c>
      <c r="S82" s="38">
        <f t="shared" si="27"/>
        <v>-0.79453087434053038</v>
      </c>
      <c r="T82" s="38">
        <f t="shared" si="27"/>
        <v>-0.81805644088003049</v>
      </c>
    </row>
    <row r="83" spans="2:20" ht="15.75" outlineLevel="1" thickBot="1" x14ac:dyDescent="0.3">
      <c r="B83" s="41" t="s">
        <v>66</v>
      </c>
      <c r="C83" s="41"/>
      <c r="D83" s="41"/>
      <c r="E83" s="43">
        <f t="shared" ref="E83:T83" si="28">SUM(E81:E82)</f>
        <v>0</v>
      </c>
      <c r="F83" s="43">
        <f t="shared" si="28"/>
        <v>30.116199999999999</v>
      </c>
      <c r="G83" s="43">
        <f t="shared" si="28"/>
        <v>30.55694557</v>
      </c>
      <c r="H83" s="43">
        <f t="shared" si="28"/>
        <v>31.004020919114502</v>
      </c>
      <c r="I83" s="43">
        <f t="shared" si="28"/>
        <v>31.457513296929822</v>
      </c>
      <c r="J83" s="43">
        <f t="shared" si="28"/>
        <v>31.917511042513446</v>
      </c>
      <c r="K83" s="43">
        <f t="shared" si="28"/>
        <v>32.384103594365548</v>
      </c>
      <c r="L83" s="43">
        <f t="shared" si="28"/>
        <v>32.857381500331314</v>
      </c>
      <c r="M83" s="43">
        <f t="shared" si="28"/>
        <v>33.337436427467637</v>
      </c>
      <c r="N83" s="43">
        <f t="shared" si="28"/>
        <v>33.824361171858015</v>
      </c>
      <c r="O83" s="43">
        <f t="shared" si="28"/>
        <v>34.318249668368509</v>
      </c>
      <c r="P83" s="43">
        <f t="shared" si="28"/>
        <v>34.819197000338313</v>
      </c>
      <c r="Q83" s="43">
        <f t="shared" si="28"/>
        <v>35.327299409197131</v>
      </c>
      <c r="R83" s="43">
        <f t="shared" si="28"/>
        <v>35.842654304002153</v>
      </c>
      <c r="S83" s="43">
        <f t="shared" si="28"/>
        <v>36.365360270886434</v>
      </c>
      <c r="T83" s="43">
        <f t="shared" si="28"/>
        <v>36.895517082410834</v>
      </c>
    </row>
    <row r="84" spans="2:20" outlineLevel="1" x14ac:dyDescent="0.2">
      <c r="B84" s="2" t="s">
        <v>67</v>
      </c>
      <c r="E84" s="83">
        <f t="shared" ref="E84:T84" si="29">E58</f>
        <v>0</v>
      </c>
      <c r="F84" s="83">
        <f t="shared" ca="1" si="29"/>
        <v>-12.790960451977401</v>
      </c>
      <c r="G84" s="83">
        <f t="shared" ca="1" si="29"/>
        <v>-12.790960451977401</v>
      </c>
      <c r="H84" s="83">
        <f t="shared" ca="1" si="29"/>
        <v>-12.790960451977401</v>
      </c>
      <c r="I84" s="83">
        <f t="shared" ca="1" si="29"/>
        <v>-12.790960451977401</v>
      </c>
      <c r="J84" s="83">
        <f t="shared" ca="1" si="29"/>
        <v>-12.790960451977401</v>
      </c>
      <c r="K84" s="83">
        <f t="shared" ca="1" si="29"/>
        <v>-12.790960451977401</v>
      </c>
      <c r="L84" s="83">
        <f t="shared" ca="1" si="29"/>
        <v>-12.790960451977401</v>
      </c>
      <c r="M84" s="83">
        <f t="shared" ca="1" si="29"/>
        <v>-12.790960451977401</v>
      </c>
      <c r="N84" s="83">
        <f t="shared" ca="1" si="29"/>
        <v>-12.790960451977401</v>
      </c>
      <c r="O84" s="83">
        <f t="shared" ca="1" si="29"/>
        <v>-12.790960451977401</v>
      </c>
      <c r="P84" s="83">
        <f t="shared" ca="1" si="29"/>
        <v>-12.790960451977401</v>
      </c>
      <c r="Q84" s="83">
        <f t="shared" ca="1" si="29"/>
        <v>-12.790960451977401</v>
      </c>
      <c r="R84" s="83">
        <f t="shared" ca="1" si="29"/>
        <v>-12.790960451977401</v>
      </c>
      <c r="S84" s="83">
        <f t="shared" ca="1" si="29"/>
        <v>-12.790960451977401</v>
      </c>
      <c r="T84" s="83">
        <f t="shared" ca="1" si="29"/>
        <v>-12.790960451977401</v>
      </c>
    </row>
    <row r="85" spans="2:20" outlineLevel="1" x14ac:dyDescent="0.2">
      <c r="B85" s="2" t="s">
        <v>59</v>
      </c>
      <c r="E85" s="38">
        <f t="shared" ref="E85:T85" ca="1" si="30">-E71*E80</f>
        <v>0</v>
      </c>
      <c r="F85" s="38">
        <f t="shared" ca="1" si="30"/>
        <v>-11.864406779661016</v>
      </c>
      <c r="G85" s="38">
        <f t="shared" ca="1" si="30"/>
        <v>-11.239211663607987</v>
      </c>
      <c r="H85" s="38">
        <f t="shared" ca="1" si="30"/>
        <v>-10.564000938270715</v>
      </c>
      <c r="I85" s="38">
        <f t="shared" ca="1" si="30"/>
        <v>-9.8347733549064635</v>
      </c>
      <c r="J85" s="38">
        <f t="shared" ca="1" si="30"/>
        <v>-9.0472075648730694</v>
      </c>
      <c r="K85" s="38">
        <f t="shared" ca="1" si="30"/>
        <v>-8.1966365116370064</v>
      </c>
      <c r="L85" s="38">
        <f t="shared" ca="1" si="30"/>
        <v>-7.2780197741420567</v>
      </c>
      <c r="M85" s="38">
        <f t="shared" ca="1" si="30"/>
        <v>-6.2859136976475112</v>
      </c>
      <c r="N85" s="38">
        <f t="shared" ca="1" si="30"/>
        <v>-5.2144391350334027</v>
      </c>
      <c r="O85" s="38">
        <f t="shared" ca="1" si="30"/>
        <v>-4.057246607410165</v>
      </c>
      <c r="P85" s="38">
        <f t="shared" ca="1" si="30"/>
        <v>-2.8074786775770679</v>
      </c>
      <c r="Q85" s="38">
        <f t="shared" ca="1" si="30"/>
        <v>-1.4577293133573239</v>
      </c>
      <c r="R85" s="38">
        <f t="shared" ca="1" si="30"/>
        <v>0</v>
      </c>
      <c r="S85" s="38">
        <f t="shared" ca="1" si="30"/>
        <v>0</v>
      </c>
      <c r="T85" s="38">
        <f t="shared" ca="1" si="30"/>
        <v>0</v>
      </c>
    </row>
    <row r="86" spans="2:20" ht="15.75" outlineLevel="1" thickBot="1" x14ac:dyDescent="0.3">
      <c r="B86" s="41" t="s">
        <v>68</v>
      </c>
      <c r="C86" s="41"/>
      <c r="D86" s="41"/>
      <c r="E86" s="43">
        <f t="shared" ref="E86:T86" ca="1" si="31">SUM(E83:E85)</f>
        <v>0</v>
      </c>
      <c r="F86" s="43">
        <f t="shared" ca="1" si="31"/>
        <v>5.4608327683615823</v>
      </c>
      <c r="G86" s="43">
        <f t="shared" ca="1" si="31"/>
        <v>6.5267734544146112</v>
      </c>
      <c r="H86" s="43">
        <f t="shared" ca="1" si="31"/>
        <v>7.6490595288663865</v>
      </c>
      <c r="I86" s="43">
        <f t="shared" ca="1" si="31"/>
        <v>8.8317794900459567</v>
      </c>
      <c r="J86" s="43">
        <f t="shared" ca="1" si="31"/>
        <v>10.079343025662975</v>
      </c>
      <c r="K86" s="43">
        <f t="shared" ca="1" si="31"/>
        <v>11.396506630751141</v>
      </c>
      <c r="L86" s="43">
        <f t="shared" ca="1" si="31"/>
        <v>12.788401274211857</v>
      </c>
      <c r="M86" s="43">
        <f t="shared" ca="1" si="31"/>
        <v>14.260562277842723</v>
      </c>
      <c r="N86" s="43">
        <f t="shared" ca="1" si="31"/>
        <v>15.818961584847212</v>
      </c>
      <c r="O86" s="43">
        <f t="shared" ca="1" si="31"/>
        <v>17.470042608980943</v>
      </c>
      <c r="P86" s="43">
        <f t="shared" ca="1" si="31"/>
        <v>19.220757870783842</v>
      </c>
      <c r="Q86" s="43">
        <f t="shared" ca="1" si="31"/>
        <v>21.078609643862407</v>
      </c>
      <c r="R86" s="43">
        <f t="shared" ca="1" si="31"/>
        <v>23.051693852024751</v>
      </c>
      <c r="S86" s="43">
        <f t="shared" ca="1" si="31"/>
        <v>23.574399818909033</v>
      </c>
      <c r="T86" s="43">
        <f t="shared" ca="1" si="31"/>
        <v>24.104556630433432</v>
      </c>
    </row>
    <row r="87" spans="2:20" outlineLevel="1" x14ac:dyDescent="0.2">
      <c r="B87" s="2" t="s">
        <v>69</v>
      </c>
      <c r="F87" s="80">
        <f t="shared" ref="F87:T87" ca="1" si="32">IF(F86&gt;0,-F86*Tax_Rate,0)</f>
        <v>-1.3652081920903956</v>
      </c>
      <c r="G87" s="80">
        <f t="shared" ca="1" si="32"/>
        <v>-1.6316933636036528</v>
      </c>
      <c r="H87" s="80">
        <f t="shared" ca="1" si="32"/>
        <v>-1.9122648822165966</v>
      </c>
      <c r="I87" s="80">
        <f t="shared" ca="1" si="32"/>
        <v>-2.2079448725114892</v>
      </c>
      <c r="J87" s="80">
        <f t="shared" ca="1" si="32"/>
        <v>-2.5198357564157439</v>
      </c>
      <c r="K87" s="80">
        <f t="shared" ca="1" si="32"/>
        <v>-2.8491266576877852</v>
      </c>
      <c r="L87" s="80">
        <f t="shared" ca="1" si="32"/>
        <v>-3.1971003185529643</v>
      </c>
      <c r="M87" s="80">
        <f t="shared" ca="1" si="32"/>
        <v>-3.5651405694606808</v>
      </c>
      <c r="N87" s="80">
        <f t="shared" ca="1" si="32"/>
        <v>-3.9547403962118031</v>
      </c>
      <c r="O87" s="80">
        <f t="shared" ca="1" si="32"/>
        <v>-4.3675106522452358</v>
      </c>
      <c r="P87" s="80">
        <f t="shared" ca="1" si="32"/>
        <v>-4.8051894676959606</v>
      </c>
      <c r="Q87" s="80">
        <f t="shared" ca="1" si="32"/>
        <v>-5.2696524109656018</v>
      </c>
      <c r="R87" s="80">
        <f t="shared" ca="1" si="32"/>
        <v>-5.7629234630061879</v>
      </c>
      <c r="S87" s="80">
        <f t="shared" ca="1" si="32"/>
        <v>-5.8935999547272582</v>
      </c>
      <c r="T87" s="80">
        <f t="shared" ca="1" si="32"/>
        <v>-6.0261391576083581</v>
      </c>
    </row>
    <row r="88" spans="2:20" ht="15.75" outlineLevel="1" thickBot="1" x14ac:dyDescent="0.3">
      <c r="B88" s="41" t="s">
        <v>70</v>
      </c>
      <c r="C88" s="42"/>
      <c r="D88" s="42"/>
      <c r="E88" s="42"/>
      <c r="F88" s="75">
        <f ca="1">SUM(F86:F87)</f>
        <v>4.0956245762711863</v>
      </c>
      <c r="G88" s="75">
        <f t="shared" ref="G88:T88" ca="1" si="33">SUM(G86:G87)</f>
        <v>4.8950800908109589</v>
      </c>
      <c r="H88" s="75">
        <f t="shared" ca="1" si="33"/>
        <v>5.7367946466497894</v>
      </c>
      <c r="I88" s="75">
        <f t="shared" ca="1" si="33"/>
        <v>6.6238346175344676</v>
      </c>
      <c r="J88" s="75">
        <f t="shared" ca="1" si="33"/>
        <v>7.5595072692472316</v>
      </c>
      <c r="K88" s="75">
        <f t="shared" ca="1" si="33"/>
        <v>8.5473799730633555</v>
      </c>
      <c r="L88" s="75">
        <f t="shared" ca="1" si="33"/>
        <v>9.5913009556588928</v>
      </c>
      <c r="M88" s="75">
        <f t="shared" ca="1" si="33"/>
        <v>10.695421708382042</v>
      </c>
      <c r="N88" s="75">
        <f t="shared" ca="1" si="33"/>
        <v>11.864221188635408</v>
      </c>
      <c r="O88" s="75">
        <f t="shared" ca="1" si="33"/>
        <v>13.102531956735707</v>
      </c>
      <c r="P88" s="75">
        <f t="shared" ca="1" si="33"/>
        <v>14.415568403087882</v>
      </c>
      <c r="Q88" s="75">
        <f t="shared" ca="1" si="33"/>
        <v>15.808957232896805</v>
      </c>
      <c r="R88" s="75">
        <f t="shared" ca="1" si="33"/>
        <v>17.288770389018563</v>
      </c>
      <c r="S88" s="75">
        <f t="shared" ca="1" si="33"/>
        <v>17.680799864181775</v>
      </c>
      <c r="T88" s="75">
        <f t="shared" ca="1" si="33"/>
        <v>18.078417472825073</v>
      </c>
    </row>
    <row r="89" spans="2:20" outlineLevel="1" x14ac:dyDescent="0.2">
      <c r="B89" s="2" t="s">
        <v>71</v>
      </c>
      <c r="C89" s="66"/>
      <c r="D89" s="66"/>
      <c r="E89" s="38">
        <f>-E84</f>
        <v>0</v>
      </c>
      <c r="F89" s="83">
        <f ca="1">-F84</f>
        <v>12.790960451977401</v>
      </c>
      <c r="G89" s="46">
        <f t="shared" ref="G89:T89" ca="1" si="34">-G84</f>
        <v>12.790960451977401</v>
      </c>
      <c r="H89" s="83">
        <f t="shared" ca="1" si="34"/>
        <v>12.790960451977401</v>
      </c>
      <c r="I89" s="83">
        <f t="shared" ca="1" si="34"/>
        <v>12.790960451977401</v>
      </c>
      <c r="J89" s="83">
        <f t="shared" ca="1" si="34"/>
        <v>12.790960451977401</v>
      </c>
      <c r="K89" s="83">
        <f t="shared" ca="1" si="34"/>
        <v>12.790960451977401</v>
      </c>
      <c r="L89" s="83">
        <f t="shared" ca="1" si="34"/>
        <v>12.790960451977401</v>
      </c>
      <c r="M89" s="83">
        <f t="shared" ca="1" si="34"/>
        <v>12.790960451977401</v>
      </c>
      <c r="N89" s="83">
        <f t="shared" ca="1" si="34"/>
        <v>12.790960451977401</v>
      </c>
      <c r="O89" s="83">
        <f t="shared" ca="1" si="34"/>
        <v>12.790960451977401</v>
      </c>
      <c r="P89" s="83">
        <f t="shared" ca="1" si="34"/>
        <v>12.790960451977401</v>
      </c>
      <c r="Q89" s="83">
        <f t="shared" ca="1" si="34"/>
        <v>12.790960451977401</v>
      </c>
      <c r="R89" s="83">
        <f t="shared" ca="1" si="34"/>
        <v>12.790960451977401</v>
      </c>
      <c r="S89" s="83">
        <f t="shared" ca="1" si="34"/>
        <v>12.790960451977401</v>
      </c>
      <c r="T89" s="83">
        <f t="shared" ca="1" si="34"/>
        <v>12.790960451977401</v>
      </c>
    </row>
    <row r="90" spans="2:20" outlineLevel="1" x14ac:dyDescent="0.2">
      <c r="B90" s="2" t="s">
        <v>72</v>
      </c>
      <c r="C90" s="29"/>
      <c r="D90" s="30"/>
      <c r="E90" s="67">
        <f>-E72</f>
        <v>0</v>
      </c>
      <c r="F90" s="38">
        <f ca="1">-F72</f>
        <v>-7.8149389506628566</v>
      </c>
      <c r="G90" s="38">
        <f t="shared" ref="G90:T90" ca="1" si="35">-G72</f>
        <v>-8.4401340667158848</v>
      </c>
      <c r="H90" s="38">
        <f t="shared" ca="1" si="35"/>
        <v>-9.1153447920531558</v>
      </c>
      <c r="I90" s="38">
        <f t="shared" ca="1" si="35"/>
        <v>-9.8445723754174086</v>
      </c>
      <c r="J90" s="38">
        <f t="shared" ca="1" si="35"/>
        <v>-10.632138165450799</v>
      </c>
      <c r="K90" s="38">
        <f t="shared" ca="1" si="35"/>
        <v>-11.482709218686864</v>
      </c>
      <c r="L90" s="38">
        <f t="shared" ca="1" si="35"/>
        <v>-12.401325956181816</v>
      </c>
      <c r="M90" s="38">
        <f t="shared" ca="1" si="35"/>
        <v>-13.393432032676358</v>
      </c>
      <c r="N90" s="38">
        <f t="shared" ca="1" si="35"/>
        <v>-14.464906595290469</v>
      </c>
      <c r="O90" s="38">
        <f t="shared" ca="1" si="35"/>
        <v>-15.622099122913706</v>
      </c>
      <c r="P90" s="38">
        <f t="shared" ca="1" si="35"/>
        <v>-16.871867052746801</v>
      </c>
      <c r="Q90" s="38">
        <f t="shared" ca="1" si="35"/>
        <v>-18.221616416966544</v>
      </c>
      <c r="R90" s="38">
        <f t="shared" ca="1" si="35"/>
        <v>0</v>
      </c>
      <c r="S90" s="38">
        <f t="shared" ca="1" si="35"/>
        <v>0</v>
      </c>
      <c r="T90" s="38">
        <f t="shared" ca="1" si="35"/>
        <v>0</v>
      </c>
    </row>
    <row r="91" spans="2:20" outlineLevel="1" x14ac:dyDescent="0.2">
      <c r="B91" s="2" t="s">
        <v>41</v>
      </c>
      <c r="C91" s="29"/>
      <c r="D91" s="30"/>
      <c r="E91" s="38">
        <f t="shared" ref="E91:S91" si="36">E49</f>
        <v>0</v>
      </c>
      <c r="F91" s="38">
        <f t="shared" si="36"/>
        <v>-2.52</v>
      </c>
      <c r="G91" s="38">
        <f t="shared" si="36"/>
        <v>-3.7548000000000137E-2</v>
      </c>
      <c r="H91" s="38">
        <f t="shared" si="36"/>
        <v>-3.8107465200000412E-2</v>
      </c>
      <c r="I91" s="38">
        <f t="shared" si="36"/>
        <v>-3.867526643147956E-2</v>
      </c>
      <c r="J91" s="38">
        <f t="shared" si="36"/>
        <v>-3.9251527901309036E-2</v>
      </c>
      <c r="K91" s="38">
        <f t="shared" si="36"/>
        <v>-3.983637566703857E-2</v>
      </c>
      <c r="L91" s="38">
        <f t="shared" si="36"/>
        <v>-4.0429937664478111E-2</v>
      </c>
      <c r="M91" s="38">
        <f t="shared" si="36"/>
        <v>-4.1032343735676768E-2</v>
      </c>
      <c r="N91" s="38">
        <f t="shared" si="36"/>
        <v>-4.1643725657340092E-2</v>
      </c>
      <c r="O91" s="38">
        <f t="shared" si="36"/>
        <v>-4.2264217169633689E-2</v>
      </c>
      <c r="P91" s="38">
        <f t="shared" si="36"/>
        <v>-4.2893954005462032E-2</v>
      </c>
      <c r="Q91" s="38">
        <f t="shared" si="36"/>
        <v>-4.3533073920142495E-2</v>
      </c>
      <c r="R91" s="38">
        <f t="shared" si="36"/>
        <v>-4.4181716721554132E-2</v>
      </c>
      <c r="S91" s="38">
        <f t="shared" si="36"/>
        <v>-4.4840024300703885E-2</v>
      </c>
      <c r="T91" s="38">
        <f>T49-SUM(F49:T49)</f>
        <v>3.0542376283748189</v>
      </c>
    </row>
    <row r="92" spans="2:20" outlineLevel="1" x14ac:dyDescent="0.2">
      <c r="B92" s="2" t="s">
        <v>73</v>
      </c>
      <c r="C92" s="29"/>
      <c r="D92" s="30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18">
        <f ca="1">T59</f>
        <v>19.999999999999954</v>
      </c>
    </row>
    <row r="93" spans="2:20" outlineLevel="1" x14ac:dyDescent="0.2">
      <c r="B93" s="2" t="s">
        <v>74</v>
      </c>
      <c r="C93" s="61">
        <f ca="1">-F73*F21/12</f>
        <v>-9.8396728651619352</v>
      </c>
      <c r="D93" s="20"/>
      <c r="E93" s="6">
        <f>IF(SUM(E88:E92)&lt;0,E95-SUM(E88:E92),0)</f>
        <v>0</v>
      </c>
      <c r="F93" s="20">
        <f t="shared" ref="F93:S93" ca="1" si="37">IF(SUM(F88:F92)&lt;0,F95-SUM(F88:F92),0)</f>
        <v>0</v>
      </c>
      <c r="G93" s="2">
        <f t="shared" ca="1" si="37"/>
        <v>0</v>
      </c>
      <c r="H93" s="2">
        <f t="shared" ca="1" si="37"/>
        <v>0</v>
      </c>
      <c r="I93" s="2">
        <f t="shared" ca="1" si="37"/>
        <v>0</v>
      </c>
      <c r="J93" s="2">
        <f t="shared" ca="1" si="37"/>
        <v>0</v>
      </c>
      <c r="K93" s="2">
        <f t="shared" ca="1" si="37"/>
        <v>0</v>
      </c>
      <c r="L93" s="2">
        <f t="shared" ca="1" si="37"/>
        <v>0</v>
      </c>
      <c r="M93" s="2">
        <f t="shared" ca="1" si="37"/>
        <v>0</v>
      </c>
      <c r="N93" s="2">
        <f t="shared" ca="1" si="37"/>
        <v>0</v>
      </c>
      <c r="O93" s="2">
        <f t="shared" ca="1" si="37"/>
        <v>0</v>
      </c>
      <c r="P93" s="2">
        <f t="shared" ca="1" si="37"/>
        <v>0</v>
      </c>
      <c r="Q93" s="2">
        <f t="shared" ca="1" si="37"/>
        <v>0</v>
      </c>
      <c r="R93" s="2">
        <f t="shared" ca="1" si="37"/>
        <v>0</v>
      </c>
      <c r="S93" s="2">
        <f t="shared" ca="1" si="37"/>
        <v>0</v>
      </c>
      <c r="T93" s="19">
        <f ca="1">-SUM(C93:S93)</f>
        <v>9.8396728651619352</v>
      </c>
    </row>
    <row r="94" spans="2:20" ht="15.75" outlineLevel="1" thickBot="1" x14ac:dyDescent="0.3">
      <c r="B94" s="75" t="s">
        <v>75</v>
      </c>
      <c r="C94" s="75">
        <f ca="1">-C65+C93</f>
        <v>-73.398994899060256</v>
      </c>
      <c r="D94" s="75"/>
      <c r="E94" s="75">
        <f>SUM(E88:E93)</f>
        <v>0</v>
      </c>
      <c r="F94" s="75">
        <f t="shared" ref="F94:T94" ca="1" si="38">SUM(F88:F93)</f>
        <v>6.5516460775857333</v>
      </c>
      <c r="G94" s="75">
        <f t="shared" ca="1" si="38"/>
        <v>9.2083584760724762</v>
      </c>
      <c r="H94" s="75">
        <f t="shared" ca="1" si="38"/>
        <v>9.3743028413740319</v>
      </c>
      <c r="I94" s="75">
        <f t="shared" ca="1" si="38"/>
        <v>9.5315474276629804</v>
      </c>
      <c r="J94" s="75">
        <f t="shared" ca="1" si="38"/>
        <v>9.6790780278725244</v>
      </c>
      <c r="K94" s="75">
        <f t="shared" ca="1" si="38"/>
        <v>9.815794830686853</v>
      </c>
      <c r="L94" s="75">
        <f t="shared" ca="1" si="38"/>
        <v>9.9405055137899971</v>
      </c>
      <c r="M94" s="75">
        <f t="shared" ca="1" si="38"/>
        <v>10.05191778394741</v>
      </c>
      <c r="N94" s="75">
        <f t="shared" ca="1" si="38"/>
        <v>10.148631319665</v>
      </c>
      <c r="O94" s="75">
        <f t="shared" ca="1" si="38"/>
        <v>10.229129068629767</v>
      </c>
      <c r="P94" s="75">
        <f t="shared" ca="1" si="38"/>
        <v>10.29176784831302</v>
      </c>
      <c r="Q94" s="75">
        <f t="shared" ca="1" si="38"/>
        <v>10.33476819398752</v>
      </c>
      <c r="R94" s="75">
        <f t="shared" ca="1" si="38"/>
        <v>30.035549124274411</v>
      </c>
      <c r="S94" s="75">
        <f t="shared" ca="1" si="38"/>
        <v>30.426920291858472</v>
      </c>
      <c r="T94" s="75">
        <f t="shared" ca="1" si="38"/>
        <v>63.763288418339179</v>
      </c>
    </row>
    <row r="95" spans="2:20" outlineLevel="1" x14ac:dyDescent="0.2">
      <c r="B95" s="20" t="s">
        <v>76</v>
      </c>
      <c r="C95" s="68"/>
      <c r="D95" s="68"/>
      <c r="E95" s="68"/>
      <c r="F95" s="77">
        <f ca="1">F73</f>
        <v>19.67934573032387</v>
      </c>
      <c r="G95" s="17">
        <f t="shared" ref="G95:T95" ca="1" si="39">G73</f>
        <v>19.67934573032387</v>
      </c>
      <c r="H95" s="17">
        <f t="shared" ca="1" si="39"/>
        <v>19.67934573032387</v>
      </c>
      <c r="I95" s="17">
        <f t="shared" ca="1" si="39"/>
        <v>19.67934573032387</v>
      </c>
      <c r="J95" s="17">
        <f t="shared" ca="1" si="39"/>
        <v>19.67934573032387</v>
      </c>
      <c r="K95" s="17">
        <f t="shared" ca="1" si="39"/>
        <v>19.67934573032387</v>
      </c>
      <c r="L95" s="17">
        <f t="shared" ca="1" si="39"/>
        <v>19.67934573032387</v>
      </c>
      <c r="M95" s="17">
        <f t="shared" ca="1" si="39"/>
        <v>19.67934573032387</v>
      </c>
      <c r="N95" s="17">
        <f t="shared" ca="1" si="39"/>
        <v>19.67934573032387</v>
      </c>
      <c r="O95" s="17">
        <f t="shared" ca="1" si="39"/>
        <v>19.67934573032387</v>
      </c>
      <c r="P95" s="17">
        <f t="shared" ca="1" si="39"/>
        <v>19.67934573032387</v>
      </c>
      <c r="Q95" s="17">
        <f t="shared" si="39"/>
        <v>0</v>
      </c>
      <c r="R95" s="17">
        <f t="shared" si="39"/>
        <v>0</v>
      </c>
      <c r="S95" s="17">
        <f t="shared" si="39"/>
        <v>0</v>
      </c>
      <c r="T95" s="17">
        <f t="shared" si="39"/>
        <v>0</v>
      </c>
    </row>
    <row r="96" spans="2:20" ht="15.75" outlineLevel="1" thickBot="1" x14ac:dyDescent="0.3">
      <c r="B96" s="75" t="s">
        <v>77</v>
      </c>
      <c r="C96" s="75"/>
      <c r="D96" s="75"/>
      <c r="E96" s="75"/>
      <c r="F96" s="75">
        <f ca="1">IFERROR((F83/F95),0)</f>
        <v>1.5303455924143858</v>
      </c>
      <c r="G96" s="75">
        <f t="shared" ref="G96:T96" ca="1" si="40">IFERROR((G83/G95),0)</f>
        <v>1.5527419452220332</v>
      </c>
      <c r="H96" s="75">
        <f t="shared" ca="1" si="40"/>
        <v>1.5754599438405343</v>
      </c>
      <c r="I96" s="75">
        <f t="shared" ca="1" si="40"/>
        <v>1.5985040218312234</v>
      </c>
      <c r="J96" s="75">
        <f t="shared" ca="1" si="40"/>
        <v>1.6218786681170914</v>
      </c>
      <c r="K96" s="75">
        <f t="shared" ca="1" si="40"/>
        <v>1.6455884274884678</v>
      </c>
      <c r="L96" s="75">
        <f t="shared" ca="1" si="40"/>
        <v>1.6696379011067137</v>
      </c>
      <c r="M96" s="75">
        <f t="shared" ca="1" si="40"/>
        <v>1.6940317470055948</v>
      </c>
      <c r="N96" s="75">
        <f t="shared" ca="1" si="40"/>
        <v>1.7187746805900217</v>
      </c>
      <c r="O96" s="75">
        <f t="shared" ca="1" si="40"/>
        <v>1.7438714751317965</v>
      </c>
      <c r="P96" s="75">
        <f t="shared" ca="1" si="40"/>
        <v>1.7693269622620367</v>
      </c>
      <c r="Q96" s="75">
        <f t="shared" si="40"/>
        <v>0</v>
      </c>
      <c r="R96" s="75">
        <f t="shared" si="40"/>
        <v>0</v>
      </c>
      <c r="S96" s="75">
        <f t="shared" si="40"/>
        <v>0</v>
      </c>
      <c r="T96" s="75">
        <f t="shared" si="40"/>
        <v>0</v>
      </c>
    </row>
    <row r="97" spans="2:20" s="5" customFormat="1" ht="15" outlineLevel="1" x14ac:dyDescent="0.25">
      <c r="B97" s="44"/>
      <c r="C97" s="79"/>
      <c r="D97" s="44"/>
      <c r="E97" s="44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</row>
    <row r="98" spans="2:20" s="6" customFormat="1" ht="15" outlineLevel="1" x14ac:dyDescent="0.25">
      <c r="B98" s="64" t="s">
        <v>78</v>
      </c>
      <c r="C98" s="62">
        <f ca="1">IRR(C94:T94)</f>
        <v>0.12008705904080652</v>
      </c>
    </row>
    <row r="99" spans="2:20" ht="15.75" outlineLevel="1" thickBot="1" x14ac:dyDescent="0.3">
      <c r="B99" s="33" t="s">
        <v>79</v>
      </c>
      <c r="C99" s="63">
        <f ca="1">NPV(Discount_Rate,E94:T94)+C94</f>
        <v>13.496919906046443</v>
      </c>
    </row>
    <row r="100" spans="2:20" x14ac:dyDescent="0.2">
      <c r="B100" s="29"/>
      <c r="C100" s="29"/>
    </row>
  </sheetData>
  <mergeCells count="5">
    <mergeCell ref="B2:T2"/>
    <mergeCell ref="B8:C8"/>
    <mergeCell ref="E8:F8"/>
    <mergeCell ref="E19:F19"/>
    <mergeCell ref="B19:C19"/>
  </mergeCells>
  <printOptions horizontalCentered="1" verticalCentered="1"/>
  <pageMargins left="0.11811023622047245" right="0.11811023622047245" top="0.15748031496062992" bottom="0.15748031496062992" header="0.11811023622047245" footer="0.11811023622047245"/>
  <pageSetup paperSize="9" scale="57" fitToHeight="2" orientation="landscape" horizontalDpi="360" verticalDpi="360" r:id="rId1"/>
  <rowBreaks count="1" manualBreakCount="1">
    <brk id="6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12</vt:i4>
      </vt:variant>
    </vt:vector>
  </HeadingPairs>
  <TitlesOfParts>
    <vt:vector size="13" baseType="lpstr">
      <vt:lpstr>Solar Projects</vt:lpstr>
      <vt:lpstr>Capacity</vt:lpstr>
      <vt:lpstr>Capacity_Factor</vt:lpstr>
      <vt:lpstr>Degradation</vt:lpstr>
      <vt:lpstr>Discount_Rate</vt:lpstr>
      <vt:lpstr>Inflation_rate</vt:lpstr>
      <vt:lpstr>Interest_rate</vt:lpstr>
      <vt:lpstr>PPA_Tariff</vt:lpstr>
      <vt:lpstr>Project_Life</vt:lpstr>
      <vt:lpstr>Tariff_escalator</vt:lpstr>
      <vt:lpstr>Tax_Rate</vt:lpstr>
      <vt:lpstr>WC_days</vt:lpstr>
      <vt:lpstr>Yearly_hours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</dc:creator>
  <cp:lastModifiedBy>Atharv</cp:lastModifiedBy>
  <cp:lastPrinted>2026-02-25T23:54:03Z</cp:lastPrinted>
  <dcterms:created xsi:type="dcterms:W3CDTF">2026-02-21T04:49:57Z</dcterms:created>
  <dcterms:modified xsi:type="dcterms:W3CDTF">2026-03-30T08:33:12Z</dcterms:modified>
</cp:coreProperties>
</file>